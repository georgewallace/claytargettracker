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9c54a963c48ce0/Documents/Jason/02-Shooting/USAYESS/COYESS/"/>
    </mc:Choice>
  </mc:AlternateContent>
  <xr:revisionPtr revIDLastSave="4170" documentId="8_{E5E56B11-8886-4FD4-A20D-2E140630D3F7}" xr6:coauthVersionLast="47" xr6:coauthVersionMax="47" xr10:uidLastSave="{E94BC59B-9A37-43D3-82CD-1CDDEB3F71A5}"/>
  <bookViews>
    <workbookView xWindow="-108" yWindow="-108" windowWidth="23256" windowHeight="12576" firstSheet="2" activeTab="4" xr2:uid="{E0557DCD-9121-4712-B02E-C244D4DE3EB6}"/>
  </bookViews>
  <sheets>
    <sheet name="Tournament Setup" sheetId="7" r:id="rId1"/>
    <sheet name="Team Setup" sheetId="14" r:id="rId2"/>
    <sheet name="Individual Setup" sheetId="15" r:id="rId3"/>
    <sheet name="Shooter-Squad Assignment" sheetId="13" r:id="rId4"/>
    <sheet name="Squad Listing" sheetId="11" r:id="rId5"/>
    <sheet name="Shooter History" sheetId="16" r:id="rId6"/>
    <sheet name="Tournament List" sheetId="2" r:id="rId7"/>
    <sheet name="Skeet Ind Concurrent Ranking" sheetId="6" r:id="rId8"/>
    <sheet name="Skeet Team Scores" sheetId="4" r:id="rId9"/>
    <sheet name="Skeet Ind Concurrent Scores" sheetId="3" r:id="rId10"/>
    <sheet name="Skeet Ind Class Scores" sheetId="10" r:id="rId11"/>
  </sheets>
  <definedNames>
    <definedName name="_xlnm._FilterDatabase" localSheetId="3" hidden="1">'Shooter-Squad Assignment'!$A$1:$AA$201</definedName>
    <definedName name="_xlnm._FilterDatabase" localSheetId="7" hidden="1">'Skeet Ind Concurrent Ranking'!$A$1:$AM$111</definedName>
    <definedName name="_xlnm._FilterDatabase" localSheetId="6" hidden="1">'Tournament List'!$A$2:$BY$151</definedName>
    <definedName name="AgeConcurrents">'Tournament Setup'!$A$29:$A$33</definedName>
    <definedName name="Concurrent">'Tournament Setup'!$A$46:$A$51</definedName>
    <definedName name="_xlnm.Print_Area" localSheetId="9">'Skeet Ind Concurrent Scores'!$A$1:$Q$49</definedName>
    <definedName name="ShooterID">'Tournament List'!$A$3:$A$151</definedName>
    <definedName name="SkeetTimes">'Tournament Setup'!$A$98:$A$107</definedName>
    <definedName name="SportingTimes">'Tournament Setup'!$C$98:$C$107</definedName>
    <definedName name="SquadConcurrents">'Tournament Setup'!$A$56:$A$77</definedName>
    <definedName name="SquadPos">'Tournament Setup'!$C$56:$C$59</definedName>
    <definedName name="SquadPosT">'Tournament Setup'!$D$56:$D$61</definedName>
    <definedName name="TeamNo">'Squad Listing'!$A$2:$A$552</definedName>
    <definedName name="Teams">'Tournament Setup'!$A$81:$A$94</definedName>
    <definedName name="TrapTimes">'Tournament Setup'!$B$98:$B$107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6" l="1"/>
  <c r="J101" i="6" s="1"/>
  <c r="H101" i="6"/>
  <c r="L101" i="6" s="1"/>
  <c r="G101" i="6"/>
  <c r="BR101" i="6" s="1"/>
  <c r="F101" i="6"/>
  <c r="E101" i="6"/>
  <c r="C101" i="6"/>
  <c r="B101" i="6"/>
  <c r="I100" i="6"/>
  <c r="J100" i="6" s="1"/>
  <c r="H100" i="6"/>
  <c r="L100" i="6" s="1"/>
  <c r="G100" i="6"/>
  <c r="BR100" i="6" s="1"/>
  <c r="F100" i="6"/>
  <c r="E100" i="6"/>
  <c r="C100" i="6"/>
  <c r="B100" i="6"/>
  <c r="BR99" i="6"/>
  <c r="I99" i="6"/>
  <c r="J99" i="6" s="1"/>
  <c r="H99" i="6"/>
  <c r="L99" i="6" s="1"/>
  <c r="G99" i="6"/>
  <c r="F99" i="6"/>
  <c r="E99" i="6"/>
  <c r="C99" i="6"/>
  <c r="B99" i="6"/>
  <c r="I98" i="6"/>
  <c r="J98" i="6" s="1"/>
  <c r="H98" i="6"/>
  <c r="L98" i="6" s="1"/>
  <c r="G98" i="6"/>
  <c r="F98" i="6"/>
  <c r="E98" i="6"/>
  <c r="C98" i="6"/>
  <c r="B98" i="6"/>
  <c r="I97" i="6"/>
  <c r="J97" i="6" s="1"/>
  <c r="H97" i="6"/>
  <c r="L97" i="6" s="1"/>
  <c r="G97" i="6"/>
  <c r="F97" i="6"/>
  <c r="E97" i="6"/>
  <c r="C97" i="6"/>
  <c r="B97" i="6"/>
  <c r="I96" i="6"/>
  <c r="J96" i="6" s="1"/>
  <c r="H96" i="6"/>
  <c r="L96" i="6" s="1"/>
  <c r="G96" i="6"/>
  <c r="BR96" i="6" s="1"/>
  <c r="BT96" i="6" s="1"/>
  <c r="F96" i="6"/>
  <c r="AD96" i="6" s="1"/>
  <c r="AF96" i="6" s="1"/>
  <c r="E96" i="6"/>
  <c r="C96" i="6"/>
  <c r="B96" i="6"/>
  <c r="I95" i="6"/>
  <c r="J95" i="6" s="1"/>
  <c r="H95" i="6"/>
  <c r="G95" i="6"/>
  <c r="CM95" i="6" s="1"/>
  <c r="F95" i="6"/>
  <c r="E95" i="6"/>
  <c r="C95" i="6"/>
  <c r="B95" i="6"/>
  <c r="I94" i="6"/>
  <c r="J94" i="6" s="1"/>
  <c r="H94" i="6"/>
  <c r="G94" i="6"/>
  <c r="CM94" i="6" s="1"/>
  <c r="F94" i="6"/>
  <c r="E94" i="6"/>
  <c r="C94" i="6"/>
  <c r="B94" i="6"/>
  <c r="D94" i="6" s="1"/>
  <c r="I93" i="6"/>
  <c r="J93" i="6" s="1"/>
  <c r="H93" i="6"/>
  <c r="L93" i="6" s="1"/>
  <c r="G93" i="6"/>
  <c r="F93" i="6"/>
  <c r="E93" i="6"/>
  <c r="C93" i="6"/>
  <c r="B93" i="6"/>
  <c r="I92" i="6"/>
  <c r="J92" i="6" s="1"/>
  <c r="H92" i="6"/>
  <c r="L92" i="6" s="1"/>
  <c r="G92" i="6"/>
  <c r="F92" i="6"/>
  <c r="E92" i="6"/>
  <c r="C92" i="6"/>
  <c r="B92" i="6"/>
  <c r="K91" i="6"/>
  <c r="I91" i="6"/>
  <c r="J91" i="6" s="1"/>
  <c r="H91" i="6"/>
  <c r="L91" i="6" s="1"/>
  <c r="G91" i="6"/>
  <c r="F91" i="6"/>
  <c r="E91" i="6"/>
  <c r="C91" i="6"/>
  <c r="B91" i="6"/>
  <c r="D91" i="6" s="1"/>
  <c r="K90" i="6"/>
  <c r="I90" i="6"/>
  <c r="J90" i="6" s="1"/>
  <c r="H90" i="6"/>
  <c r="L90" i="6" s="1"/>
  <c r="G90" i="6"/>
  <c r="BR90" i="6" s="1"/>
  <c r="F90" i="6"/>
  <c r="E90" i="6"/>
  <c r="C90" i="6"/>
  <c r="B90" i="6"/>
  <c r="I89" i="6"/>
  <c r="J89" i="6" s="1"/>
  <c r="H89" i="6"/>
  <c r="L89" i="6" s="1"/>
  <c r="G89" i="6"/>
  <c r="F89" i="6"/>
  <c r="E89" i="6"/>
  <c r="C89" i="6"/>
  <c r="B89" i="6"/>
  <c r="BY88" i="6"/>
  <c r="CA88" i="6" s="1"/>
  <c r="I88" i="6"/>
  <c r="J88" i="6" s="1"/>
  <c r="H88" i="6"/>
  <c r="L88" i="6" s="1"/>
  <c r="G88" i="6"/>
  <c r="F88" i="6"/>
  <c r="E88" i="6"/>
  <c r="C88" i="6"/>
  <c r="B88" i="6"/>
  <c r="CF87" i="6"/>
  <c r="I87" i="6"/>
  <c r="J87" i="6" s="1"/>
  <c r="H87" i="6"/>
  <c r="L87" i="6" s="1"/>
  <c r="G87" i="6"/>
  <c r="CM87" i="6" s="1"/>
  <c r="F87" i="6"/>
  <c r="E87" i="6"/>
  <c r="C87" i="6"/>
  <c r="B87" i="6"/>
  <c r="I86" i="6"/>
  <c r="J86" i="6" s="1"/>
  <c r="H86" i="6"/>
  <c r="K86" i="6" s="1"/>
  <c r="G86" i="6"/>
  <c r="CM86" i="6" s="1"/>
  <c r="CO86" i="6" s="1"/>
  <c r="F86" i="6"/>
  <c r="E86" i="6"/>
  <c r="C86" i="6"/>
  <c r="D86" i="6" s="1"/>
  <c r="B86" i="6"/>
  <c r="CF85" i="6"/>
  <c r="CH85" i="6" s="1"/>
  <c r="I85" i="6"/>
  <c r="J85" i="6" s="1"/>
  <c r="H85" i="6"/>
  <c r="K85" i="6" s="1"/>
  <c r="G85" i="6"/>
  <c r="CM85" i="6" s="1"/>
  <c r="CN85" i="6" s="1"/>
  <c r="F85" i="6"/>
  <c r="E85" i="6"/>
  <c r="C85" i="6"/>
  <c r="B85" i="6"/>
  <c r="I84" i="6"/>
  <c r="J84" i="6" s="1"/>
  <c r="H84" i="6"/>
  <c r="L84" i="6" s="1"/>
  <c r="G84" i="6"/>
  <c r="F84" i="6"/>
  <c r="E84" i="6"/>
  <c r="C84" i="6"/>
  <c r="B84" i="6"/>
  <c r="I83" i="6"/>
  <c r="J83" i="6" s="1"/>
  <c r="H83" i="6"/>
  <c r="L83" i="6" s="1"/>
  <c r="G83" i="6"/>
  <c r="F83" i="6"/>
  <c r="E83" i="6"/>
  <c r="C83" i="6"/>
  <c r="B83" i="6"/>
  <c r="I82" i="6"/>
  <c r="J82" i="6" s="1"/>
  <c r="H82" i="6"/>
  <c r="L82" i="6" s="1"/>
  <c r="G82" i="6"/>
  <c r="F82" i="6"/>
  <c r="E82" i="6"/>
  <c r="C82" i="6"/>
  <c r="B82" i="6"/>
  <c r="D82" i="6" s="1"/>
  <c r="I81" i="6"/>
  <c r="J81" i="6" s="1"/>
  <c r="H81" i="6"/>
  <c r="L81" i="6" s="1"/>
  <c r="G81" i="6"/>
  <c r="BY81" i="6" s="1"/>
  <c r="F81" i="6"/>
  <c r="E81" i="6"/>
  <c r="C81" i="6"/>
  <c r="B81" i="6"/>
  <c r="I80" i="6"/>
  <c r="J80" i="6" s="1"/>
  <c r="H80" i="6"/>
  <c r="L80" i="6" s="1"/>
  <c r="G80" i="6"/>
  <c r="F80" i="6"/>
  <c r="E80" i="6"/>
  <c r="C80" i="6"/>
  <c r="B80" i="6"/>
  <c r="I103" i="6"/>
  <c r="J103" i="6" s="1"/>
  <c r="H103" i="6"/>
  <c r="L103" i="6" s="1"/>
  <c r="G103" i="6"/>
  <c r="BR103" i="6" s="1"/>
  <c r="F103" i="6"/>
  <c r="E103" i="6"/>
  <c r="C103" i="6"/>
  <c r="B103" i="6"/>
  <c r="I102" i="6"/>
  <c r="J102" i="6" s="1"/>
  <c r="H102" i="6"/>
  <c r="L102" i="6" s="1"/>
  <c r="G102" i="6"/>
  <c r="BR102" i="6" s="1"/>
  <c r="F102" i="6"/>
  <c r="E102" i="6"/>
  <c r="C102" i="6"/>
  <c r="B102" i="6"/>
  <c r="I79" i="6"/>
  <c r="J79" i="6" s="1"/>
  <c r="H79" i="6"/>
  <c r="L79" i="6" s="1"/>
  <c r="G79" i="6"/>
  <c r="BR79" i="6" s="1"/>
  <c r="F79" i="6"/>
  <c r="E79" i="6"/>
  <c r="C79" i="6"/>
  <c r="B79" i="6"/>
  <c r="I78" i="6"/>
  <c r="J78" i="6" s="1"/>
  <c r="H78" i="6"/>
  <c r="L78" i="6" s="1"/>
  <c r="G78" i="6"/>
  <c r="BR78" i="6" s="1"/>
  <c r="BT78" i="6" s="1"/>
  <c r="F78" i="6"/>
  <c r="E78" i="6"/>
  <c r="C78" i="6"/>
  <c r="B78" i="6"/>
  <c r="I77" i="6"/>
  <c r="J77" i="6" s="1"/>
  <c r="H77" i="6"/>
  <c r="L77" i="6" s="1"/>
  <c r="G77" i="6"/>
  <c r="CM77" i="6" s="1"/>
  <c r="CN77" i="6" s="1"/>
  <c r="F77" i="6"/>
  <c r="E77" i="6"/>
  <c r="C77" i="6"/>
  <c r="B77" i="6"/>
  <c r="BY76" i="6"/>
  <c r="CA76" i="6" s="1"/>
  <c r="I76" i="6"/>
  <c r="J76" i="6" s="1"/>
  <c r="H76" i="6"/>
  <c r="L76" i="6" s="1"/>
  <c r="G76" i="6"/>
  <c r="CM76" i="6" s="1"/>
  <c r="CN76" i="6" s="1"/>
  <c r="F76" i="6"/>
  <c r="E76" i="6"/>
  <c r="C76" i="6"/>
  <c r="B76" i="6"/>
  <c r="BR75" i="6"/>
  <c r="BS75" i="6" s="1"/>
  <c r="I75" i="6"/>
  <c r="J75" i="6" s="1"/>
  <c r="H75" i="6"/>
  <c r="K75" i="6" s="1"/>
  <c r="G75" i="6"/>
  <c r="CM75" i="6" s="1"/>
  <c r="CN75" i="6" s="1"/>
  <c r="F75" i="6"/>
  <c r="E75" i="6"/>
  <c r="C75" i="6"/>
  <c r="B75" i="6"/>
  <c r="BY74" i="6"/>
  <c r="CA74" i="6" s="1"/>
  <c r="I74" i="6"/>
  <c r="J74" i="6" s="1"/>
  <c r="H74" i="6"/>
  <c r="L74" i="6" s="1"/>
  <c r="G74" i="6"/>
  <c r="F74" i="6"/>
  <c r="E74" i="6"/>
  <c r="C74" i="6"/>
  <c r="B74" i="6"/>
  <c r="I73" i="6"/>
  <c r="J73" i="6" s="1"/>
  <c r="H73" i="6"/>
  <c r="L73" i="6" s="1"/>
  <c r="G73" i="6"/>
  <c r="F73" i="6"/>
  <c r="E73" i="6"/>
  <c r="C73" i="6"/>
  <c r="B73" i="6"/>
  <c r="I72" i="6"/>
  <c r="J72" i="6" s="1"/>
  <c r="H72" i="6"/>
  <c r="L72" i="6" s="1"/>
  <c r="G72" i="6"/>
  <c r="F72" i="6"/>
  <c r="E72" i="6"/>
  <c r="C72" i="6"/>
  <c r="B72" i="6"/>
  <c r="I71" i="6"/>
  <c r="J71" i="6" s="1"/>
  <c r="H71" i="6"/>
  <c r="L71" i="6" s="1"/>
  <c r="G71" i="6"/>
  <c r="F71" i="6"/>
  <c r="E71" i="6"/>
  <c r="C71" i="6"/>
  <c r="B71" i="6"/>
  <c r="I70" i="6"/>
  <c r="H70" i="6"/>
  <c r="L70" i="6" s="1"/>
  <c r="G70" i="6"/>
  <c r="BR70" i="6" s="1"/>
  <c r="BT70" i="6" s="1"/>
  <c r="F70" i="6"/>
  <c r="E70" i="6"/>
  <c r="C70" i="6"/>
  <c r="B70" i="6"/>
  <c r="I69" i="6"/>
  <c r="J69" i="6" s="1"/>
  <c r="H69" i="6"/>
  <c r="L69" i="6" s="1"/>
  <c r="G69" i="6"/>
  <c r="CF69" i="6" s="1"/>
  <c r="F69" i="6"/>
  <c r="E69" i="6"/>
  <c r="C69" i="6"/>
  <c r="B69" i="6"/>
  <c r="I68" i="6"/>
  <c r="J68" i="6" s="1"/>
  <c r="H68" i="6"/>
  <c r="K68" i="6" s="1"/>
  <c r="G68" i="6"/>
  <c r="F68" i="6"/>
  <c r="E68" i="6"/>
  <c r="C68" i="6"/>
  <c r="D68" i="6" s="1"/>
  <c r="B68" i="6"/>
  <c r="I67" i="6"/>
  <c r="J67" i="6" s="1"/>
  <c r="H67" i="6"/>
  <c r="L67" i="6" s="1"/>
  <c r="G67" i="6"/>
  <c r="CM67" i="6" s="1"/>
  <c r="F67" i="6"/>
  <c r="E67" i="6"/>
  <c r="C67" i="6"/>
  <c r="B67" i="6"/>
  <c r="D67" i="6" s="1"/>
  <c r="I66" i="6"/>
  <c r="J66" i="6" s="1"/>
  <c r="H66" i="6"/>
  <c r="L66" i="6" s="1"/>
  <c r="G66" i="6"/>
  <c r="BR66" i="6" s="1"/>
  <c r="BT66" i="6" s="1"/>
  <c r="F66" i="6"/>
  <c r="E66" i="6"/>
  <c r="C66" i="6"/>
  <c r="B66" i="6"/>
  <c r="D66" i="6" s="1"/>
  <c r="I59" i="6"/>
  <c r="J59" i="6" s="1"/>
  <c r="H59" i="6"/>
  <c r="L59" i="6" s="1"/>
  <c r="G59" i="6"/>
  <c r="BR59" i="6" s="1"/>
  <c r="F59" i="6"/>
  <c r="E59" i="6"/>
  <c r="C59" i="6"/>
  <c r="B59" i="6"/>
  <c r="I58" i="6"/>
  <c r="J58" i="6" s="1"/>
  <c r="H58" i="6"/>
  <c r="L58" i="6" s="1"/>
  <c r="G58" i="6"/>
  <c r="BR58" i="6" s="1"/>
  <c r="F58" i="6"/>
  <c r="E58" i="6"/>
  <c r="C58" i="6"/>
  <c r="B58" i="6"/>
  <c r="I57" i="6"/>
  <c r="J57" i="6" s="1"/>
  <c r="H57" i="6"/>
  <c r="L57" i="6" s="1"/>
  <c r="G57" i="6"/>
  <c r="F57" i="6"/>
  <c r="E57" i="6"/>
  <c r="C57" i="6"/>
  <c r="B57" i="6"/>
  <c r="I56" i="6"/>
  <c r="J56" i="6" s="1"/>
  <c r="H56" i="6"/>
  <c r="G56" i="6"/>
  <c r="BY56" i="6" s="1"/>
  <c r="F56" i="6"/>
  <c r="E56" i="6"/>
  <c r="C56" i="6"/>
  <c r="B56" i="6"/>
  <c r="I55" i="6"/>
  <c r="H55" i="6"/>
  <c r="K55" i="6" s="1"/>
  <c r="G55" i="6"/>
  <c r="CM55" i="6" s="1"/>
  <c r="CO55" i="6" s="1"/>
  <c r="F55" i="6"/>
  <c r="E55" i="6"/>
  <c r="C55" i="6"/>
  <c r="B55" i="6"/>
  <c r="D55" i="6" s="1"/>
  <c r="I54" i="6"/>
  <c r="J54" i="6" s="1"/>
  <c r="H54" i="6"/>
  <c r="K54" i="6" s="1"/>
  <c r="G54" i="6"/>
  <c r="CM54" i="6" s="1"/>
  <c r="CO54" i="6" s="1"/>
  <c r="F54" i="6"/>
  <c r="E54" i="6"/>
  <c r="C54" i="6"/>
  <c r="B54" i="6"/>
  <c r="I53" i="6"/>
  <c r="J53" i="6" s="1"/>
  <c r="H53" i="6"/>
  <c r="L53" i="6" s="1"/>
  <c r="G53" i="6"/>
  <c r="BY53" i="6" s="1"/>
  <c r="F53" i="6"/>
  <c r="E53" i="6"/>
  <c r="C53" i="6"/>
  <c r="B53" i="6"/>
  <c r="I52" i="6"/>
  <c r="J52" i="6" s="1"/>
  <c r="H52" i="6"/>
  <c r="K52" i="6" s="1"/>
  <c r="G52" i="6"/>
  <c r="CM52" i="6" s="1"/>
  <c r="CO52" i="6" s="1"/>
  <c r="F52" i="6"/>
  <c r="E52" i="6"/>
  <c r="C52" i="6"/>
  <c r="B52" i="6"/>
  <c r="I51" i="6"/>
  <c r="J51" i="6" s="1"/>
  <c r="H51" i="6"/>
  <c r="K51" i="6" s="1"/>
  <c r="G51" i="6"/>
  <c r="CF51" i="6" s="1"/>
  <c r="F51" i="6"/>
  <c r="E51" i="6"/>
  <c r="C51" i="6"/>
  <c r="B51" i="6"/>
  <c r="I50" i="6"/>
  <c r="J50" i="6" s="1"/>
  <c r="H50" i="6"/>
  <c r="K50" i="6" s="1"/>
  <c r="G50" i="6"/>
  <c r="CM50" i="6" s="1"/>
  <c r="F50" i="6"/>
  <c r="E50" i="6"/>
  <c r="C50" i="6"/>
  <c r="B50" i="6"/>
  <c r="D12" i="7"/>
  <c r="C12" i="7"/>
  <c r="B12" i="7"/>
  <c r="D34" i="7"/>
  <c r="B34" i="7"/>
  <c r="C34" i="7"/>
  <c r="D10" i="7"/>
  <c r="C10" i="7"/>
  <c r="B10" i="7"/>
  <c r="D9" i="7"/>
  <c r="C9" i="7"/>
  <c r="B9" i="7"/>
  <c r="D11" i="7"/>
  <c r="C11" i="7"/>
  <c r="B11" i="7"/>
  <c r="D7" i="7"/>
  <c r="C7" i="7"/>
  <c r="B7" i="7"/>
  <c r="B20" i="7"/>
  <c r="C52" i="7"/>
  <c r="C53" i="7" s="1"/>
  <c r="D52" i="7"/>
  <c r="D53" i="7" s="1"/>
  <c r="B8" i="7"/>
  <c r="C8" i="7"/>
  <c r="D8" i="7"/>
  <c r="AX95" i="6" l="1"/>
  <c r="AD99" i="6"/>
  <c r="AX101" i="6"/>
  <c r="AY101" i="6" s="1"/>
  <c r="AD90" i="6"/>
  <c r="AF90" i="6" s="1"/>
  <c r="AD93" i="6"/>
  <c r="AF93" i="6" s="1"/>
  <c r="AX97" i="6"/>
  <c r="E7" i="7"/>
  <c r="AX73" i="6"/>
  <c r="AZ73" i="6" s="1"/>
  <c r="D70" i="6"/>
  <c r="AD79" i="6"/>
  <c r="AE79" i="6" s="1"/>
  <c r="T87" i="6"/>
  <c r="AD89" i="6"/>
  <c r="AF89" i="6" s="1"/>
  <c r="AD70" i="6"/>
  <c r="AF70" i="6" s="1"/>
  <c r="D79" i="6"/>
  <c r="M82" i="6"/>
  <c r="O82" i="6" s="1"/>
  <c r="K82" i="6"/>
  <c r="M83" i="6"/>
  <c r="O83" i="6" s="1"/>
  <c r="R83" i="6" s="1"/>
  <c r="S83" i="6" s="1"/>
  <c r="K83" i="6"/>
  <c r="D87" i="6"/>
  <c r="D88" i="6"/>
  <c r="BH94" i="6"/>
  <c r="BJ94" i="6" s="1"/>
  <c r="D95" i="6"/>
  <c r="BT90" i="6"/>
  <c r="BS90" i="6"/>
  <c r="T94" i="6"/>
  <c r="V94" i="6" s="1"/>
  <c r="BR95" i="6"/>
  <c r="D98" i="6"/>
  <c r="K98" i="6"/>
  <c r="D100" i="6"/>
  <c r="D53" i="6"/>
  <c r="AX76" i="6"/>
  <c r="AY76" i="6" s="1"/>
  <c r="CG85" i="6"/>
  <c r="AN87" i="6"/>
  <c r="AO87" i="6" s="1"/>
  <c r="L52" i="6"/>
  <c r="BR55" i="6"/>
  <c r="BS55" i="6" s="1"/>
  <c r="D57" i="6"/>
  <c r="BH68" i="6"/>
  <c r="BI68" i="6" s="1"/>
  <c r="AD68" i="6"/>
  <c r="AE68" i="6" s="1"/>
  <c r="K69" i="6"/>
  <c r="AX74" i="6"/>
  <c r="AZ74" i="6" s="1"/>
  <c r="CF76" i="6"/>
  <c r="CH76" i="6" s="1"/>
  <c r="CK76" i="6" s="1"/>
  <c r="CL76" i="6" s="1"/>
  <c r="BY77" i="6"/>
  <c r="CA77" i="6" s="1"/>
  <c r="CD77" i="6" s="1"/>
  <c r="CE77" i="6" s="1"/>
  <c r="BY78" i="6"/>
  <c r="AX103" i="6"/>
  <c r="AZ103" i="6" s="1"/>
  <c r="D80" i="6"/>
  <c r="K80" i="6"/>
  <c r="K81" i="6"/>
  <c r="D83" i="6"/>
  <c r="BH84" i="6"/>
  <c r="BJ84" i="6" s="1"/>
  <c r="K84" i="6"/>
  <c r="L85" i="6"/>
  <c r="BY86" i="6"/>
  <c r="CA86" i="6" s="1"/>
  <c r="BH87" i="6"/>
  <c r="BJ87" i="6" s="1"/>
  <c r="D89" i="6"/>
  <c r="K89" i="6"/>
  <c r="D92" i="6"/>
  <c r="K92" i="6"/>
  <c r="AN94" i="6"/>
  <c r="AP94" i="6" s="1"/>
  <c r="BS96" i="6"/>
  <c r="K99" i="6"/>
  <c r="D101" i="6"/>
  <c r="BY75" i="6"/>
  <c r="CA75" i="6" s="1"/>
  <c r="M50" i="6"/>
  <c r="O50" i="6" s="1"/>
  <c r="BY50" i="6"/>
  <c r="CA50" i="6" s="1"/>
  <c r="CB50" i="6" s="1"/>
  <c r="CC50" i="6" s="1"/>
  <c r="D52" i="6"/>
  <c r="CF52" i="6"/>
  <c r="CH52" i="6" s="1"/>
  <c r="M53" i="6"/>
  <c r="D54" i="6"/>
  <c r="D56" i="6"/>
  <c r="K66" i="6"/>
  <c r="D69" i="6"/>
  <c r="CD74" i="6"/>
  <c r="CE74" i="6" s="1"/>
  <c r="BR74" i="6"/>
  <c r="BS74" i="6" s="1"/>
  <c r="CM78" i="6"/>
  <c r="CN78" i="6" s="1"/>
  <c r="D103" i="6"/>
  <c r="M81" i="6"/>
  <c r="P82" i="6"/>
  <c r="Q82" i="6" s="1"/>
  <c r="D84" i="6"/>
  <c r="D85" i="6"/>
  <c r="BY85" i="6"/>
  <c r="BZ85" i="6" s="1"/>
  <c r="CF86" i="6"/>
  <c r="CG86" i="6" s="1"/>
  <c r="BY87" i="6"/>
  <c r="CA87" i="6" s="1"/>
  <c r="CB87" i="6" s="1"/>
  <c r="CC87" i="6" s="1"/>
  <c r="D93" i="6"/>
  <c r="K93" i="6"/>
  <c r="K96" i="6"/>
  <c r="D97" i="6"/>
  <c r="K97" i="6"/>
  <c r="M80" i="6"/>
  <c r="AX80" i="6"/>
  <c r="BY80" i="6"/>
  <c r="D81" i="6"/>
  <c r="O81" i="6"/>
  <c r="R81" i="6" s="1"/>
  <c r="S81" i="6" s="1"/>
  <c r="N81" i="6"/>
  <c r="CA81" i="6"/>
  <c r="BZ81" i="6"/>
  <c r="P83" i="6"/>
  <c r="Q83" i="6" s="1"/>
  <c r="T52" i="6"/>
  <c r="V52" i="6" s="1"/>
  <c r="CN54" i="6"/>
  <c r="AN68" i="6"/>
  <c r="AO68" i="6" s="1"/>
  <c r="J70" i="6"/>
  <c r="K71" i="6"/>
  <c r="D74" i="6"/>
  <c r="K74" i="6"/>
  <c r="CD75" i="6"/>
  <c r="CE75" i="6" s="1"/>
  <c r="CG76" i="6"/>
  <c r="AD80" i="6"/>
  <c r="M51" i="6"/>
  <c r="O51" i="6" s="1"/>
  <c r="M55" i="6"/>
  <c r="O55" i="6" s="1"/>
  <c r="P55" i="6" s="1"/>
  <c r="Q55" i="6" s="1"/>
  <c r="CF67" i="6"/>
  <c r="CG67" i="6" s="1"/>
  <c r="AX68" i="6"/>
  <c r="AY68" i="6" s="1"/>
  <c r="K70" i="6"/>
  <c r="D72" i="6"/>
  <c r="K72" i="6"/>
  <c r="D75" i="6"/>
  <c r="L75" i="6"/>
  <c r="CF75" i="6"/>
  <c r="D76" i="6"/>
  <c r="BR76" i="6"/>
  <c r="CF77" i="6"/>
  <c r="D78" i="6"/>
  <c r="BH80" i="6"/>
  <c r="AN80" i="6"/>
  <c r="T80" i="6"/>
  <c r="P81" i="6"/>
  <c r="Q81" i="6" s="1"/>
  <c r="BK81" i="6" s="1"/>
  <c r="CF54" i="6"/>
  <c r="CH54" i="6" s="1"/>
  <c r="CK54" i="6" s="1"/>
  <c r="CL54" i="6" s="1"/>
  <c r="CF50" i="6"/>
  <c r="CH50" i="6" s="1"/>
  <c r="BR52" i="6"/>
  <c r="BS52" i="6" s="1"/>
  <c r="D51" i="6"/>
  <c r="BY52" i="6"/>
  <c r="CA52" i="6" s="1"/>
  <c r="CD52" i="6" s="1"/>
  <c r="CE52" i="6" s="1"/>
  <c r="BR54" i="6"/>
  <c r="BS54" i="6" s="1"/>
  <c r="BY55" i="6"/>
  <c r="BR56" i="6"/>
  <c r="BT56" i="6" s="1"/>
  <c r="BW56" i="6" s="1"/>
  <c r="BX56" i="6" s="1"/>
  <c r="D58" i="6"/>
  <c r="K58" i="6"/>
  <c r="AX59" i="6"/>
  <c r="AZ59" i="6" s="1"/>
  <c r="D73" i="6"/>
  <c r="K73" i="6"/>
  <c r="D77" i="6"/>
  <c r="BR77" i="6"/>
  <c r="D102" i="6"/>
  <c r="CF80" i="6"/>
  <c r="BR80" i="6"/>
  <c r="CM80" i="6"/>
  <c r="BY82" i="6"/>
  <c r="BY83" i="6"/>
  <c r="M84" i="6"/>
  <c r="BR84" i="6"/>
  <c r="CA85" i="6"/>
  <c r="CD85" i="6" s="1"/>
  <c r="CE85" i="6" s="1"/>
  <c r="CO85" i="6"/>
  <c r="M86" i="6"/>
  <c r="AN86" i="6"/>
  <c r="AD81" i="6"/>
  <c r="AX81" i="6"/>
  <c r="BR81" i="6"/>
  <c r="CD81" i="6"/>
  <c r="CE81" i="6" s="1"/>
  <c r="N82" i="6"/>
  <c r="R82" i="6"/>
  <c r="S82" i="6" s="1"/>
  <c r="AD82" i="6"/>
  <c r="AX82" i="6"/>
  <c r="BR82" i="6"/>
  <c r="N83" i="6"/>
  <c r="AD83" i="6"/>
  <c r="AX83" i="6"/>
  <c r="BR83" i="6"/>
  <c r="AN84" i="6"/>
  <c r="AX84" i="6"/>
  <c r="BY84" i="6"/>
  <c r="AX85" i="6"/>
  <c r="AD85" i="6"/>
  <c r="AN85" i="6"/>
  <c r="CR85" i="6"/>
  <c r="CS85" i="6" s="1"/>
  <c r="BH86" i="6"/>
  <c r="CO87" i="6"/>
  <c r="CR87" i="6" s="1"/>
  <c r="CS87" i="6" s="1"/>
  <c r="CN87" i="6"/>
  <c r="CM81" i="6"/>
  <c r="CM82" i="6"/>
  <c r="CM83" i="6"/>
  <c r="CM84" i="6"/>
  <c r="T84" i="6"/>
  <c r="AD84" i="6"/>
  <c r="CF84" i="6"/>
  <c r="CK85" i="6"/>
  <c r="CL85" i="6" s="1"/>
  <c r="CN86" i="6"/>
  <c r="K87" i="6"/>
  <c r="M87" i="6"/>
  <c r="V87" i="6"/>
  <c r="U87" i="6"/>
  <c r="T81" i="6"/>
  <c r="AN81" i="6"/>
  <c r="BH81" i="6"/>
  <c r="CB81" i="6"/>
  <c r="CC81" i="6" s="1"/>
  <c r="CF81" i="6"/>
  <c r="T82" i="6"/>
  <c r="AN82" i="6"/>
  <c r="BH82" i="6"/>
  <c r="CF82" i="6"/>
  <c r="T83" i="6"/>
  <c r="AN83" i="6"/>
  <c r="BH83" i="6"/>
  <c r="CF83" i="6"/>
  <c r="M85" i="6"/>
  <c r="T85" i="6"/>
  <c r="BH85" i="6"/>
  <c r="L86" i="6"/>
  <c r="T86" i="6"/>
  <c r="CB86" i="6"/>
  <c r="CC86" i="6" s="1"/>
  <c r="CR86" i="6"/>
  <c r="CS86" i="6" s="1"/>
  <c r="CH87" i="6"/>
  <c r="CI87" i="6" s="1"/>
  <c r="CJ87" i="6" s="1"/>
  <c r="CG87" i="6"/>
  <c r="M88" i="6"/>
  <c r="AX88" i="6"/>
  <c r="CD88" i="6"/>
  <c r="CE88" i="6" s="1"/>
  <c r="BY89" i="6"/>
  <c r="CF89" i="6"/>
  <c r="CM89" i="6"/>
  <c r="M92" i="6"/>
  <c r="BH92" i="6"/>
  <c r="AN92" i="6"/>
  <c r="T92" i="6"/>
  <c r="AX92" i="6"/>
  <c r="BY93" i="6"/>
  <c r="BR93" i="6"/>
  <c r="CM93" i="6"/>
  <c r="CO94" i="6"/>
  <c r="CR94" i="6" s="1"/>
  <c r="CS94" i="6" s="1"/>
  <c r="CN94" i="6"/>
  <c r="CO95" i="6"/>
  <c r="CP95" i="6" s="1"/>
  <c r="CQ95" i="6" s="1"/>
  <c r="CN95" i="6"/>
  <c r="CK87" i="6"/>
  <c r="CL87" i="6" s="1"/>
  <c r="AD88" i="6"/>
  <c r="BZ88" i="6"/>
  <c r="BR89" i="6"/>
  <c r="M91" i="6"/>
  <c r="BH91" i="6"/>
  <c r="AN91" i="6"/>
  <c r="T91" i="6"/>
  <c r="AX91" i="6"/>
  <c r="BY92" i="6"/>
  <c r="CF92" i="6"/>
  <c r="CM92" i="6"/>
  <c r="CF93" i="6"/>
  <c r="M94" i="6"/>
  <c r="L94" i="6"/>
  <c r="K94" i="6"/>
  <c r="L95" i="6"/>
  <c r="M95" i="6"/>
  <c r="K95" i="6"/>
  <c r="BR85" i="6"/>
  <c r="CP85" i="6"/>
  <c r="CQ85" i="6" s="1"/>
  <c r="AD86" i="6"/>
  <c r="AX86" i="6"/>
  <c r="BR86" i="6"/>
  <c r="BZ86" i="6"/>
  <c r="CD86" i="6"/>
  <c r="CE86" i="6" s="1"/>
  <c r="CP86" i="6"/>
  <c r="CQ86" i="6" s="1"/>
  <c r="AD87" i="6"/>
  <c r="AX87" i="6"/>
  <c r="BR87" i="6"/>
  <c r="BZ87" i="6"/>
  <c r="CD87" i="6"/>
  <c r="CE87" i="6" s="1"/>
  <c r="CP87" i="6"/>
  <c r="CQ87" i="6" s="1"/>
  <c r="BH88" i="6"/>
  <c r="AN88" i="6"/>
  <c r="T88" i="6"/>
  <c r="M90" i="6"/>
  <c r="BH90" i="6"/>
  <c r="AN90" i="6"/>
  <c r="T90" i="6"/>
  <c r="AX90" i="6"/>
  <c r="BY91" i="6"/>
  <c r="CF91" i="6"/>
  <c r="CM91" i="6"/>
  <c r="AD92" i="6"/>
  <c r="BR92" i="6"/>
  <c r="AE93" i="6"/>
  <c r="AZ95" i="6"/>
  <c r="AY95" i="6"/>
  <c r="CI85" i="6"/>
  <c r="CJ85" i="6" s="1"/>
  <c r="CF88" i="6"/>
  <c r="CB88" i="6"/>
  <c r="CC88" i="6" s="1"/>
  <c r="K88" i="6"/>
  <c r="BR88" i="6"/>
  <c r="CM88" i="6"/>
  <c r="M89" i="6"/>
  <c r="BH89" i="6"/>
  <c r="AN89" i="6"/>
  <c r="T89" i="6"/>
  <c r="AX89" i="6"/>
  <c r="D90" i="6"/>
  <c r="BY90" i="6"/>
  <c r="BU90" i="6"/>
  <c r="BV90" i="6" s="1"/>
  <c r="CF90" i="6"/>
  <c r="BW90" i="6"/>
  <c r="BX90" i="6" s="1"/>
  <c r="CM90" i="6"/>
  <c r="AD91" i="6"/>
  <c r="BR91" i="6"/>
  <c r="M93" i="6"/>
  <c r="BH93" i="6"/>
  <c r="AN93" i="6"/>
  <c r="T93" i="6"/>
  <c r="AX93" i="6"/>
  <c r="AZ97" i="6"/>
  <c r="AY97" i="6"/>
  <c r="CF98" i="6"/>
  <c r="CM98" i="6"/>
  <c r="BR98" i="6"/>
  <c r="BY98" i="6"/>
  <c r="AE96" i="6"/>
  <c r="M97" i="6"/>
  <c r="BH97" i="6"/>
  <c r="AN97" i="6"/>
  <c r="T97" i="6"/>
  <c r="AD97" i="6"/>
  <c r="CP94" i="6"/>
  <c r="CQ94" i="6" s="1"/>
  <c r="BR94" i="6"/>
  <c r="BY94" i="6"/>
  <c r="BI94" i="6"/>
  <c r="CF94" i="6"/>
  <c r="BY95" i="6"/>
  <c r="CF95" i="6"/>
  <c r="AD95" i="6"/>
  <c r="M96" i="6"/>
  <c r="BH96" i="6"/>
  <c r="AN96" i="6"/>
  <c r="T96" i="6"/>
  <c r="AX96" i="6"/>
  <c r="BY97" i="6"/>
  <c r="CF97" i="6"/>
  <c r="CM97" i="6"/>
  <c r="AD98" i="6"/>
  <c r="AX98" i="6"/>
  <c r="BT101" i="6"/>
  <c r="BU101" i="6" s="1"/>
  <c r="BV101" i="6" s="1"/>
  <c r="BS101" i="6"/>
  <c r="AD94" i="6"/>
  <c r="AX94" i="6"/>
  <c r="BH95" i="6"/>
  <c r="AN95" i="6"/>
  <c r="T95" i="6"/>
  <c r="D96" i="6"/>
  <c r="BY96" i="6"/>
  <c r="BU96" i="6"/>
  <c r="BV96" i="6" s="1"/>
  <c r="CF96" i="6"/>
  <c r="BW96" i="6"/>
  <c r="BX96" i="6" s="1"/>
  <c r="CM96" i="6"/>
  <c r="BR97" i="6"/>
  <c r="AF99" i="6"/>
  <c r="AE99" i="6"/>
  <c r="BT100" i="6"/>
  <c r="BU100" i="6" s="1"/>
  <c r="BV100" i="6" s="1"/>
  <c r="BS100" i="6"/>
  <c r="AZ101" i="6"/>
  <c r="BH98" i="6"/>
  <c r="AN98" i="6"/>
  <c r="M98" i="6"/>
  <c r="T98" i="6"/>
  <c r="D99" i="6"/>
  <c r="M100" i="6"/>
  <c r="BH100" i="6"/>
  <c r="AN100" i="6"/>
  <c r="T100" i="6"/>
  <c r="AX100" i="6"/>
  <c r="AD100" i="6"/>
  <c r="AX99" i="6"/>
  <c r="M101" i="6"/>
  <c r="BH101" i="6"/>
  <c r="AN101" i="6"/>
  <c r="T101" i="6"/>
  <c r="M99" i="6"/>
  <c r="BH99" i="6"/>
  <c r="AN99" i="6"/>
  <c r="T99" i="6"/>
  <c r="BT99" i="6"/>
  <c r="BW99" i="6" s="1"/>
  <c r="BX99" i="6" s="1"/>
  <c r="BS99" i="6"/>
  <c r="AD101" i="6"/>
  <c r="CM99" i="6"/>
  <c r="K100" i="6"/>
  <c r="BW100" i="6"/>
  <c r="BX100" i="6" s="1"/>
  <c r="CM100" i="6"/>
  <c r="K101" i="6"/>
  <c r="BW101" i="6"/>
  <c r="BX101" i="6" s="1"/>
  <c r="CM101" i="6"/>
  <c r="CF99" i="6"/>
  <c r="CF100" i="6"/>
  <c r="CF101" i="6"/>
  <c r="BY99" i="6"/>
  <c r="BY100" i="6"/>
  <c r="BY101" i="6"/>
  <c r="CO67" i="6"/>
  <c r="CP67" i="6" s="1"/>
  <c r="CQ67" i="6" s="1"/>
  <c r="CN67" i="6"/>
  <c r="CG51" i="6"/>
  <c r="CH51" i="6"/>
  <c r="CK51" i="6" s="1"/>
  <c r="CL51" i="6" s="1"/>
  <c r="BZ56" i="6"/>
  <c r="CA56" i="6"/>
  <c r="CB56" i="6" s="1"/>
  <c r="CC56" i="6" s="1"/>
  <c r="CM56" i="6"/>
  <c r="K57" i="6"/>
  <c r="M66" i="6"/>
  <c r="BU66" i="6"/>
  <c r="BV66" i="6" s="1"/>
  <c r="BY66" i="6"/>
  <c r="M67" i="6"/>
  <c r="AN67" i="6"/>
  <c r="BR67" i="6"/>
  <c r="L68" i="6"/>
  <c r="BR53" i="6"/>
  <c r="BT53" i="6" s="1"/>
  <c r="BT55" i="6"/>
  <c r="BW55" i="6" s="1"/>
  <c r="BX55" i="6" s="1"/>
  <c r="AD66" i="6"/>
  <c r="AX66" i="6"/>
  <c r="BH67" i="6"/>
  <c r="AX67" i="6"/>
  <c r="AD67" i="6"/>
  <c r="BR51" i="6"/>
  <c r="BS51" i="6" s="1"/>
  <c r="BH52" i="6"/>
  <c r="BJ52" i="6" s="1"/>
  <c r="M52" i="6"/>
  <c r="CK52" i="6"/>
  <c r="CL52" i="6" s="1"/>
  <c r="BT54" i="6"/>
  <c r="BU54" i="6" s="1"/>
  <c r="BV54" i="6" s="1"/>
  <c r="L55" i="6"/>
  <c r="BS66" i="6"/>
  <c r="BW66" i="6"/>
  <c r="BX66" i="6" s="1"/>
  <c r="CM66" i="6"/>
  <c r="BY67" i="6"/>
  <c r="K67" i="6"/>
  <c r="CG69" i="6"/>
  <c r="CH69" i="6"/>
  <c r="CK69" i="6" s="1"/>
  <c r="CL69" i="6" s="1"/>
  <c r="BY51" i="6"/>
  <c r="CA51" i="6" s="1"/>
  <c r="CG50" i="6"/>
  <c r="D50" i="6"/>
  <c r="BR50" i="6"/>
  <c r="BS50" i="6" s="1"/>
  <c r="BY54" i="6"/>
  <c r="CF55" i="6"/>
  <c r="D59" i="6"/>
  <c r="T66" i="6"/>
  <c r="AN66" i="6"/>
  <c r="BH66" i="6"/>
  <c r="CF66" i="6"/>
  <c r="T67" i="6"/>
  <c r="BY68" i="6"/>
  <c r="BR68" i="6"/>
  <c r="CM68" i="6"/>
  <c r="AD69" i="6"/>
  <c r="AN69" i="6"/>
  <c r="BY70" i="6"/>
  <c r="BU70" i="6"/>
  <c r="BV70" i="6" s="1"/>
  <c r="CF70" i="6"/>
  <c r="BW70" i="6"/>
  <c r="BX70" i="6" s="1"/>
  <c r="CM70" i="6"/>
  <c r="AD71" i="6"/>
  <c r="BR71" i="6"/>
  <c r="AZ76" i="6"/>
  <c r="BH78" i="6"/>
  <c r="AN78" i="6"/>
  <c r="T78" i="6"/>
  <c r="AX78" i="6"/>
  <c r="AD78" i="6"/>
  <c r="M78" i="6"/>
  <c r="M69" i="6"/>
  <c r="T69" i="6"/>
  <c r="AX72" i="6"/>
  <c r="M72" i="6"/>
  <c r="BH72" i="6"/>
  <c r="AN72" i="6"/>
  <c r="T72" i="6"/>
  <c r="CF73" i="6"/>
  <c r="CM73" i="6"/>
  <c r="BR73" i="6"/>
  <c r="BY73" i="6"/>
  <c r="BY69" i="6"/>
  <c r="BR69" i="6"/>
  <c r="CM69" i="6"/>
  <c r="AE70" i="6"/>
  <c r="BS70" i="6"/>
  <c r="M71" i="6"/>
  <c r="BH71" i="6"/>
  <c r="AN71" i="6"/>
  <c r="T71" i="6"/>
  <c r="AX71" i="6"/>
  <c r="BR72" i="6"/>
  <c r="BY72" i="6"/>
  <c r="CF72" i="6"/>
  <c r="M68" i="6"/>
  <c r="T68" i="6"/>
  <c r="CF68" i="6"/>
  <c r="AX69" i="6"/>
  <c r="BH69" i="6"/>
  <c r="CI69" i="6"/>
  <c r="CJ69" i="6" s="1"/>
  <c r="M70" i="6"/>
  <c r="BH70" i="6"/>
  <c r="AN70" i="6"/>
  <c r="T70" i="6"/>
  <c r="AX70" i="6"/>
  <c r="D71" i="6"/>
  <c r="BY71" i="6"/>
  <c r="CF71" i="6"/>
  <c r="CM71" i="6"/>
  <c r="AD72" i="6"/>
  <c r="CM72" i="6"/>
  <c r="BH77" i="6"/>
  <c r="AN77" i="6"/>
  <c r="T77" i="6"/>
  <c r="AD77" i="6"/>
  <c r="M77" i="6"/>
  <c r="AX77" i="6"/>
  <c r="CA78" i="6"/>
  <c r="BZ78" i="6"/>
  <c r="M73" i="6"/>
  <c r="M74" i="6"/>
  <c r="CB76" i="6"/>
  <c r="CC76" i="6" s="1"/>
  <c r="AD73" i="6"/>
  <c r="AD74" i="6"/>
  <c r="BZ74" i="6"/>
  <c r="CB75" i="6"/>
  <c r="CC75" i="6" s="1"/>
  <c r="BH76" i="6"/>
  <c r="AN76" i="6"/>
  <c r="T76" i="6"/>
  <c r="AD76" i="6"/>
  <c r="M76" i="6"/>
  <c r="CD76" i="6"/>
  <c r="CE76" i="6" s="1"/>
  <c r="BH73" i="6"/>
  <c r="AN73" i="6"/>
  <c r="T73" i="6"/>
  <c r="BH74" i="6"/>
  <c r="AN74" i="6"/>
  <c r="T74" i="6"/>
  <c r="AX75" i="6"/>
  <c r="AN75" i="6"/>
  <c r="M75" i="6"/>
  <c r="BH75" i="6"/>
  <c r="T75" i="6"/>
  <c r="AD75" i="6"/>
  <c r="CD78" i="6"/>
  <c r="CE78" i="6" s="1"/>
  <c r="CM74" i="6"/>
  <c r="BT103" i="6"/>
  <c r="BU103" i="6" s="1"/>
  <c r="BV103" i="6" s="1"/>
  <c r="BS103" i="6"/>
  <c r="CB74" i="6"/>
  <c r="CC74" i="6" s="1"/>
  <c r="CF74" i="6"/>
  <c r="BT75" i="6"/>
  <c r="BU75" i="6" s="1"/>
  <c r="BV75" i="6" s="1"/>
  <c r="BZ75" i="6"/>
  <c r="CO75" i="6"/>
  <c r="CP75" i="6" s="1"/>
  <c r="CQ75" i="6" s="1"/>
  <c r="BT76" i="6"/>
  <c r="BU76" i="6" s="1"/>
  <c r="BV76" i="6" s="1"/>
  <c r="BS76" i="6"/>
  <c r="BZ76" i="6"/>
  <c r="CO76" i="6"/>
  <c r="CP76" i="6" s="1"/>
  <c r="CQ76" i="6" s="1"/>
  <c r="BT77" i="6"/>
  <c r="BU77" i="6" s="1"/>
  <c r="BV77" i="6" s="1"/>
  <c r="BS77" i="6"/>
  <c r="CO77" i="6"/>
  <c r="CR77" i="6" s="1"/>
  <c r="CS77" i="6" s="1"/>
  <c r="BS78" i="6"/>
  <c r="CO78" i="6"/>
  <c r="CP78" i="6" s="1"/>
  <c r="CQ78" i="6" s="1"/>
  <c r="AF79" i="6"/>
  <c r="BT102" i="6"/>
  <c r="BS102" i="6"/>
  <c r="BW78" i="6"/>
  <c r="BX78" i="6" s="1"/>
  <c r="M79" i="6"/>
  <c r="BH79" i="6"/>
  <c r="AN79" i="6"/>
  <c r="T79" i="6"/>
  <c r="AX79" i="6"/>
  <c r="M102" i="6"/>
  <c r="BH102" i="6"/>
  <c r="AN102" i="6"/>
  <c r="T102" i="6"/>
  <c r="AX102" i="6"/>
  <c r="AD102" i="6"/>
  <c r="K76" i="6"/>
  <c r="K77" i="6"/>
  <c r="CF78" i="6"/>
  <c r="CB78" i="6"/>
  <c r="CC78" i="6" s="1"/>
  <c r="K78" i="6"/>
  <c r="BU78" i="6"/>
  <c r="BV78" i="6" s="1"/>
  <c r="M103" i="6"/>
  <c r="BH103" i="6"/>
  <c r="AN103" i="6"/>
  <c r="T103" i="6"/>
  <c r="BT79" i="6"/>
  <c r="BU79" i="6" s="1"/>
  <c r="BV79" i="6" s="1"/>
  <c r="BS79" i="6"/>
  <c r="AD103" i="6"/>
  <c r="K79" i="6"/>
  <c r="CM79" i="6"/>
  <c r="K102" i="6"/>
  <c r="BW102" i="6"/>
  <c r="BX102" i="6" s="1"/>
  <c r="CM102" i="6"/>
  <c r="K103" i="6"/>
  <c r="CM103" i="6"/>
  <c r="CF79" i="6"/>
  <c r="CF102" i="6"/>
  <c r="CF103" i="6"/>
  <c r="BY79" i="6"/>
  <c r="BU102" i="6"/>
  <c r="BV102" i="6" s="1"/>
  <c r="BY102" i="6"/>
  <c r="BY103" i="6"/>
  <c r="CN50" i="6"/>
  <c r="CO50" i="6"/>
  <c r="CP50" i="6" s="1"/>
  <c r="CQ50" i="6" s="1"/>
  <c r="R50" i="6"/>
  <c r="S50" i="6" s="1"/>
  <c r="P50" i="6"/>
  <c r="Q50" i="6" s="1"/>
  <c r="W50" i="6" s="1"/>
  <c r="CK50" i="6"/>
  <c r="CL50" i="6" s="1"/>
  <c r="L50" i="6"/>
  <c r="T50" i="6"/>
  <c r="AN50" i="6"/>
  <c r="BH50" i="6"/>
  <c r="BT50" i="6"/>
  <c r="BU50" i="6" s="1"/>
  <c r="BV50" i="6" s="1"/>
  <c r="L51" i="6"/>
  <c r="P51" i="6"/>
  <c r="Q51" i="6" s="1"/>
  <c r="AQ51" i="6" s="1"/>
  <c r="T51" i="6"/>
  <c r="AN51" i="6"/>
  <c r="BH51" i="6"/>
  <c r="CB51" i="6"/>
  <c r="CC51" i="6" s="1"/>
  <c r="CP52" i="6"/>
  <c r="CQ52" i="6" s="1"/>
  <c r="CR52" i="6"/>
  <c r="CS52" i="6" s="1"/>
  <c r="T54" i="6"/>
  <c r="N50" i="6"/>
  <c r="AD50" i="6"/>
  <c r="AX50" i="6"/>
  <c r="R51" i="6"/>
  <c r="S51" i="6" s="1"/>
  <c r="AD51" i="6"/>
  <c r="AX51" i="6"/>
  <c r="CD51" i="6"/>
  <c r="CE51" i="6" s="1"/>
  <c r="O52" i="6"/>
  <c r="R52" i="6" s="1"/>
  <c r="S52" i="6" s="1"/>
  <c r="N52" i="6"/>
  <c r="CN52" i="6"/>
  <c r="O53" i="6"/>
  <c r="N53" i="6"/>
  <c r="BU53" i="6"/>
  <c r="BV53" i="6" s="1"/>
  <c r="CP54" i="6"/>
  <c r="CQ54" i="6" s="1"/>
  <c r="CR54" i="6"/>
  <c r="CS54" i="6" s="1"/>
  <c r="AD54" i="6"/>
  <c r="CP55" i="6"/>
  <c r="CQ55" i="6" s="1"/>
  <c r="J55" i="6"/>
  <c r="AN55" i="6"/>
  <c r="BH55" i="6"/>
  <c r="T55" i="6"/>
  <c r="K56" i="6"/>
  <c r="M56" i="6"/>
  <c r="L56" i="6"/>
  <c r="CI50" i="6"/>
  <c r="CJ50" i="6" s="1"/>
  <c r="W51" i="6"/>
  <c r="CM51" i="6"/>
  <c r="P52" i="6"/>
  <c r="Q52" i="6" s="1"/>
  <c r="AN52" i="6"/>
  <c r="CG52" i="6"/>
  <c r="CA53" i="6"/>
  <c r="CD53" i="6" s="1"/>
  <c r="CE53" i="6" s="1"/>
  <c r="BZ53" i="6"/>
  <c r="CR55" i="6"/>
  <c r="CS55" i="6" s="1"/>
  <c r="CN56" i="6"/>
  <c r="CO56" i="6"/>
  <c r="CR56" i="6" s="1"/>
  <c r="CS56" i="6" s="1"/>
  <c r="AD52" i="6"/>
  <c r="AX52" i="6"/>
  <c r="AD53" i="6"/>
  <c r="AX53" i="6"/>
  <c r="AX57" i="6"/>
  <c r="BT59" i="6"/>
  <c r="BU59" i="6" s="1"/>
  <c r="BV59" i="6" s="1"/>
  <c r="BS59" i="6"/>
  <c r="CI52" i="6"/>
  <c r="CJ52" i="6" s="1"/>
  <c r="CM53" i="6"/>
  <c r="K53" i="6"/>
  <c r="BW53" i="6"/>
  <c r="BX53" i="6" s="1"/>
  <c r="CF53" i="6"/>
  <c r="L54" i="6"/>
  <c r="BH54" i="6"/>
  <c r="CA54" i="6"/>
  <c r="CB54" i="6" s="1"/>
  <c r="CC54" i="6" s="1"/>
  <c r="BZ54" i="6"/>
  <c r="CN55" i="6"/>
  <c r="T56" i="6"/>
  <c r="BH57" i="6"/>
  <c r="AN57" i="6"/>
  <c r="T57" i="6"/>
  <c r="M57" i="6"/>
  <c r="AD57" i="6"/>
  <c r="M58" i="6"/>
  <c r="BH58" i="6"/>
  <c r="AN58" i="6"/>
  <c r="T58" i="6"/>
  <c r="AX58" i="6"/>
  <c r="AD58" i="6"/>
  <c r="BT58" i="6"/>
  <c r="BW58" i="6" s="1"/>
  <c r="BX58" i="6" s="1"/>
  <c r="BS58" i="6"/>
  <c r="T53" i="6"/>
  <c r="AN53" i="6"/>
  <c r="BH53" i="6"/>
  <c r="M54" i="6"/>
  <c r="AN54" i="6"/>
  <c r="AX54" i="6"/>
  <c r="CA55" i="6"/>
  <c r="CB55" i="6" s="1"/>
  <c r="CC55" i="6" s="1"/>
  <c r="BZ55" i="6"/>
  <c r="AD55" i="6"/>
  <c r="AX55" i="6"/>
  <c r="BH56" i="6"/>
  <c r="AN56" i="6"/>
  <c r="AD56" i="6"/>
  <c r="AX56" i="6"/>
  <c r="BY57" i="6"/>
  <c r="CF57" i="6"/>
  <c r="CM57" i="6"/>
  <c r="BR57" i="6"/>
  <c r="M59" i="6"/>
  <c r="BH59" i="6"/>
  <c r="AN59" i="6"/>
  <c r="T59" i="6"/>
  <c r="CF56" i="6"/>
  <c r="AD59" i="6"/>
  <c r="CM58" i="6"/>
  <c r="K59" i="6"/>
  <c r="CM59" i="6"/>
  <c r="CF58" i="6"/>
  <c r="CF59" i="6"/>
  <c r="BU58" i="6"/>
  <c r="BV58" i="6" s="1"/>
  <c r="BY58" i="6"/>
  <c r="BY59" i="6"/>
  <c r="E8" i="7"/>
  <c r="E11" i="7"/>
  <c r="E10" i="7"/>
  <c r="E12" i="7"/>
  <c r="E9" i="7"/>
  <c r="B13" i="7"/>
  <c r="D13" i="7"/>
  <c r="C13" i="7"/>
  <c r="S2" i="13"/>
  <c r="S9" i="13"/>
  <c r="S14" i="13"/>
  <c r="S17" i="13"/>
  <c r="S21" i="13"/>
  <c r="S22" i="13"/>
  <c r="S32" i="13"/>
  <c r="S33" i="13"/>
  <c r="S34" i="13"/>
  <c r="S35" i="13"/>
  <c r="S45" i="13"/>
  <c r="S47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U200" i="13"/>
  <c r="U199" i="13"/>
  <c r="U198" i="13"/>
  <c r="U197" i="13"/>
  <c r="U196" i="13"/>
  <c r="U195" i="13"/>
  <c r="U194" i="13"/>
  <c r="U193" i="13"/>
  <c r="U192" i="13"/>
  <c r="U191" i="13"/>
  <c r="U190" i="13"/>
  <c r="U189" i="13"/>
  <c r="U188" i="13"/>
  <c r="U187" i="13"/>
  <c r="U186" i="13"/>
  <c r="U185" i="13"/>
  <c r="U184" i="13"/>
  <c r="U183" i="13"/>
  <c r="U182" i="13"/>
  <c r="U181" i="13"/>
  <c r="U180" i="13"/>
  <c r="U179" i="13"/>
  <c r="U178" i="13"/>
  <c r="U177" i="13"/>
  <c r="U176" i="13"/>
  <c r="U175" i="13"/>
  <c r="U174" i="13"/>
  <c r="U173" i="13"/>
  <c r="U172" i="13"/>
  <c r="U171" i="13"/>
  <c r="U170" i="13"/>
  <c r="U169" i="13"/>
  <c r="U168" i="13"/>
  <c r="U167" i="13"/>
  <c r="U166" i="13"/>
  <c r="U165" i="13"/>
  <c r="U164" i="13"/>
  <c r="U163" i="13"/>
  <c r="U162" i="13"/>
  <c r="U161" i="13"/>
  <c r="U160" i="13"/>
  <c r="U159" i="13"/>
  <c r="U158" i="13"/>
  <c r="U157" i="13"/>
  <c r="U156" i="13"/>
  <c r="U155" i="13"/>
  <c r="U154" i="13"/>
  <c r="U153" i="13"/>
  <c r="U152" i="13"/>
  <c r="U151" i="13"/>
  <c r="U150" i="13"/>
  <c r="U149" i="13"/>
  <c r="U148" i="13"/>
  <c r="U147" i="13"/>
  <c r="U146" i="13"/>
  <c r="U145" i="13"/>
  <c r="U144" i="13"/>
  <c r="U143" i="13"/>
  <c r="U142" i="13"/>
  <c r="U141" i="13"/>
  <c r="U140" i="13"/>
  <c r="U139" i="13"/>
  <c r="U138" i="13"/>
  <c r="U137" i="13"/>
  <c r="U136" i="13"/>
  <c r="U135" i="13"/>
  <c r="U134" i="13"/>
  <c r="U133" i="13"/>
  <c r="U132" i="13"/>
  <c r="U131" i="13"/>
  <c r="U130" i="13"/>
  <c r="U129" i="13"/>
  <c r="U128" i="13"/>
  <c r="U127" i="13"/>
  <c r="U126" i="13"/>
  <c r="U125" i="13"/>
  <c r="U124" i="13"/>
  <c r="U123" i="13"/>
  <c r="U122" i="13"/>
  <c r="U121" i="13"/>
  <c r="U120" i="13"/>
  <c r="U119" i="13"/>
  <c r="U118" i="13"/>
  <c r="U117" i="13"/>
  <c r="U116" i="13"/>
  <c r="U115" i="13"/>
  <c r="U114" i="13"/>
  <c r="U113" i="13"/>
  <c r="U112" i="13"/>
  <c r="U111" i="13"/>
  <c r="U110" i="13"/>
  <c r="U109" i="13"/>
  <c r="U108" i="13"/>
  <c r="U107" i="13"/>
  <c r="U106" i="13"/>
  <c r="U105" i="13"/>
  <c r="U104" i="13"/>
  <c r="U103" i="13"/>
  <c r="U102" i="13"/>
  <c r="U101" i="13"/>
  <c r="U100" i="13"/>
  <c r="U99" i="13"/>
  <c r="U98" i="13"/>
  <c r="U97" i="13"/>
  <c r="U96" i="13"/>
  <c r="U95" i="13"/>
  <c r="U94" i="13"/>
  <c r="U93" i="13"/>
  <c r="U92" i="13"/>
  <c r="U91" i="13"/>
  <c r="U90" i="13"/>
  <c r="U89" i="13"/>
  <c r="U88" i="13"/>
  <c r="U87" i="13"/>
  <c r="U86" i="13"/>
  <c r="U85" i="13"/>
  <c r="U84" i="13"/>
  <c r="U83" i="13"/>
  <c r="U82" i="13"/>
  <c r="U81" i="13"/>
  <c r="U80" i="13"/>
  <c r="U79" i="13"/>
  <c r="U78" i="13"/>
  <c r="U77" i="13"/>
  <c r="U76" i="13"/>
  <c r="U75" i="13"/>
  <c r="U74" i="13"/>
  <c r="U73" i="13"/>
  <c r="U72" i="13"/>
  <c r="U71" i="13"/>
  <c r="U70" i="13"/>
  <c r="U69" i="13"/>
  <c r="U68" i="13"/>
  <c r="U67" i="13"/>
  <c r="U66" i="13"/>
  <c r="U65" i="13"/>
  <c r="U64" i="13"/>
  <c r="U63" i="13"/>
  <c r="U62" i="13"/>
  <c r="U61" i="13"/>
  <c r="U60" i="13"/>
  <c r="U59" i="13"/>
  <c r="U58" i="13"/>
  <c r="U57" i="13"/>
  <c r="U56" i="13"/>
  <c r="U55" i="13"/>
  <c r="U54" i="13"/>
  <c r="U53" i="13"/>
  <c r="U52" i="13"/>
  <c r="U51" i="13"/>
  <c r="U50" i="13"/>
  <c r="U47" i="13"/>
  <c r="P47" i="2" s="1"/>
  <c r="U45" i="13"/>
  <c r="P46" i="2" s="1"/>
  <c r="U35" i="13"/>
  <c r="P38" i="2" s="1"/>
  <c r="U34" i="13"/>
  <c r="P40" i="2" s="1"/>
  <c r="U33" i="13"/>
  <c r="P31" i="2" s="1"/>
  <c r="U32" i="13"/>
  <c r="P34" i="2" s="1"/>
  <c r="U22" i="13"/>
  <c r="P23" i="2" s="1"/>
  <c r="U21" i="13"/>
  <c r="P22" i="2" s="1"/>
  <c r="U17" i="13"/>
  <c r="P14" i="2" s="1"/>
  <c r="U14" i="13"/>
  <c r="P15" i="2" s="1"/>
  <c r="U9" i="13"/>
  <c r="P10" i="2" s="1"/>
  <c r="U2" i="13"/>
  <c r="P9" i="2" s="1"/>
  <c r="U6" i="2"/>
  <c r="U7" i="2"/>
  <c r="U8" i="2"/>
  <c r="U4" i="2"/>
  <c r="U3" i="2"/>
  <c r="U5" i="2"/>
  <c r="U10" i="2"/>
  <c r="U11" i="2"/>
  <c r="U12" i="2"/>
  <c r="U13" i="2"/>
  <c r="U18" i="2"/>
  <c r="U15" i="2"/>
  <c r="U16" i="2"/>
  <c r="U17" i="2"/>
  <c r="U14" i="2"/>
  <c r="U19" i="2"/>
  <c r="U20" i="2"/>
  <c r="U21" i="2"/>
  <c r="U22" i="2"/>
  <c r="U23" i="2"/>
  <c r="U24" i="2"/>
  <c r="U25" i="2"/>
  <c r="U26" i="2"/>
  <c r="U27" i="2"/>
  <c r="U28" i="2"/>
  <c r="U29" i="2"/>
  <c r="U33" i="2"/>
  <c r="U30" i="2"/>
  <c r="U32" i="2"/>
  <c r="U34" i="2"/>
  <c r="U31" i="2"/>
  <c r="U40" i="2"/>
  <c r="U38" i="2"/>
  <c r="U39" i="2"/>
  <c r="U41" i="2"/>
  <c r="U42" i="2"/>
  <c r="U36" i="2"/>
  <c r="U37" i="2"/>
  <c r="U35" i="2"/>
  <c r="U43" i="2"/>
  <c r="U44" i="2"/>
  <c r="U45" i="2"/>
  <c r="U46" i="2"/>
  <c r="U48" i="2"/>
  <c r="U47" i="2"/>
  <c r="U49" i="2"/>
  <c r="U50" i="2"/>
  <c r="U9" i="2"/>
  <c r="I111" i="6"/>
  <c r="J111" i="6" s="1"/>
  <c r="I110" i="6"/>
  <c r="J110" i="6" s="1"/>
  <c r="I109" i="6"/>
  <c r="J109" i="6" s="1"/>
  <c r="I108" i="6"/>
  <c r="J108" i="6" s="1"/>
  <c r="I107" i="6"/>
  <c r="J107" i="6" s="1"/>
  <c r="I106" i="6"/>
  <c r="J106" i="6" s="1"/>
  <c r="I105" i="6"/>
  <c r="J105" i="6" s="1"/>
  <c r="I104" i="6"/>
  <c r="J104" i="6" s="1"/>
  <c r="I65" i="6"/>
  <c r="J65" i="6" s="1"/>
  <c r="I64" i="6"/>
  <c r="J64" i="6" s="1"/>
  <c r="I63" i="6"/>
  <c r="J63" i="6" s="1"/>
  <c r="I62" i="6"/>
  <c r="J62" i="6" s="1"/>
  <c r="I61" i="6"/>
  <c r="J61" i="6" s="1"/>
  <c r="I60" i="6"/>
  <c r="J60" i="6" s="1"/>
  <c r="B595" i="11"/>
  <c r="B594" i="11"/>
  <c r="B593" i="11"/>
  <c r="B592" i="11"/>
  <c r="B591" i="11"/>
  <c r="B590" i="11"/>
  <c r="B589" i="11"/>
  <c r="B588" i="11"/>
  <c r="B587" i="11"/>
  <c r="B586" i="11"/>
  <c r="B585" i="11"/>
  <c r="B584" i="11"/>
  <c r="B583" i="11"/>
  <c r="B582" i="11"/>
  <c r="B581" i="11"/>
  <c r="B580" i="11"/>
  <c r="B579" i="11"/>
  <c r="B578" i="11"/>
  <c r="B577" i="11"/>
  <c r="B576" i="11"/>
  <c r="B575" i="11"/>
  <c r="B574" i="11"/>
  <c r="B573" i="11"/>
  <c r="B572" i="11"/>
  <c r="B571" i="11"/>
  <c r="B570" i="11"/>
  <c r="B569" i="11"/>
  <c r="B568" i="11"/>
  <c r="B567" i="11"/>
  <c r="B566" i="11"/>
  <c r="B565" i="11"/>
  <c r="B564" i="11"/>
  <c r="B563" i="11"/>
  <c r="B562" i="11"/>
  <c r="B561" i="11"/>
  <c r="B560" i="11"/>
  <c r="B559" i="11"/>
  <c r="B558" i="11"/>
  <c r="B557" i="11"/>
  <c r="B556" i="11"/>
  <c r="B555" i="11"/>
  <c r="B554" i="11"/>
  <c r="B553" i="11"/>
  <c r="B552" i="11"/>
  <c r="B551" i="11"/>
  <c r="B550" i="11"/>
  <c r="B549" i="11"/>
  <c r="B548" i="11"/>
  <c r="B547" i="11"/>
  <c r="B546" i="11"/>
  <c r="B545" i="11"/>
  <c r="B544" i="11"/>
  <c r="B543" i="11"/>
  <c r="B542" i="11"/>
  <c r="B541" i="11"/>
  <c r="B540" i="11"/>
  <c r="B539" i="11"/>
  <c r="B538" i="11"/>
  <c r="B537" i="11"/>
  <c r="B536" i="11"/>
  <c r="B535" i="11"/>
  <c r="B534" i="11"/>
  <c r="B533" i="11"/>
  <c r="B532" i="11"/>
  <c r="B531" i="11"/>
  <c r="B530" i="11"/>
  <c r="B529" i="11"/>
  <c r="B528" i="11"/>
  <c r="B527" i="11"/>
  <c r="B526" i="11"/>
  <c r="B525" i="11"/>
  <c r="B524" i="11"/>
  <c r="B523" i="11"/>
  <c r="B522" i="11"/>
  <c r="B521" i="11"/>
  <c r="B520" i="11"/>
  <c r="B519" i="11"/>
  <c r="B518" i="11"/>
  <c r="B517" i="11"/>
  <c r="B516" i="11"/>
  <c r="B515" i="11"/>
  <c r="B514" i="11"/>
  <c r="B513" i="11"/>
  <c r="B512" i="11"/>
  <c r="B511" i="11"/>
  <c r="B510" i="11"/>
  <c r="B509" i="11"/>
  <c r="B508" i="11"/>
  <c r="B507" i="11"/>
  <c r="B506" i="11"/>
  <c r="B505" i="11"/>
  <c r="B504" i="11"/>
  <c r="B503" i="11"/>
  <c r="B502" i="11"/>
  <c r="B501" i="11"/>
  <c r="B500" i="11"/>
  <c r="B499" i="11"/>
  <c r="B498" i="11"/>
  <c r="B497" i="11"/>
  <c r="B496" i="11"/>
  <c r="B495" i="11"/>
  <c r="B494" i="11"/>
  <c r="B493" i="11"/>
  <c r="B492" i="11"/>
  <c r="B491" i="11"/>
  <c r="B490" i="11"/>
  <c r="B489" i="11"/>
  <c r="B488" i="11"/>
  <c r="B487" i="11"/>
  <c r="B486" i="11"/>
  <c r="B485" i="11"/>
  <c r="B484" i="11"/>
  <c r="B483" i="11"/>
  <c r="B482" i="11"/>
  <c r="B481" i="11"/>
  <c r="B480" i="11"/>
  <c r="B479" i="11"/>
  <c r="B478" i="11"/>
  <c r="B477" i="11"/>
  <c r="B476" i="11"/>
  <c r="B475" i="11"/>
  <c r="B474" i="11"/>
  <c r="B473" i="11"/>
  <c r="B472" i="11"/>
  <c r="B471" i="11"/>
  <c r="B470" i="11"/>
  <c r="B469" i="11"/>
  <c r="B468" i="11"/>
  <c r="B467" i="11"/>
  <c r="B466" i="11"/>
  <c r="B465" i="11"/>
  <c r="B464" i="11"/>
  <c r="B463" i="11"/>
  <c r="B462" i="11"/>
  <c r="B461" i="11"/>
  <c r="B460" i="11"/>
  <c r="B459" i="11"/>
  <c r="B458" i="11"/>
  <c r="B457" i="11"/>
  <c r="B456" i="11"/>
  <c r="B455" i="11"/>
  <c r="B454" i="11"/>
  <c r="B453" i="11"/>
  <c r="B452" i="11"/>
  <c r="B451" i="11"/>
  <c r="B450" i="11"/>
  <c r="B449" i="11"/>
  <c r="B448" i="11"/>
  <c r="B447" i="11"/>
  <c r="B446" i="11"/>
  <c r="B445" i="11"/>
  <c r="B444" i="11"/>
  <c r="B443" i="11"/>
  <c r="B442" i="11"/>
  <c r="B441" i="11"/>
  <c r="B440" i="11"/>
  <c r="B439" i="11"/>
  <c r="B438" i="11"/>
  <c r="B437" i="11"/>
  <c r="B436" i="11"/>
  <c r="B435" i="11"/>
  <c r="B434" i="11"/>
  <c r="B433" i="11"/>
  <c r="B432" i="11"/>
  <c r="B431" i="11"/>
  <c r="B430" i="11"/>
  <c r="B429" i="11"/>
  <c r="B428" i="11"/>
  <c r="B427" i="11"/>
  <c r="B426" i="11"/>
  <c r="B425" i="11"/>
  <c r="B424" i="11"/>
  <c r="B423" i="11"/>
  <c r="B422" i="11"/>
  <c r="B421" i="11"/>
  <c r="B420" i="11"/>
  <c r="B419" i="11"/>
  <c r="B418" i="11"/>
  <c r="B417" i="11"/>
  <c r="B416" i="11"/>
  <c r="B415" i="11"/>
  <c r="B414" i="11"/>
  <c r="B413" i="11"/>
  <c r="B412" i="11"/>
  <c r="B411" i="11"/>
  <c r="B410" i="11"/>
  <c r="B409" i="11"/>
  <c r="B408" i="11"/>
  <c r="B407" i="11"/>
  <c r="B406" i="11"/>
  <c r="B405" i="11"/>
  <c r="B404" i="11"/>
  <c r="B403" i="11"/>
  <c r="B402" i="11"/>
  <c r="B401" i="11"/>
  <c r="B400" i="11"/>
  <c r="B399" i="11"/>
  <c r="B398" i="11"/>
  <c r="B397" i="11"/>
  <c r="B396" i="11"/>
  <c r="B395" i="11"/>
  <c r="B394" i="11"/>
  <c r="B393" i="11"/>
  <c r="B392" i="11"/>
  <c r="B391" i="11"/>
  <c r="B390" i="11"/>
  <c r="B389" i="11"/>
  <c r="B388" i="11"/>
  <c r="B387" i="11"/>
  <c r="B386" i="11"/>
  <c r="B385" i="11"/>
  <c r="B384" i="11"/>
  <c r="B383" i="11"/>
  <c r="B382" i="11"/>
  <c r="B381" i="11"/>
  <c r="B380" i="11"/>
  <c r="B379" i="11"/>
  <c r="B378" i="11"/>
  <c r="B377" i="11"/>
  <c r="B376" i="11"/>
  <c r="B375" i="11"/>
  <c r="B374" i="11"/>
  <c r="B373" i="11"/>
  <c r="B372" i="11"/>
  <c r="B371" i="11"/>
  <c r="B370" i="11"/>
  <c r="B369" i="11"/>
  <c r="B368" i="11"/>
  <c r="B367" i="11"/>
  <c r="B366" i="11"/>
  <c r="B365" i="11"/>
  <c r="B364" i="11"/>
  <c r="B363" i="11"/>
  <c r="B362" i="11"/>
  <c r="B361" i="11"/>
  <c r="B360" i="11"/>
  <c r="B359" i="11"/>
  <c r="B358" i="11"/>
  <c r="B357" i="11"/>
  <c r="B356" i="11"/>
  <c r="B355" i="11"/>
  <c r="B354" i="11"/>
  <c r="B353" i="11"/>
  <c r="B352" i="11"/>
  <c r="B351" i="11"/>
  <c r="B350" i="11"/>
  <c r="B349" i="11"/>
  <c r="B348" i="11"/>
  <c r="B347" i="11"/>
  <c r="B346" i="11"/>
  <c r="B345" i="11"/>
  <c r="B344" i="11"/>
  <c r="B343" i="11"/>
  <c r="B342" i="11"/>
  <c r="B341" i="11"/>
  <c r="B340" i="11"/>
  <c r="B339" i="11"/>
  <c r="B338" i="11"/>
  <c r="B337" i="11"/>
  <c r="B336" i="11"/>
  <c r="B335" i="11"/>
  <c r="B334" i="11"/>
  <c r="B333" i="11"/>
  <c r="B332" i="11"/>
  <c r="B331" i="11"/>
  <c r="B330" i="11"/>
  <c r="B329" i="11"/>
  <c r="B328" i="11"/>
  <c r="B327" i="11"/>
  <c r="B326" i="11"/>
  <c r="B325" i="11"/>
  <c r="B324" i="11"/>
  <c r="B323" i="11"/>
  <c r="B322" i="11"/>
  <c r="B321" i="11"/>
  <c r="B320" i="11"/>
  <c r="B319" i="11"/>
  <c r="B318" i="11"/>
  <c r="B317" i="11"/>
  <c r="B316" i="11"/>
  <c r="B315" i="11"/>
  <c r="B314" i="11"/>
  <c r="B313" i="11"/>
  <c r="B312" i="11"/>
  <c r="B311" i="11"/>
  <c r="B310" i="11"/>
  <c r="B309" i="11"/>
  <c r="B308" i="11"/>
  <c r="B307" i="11"/>
  <c r="B306" i="11"/>
  <c r="B305" i="11"/>
  <c r="B304" i="11"/>
  <c r="B303" i="11"/>
  <c r="B302" i="11"/>
  <c r="B301" i="11"/>
  <c r="B300" i="11"/>
  <c r="B299" i="11"/>
  <c r="B298" i="11"/>
  <c r="B297" i="11"/>
  <c r="B296" i="11"/>
  <c r="B295" i="11"/>
  <c r="B294" i="11"/>
  <c r="B293" i="11"/>
  <c r="B292" i="11"/>
  <c r="B291" i="11"/>
  <c r="B290" i="11"/>
  <c r="B289" i="11"/>
  <c r="B288" i="11"/>
  <c r="B287" i="11"/>
  <c r="B286" i="11"/>
  <c r="B285" i="11"/>
  <c r="B284" i="11"/>
  <c r="B283" i="11"/>
  <c r="B282" i="11"/>
  <c r="B281" i="11"/>
  <c r="B280" i="11"/>
  <c r="B279" i="11"/>
  <c r="B278" i="11"/>
  <c r="B277" i="11"/>
  <c r="B276" i="11"/>
  <c r="B275" i="11"/>
  <c r="B274" i="11"/>
  <c r="B273" i="11"/>
  <c r="B272" i="11"/>
  <c r="B271" i="11"/>
  <c r="B270" i="11"/>
  <c r="B269" i="11"/>
  <c r="B268" i="11"/>
  <c r="B267" i="11"/>
  <c r="B266" i="11"/>
  <c r="B265" i="11"/>
  <c r="B264" i="11"/>
  <c r="B263" i="11"/>
  <c r="B262" i="11"/>
  <c r="B261" i="11"/>
  <c r="B260" i="11"/>
  <c r="B259" i="11"/>
  <c r="B258" i="11"/>
  <c r="B257" i="11"/>
  <c r="B256" i="11"/>
  <c r="B255" i="11"/>
  <c r="B254" i="11"/>
  <c r="B253" i="11"/>
  <c r="B252" i="11"/>
  <c r="B251" i="11"/>
  <c r="B250" i="11"/>
  <c r="B249" i="11"/>
  <c r="B248" i="11"/>
  <c r="B247" i="11"/>
  <c r="B246" i="11"/>
  <c r="B245" i="11"/>
  <c r="B244" i="11"/>
  <c r="B243" i="11"/>
  <c r="B242" i="11"/>
  <c r="B241" i="11"/>
  <c r="B240" i="11"/>
  <c r="B239" i="11"/>
  <c r="B238" i="11"/>
  <c r="B237" i="11"/>
  <c r="B236" i="11"/>
  <c r="B235" i="11"/>
  <c r="B234" i="11"/>
  <c r="B233" i="11"/>
  <c r="B232" i="11"/>
  <c r="B231" i="11"/>
  <c r="B230" i="11"/>
  <c r="B229" i="11"/>
  <c r="B228" i="11"/>
  <c r="B227" i="11"/>
  <c r="B226" i="11"/>
  <c r="B225" i="11"/>
  <c r="B224" i="11"/>
  <c r="B223" i="11"/>
  <c r="B222" i="11"/>
  <c r="B221" i="11"/>
  <c r="B220" i="11"/>
  <c r="B219" i="11"/>
  <c r="B218" i="11"/>
  <c r="B217" i="11"/>
  <c r="B216" i="11"/>
  <c r="B215" i="11"/>
  <c r="B214" i="11"/>
  <c r="B213" i="11"/>
  <c r="B212" i="11"/>
  <c r="B211" i="11"/>
  <c r="B210" i="11"/>
  <c r="B209" i="11"/>
  <c r="B208" i="11"/>
  <c r="B207" i="11"/>
  <c r="B206" i="11"/>
  <c r="B205" i="11"/>
  <c r="B204" i="11"/>
  <c r="B203" i="11"/>
  <c r="B202" i="11"/>
  <c r="B201" i="11"/>
  <c r="B200" i="11"/>
  <c r="B199" i="11"/>
  <c r="B198" i="11"/>
  <c r="B197" i="11"/>
  <c r="B196" i="11"/>
  <c r="B195" i="11"/>
  <c r="B194" i="11"/>
  <c r="B193" i="11"/>
  <c r="B192" i="11"/>
  <c r="B191" i="11"/>
  <c r="B190" i="11"/>
  <c r="B189" i="11"/>
  <c r="B188" i="11"/>
  <c r="B187" i="11"/>
  <c r="B186" i="11"/>
  <c r="B185" i="11"/>
  <c r="B184" i="11"/>
  <c r="B183" i="11"/>
  <c r="B182" i="11"/>
  <c r="B181" i="11"/>
  <c r="B180" i="11"/>
  <c r="B179" i="11"/>
  <c r="B178" i="11"/>
  <c r="B177" i="11"/>
  <c r="B176" i="11"/>
  <c r="B175" i="11"/>
  <c r="B174" i="11"/>
  <c r="B173" i="11"/>
  <c r="B172" i="11"/>
  <c r="B171" i="11"/>
  <c r="B170" i="11"/>
  <c r="B169" i="11"/>
  <c r="B168" i="11"/>
  <c r="B167" i="11"/>
  <c r="B166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5" i="11"/>
  <c r="B144" i="11"/>
  <c r="B143" i="11"/>
  <c r="B142" i="11"/>
  <c r="B141" i="11"/>
  <c r="B140" i="11"/>
  <c r="B139" i="11"/>
  <c r="B138" i="11"/>
  <c r="B137" i="11"/>
  <c r="B136" i="11"/>
  <c r="B135" i="11"/>
  <c r="B134" i="11"/>
  <c r="B133" i="11"/>
  <c r="B132" i="11"/>
  <c r="B131" i="11"/>
  <c r="B130" i="11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Q49" i="2"/>
  <c r="T49" i="2" s="1"/>
  <c r="Q47" i="2"/>
  <c r="T47" i="2" s="1"/>
  <c r="Q48" i="2"/>
  <c r="T48" i="2" s="1"/>
  <c r="Q46" i="2"/>
  <c r="T46" i="2" s="1"/>
  <c r="Q44" i="2"/>
  <c r="T44" i="2" s="1"/>
  <c r="Q43" i="2"/>
  <c r="T43" i="2" s="1"/>
  <c r="Q35" i="2"/>
  <c r="T35" i="2" s="1"/>
  <c r="Q36" i="2"/>
  <c r="T36" i="2" s="1"/>
  <c r="Q42" i="2"/>
  <c r="T42" i="2" s="1"/>
  <c r="Q39" i="2"/>
  <c r="T39" i="2" s="1"/>
  <c r="Q38" i="2"/>
  <c r="T38" i="2" s="1"/>
  <c r="Q40" i="2"/>
  <c r="T40" i="2" s="1"/>
  <c r="Q31" i="2"/>
  <c r="T31" i="2" s="1"/>
  <c r="Q34" i="2"/>
  <c r="T34" i="2" s="1"/>
  <c r="Q30" i="2"/>
  <c r="T30" i="2" s="1"/>
  <c r="Q29" i="2"/>
  <c r="T29" i="2" s="1"/>
  <c r="Q28" i="2"/>
  <c r="T28" i="2" s="1"/>
  <c r="Q26" i="2"/>
  <c r="T26" i="2" s="1"/>
  <c r="Q25" i="2"/>
  <c r="T25" i="2" s="1"/>
  <c r="Q23" i="2"/>
  <c r="T23" i="2" s="1"/>
  <c r="Q22" i="2"/>
  <c r="T22" i="2" s="1"/>
  <c r="Q21" i="2"/>
  <c r="T21" i="2" s="1"/>
  <c r="Q20" i="2"/>
  <c r="T20" i="2" s="1"/>
  <c r="Q14" i="2"/>
  <c r="T14" i="2" s="1"/>
  <c r="Q17" i="2"/>
  <c r="T17" i="2" s="1"/>
  <c r="Q16" i="2"/>
  <c r="T16" i="2" s="1"/>
  <c r="Q15" i="2"/>
  <c r="T15" i="2" s="1"/>
  <c r="Q13" i="2"/>
  <c r="T13" i="2" s="1"/>
  <c r="Q12" i="2"/>
  <c r="T12" i="2" s="1"/>
  <c r="Q10" i="2"/>
  <c r="T10" i="2" s="1"/>
  <c r="Q5" i="2"/>
  <c r="T5" i="2" s="1"/>
  <c r="Q3" i="2"/>
  <c r="T3" i="2" s="1"/>
  <c r="Q8" i="2"/>
  <c r="T8" i="2" s="1"/>
  <c r="Q7" i="2"/>
  <c r="T7" i="2" s="1"/>
  <c r="Z49" i="13"/>
  <c r="Y49" i="13"/>
  <c r="W49" i="13"/>
  <c r="V49" i="13"/>
  <c r="Z48" i="13"/>
  <c r="Y48" i="13"/>
  <c r="W48" i="13"/>
  <c r="V48" i="13"/>
  <c r="Z47" i="13"/>
  <c r="Y47" i="13"/>
  <c r="W47" i="13"/>
  <c r="V47" i="13"/>
  <c r="Z46" i="13"/>
  <c r="Y46" i="13"/>
  <c r="W46" i="13"/>
  <c r="V46" i="13"/>
  <c r="Z45" i="13"/>
  <c r="Y45" i="13"/>
  <c r="W45" i="13"/>
  <c r="V45" i="13"/>
  <c r="Z44" i="13"/>
  <c r="Y44" i="13"/>
  <c r="W44" i="13"/>
  <c r="V44" i="13"/>
  <c r="Z43" i="13"/>
  <c r="Y43" i="13"/>
  <c r="W43" i="13"/>
  <c r="V43" i="13"/>
  <c r="Z42" i="13"/>
  <c r="Y42" i="13"/>
  <c r="W42" i="13"/>
  <c r="V42" i="13"/>
  <c r="Z41" i="13"/>
  <c r="Y41" i="13"/>
  <c r="W41" i="13"/>
  <c r="V41" i="13"/>
  <c r="Z40" i="13"/>
  <c r="Y40" i="13"/>
  <c r="W40" i="13"/>
  <c r="V40" i="13"/>
  <c r="Z39" i="13"/>
  <c r="Y39" i="13"/>
  <c r="W39" i="13"/>
  <c r="V39" i="13"/>
  <c r="Z38" i="13"/>
  <c r="Y38" i="13"/>
  <c r="W38" i="13"/>
  <c r="V38" i="13"/>
  <c r="Z37" i="13"/>
  <c r="Y37" i="13"/>
  <c r="W37" i="13"/>
  <c r="V37" i="13"/>
  <c r="Z36" i="13"/>
  <c r="Y36" i="13"/>
  <c r="W36" i="13"/>
  <c r="V36" i="13"/>
  <c r="Z35" i="13"/>
  <c r="Y35" i="13"/>
  <c r="W35" i="13"/>
  <c r="V35" i="13"/>
  <c r="Z34" i="13"/>
  <c r="Y34" i="13"/>
  <c r="W34" i="13"/>
  <c r="V34" i="13"/>
  <c r="Z33" i="13"/>
  <c r="Y33" i="13"/>
  <c r="W33" i="13"/>
  <c r="V33" i="13"/>
  <c r="Z32" i="13"/>
  <c r="Y32" i="13"/>
  <c r="W32" i="13"/>
  <c r="V32" i="13"/>
  <c r="Z31" i="13"/>
  <c r="Y31" i="13"/>
  <c r="W31" i="13"/>
  <c r="V31" i="13"/>
  <c r="Z30" i="13"/>
  <c r="Y30" i="13"/>
  <c r="W30" i="13"/>
  <c r="V30" i="13"/>
  <c r="Z29" i="13"/>
  <c r="Y29" i="13"/>
  <c r="W29" i="13"/>
  <c r="V29" i="13"/>
  <c r="Z28" i="13"/>
  <c r="Y28" i="13"/>
  <c r="W28" i="13"/>
  <c r="V28" i="13"/>
  <c r="Z27" i="13"/>
  <c r="Y27" i="13"/>
  <c r="W27" i="13"/>
  <c r="V27" i="13"/>
  <c r="Z26" i="13"/>
  <c r="Y26" i="13"/>
  <c r="W26" i="13"/>
  <c r="V26" i="13"/>
  <c r="W22" i="13"/>
  <c r="V22" i="13"/>
  <c r="W21" i="13"/>
  <c r="V21" i="13"/>
  <c r="W20" i="13"/>
  <c r="V20" i="13"/>
  <c r="Z19" i="13"/>
  <c r="Y19" i="13"/>
  <c r="Z18" i="13"/>
  <c r="Y18" i="13"/>
  <c r="Z17" i="13"/>
  <c r="Y17" i="13"/>
  <c r="W17" i="13"/>
  <c r="V17" i="13"/>
  <c r="Z16" i="13"/>
  <c r="Y16" i="13"/>
  <c r="W16" i="13"/>
  <c r="V16" i="13"/>
  <c r="Z15" i="13"/>
  <c r="Y15" i="13"/>
  <c r="W15" i="13"/>
  <c r="V15" i="13"/>
  <c r="Z14" i="13"/>
  <c r="Y14" i="13"/>
  <c r="W14" i="13"/>
  <c r="V14" i="13"/>
  <c r="Z13" i="13"/>
  <c r="Y13" i="13"/>
  <c r="W13" i="13"/>
  <c r="V13" i="13"/>
  <c r="Z12" i="13"/>
  <c r="Y12" i="13"/>
  <c r="W12" i="13"/>
  <c r="V12" i="13"/>
  <c r="Z11" i="13"/>
  <c r="Y11" i="13"/>
  <c r="W11" i="13"/>
  <c r="V11" i="13"/>
  <c r="Z10" i="13"/>
  <c r="Y10" i="13"/>
  <c r="W10" i="13"/>
  <c r="V10" i="13"/>
  <c r="Z9" i="13"/>
  <c r="Y9" i="13"/>
  <c r="W9" i="13"/>
  <c r="V9" i="13"/>
  <c r="Z8" i="13"/>
  <c r="Y8" i="13"/>
  <c r="W8" i="13"/>
  <c r="V8" i="13"/>
  <c r="Z7" i="13"/>
  <c r="Y7" i="13"/>
  <c r="W7" i="13"/>
  <c r="V7" i="13"/>
  <c r="Z6" i="13"/>
  <c r="Y6" i="13"/>
  <c r="W6" i="13"/>
  <c r="V6" i="13"/>
  <c r="Z5" i="13"/>
  <c r="Y5" i="13"/>
  <c r="W5" i="13"/>
  <c r="V5" i="13"/>
  <c r="Z4" i="13"/>
  <c r="Y4" i="13"/>
  <c r="W4" i="13"/>
  <c r="V4" i="13"/>
  <c r="Z3" i="13"/>
  <c r="Y3" i="13"/>
  <c r="W3" i="13"/>
  <c r="V3" i="13"/>
  <c r="Y2" i="13"/>
  <c r="V2" i="13"/>
  <c r="Z2" i="13"/>
  <c r="W2" i="13"/>
  <c r="B2" i="11"/>
  <c r="AZ68" i="6" l="1"/>
  <c r="AO94" i="6"/>
  <c r="AE90" i="6"/>
  <c r="AY59" i="6"/>
  <c r="BI84" i="6"/>
  <c r="AY103" i="6"/>
  <c r="AY74" i="6"/>
  <c r="AY73" i="6"/>
  <c r="AP68" i="6"/>
  <c r="AE89" i="6"/>
  <c r="BW54" i="6"/>
  <c r="BX54" i="6" s="1"/>
  <c r="CD56" i="6"/>
  <c r="CE56" i="6" s="1"/>
  <c r="BW79" i="6"/>
  <c r="BX79" i="6" s="1"/>
  <c r="CB85" i="6"/>
  <c r="CC85" i="6" s="1"/>
  <c r="BU55" i="6"/>
  <c r="BV55" i="6" s="1"/>
  <c r="CR78" i="6"/>
  <c r="CS78" i="6" s="1"/>
  <c r="BW75" i="6"/>
  <c r="BX75" i="6" s="1"/>
  <c r="BJ68" i="6"/>
  <c r="AF68" i="6"/>
  <c r="BT52" i="6"/>
  <c r="BU52" i="6" s="1"/>
  <c r="BV52" i="6" s="1"/>
  <c r="AP87" i="6"/>
  <c r="BK83" i="6"/>
  <c r="BM83" i="6" s="1"/>
  <c r="BI87" i="6"/>
  <c r="CH67" i="6"/>
  <c r="CI67" i="6" s="1"/>
  <c r="CJ67" i="6" s="1"/>
  <c r="BI52" i="6"/>
  <c r="CD50" i="6"/>
  <c r="CE50" i="6" s="1"/>
  <c r="BW103" i="6"/>
  <c r="BX103" i="6" s="1"/>
  <c r="BW77" i="6"/>
  <c r="BX77" i="6" s="1"/>
  <c r="BT74" i="6"/>
  <c r="BU74" i="6" s="1"/>
  <c r="BV74" i="6" s="1"/>
  <c r="CH86" i="6"/>
  <c r="CK86" i="6" s="1"/>
  <c r="CL86" i="6" s="1"/>
  <c r="CP56" i="6"/>
  <c r="CQ56" i="6" s="1"/>
  <c r="BK50" i="6"/>
  <c r="BW76" i="6"/>
  <c r="BX76" i="6" s="1"/>
  <c r="W82" i="6"/>
  <c r="X82" i="6" s="1"/>
  <c r="W83" i="6"/>
  <c r="BW74" i="6"/>
  <c r="BX74" i="6" s="1"/>
  <c r="N55" i="6"/>
  <c r="BZ52" i="6"/>
  <c r="BZ77" i="6"/>
  <c r="CR95" i="6"/>
  <c r="CS95" i="6" s="1"/>
  <c r="CI54" i="6"/>
  <c r="CJ54" i="6" s="1"/>
  <c r="BS56" i="6"/>
  <c r="BS53" i="6"/>
  <c r="BW52" i="6"/>
  <c r="BX52" i="6" s="1"/>
  <c r="CI51" i="6"/>
  <c r="CJ51" i="6" s="1"/>
  <c r="U52" i="6"/>
  <c r="BZ51" i="6"/>
  <c r="N51" i="6"/>
  <c r="CI76" i="6"/>
  <c r="CJ76" i="6" s="1"/>
  <c r="U94" i="6"/>
  <c r="AQ83" i="6"/>
  <c r="AR83" i="6" s="1"/>
  <c r="AQ82" i="6"/>
  <c r="AQ81" i="6"/>
  <c r="AS81" i="6" s="1"/>
  <c r="AG83" i="6"/>
  <c r="BT95" i="6"/>
  <c r="BS95" i="6"/>
  <c r="BW59" i="6"/>
  <c r="BX59" i="6" s="1"/>
  <c r="BT51" i="6"/>
  <c r="BK82" i="6"/>
  <c r="BM82" i="6" s="1"/>
  <c r="CG54" i="6"/>
  <c r="AQ50" i="6"/>
  <c r="AS50" i="6" s="1"/>
  <c r="BZ50" i="6"/>
  <c r="CB77" i="6"/>
  <c r="CC77" i="6" s="1"/>
  <c r="W81" i="6"/>
  <c r="AG82" i="6"/>
  <c r="AH82" i="6" s="1"/>
  <c r="AI83" i="6"/>
  <c r="AH83" i="6"/>
  <c r="CR67" i="6"/>
  <c r="CS67" i="6" s="1"/>
  <c r="BU99" i="6"/>
  <c r="BV99" i="6" s="1"/>
  <c r="CG99" i="6"/>
  <c r="CH99" i="6"/>
  <c r="BI99" i="6"/>
  <c r="BJ99" i="6"/>
  <c r="BI101" i="6"/>
  <c r="BJ101" i="6"/>
  <c r="BI100" i="6"/>
  <c r="BJ100" i="6"/>
  <c r="AP98" i="6"/>
  <c r="AO98" i="6"/>
  <c r="CO96" i="6"/>
  <c r="CN96" i="6"/>
  <c r="CG96" i="6"/>
  <c r="CH96" i="6"/>
  <c r="BJ95" i="6"/>
  <c r="BI95" i="6"/>
  <c r="CO97" i="6"/>
  <c r="CN97" i="6"/>
  <c r="AO96" i="6"/>
  <c r="AP96" i="6"/>
  <c r="CA95" i="6"/>
  <c r="BZ95" i="6"/>
  <c r="BZ94" i="6"/>
  <c r="CA94" i="6"/>
  <c r="AF97" i="6"/>
  <c r="AE97" i="6"/>
  <c r="AO93" i="6"/>
  <c r="AP93" i="6"/>
  <c r="AF91" i="6"/>
  <c r="AE91" i="6"/>
  <c r="CA90" i="6"/>
  <c r="BZ90" i="6"/>
  <c r="AO89" i="6"/>
  <c r="AP89" i="6"/>
  <c r="CN88" i="6"/>
  <c r="CO88" i="6"/>
  <c r="CH88" i="6"/>
  <c r="CG88" i="6"/>
  <c r="BT92" i="6"/>
  <c r="BS92" i="6"/>
  <c r="CO91" i="6"/>
  <c r="CN91" i="6"/>
  <c r="CG91" i="6"/>
  <c r="CH91" i="6"/>
  <c r="BI90" i="6"/>
  <c r="BJ90" i="6"/>
  <c r="V88" i="6"/>
  <c r="U88" i="6"/>
  <c r="AE86" i="6"/>
  <c r="AF86" i="6"/>
  <c r="BS85" i="6"/>
  <c r="BT85" i="6"/>
  <c r="CO92" i="6"/>
  <c r="CN92" i="6"/>
  <c r="CG92" i="6"/>
  <c r="CH92" i="6"/>
  <c r="BI91" i="6"/>
  <c r="BJ91" i="6"/>
  <c r="BT93" i="6"/>
  <c r="BS93" i="6"/>
  <c r="AO92" i="6"/>
  <c r="AP92" i="6"/>
  <c r="CA89" i="6"/>
  <c r="BZ89" i="6"/>
  <c r="AZ88" i="6"/>
  <c r="AY88" i="6"/>
  <c r="V85" i="6"/>
  <c r="U85" i="6"/>
  <c r="CH83" i="6"/>
  <c r="CG83" i="6"/>
  <c r="V83" i="6"/>
  <c r="U83" i="6"/>
  <c r="BJ81" i="6"/>
  <c r="BI81" i="6"/>
  <c r="U84" i="6"/>
  <c r="V84" i="6"/>
  <c r="CN83" i="6"/>
  <c r="CO83" i="6"/>
  <c r="AS83" i="6"/>
  <c r="CN81" i="6"/>
  <c r="CO81" i="6"/>
  <c r="AR81" i="6"/>
  <c r="BJ86" i="6"/>
  <c r="BI86" i="6"/>
  <c r="AE85" i="6"/>
  <c r="AF85" i="6"/>
  <c r="AY84" i="6"/>
  <c r="AZ84" i="6"/>
  <c r="BT83" i="6"/>
  <c r="BS83" i="6"/>
  <c r="BT82" i="6"/>
  <c r="BS82" i="6"/>
  <c r="BT81" i="6"/>
  <c r="BS81" i="6"/>
  <c r="AP86" i="6"/>
  <c r="AO86" i="6"/>
  <c r="CA83" i="6"/>
  <c r="BZ83" i="6"/>
  <c r="BJ80" i="6"/>
  <c r="BI80" i="6"/>
  <c r="BA82" i="6"/>
  <c r="AF80" i="6"/>
  <c r="AE80" i="6"/>
  <c r="CA80" i="6"/>
  <c r="BZ80" i="6"/>
  <c r="O80" i="6"/>
  <c r="N80" i="6"/>
  <c r="CA100" i="6"/>
  <c r="BZ100" i="6"/>
  <c r="CG100" i="6"/>
  <c r="CH100" i="6"/>
  <c r="AO99" i="6"/>
  <c r="AP99" i="6"/>
  <c r="AO101" i="6"/>
  <c r="AP101" i="6"/>
  <c r="AZ100" i="6"/>
  <c r="AY100" i="6"/>
  <c r="AO100" i="6"/>
  <c r="AP100" i="6"/>
  <c r="AP95" i="6"/>
  <c r="AO95" i="6"/>
  <c r="U96" i="6"/>
  <c r="V96" i="6"/>
  <c r="O96" i="6"/>
  <c r="N96" i="6"/>
  <c r="AF95" i="6"/>
  <c r="AE95" i="6"/>
  <c r="BI97" i="6"/>
  <c r="BJ97" i="6"/>
  <c r="BT98" i="6"/>
  <c r="BS98" i="6"/>
  <c r="CH98" i="6"/>
  <c r="CG98" i="6"/>
  <c r="U93" i="6"/>
  <c r="V93" i="6"/>
  <c r="O93" i="6"/>
  <c r="N93" i="6"/>
  <c r="BT91" i="6"/>
  <c r="BS91" i="6"/>
  <c r="CO90" i="6"/>
  <c r="CN90" i="6"/>
  <c r="CG90" i="6"/>
  <c r="CH90" i="6"/>
  <c r="U89" i="6"/>
  <c r="V89" i="6"/>
  <c r="O89" i="6"/>
  <c r="N89" i="6"/>
  <c r="AO90" i="6"/>
  <c r="AP90" i="6"/>
  <c r="AE87" i="6"/>
  <c r="AF87" i="6"/>
  <c r="AY86" i="6"/>
  <c r="AZ86" i="6"/>
  <c r="AO91" i="6"/>
  <c r="AP91" i="6"/>
  <c r="AF88" i="6"/>
  <c r="AE88" i="6"/>
  <c r="U92" i="6"/>
  <c r="V92" i="6"/>
  <c r="O92" i="6"/>
  <c r="N92" i="6"/>
  <c r="CG89" i="6"/>
  <c r="CH89" i="6"/>
  <c r="V86" i="6"/>
  <c r="U86" i="6"/>
  <c r="BJ85" i="6"/>
  <c r="BI85" i="6"/>
  <c r="O85" i="6"/>
  <c r="N85" i="6"/>
  <c r="AP83" i="6"/>
  <c r="AO83" i="6"/>
  <c r="CH82" i="6"/>
  <c r="CG82" i="6"/>
  <c r="V82" i="6"/>
  <c r="U82" i="6"/>
  <c r="X83" i="6"/>
  <c r="Y83" i="6"/>
  <c r="BL82" i="6"/>
  <c r="X81" i="6"/>
  <c r="Y81" i="6"/>
  <c r="AP85" i="6"/>
  <c r="AO85" i="6"/>
  <c r="CA84" i="6"/>
  <c r="BZ84" i="6"/>
  <c r="AP84" i="6"/>
  <c r="AO84" i="6"/>
  <c r="O86" i="6"/>
  <c r="N86" i="6"/>
  <c r="CA82" i="6"/>
  <c r="BZ82" i="6"/>
  <c r="BT80" i="6"/>
  <c r="BS80" i="6"/>
  <c r="AP80" i="6"/>
  <c r="AO80" i="6"/>
  <c r="CR50" i="6"/>
  <c r="CS50" i="6" s="1"/>
  <c r="CG101" i="6"/>
  <c r="CH101" i="6"/>
  <c r="CO101" i="6"/>
  <c r="CN101" i="6"/>
  <c r="CO100" i="6"/>
  <c r="CN100" i="6"/>
  <c r="CO99" i="6"/>
  <c r="CN99" i="6"/>
  <c r="AF101" i="6"/>
  <c r="AE101" i="6"/>
  <c r="U99" i="6"/>
  <c r="V99" i="6"/>
  <c r="O99" i="6"/>
  <c r="N99" i="6"/>
  <c r="U101" i="6"/>
  <c r="V101" i="6"/>
  <c r="O101" i="6"/>
  <c r="N101" i="6"/>
  <c r="AF100" i="6"/>
  <c r="AE100" i="6"/>
  <c r="U100" i="6"/>
  <c r="V100" i="6"/>
  <c r="O100" i="6"/>
  <c r="N100" i="6"/>
  <c r="U98" i="6"/>
  <c r="V98" i="6"/>
  <c r="U95" i="6"/>
  <c r="V95" i="6"/>
  <c r="AF94" i="6"/>
  <c r="AE94" i="6"/>
  <c r="AZ98" i="6"/>
  <c r="AY98" i="6"/>
  <c r="BZ97" i="6"/>
  <c r="CA97" i="6"/>
  <c r="AZ96" i="6"/>
  <c r="AY96" i="6"/>
  <c r="CG95" i="6"/>
  <c r="CH95" i="6"/>
  <c r="CH94" i="6"/>
  <c r="CG94" i="6"/>
  <c r="BS94" i="6"/>
  <c r="BT94" i="6"/>
  <c r="AO97" i="6"/>
  <c r="AP97" i="6"/>
  <c r="AZ93" i="6"/>
  <c r="AY93" i="6"/>
  <c r="AZ89" i="6"/>
  <c r="AY89" i="6"/>
  <c r="BT88" i="6"/>
  <c r="BS88" i="6"/>
  <c r="U90" i="6"/>
  <c r="V90" i="6"/>
  <c r="O90" i="6"/>
  <c r="N90" i="6"/>
  <c r="BJ88" i="6"/>
  <c r="BI88" i="6"/>
  <c r="AY87" i="6"/>
  <c r="AZ87" i="6"/>
  <c r="BS86" i="6"/>
  <c r="BT86" i="6"/>
  <c r="O95" i="6"/>
  <c r="N95" i="6"/>
  <c r="N94" i="6"/>
  <c r="O94" i="6"/>
  <c r="U91" i="6"/>
  <c r="V91" i="6"/>
  <c r="N91" i="6"/>
  <c r="O91" i="6"/>
  <c r="CO93" i="6"/>
  <c r="CN93" i="6"/>
  <c r="BZ93" i="6"/>
  <c r="CA93" i="6"/>
  <c r="AZ92" i="6"/>
  <c r="AY92" i="6"/>
  <c r="CO89" i="6"/>
  <c r="CN89" i="6"/>
  <c r="O88" i="6"/>
  <c r="N88" i="6"/>
  <c r="BJ83" i="6"/>
  <c r="BI83" i="6"/>
  <c r="AP82" i="6"/>
  <c r="AO82" i="6"/>
  <c r="CH81" i="6"/>
  <c r="CG81" i="6"/>
  <c r="V81" i="6"/>
  <c r="U81" i="6"/>
  <c r="CG84" i="6"/>
  <c r="CH84" i="6"/>
  <c r="CN82" i="6"/>
  <c r="CO82" i="6"/>
  <c r="AR82" i="6"/>
  <c r="AS82" i="6"/>
  <c r="AF83" i="6"/>
  <c r="AE83" i="6"/>
  <c r="AF82" i="6"/>
  <c r="AE82" i="6"/>
  <c r="AF81" i="6"/>
  <c r="AE81" i="6"/>
  <c r="BS84" i="6"/>
  <c r="BT84" i="6"/>
  <c r="O84" i="6"/>
  <c r="N84" i="6"/>
  <c r="BA83" i="6"/>
  <c r="CH80" i="6"/>
  <c r="CG80" i="6"/>
  <c r="V80" i="6"/>
  <c r="U80" i="6"/>
  <c r="CG75" i="6"/>
  <c r="CH75" i="6"/>
  <c r="AZ80" i="6"/>
  <c r="AY80" i="6"/>
  <c r="BU56" i="6"/>
  <c r="BV56" i="6" s="1"/>
  <c r="CB53" i="6"/>
  <c r="CC53" i="6" s="1"/>
  <c r="CA101" i="6"/>
  <c r="BZ101" i="6"/>
  <c r="CA99" i="6"/>
  <c r="BZ99" i="6"/>
  <c r="AZ99" i="6"/>
  <c r="AY99" i="6"/>
  <c r="O98" i="6"/>
  <c r="N98" i="6"/>
  <c r="BJ98" i="6"/>
  <c r="BI98" i="6"/>
  <c r="BT97" i="6"/>
  <c r="BS97" i="6"/>
  <c r="CA96" i="6"/>
  <c r="BZ96" i="6"/>
  <c r="AZ94" i="6"/>
  <c r="AY94" i="6"/>
  <c r="AF98" i="6"/>
  <c r="AE98" i="6"/>
  <c r="CG97" i="6"/>
  <c r="CH97" i="6"/>
  <c r="BI96" i="6"/>
  <c r="BJ96" i="6"/>
  <c r="U97" i="6"/>
  <c r="V97" i="6"/>
  <c r="N97" i="6"/>
  <c r="O97" i="6"/>
  <c r="CA98" i="6"/>
  <c r="BZ98" i="6"/>
  <c r="CN98" i="6"/>
  <c r="CO98" i="6"/>
  <c r="BI93" i="6"/>
  <c r="BJ93" i="6"/>
  <c r="BI89" i="6"/>
  <c r="BJ89" i="6"/>
  <c r="AF92" i="6"/>
  <c r="AE92" i="6"/>
  <c r="BZ91" i="6"/>
  <c r="CA91" i="6"/>
  <c r="AZ90" i="6"/>
  <c r="AY90" i="6"/>
  <c r="AP88" i="6"/>
  <c r="AO88" i="6"/>
  <c r="BS87" i="6"/>
  <c r="BT87" i="6"/>
  <c r="CG93" i="6"/>
  <c r="CH93" i="6"/>
  <c r="CA92" i="6"/>
  <c r="BZ92" i="6"/>
  <c r="AZ91" i="6"/>
  <c r="AY91" i="6"/>
  <c r="BT89" i="6"/>
  <c r="BS89" i="6"/>
  <c r="BI92" i="6"/>
  <c r="BJ92" i="6"/>
  <c r="BJ82" i="6"/>
  <c r="BI82" i="6"/>
  <c r="AP81" i="6"/>
  <c r="AO81" i="6"/>
  <c r="O87" i="6"/>
  <c r="N87" i="6"/>
  <c r="AE84" i="6"/>
  <c r="AF84" i="6"/>
  <c r="CO84" i="6"/>
  <c r="CN84" i="6"/>
  <c r="BL83" i="6"/>
  <c r="BL81" i="6"/>
  <c r="BM81" i="6"/>
  <c r="AY85" i="6"/>
  <c r="AZ85" i="6"/>
  <c r="AZ83" i="6"/>
  <c r="AY83" i="6"/>
  <c r="AZ82" i="6"/>
  <c r="AY82" i="6"/>
  <c r="AZ81" i="6"/>
  <c r="AY81" i="6"/>
  <c r="CN80" i="6"/>
  <c r="CO80" i="6"/>
  <c r="CG77" i="6"/>
  <c r="CH77" i="6"/>
  <c r="BA81" i="6"/>
  <c r="AG81" i="6"/>
  <c r="CG103" i="6"/>
  <c r="CH103" i="6"/>
  <c r="CO103" i="6"/>
  <c r="CN103" i="6"/>
  <c r="CO102" i="6"/>
  <c r="CN102" i="6"/>
  <c r="CO79" i="6"/>
  <c r="CN79" i="6"/>
  <c r="CG78" i="6"/>
  <c r="CH78" i="6"/>
  <c r="BI102" i="6"/>
  <c r="BJ102" i="6"/>
  <c r="U79" i="6"/>
  <c r="V79" i="6"/>
  <c r="O79" i="6"/>
  <c r="N79" i="6"/>
  <c r="V75" i="6"/>
  <c r="U75" i="6"/>
  <c r="BI75" i="6"/>
  <c r="BJ75" i="6"/>
  <c r="AO74" i="6"/>
  <c r="AP74" i="6"/>
  <c r="AO73" i="6"/>
  <c r="AP73" i="6"/>
  <c r="CR75" i="6"/>
  <c r="CS75" i="6" s="1"/>
  <c r="O73" i="6"/>
  <c r="N73" i="6"/>
  <c r="AZ77" i="6"/>
  <c r="AY77" i="6"/>
  <c r="O77" i="6"/>
  <c r="N77" i="6"/>
  <c r="AO77" i="6"/>
  <c r="AP77" i="6"/>
  <c r="CO71" i="6"/>
  <c r="CN71" i="6"/>
  <c r="CG71" i="6"/>
  <c r="CH71" i="6"/>
  <c r="U70" i="6"/>
  <c r="V70" i="6"/>
  <c r="O70" i="6"/>
  <c r="N70" i="6"/>
  <c r="BT72" i="6"/>
  <c r="BS72" i="6"/>
  <c r="U71" i="6"/>
  <c r="V71" i="6"/>
  <c r="O71" i="6"/>
  <c r="N71" i="6"/>
  <c r="CO69" i="6"/>
  <c r="CN69" i="6"/>
  <c r="CN73" i="6"/>
  <c r="CO73" i="6"/>
  <c r="BJ72" i="6"/>
  <c r="BI72" i="6"/>
  <c r="AZ78" i="6"/>
  <c r="AY78" i="6"/>
  <c r="CA70" i="6"/>
  <c r="BZ70" i="6"/>
  <c r="AO69" i="6"/>
  <c r="AP69" i="6"/>
  <c r="CH66" i="6"/>
  <c r="CG66" i="6"/>
  <c r="V66" i="6"/>
  <c r="U66" i="6"/>
  <c r="CK67" i="6"/>
  <c r="CL67" i="6" s="1"/>
  <c r="AF67" i="6"/>
  <c r="AE67" i="6"/>
  <c r="O67" i="6"/>
  <c r="N67" i="6"/>
  <c r="BW50" i="6"/>
  <c r="BX50" i="6" s="1"/>
  <c r="BK51" i="6"/>
  <c r="CA103" i="6"/>
  <c r="BZ103" i="6"/>
  <c r="CA79" i="6"/>
  <c r="BZ79" i="6"/>
  <c r="AF103" i="6"/>
  <c r="AE103" i="6"/>
  <c r="BI103" i="6"/>
  <c r="BJ103" i="6"/>
  <c r="AZ102" i="6"/>
  <c r="AY102" i="6"/>
  <c r="AO102" i="6"/>
  <c r="AP102" i="6"/>
  <c r="CP77" i="6"/>
  <c r="CQ77" i="6" s="1"/>
  <c r="O75" i="6"/>
  <c r="N75" i="6"/>
  <c r="V74" i="6"/>
  <c r="U74" i="6"/>
  <c r="V73" i="6"/>
  <c r="U73" i="6"/>
  <c r="AF76" i="6"/>
  <c r="AE76" i="6"/>
  <c r="BJ76" i="6"/>
  <c r="BI76" i="6"/>
  <c r="AF73" i="6"/>
  <c r="AE73" i="6"/>
  <c r="CR76" i="6"/>
  <c r="CS76" i="6" s="1"/>
  <c r="V77" i="6"/>
  <c r="U77" i="6"/>
  <c r="AZ70" i="6"/>
  <c r="AY70" i="6"/>
  <c r="U68" i="6"/>
  <c r="V68" i="6"/>
  <c r="AZ71" i="6"/>
  <c r="AY71" i="6"/>
  <c r="CA69" i="6"/>
  <c r="BZ69" i="6"/>
  <c r="CA73" i="6"/>
  <c r="BZ73" i="6"/>
  <c r="AO72" i="6"/>
  <c r="AP72" i="6"/>
  <c r="AZ72" i="6"/>
  <c r="AY72" i="6"/>
  <c r="O78" i="6"/>
  <c r="N78" i="6"/>
  <c r="V78" i="6"/>
  <c r="U78" i="6"/>
  <c r="AF71" i="6"/>
  <c r="AE71" i="6"/>
  <c r="CG70" i="6"/>
  <c r="CH70" i="6"/>
  <c r="AF69" i="6"/>
  <c r="AE69" i="6"/>
  <c r="AP66" i="6"/>
  <c r="AO66" i="6"/>
  <c r="CN66" i="6"/>
  <c r="CO66" i="6"/>
  <c r="AY67" i="6"/>
  <c r="AZ67" i="6"/>
  <c r="BS67" i="6"/>
  <c r="BT67" i="6"/>
  <c r="CG79" i="6"/>
  <c r="CH79" i="6"/>
  <c r="AO103" i="6"/>
  <c r="AP103" i="6"/>
  <c r="AF102" i="6"/>
  <c r="AE102" i="6"/>
  <c r="U102" i="6"/>
  <c r="V102" i="6"/>
  <c r="O102" i="6"/>
  <c r="N102" i="6"/>
  <c r="AZ79" i="6"/>
  <c r="AY79" i="6"/>
  <c r="BI79" i="6"/>
  <c r="BJ79" i="6"/>
  <c r="CH74" i="6"/>
  <c r="CG74" i="6"/>
  <c r="CN74" i="6"/>
  <c r="CO74" i="6"/>
  <c r="AO75" i="6"/>
  <c r="AP75" i="6"/>
  <c r="AP76" i="6"/>
  <c r="AO76" i="6"/>
  <c r="AF74" i="6"/>
  <c r="AE74" i="6"/>
  <c r="O74" i="6"/>
  <c r="N74" i="6"/>
  <c r="AF77" i="6"/>
  <c r="AE77" i="6"/>
  <c r="BI70" i="6"/>
  <c r="BJ70" i="6"/>
  <c r="BI69" i="6"/>
  <c r="BJ69" i="6"/>
  <c r="O68" i="6"/>
  <c r="N68" i="6"/>
  <c r="BZ72" i="6"/>
  <c r="CA72" i="6"/>
  <c r="BI71" i="6"/>
  <c r="BJ71" i="6"/>
  <c r="BT73" i="6"/>
  <c r="BS73" i="6"/>
  <c r="CH73" i="6"/>
  <c r="CG73" i="6"/>
  <c r="U72" i="6"/>
  <c r="V72" i="6"/>
  <c r="N72" i="6"/>
  <c r="O72" i="6"/>
  <c r="U69" i="6"/>
  <c r="V69" i="6"/>
  <c r="BJ78" i="6"/>
  <c r="BI78" i="6"/>
  <c r="CO70" i="6"/>
  <c r="CN70" i="6"/>
  <c r="BT68" i="6"/>
  <c r="BS68" i="6"/>
  <c r="BJ66" i="6"/>
  <c r="BI66" i="6"/>
  <c r="CH55" i="6"/>
  <c r="CG55" i="6"/>
  <c r="BI67" i="6"/>
  <c r="BJ67" i="6"/>
  <c r="AF66" i="6"/>
  <c r="AE66" i="6"/>
  <c r="AO67" i="6"/>
  <c r="AP67" i="6"/>
  <c r="CA66" i="6"/>
  <c r="BZ66" i="6"/>
  <c r="O66" i="6"/>
  <c r="N66" i="6"/>
  <c r="CA102" i="6"/>
  <c r="BZ102" i="6"/>
  <c r="CG102" i="6"/>
  <c r="CH102" i="6"/>
  <c r="U103" i="6"/>
  <c r="V103" i="6"/>
  <c r="O103" i="6"/>
  <c r="N103" i="6"/>
  <c r="AO79" i="6"/>
  <c r="AP79" i="6"/>
  <c r="AE75" i="6"/>
  <c r="AF75" i="6"/>
  <c r="AY75" i="6"/>
  <c r="AZ75" i="6"/>
  <c r="BJ74" i="6"/>
  <c r="BI74" i="6"/>
  <c r="BJ73" i="6"/>
  <c r="BI73" i="6"/>
  <c r="O76" i="6"/>
  <c r="N76" i="6"/>
  <c r="V76" i="6"/>
  <c r="U76" i="6"/>
  <c r="BJ77" i="6"/>
  <c r="BI77" i="6"/>
  <c r="CO72" i="6"/>
  <c r="CN72" i="6"/>
  <c r="AF72" i="6"/>
  <c r="AE72" i="6"/>
  <c r="CA71" i="6"/>
  <c r="BZ71" i="6"/>
  <c r="AO70" i="6"/>
  <c r="AP70" i="6"/>
  <c r="AZ69" i="6"/>
  <c r="AY69" i="6"/>
  <c r="CG68" i="6"/>
  <c r="CH68" i="6"/>
  <c r="CH72" i="6"/>
  <c r="CG72" i="6"/>
  <c r="AO71" i="6"/>
  <c r="AP71" i="6"/>
  <c r="BS69" i="6"/>
  <c r="BT69" i="6"/>
  <c r="O69" i="6"/>
  <c r="N69" i="6"/>
  <c r="AF78" i="6"/>
  <c r="AE78" i="6"/>
  <c r="AP78" i="6"/>
  <c r="AO78" i="6"/>
  <c r="BT71" i="6"/>
  <c r="BS71" i="6"/>
  <c r="CO68" i="6"/>
  <c r="CN68" i="6"/>
  <c r="CA68" i="6"/>
  <c r="BZ68" i="6"/>
  <c r="V67" i="6"/>
  <c r="U67" i="6"/>
  <c r="BZ67" i="6"/>
  <c r="CA67" i="6"/>
  <c r="AZ66" i="6"/>
  <c r="AY66" i="6"/>
  <c r="BL51" i="6"/>
  <c r="BM51" i="6"/>
  <c r="BL50" i="6"/>
  <c r="BM50" i="6"/>
  <c r="W52" i="6"/>
  <c r="AQ52" i="6"/>
  <c r="CA59" i="6"/>
  <c r="BZ59" i="6"/>
  <c r="CG58" i="6"/>
  <c r="CH58" i="6"/>
  <c r="U59" i="6"/>
  <c r="V59" i="6"/>
  <c r="O59" i="6"/>
  <c r="N59" i="6"/>
  <c r="CG57" i="6"/>
  <c r="CH57" i="6"/>
  <c r="AE55" i="6"/>
  <c r="AF55" i="6"/>
  <c r="AP54" i="6"/>
  <c r="AO54" i="6"/>
  <c r="BJ53" i="6"/>
  <c r="BI53" i="6"/>
  <c r="AF58" i="6"/>
  <c r="AE58" i="6"/>
  <c r="U58" i="6"/>
  <c r="V58" i="6"/>
  <c r="O58" i="6"/>
  <c r="N58" i="6"/>
  <c r="AF57" i="6"/>
  <c r="AE57" i="6"/>
  <c r="U57" i="6"/>
  <c r="V57" i="6"/>
  <c r="V56" i="6"/>
  <c r="U56" i="6"/>
  <c r="V55" i="6"/>
  <c r="U55" i="6"/>
  <c r="R55" i="6"/>
  <c r="S55" i="6" s="1"/>
  <c r="AQ55" i="6" s="1"/>
  <c r="CD54" i="6"/>
  <c r="CE54" i="6" s="1"/>
  <c r="AE50" i="6"/>
  <c r="AF50" i="6"/>
  <c r="CB52" i="6"/>
  <c r="CC52" i="6" s="1"/>
  <c r="V50" i="6"/>
  <c r="U50" i="6"/>
  <c r="BA51" i="6"/>
  <c r="CG59" i="6"/>
  <c r="CH59" i="6"/>
  <c r="BJ56" i="6"/>
  <c r="BI56" i="6"/>
  <c r="AY55" i="6"/>
  <c r="AZ55" i="6"/>
  <c r="O54" i="6"/>
  <c r="N54" i="6"/>
  <c r="BK55" i="6"/>
  <c r="AE52" i="6"/>
  <c r="AF52" i="6"/>
  <c r="AR51" i="6"/>
  <c r="AS51" i="6"/>
  <c r="BJ55" i="6"/>
  <c r="BI55" i="6"/>
  <c r="CD55" i="6"/>
  <c r="CE55" i="6" s="1"/>
  <c r="AY50" i="6"/>
  <c r="AZ50" i="6"/>
  <c r="R53" i="6"/>
  <c r="S53" i="6" s="1"/>
  <c r="V51" i="6"/>
  <c r="U51" i="6"/>
  <c r="AP50" i="6"/>
  <c r="AO50" i="6"/>
  <c r="AG51" i="6"/>
  <c r="BA50" i="6"/>
  <c r="CA58" i="6"/>
  <c r="BZ58" i="6"/>
  <c r="CO59" i="6"/>
  <c r="CN59" i="6"/>
  <c r="CO58" i="6"/>
  <c r="CN58" i="6"/>
  <c r="AF59" i="6"/>
  <c r="AE59" i="6"/>
  <c r="BI59" i="6"/>
  <c r="BJ59" i="6"/>
  <c r="CO57" i="6"/>
  <c r="CN57" i="6"/>
  <c r="AZ56" i="6"/>
  <c r="AY56" i="6"/>
  <c r="AO56" i="6"/>
  <c r="AP56" i="6"/>
  <c r="V53" i="6"/>
  <c r="U53" i="6"/>
  <c r="BI58" i="6"/>
  <c r="BJ58" i="6"/>
  <c r="O57" i="6"/>
  <c r="N57" i="6"/>
  <c r="BI57" i="6"/>
  <c r="BJ57" i="6"/>
  <c r="CG53" i="6"/>
  <c r="CH53" i="6"/>
  <c r="CO53" i="6"/>
  <c r="CN53" i="6"/>
  <c r="AZ57" i="6"/>
  <c r="AY57" i="6"/>
  <c r="AF53" i="6"/>
  <c r="AE53" i="6"/>
  <c r="AY52" i="6"/>
  <c r="AZ52" i="6"/>
  <c r="CO51" i="6"/>
  <c r="CN51" i="6"/>
  <c r="Y51" i="6"/>
  <c r="X51" i="6"/>
  <c r="O56" i="6"/>
  <c r="N56" i="6"/>
  <c r="AP55" i="6"/>
  <c r="AO55" i="6"/>
  <c r="BA52" i="6"/>
  <c r="AG52" i="6"/>
  <c r="AE51" i="6"/>
  <c r="AF51" i="6"/>
  <c r="V54" i="6"/>
  <c r="U54" i="6"/>
  <c r="AO51" i="6"/>
  <c r="AP51" i="6"/>
  <c r="BI50" i="6"/>
  <c r="BJ50" i="6"/>
  <c r="AG50" i="6"/>
  <c r="CH56" i="6"/>
  <c r="CG56" i="6"/>
  <c r="AO59" i="6"/>
  <c r="AP59" i="6"/>
  <c r="BT57" i="6"/>
  <c r="BS57" i="6"/>
  <c r="CA57" i="6"/>
  <c r="BZ57" i="6"/>
  <c r="AE56" i="6"/>
  <c r="AF56" i="6"/>
  <c r="AY54" i="6"/>
  <c r="AZ54" i="6"/>
  <c r="AP53" i="6"/>
  <c r="AO53" i="6"/>
  <c r="AZ58" i="6"/>
  <c r="AY58" i="6"/>
  <c r="AO58" i="6"/>
  <c r="AP58" i="6"/>
  <c r="AO57" i="6"/>
  <c r="AP57" i="6"/>
  <c r="BA55" i="6"/>
  <c r="BI54" i="6"/>
  <c r="BJ54" i="6"/>
  <c r="AZ53" i="6"/>
  <c r="AY53" i="6"/>
  <c r="AP52" i="6"/>
  <c r="AO52" i="6"/>
  <c r="X50" i="6"/>
  <c r="Y50" i="6"/>
  <c r="AE54" i="6"/>
  <c r="AF54" i="6"/>
  <c r="AY51" i="6"/>
  <c r="AZ51" i="6"/>
  <c r="BK52" i="6"/>
  <c r="P53" i="6"/>
  <c r="Q53" i="6" s="1"/>
  <c r="BJ51" i="6"/>
  <c r="BI51" i="6"/>
  <c r="E13" i="7"/>
  <c r="I10" i="6"/>
  <c r="J10" i="6" s="1"/>
  <c r="I35" i="6"/>
  <c r="J35" i="6" s="1"/>
  <c r="I26" i="6"/>
  <c r="J26" i="6" s="1"/>
  <c r="I23" i="6"/>
  <c r="J23" i="6" s="1"/>
  <c r="I29" i="6"/>
  <c r="J29" i="6" s="1"/>
  <c r="I31" i="6"/>
  <c r="J31" i="6" s="1"/>
  <c r="I49" i="6"/>
  <c r="J49" i="6" s="1"/>
  <c r="I9" i="6"/>
  <c r="J9" i="6" s="1"/>
  <c r="I34" i="6"/>
  <c r="J34" i="6" s="1"/>
  <c r="I19" i="6"/>
  <c r="J19" i="6" s="1"/>
  <c r="I28" i="6"/>
  <c r="J28" i="6" s="1"/>
  <c r="I16" i="6"/>
  <c r="J16" i="6" s="1"/>
  <c r="I30" i="6"/>
  <c r="J30" i="6" s="1"/>
  <c r="I15" i="6"/>
  <c r="J15" i="6" s="1"/>
  <c r="I36" i="6"/>
  <c r="J36" i="6" s="1"/>
  <c r="I44" i="6"/>
  <c r="J44" i="6" s="1"/>
  <c r="I41" i="6"/>
  <c r="J41" i="6" s="1"/>
  <c r="I42" i="6"/>
  <c r="J42" i="6" s="1"/>
  <c r="I38" i="6"/>
  <c r="J38" i="6" s="1"/>
  <c r="I14" i="6"/>
  <c r="J14" i="6" s="1"/>
  <c r="I25" i="6"/>
  <c r="J25" i="6" s="1"/>
  <c r="I48" i="6"/>
  <c r="J48" i="6" s="1"/>
  <c r="I5" i="6"/>
  <c r="J5" i="6" s="1"/>
  <c r="I4" i="6"/>
  <c r="J4" i="6" s="1"/>
  <c r="I39" i="6"/>
  <c r="J39" i="6" s="1"/>
  <c r="I12" i="6"/>
  <c r="J12" i="6" s="1"/>
  <c r="I2" i="6"/>
  <c r="J2" i="6" s="1"/>
  <c r="I21" i="6"/>
  <c r="J21" i="6" s="1"/>
  <c r="I33" i="6"/>
  <c r="J33" i="6" s="1"/>
  <c r="I17" i="6"/>
  <c r="J17" i="6" s="1"/>
  <c r="I32" i="6"/>
  <c r="J32" i="6" s="1"/>
  <c r="I7" i="6"/>
  <c r="J7" i="6" s="1"/>
  <c r="I3" i="6"/>
  <c r="J3" i="6" s="1"/>
  <c r="I22" i="6"/>
  <c r="J22" i="6" s="1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F4" i="13"/>
  <c r="F3" i="13"/>
  <c r="F2" i="13"/>
  <c r="C3" i="13"/>
  <c r="D3" i="13"/>
  <c r="C4" i="13"/>
  <c r="D4" i="13"/>
  <c r="C5" i="13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C23" i="13"/>
  <c r="D23" i="13"/>
  <c r="C24" i="13"/>
  <c r="D24" i="13"/>
  <c r="C25" i="13"/>
  <c r="D25" i="13"/>
  <c r="C26" i="13"/>
  <c r="D26" i="13"/>
  <c r="C27" i="13"/>
  <c r="D27" i="13"/>
  <c r="C28" i="13"/>
  <c r="D28" i="13"/>
  <c r="C29" i="13"/>
  <c r="D29" i="13"/>
  <c r="C30" i="13"/>
  <c r="D30" i="13"/>
  <c r="C31" i="13"/>
  <c r="D31" i="13"/>
  <c r="C32" i="13"/>
  <c r="D32" i="13"/>
  <c r="C33" i="13"/>
  <c r="D33" i="13"/>
  <c r="C34" i="13"/>
  <c r="D34" i="13"/>
  <c r="C35" i="13"/>
  <c r="D35" i="13"/>
  <c r="C36" i="13"/>
  <c r="D36" i="13"/>
  <c r="C37" i="13"/>
  <c r="D37" i="13"/>
  <c r="C38" i="13"/>
  <c r="D38" i="13"/>
  <c r="C39" i="13"/>
  <c r="D39" i="13"/>
  <c r="C40" i="13"/>
  <c r="D40" i="13"/>
  <c r="C41" i="13"/>
  <c r="D41" i="13"/>
  <c r="C42" i="13"/>
  <c r="D42" i="13"/>
  <c r="C43" i="13"/>
  <c r="D43" i="13"/>
  <c r="C44" i="13"/>
  <c r="D44" i="13"/>
  <c r="C45" i="13"/>
  <c r="D45" i="13"/>
  <c r="C46" i="13"/>
  <c r="D46" i="13"/>
  <c r="C47" i="13"/>
  <c r="D47" i="13"/>
  <c r="C48" i="13"/>
  <c r="D48" i="13"/>
  <c r="C49" i="13"/>
  <c r="D49" i="13"/>
  <c r="D2" i="13"/>
  <c r="C2" i="13"/>
  <c r="B49" i="13"/>
  <c r="S49" i="13" s="1"/>
  <c r="B48" i="13"/>
  <c r="S48" i="13" s="1"/>
  <c r="B47" i="13"/>
  <c r="B46" i="13"/>
  <c r="S46" i="13" s="1"/>
  <c r="B45" i="13"/>
  <c r="B44" i="13"/>
  <c r="S44" i="13" s="1"/>
  <c r="B43" i="13"/>
  <c r="S43" i="13" s="1"/>
  <c r="B42" i="13"/>
  <c r="S42" i="13" s="1"/>
  <c r="B41" i="13"/>
  <c r="S41" i="13" s="1"/>
  <c r="B40" i="13"/>
  <c r="S40" i="13" s="1"/>
  <c r="B39" i="13"/>
  <c r="S39" i="13" s="1"/>
  <c r="B38" i="13"/>
  <c r="S38" i="13" s="1"/>
  <c r="B37" i="13"/>
  <c r="S37" i="13" s="1"/>
  <c r="B36" i="13"/>
  <c r="S36" i="13" s="1"/>
  <c r="B35" i="13"/>
  <c r="B34" i="13"/>
  <c r="B33" i="13"/>
  <c r="B32" i="13"/>
  <c r="B31" i="13"/>
  <c r="S31" i="13" s="1"/>
  <c r="B30" i="13"/>
  <c r="S30" i="13" s="1"/>
  <c r="B29" i="13"/>
  <c r="S29" i="13" s="1"/>
  <c r="B28" i="13"/>
  <c r="S28" i="13" s="1"/>
  <c r="B27" i="13"/>
  <c r="S27" i="13" s="1"/>
  <c r="B26" i="13"/>
  <c r="S26" i="13" s="1"/>
  <c r="B25" i="13"/>
  <c r="S25" i="13" s="1"/>
  <c r="B24" i="13"/>
  <c r="S24" i="13" s="1"/>
  <c r="B23" i="13"/>
  <c r="S23" i="13" s="1"/>
  <c r="B22" i="13"/>
  <c r="B21" i="13"/>
  <c r="B20" i="13"/>
  <c r="S20" i="13" s="1"/>
  <c r="B19" i="13"/>
  <c r="S19" i="13" s="1"/>
  <c r="B18" i="13"/>
  <c r="S18" i="13" s="1"/>
  <c r="B17" i="13"/>
  <c r="B16" i="13"/>
  <c r="S16" i="13" s="1"/>
  <c r="B15" i="13"/>
  <c r="S15" i="13" s="1"/>
  <c r="B14" i="13"/>
  <c r="B13" i="13"/>
  <c r="S13" i="13" s="1"/>
  <c r="B12" i="13"/>
  <c r="S12" i="13" s="1"/>
  <c r="B11" i="13"/>
  <c r="S11" i="13" s="1"/>
  <c r="B10" i="13"/>
  <c r="S10" i="13" s="1"/>
  <c r="B9" i="13"/>
  <c r="B8" i="13"/>
  <c r="S8" i="13" s="1"/>
  <c r="B7" i="13"/>
  <c r="S7" i="13" s="1"/>
  <c r="B6" i="13"/>
  <c r="S6" i="13" s="1"/>
  <c r="B5" i="13"/>
  <c r="S5" i="13" s="1"/>
  <c r="B4" i="13"/>
  <c r="S4" i="13" s="1"/>
  <c r="B3" i="13"/>
  <c r="S3" i="13" s="1"/>
  <c r="B2" i="13"/>
  <c r="AZ152" i="2"/>
  <c r="AY152" i="2"/>
  <c r="AZ151" i="2"/>
  <c r="AY151" i="2"/>
  <c r="AZ150" i="2"/>
  <c r="AY150" i="2"/>
  <c r="AZ149" i="2"/>
  <c r="AY149" i="2"/>
  <c r="AZ148" i="2"/>
  <c r="AY148" i="2"/>
  <c r="AZ147" i="2"/>
  <c r="AY147" i="2"/>
  <c r="AZ146" i="2"/>
  <c r="AY146" i="2"/>
  <c r="AZ145" i="2"/>
  <c r="AY145" i="2"/>
  <c r="AZ144" i="2"/>
  <c r="AY144" i="2"/>
  <c r="AZ143" i="2"/>
  <c r="AY143" i="2"/>
  <c r="AZ142" i="2"/>
  <c r="AY142" i="2"/>
  <c r="AZ141" i="2"/>
  <c r="AY141" i="2"/>
  <c r="AZ140" i="2"/>
  <c r="AY140" i="2"/>
  <c r="AZ139" i="2"/>
  <c r="AY139" i="2"/>
  <c r="AZ138" i="2"/>
  <c r="AY138" i="2"/>
  <c r="AZ137" i="2"/>
  <c r="AY137" i="2"/>
  <c r="AZ136" i="2"/>
  <c r="AY136" i="2"/>
  <c r="AZ135" i="2"/>
  <c r="AY135" i="2"/>
  <c r="AZ134" i="2"/>
  <c r="AY134" i="2"/>
  <c r="AZ133" i="2"/>
  <c r="AY133" i="2"/>
  <c r="AZ132" i="2"/>
  <c r="AY132" i="2"/>
  <c r="AZ131" i="2"/>
  <c r="AY131" i="2"/>
  <c r="AZ130" i="2"/>
  <c r="AY130" i="2"/>
  <c r="AZ129" i="2"/>
  <c r="AY129" i="2"/>
  <c r="AZ128" i="2"/>
  <c r="AY128" i="2"/>
  <c r="AZ127" i="2"/>
  <c r="AY127" i="2"/>
  <c r="AZ126" i="2"/>
  <c r="AY126" i="2"/>
  <c r="AZ125" i="2"/>
  <c r="AY125" i="2"/>
  <c r="AZ124" i="2"/>
  <c r="AY124" i="2"/>
  <c r="AZ123" i="2"/>
  <c r="AY123" i="2"/>
  <c r="AZ122" i="2"/>
  <c r="AY122" i="2"/>
  <c r="AZ121" i="2"/>
  <c r="AY121" i="2"/>
  <c r="AZ120" i="2"/>
  <c r="AY120" i="2"/>
  <c r="AZ119" i="2"/>
  <c r="AY119" i="2"/>
  <c r="AZ118" i="2"/>
  <c r="AY118" i="2"/>
  <c r="AZ117" i="2"/>
  <c r="AY117" i="2"/>
  <c r="AZ116" i="2"/>
  <c r="AY116" i="2"/>
  <c r="AZ115" i="2"/>
  <c r="AY115" i="2"/>
  <c r="AZ114" i="2"/>
  <c r="AY114" i="2"/>
  <c r="AZ113" i="2"/>
  <c r="AY113" i="2"/>
  <c r="AZ112" i="2"/>
  <c r="AY112" i="2"/>
  <c r="AZ111" i="2"/>
  <c r="AY111" i="2"/>
  <c r="AZ110" i="2"/>
  <c r="AY110" i="2"/>
  <c r="AZ109" i="2"/>
  <c r="AY109" i="2"/>
  <c r="AZ108" i="2"/>
  <c r="AY108" i="2"/>
  <c r="AZ107" i="2"/>
  <c r="AY107" i="2"/>
  <c r="AZ106" i="2"/>
  <c r="AY106" i="2"/>
  <c r="AZ105" i="2"/>
  <c r="AY105" i="2"/>
  <c r="AZ104" i="2"/>
  <c r="AY104" i="2"/>
  <c r="AZ103" i="2"/>
  <c r="AY103" i="2"/>
  <c r="AZ102" i="2"/>
  <c r="AY102" i="2"/>
  <c r="AZ101" i="2"/>
  <c r="AY101" i="2"/>
  <c r="AZ100" i="2"/>
  <c r="AY100" i="2"/>
  <c r="AZ99" i="2"/>
  <c r="AY99" i="2"/>
  <c r="AZ98" i="2"/>
  <c r="AY98" i="2"/>
  <c r="AZ97" i="2"/>
  <c r="AY97" i="2"/>
  <c r="AZ96" i="2"/>
  <c r="AY96" i="2"/>
  <c r="AZ95" i="2"/>
  <c r="AY95" i="2"/>
  <c r="AZ94" i="2"/>
  <c r="AY94" i="2"/>
  <c r="AZ93" i="2"/>
  <c r="AY93" i="2"/>
  <c r="AZ92" i="2"/>
  <c r="AY92" i="2"/>
  <c r="AZ91" i="2"/>
  <c r="AY91" i="2"/>
  <c r="AZ90" i="2"/>
  <c r="AY90" i="2"/>
  <c r="AZ89" i="2"/>
  <c r="AY89" i="2"/>
  <c r="AZ88" i="2"/>
  <c r="AY88" i="2"/>
  <c r="AZ87" i="2"/>
  <c r="AY87" i="2"/>
  <c r="AZ86" i="2"/>
  <c r="AY86" i="2"/>
  <c r="AZ85" i="2"/>
  <c r="AY85" i="2"/>
  <c r="AZ84" i="2"/>
  <c r="AY84" i="2"/>
  <c r="AZ83" i="2"/>
  <c r="AY83" i="2"/>
  <c r="AZ82" i="2"/>
  <c r="AY82" i="2"/>
  <c r="AZ81" i="2"/>
  <c r="AY81" i="2"/>
  <c r="AZ80" i="2"/>
  <c r="AY80" i="2"/>
  <c r="AZ79" i="2"/>
  <c r="AY79" i="2"/>
  <c r="AZ78" i="2"/>
  <c r="AY78" i="2"/>
  <c r="AZ77" i="2"/>
  <c r="AY77" i="2"/>
  <c r="AZ76" i="2"/>
  <c r="AY76" i="2"/>
  <c r="AZ75" i="2"/>
  <c r="AY75" i="2"/>
  <c r="AZ74" i="2"/>
  <c r="AY74" i="2"/>
  <c r="AZ73" i="2"/>
  <c r="AY73" i="2"/>
  <c r="AZ72" i="2"/>
  <c r="AY72" i="2"/>
  <c r="AZ71" i="2"/>
  <c r="AY71" i="2"/>
  <c r="AZ70" i="2"/>
  <c r="AY70" i="2"/>
  <c r="AZ69" i="2"/>
  <c r="AY69" i="2"/>
  <c r="AZ68" i="2"/>
  <c r="AY68" i="2"/>
  <c r="AZ67" i="2"/>
  <c r="AY67" i="2"/>
  <c r="AZ66" i="2"/>
  <c r="AY66" i="2"/>
  <c r="AZ65" i="2"/>
  <c r="AY65" i="2"/>
  <c r="AZ64" i="2"/>
  <c r="AY64" i="2"/>
  <c r="AZ63" i="2"/>
  <c r="AY63" i="2"/>
  <c r="AZ62" i="2"/>
  <c r="AY62" i="2"/>
  <c r="AZ61" i="2"/>
  <c r="AY61" i="2"/>
  <c r="AZ60" i="2"/>
  <c r="AY60" i="2"/>
  <c r="AZ59" i="2"/>
  <c r="AY59" i="2"/>
  <c r="AZ58" i="2"/>
  <c r="AY58" i="2"/>
  <c r="AZ57" i="2"/>
  <c r="AY57" i="2"/>
  <c r="AZ56" i="2"/>
  <c r="AY56" i="2"/>
  <c r="AZ55" i="2"/>
  <c r="AY55" i="2"/>
  <c r="AZ54" i="2"/>
  <c r="AY54" i="2"/>
  <c r="AZ53" i="2"/>
  <c r="AY53" i="2"/>
  <c r="AZ52" i="2"/>
  <c r="AY52" i="2"/>
  <c r="AM152" i="2"/>
  <c r="AL152" i="2"/>
  <c r="AM151" i="2"/>
  <c r="AL151" i="2"/>
  <c r="AM150" i="2"/>
  <c r="AL150" i="2"/>
  <c r="AM149" i="2"/>
  <c r="AL149" i="2"/>
  <c r="AM148" i="2"/>
  <c r="AL148" i="2"/>
  <c r="AM147" i="2"/>
  <c r="AL147" i="2"/>
  <c r="AM146" i="2"/>
  <c r="AL146" i="2"/>
  <c r="AM145" i="2"/>
  <c r="AL145" i="2"/>
  <c r="AM144" i="2"/>
  <c r="AL144" i="2"/>
  <c r="AM143" i="2"/>
  <c r="AL143" i="2"/>
  <c r="AM142" i="2"/>
  <c r="AL142" i="2"/>
  <c r="AM141" i="2"/>
  <c r="AL141" i="2"/>
  <c r="AM140" i="2"/>
  <c r="AL140" i="2"/>
  <c r="AM139" i="2"/>
  <c r="AL139" i="2"/>
  <c r="AM138" i="2"/>
  <c r="AL138" i="2"/>
  <c r="AM137" i="2"/>
  <c r="AL137" i="2"/>
  <c r="AM136" i="2"/>
  <c r="AL136" i="2"/>
  <c r="AM135" i="2"/>
  <c r="AL135" i="2"/>
  <c r="AM134" i="2"/>
  <c r="AL134" i="2"/>
  <c r="AM133" i="2"/>
  <c r="AL133" i="2"/>
  <c r="AM132" i="2"/>
  <c r="AL132" i="2"/>
  <c r="AM131" i="2"/>
  <c r="AL131" i="2"/>
  <c r="AM130" i="2"/>
  <c r="AL130" i="2"/>
  <c r="AM129" i="2"/>
  <c r="AL129" i="2"/>
  <c r="AM128" i="2"/>
  <c r="AL128" i="2"/>
  <c r="AM127" i="2"/>
  <c r="AL127" i="2"/>
  <c r="AM126" i="2"/>
  <c r="AL126" i="2"/>
  <c r="AM125" i="2"/>
  <c r="AL125" i="2"/>
  <c r="AM124" i="2"/>
  <c r="AL124" i="2"/>
  <c r="AM123" i="2"/>
  <c r="AL123" i="2"/>
  <c r="AM122" i="2"/>
  <c r="AL122" i="2"/>
  <c r="AM121" i="2"/>
  <c r="AL121" i="2"/>
  <c r="AM120" i="2"/>
  <c r="AL120" i="2"/>
  <c r="AM119" i="2"/>
  <c r="AL119" i="2"/>
  <c r="AM118" i="2"/>
  <c r="AL118" i="2"/>
  <c r="AM117" i="2"/>
  <c r="AL117" i="2"/>
  <c r="AM116" i="2"/>
  <c r="AL116" i="2"/>
  <c r="AM115" i="2"/>
  <c r="AL115" i="2"/>
  <c r="AM114" i="2"/>
  <c r="AL114" i="2"/>
  <c r="AM113" i="2"/>
  <c r="AL113" i="2"/>
  <c r="AM112" i="2"/>
  <c r="AL112" i="2"/>
  <c r="AM111" i="2"/>
  <c r="AL111" i="2"/>
  <c r="AM110" i="2"/>
  <c r="AL110" i="2"/>
  <c r="AM109" i="2"/>
  <c r="AL109" i="2"/>
  <c r="AM108" i="2"/>
  <c r="AL108" i="2"/>
  <c r="AM107" i="2"/>
  <c r="AL107" i="2"/>
  <c r="AM106" i="2"/>
  <c r="AL106" i="2"/>
  <c r="AM105" i="2"/>
  <c r="AL105" i="2"/>
  <c r="AM104" i="2"/>
  <c r="AL104" i="2"/>
  <c r="AM103" i="2"/>
  <c r="AL103" i="2"/>
  <c r="AM102" i="2"/>
  <c r="AL102" i="2"/>
  <c r="AM101" i="2"/>
  <c r="AL101" i="2"/>
  <c r="AM100" i="2"/>
  <c r="AL100" i="2"/>
  <c r="AM99" i="2"/>
  <c r="AL99" i="2"/>
  <c r="AM98" i="2"/>
  <c r="AL98" i="2"/>
  <c r="AM97" i="2"/>
  <c r="AL97" i="2"/>
  <c r="AM96" i="2"/>
  <c r="AL96" i="2"/>
  <c r="AM95" i="2"/>
  <c r="AL95" i="2"/>
  <c r="AM94" i="2"/>
  <c r="AL94" i="2"/>
  <c r="AM93" i="2"/>
  <c r="AL93" i="2"/>
  <c r="AM92" i="2"/>
  <c r="AL92" i="2"/>
  <c r="AM91" i="2"/>
  <c r="AL91" i="2"/>
  <c r="AM90" i="2"/>
  <c r="AL90" i="2"/>
  <c r="AM89" i="2"/>
  <c r="AL89" i="2"/>
  <c r="AM88" i="2"/>
  <c r="AL88" i="2"/>
  <c r="AM87" i="2"/>
  <c r="AL87" i="2"/>
  <c r="AM86" i="2"/>
  <c r="AL86" i="2"/>
  <c r="AM85" i="2"/>
  <c r="AL85" i="2"/>
  <c r="AM84" i="2"/>
  <c r="AL84" i="2"/>
  <c r="AM83" i="2"/>
  <c r="AL83" i="2"/>
  <c r="AM82" i="2"/>
  <c r="AL82" i="2"/>
  <c r="AM81" i="2"/>
  <c r="AL81" i="2"/>
  <c r="AM80" i="2"/>
  <c r="AL80" i="2"/>
  <c r="AM79" i="2"/>
  <c r="AL79" i="2"/>
  <c r="AM78" i="2"/>
  <c r="AL78" i="2"/>
  <c r="AM77" i="2"/>
  <c r="AL77" i="2"/>
  <c r="AM76" i="2"/>
  <c r="AL76" i="2"/>
  <c r="AM75" i="2"/>
  <c r="AL75" i="2"/>
  <c r="AM74" i="2"/>
  <c r="AL74" i="2"/>
  <c r="AM73" i="2"/>
  <c r="AL73" i="2"/>
  <c r="AM72" i="2"/>
  <c r="AL72" i="2"/>
  <c r="AM71" i="2"/>
  <c r="AL71" i="2"/>
  <c r="AM70" i="2"/>
  <c r="AL70" i="2"/>
  <c r="AM69" i="2"/>
  <c r="AL69" i="2"/>
  <c r="AM68" i="2"/>
  <c r="AL68" i="2"/>
  <c r="AM67" i="2"/>
  <c r="AL67" i="2"/>
  <c r="AM66" i="2"/>
  <c r="AL66" i="2"/>
  <c r="AM65" i="2"/>
  <c r="AL65" i="2"/>
  <c r="AM64" i="2"/>
  <c r="AL64" i="2"/>
  <c r="AM63" i="2"/>
  <c r="AL63" i="2"/>
  <c r="AM62" i="2"/>
  <c r="AL62" i="2"/>
  <c r="AM61" i="2"/>
  <c r="AL61" i="2"/>
  <c r="AM60" i="2"/>
  <c r="AL60" i="2"/>
  <c r="AM59" i="2"/>
  <c r="AL59" i="2"/>
  <c r="AM58" i="2"/>
  <c r="AL58" i="2"/>
  <c r="AM57" i="2"/>
  <c r="AL57" i="2"/>
  <c r="AM56" i="2"/>
  <c r="AL56" i="2"/>
  <c r="AM55" i="2"/>
  <c r="AL55" i="2"/>
  <c r="AM54" i="2"/>
  <c r="AL54" i="2"/>
  <c r="AM53" i="2"/>
  <c r="AL53" i="2"/>
  <c r="AM52" i="2"/>
  <c r="AL52" i="2"/>
  <c r="J38" i="2"/>
  <c r="J46" i="2"/>
  <c r="J14" i="2"/>
  <c r="J9" i="2"/>
  <c r="J30" i="2"/>
  <c r="J19" i="2"/>
  <c r="J39" i="2"/>
  <c r="J47" i="2"/>
  <c r="J11" i="2"/>
  <c r="J3" i="2"/>
  <c r="J27" i="2"/>
  <c r="J22" i="2"/>
  <c r="J35" i="2"/>
  <c r="J43" i="2"/>
  <c r="J15" i="2"/>
  <c r="J6" i="2"/>
  <c r="J28" i="2"/>
  <c r="J24" i="2"/>
  <c r="J40" i="2"/>
  <c r="J48" i="2"/>
  <c r="J12" i="2"/>
  <c r="J4" i="2"/>
  <c r="J31" i="2"/>
  <c r="J25" i="2"/>
  <c r="J41" i="2"/>
  <c r="J44" i="2"/>
  <c r="J16" i="2"/>
  <c r="J5" i="2"/>
  <c r="J29" i="2"/>
  <c r="J20" i="2"/>
  <c r="J36" i="2"/>
  <c r="J49" i="2"/>
  <c r="J13" i="2"/>
  <c r="J7" i="2"/>
  <c r="J32" i="2"/>
  <c r="J26" i="2"/>
  <c r="J42" i="2"/>
  <c r="J45" i="2"/>
  <c r="J17" i="2"/>
  <c r="J10" i="2"/>
  <c r="J33" i="2"/>
  <c r="J21" i="2"/>
  <c r="J37" i="2"/>
  <c r="J50" i="2"/>
  <c r="J18" i="2"/>
  <c r="J8" i="2"/>
  <c r="J34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23" i="2"/>
  <c r="S152" i="2"/>
  <c r="R152" i="2"/>
  <c r="S151" i="2"/>
  <c r="R151" i="2"/>
  <c r="S150" i="2"/>
  <c r="R150" i="2"/>
  <c r="S149" i="2"/>
  <c r="R149" i="2"/>
  <c r="S148" i="2"/>
  <c r="R148" i="2"/>
  <c r="S147" i="2"/>
  <c r="R147" i="2"/>
  <c r="S146" i="2"/>
  <c r="R146" i="2"/>
  <c r="S145" i="2"/>
  <c r="R145" i="2"/>
  <c r="S144" i="2"/>
  <c r="R144" i="2"/>
  <c r="S143" i="2"/>
  <c r="R143" i="2"/>
  <c r="S142" i="2"/>
  <c r="R142" i="2"/>
  <c r="S141" i="2"/>
  <c r="R141" i="2"/>
  <c r="S140" i="2"/>
  <c r="R140" i="2"/>
  <c r="S139" i="2"/>
  <c r="R139" i="2"/>
  <c r="S138" i="2"/>
  <c r="R138" i="2"/>
  <c r="S137" i="2"/>
  <c r="R137" i="2"/>
  <c r="S136" i="2"/>
  <c r="R136" i="2"/>
  <c r="S135" i="2"/>
  <c r="R135" i="2"/>
  <c r="S134" i="2"/>
  <c r="R134" i="2"/>
  <c r="S133" i="2"/>
  <c r="R133" i="2"/>
  <c r="S132" i="2"/>
  <c r="R132" i="2"/>
  <c r="S131" i="2"/>
  <c r="R131" i="2"/>
  <c r="S130" i="2"/>
  <c r="R130" i="2"/>
  <c r="S129" i="2"/>
  <c r="R129" i="2"/>
  <c r="S128" i="2"/>
  <c r="R128" i="2"/>
  <c r="S127" i="2"/>
  <c r="R127" i="2"/>
  <c r="S126" i="2"/>
  <c r="R126" i="2"/>
  <c r="S125" i="2"/>
  <c r="R125" i="2"/>
  <c r="S124" i="2"/>
  <c r="R124" i="2"/>
  <c r="S123" i="2"/>
  <c r="R123" i="2"/>
  <c r="S122" i="2"/>
  <c r="R122" i="2"/>
  <c r="S121" i="2"/>
  <c r="R121" i="2"/>
  <c r="S120" i="2"/>
  <c r="R120" i="2"/>
  <c r="S119" i="2"/>
  <c r="R119" i="2"/>
  <c r="S118" i="2"/>
  <c r="R118" i="2"/>
  <c r="S117" i="2"/>
  <c r="R117" i="2"/>
  <c r="S116" i="2"/>
  <c r="R116" i="2"/>
  <c r="S115" i="2"/>
  <c r="R115" i="2"/>
  <c r="S114" i="2"/>
  <c r="R114" i="2"/>
  <c r="S113" i="2"/>
  <c r="R113" i="2"/>
  <c r="S112" i="2"/>
  <c r="R112" i="2"/>
  <c r="S111" i="2"/>
  <c r="R111" i="2"/>
  <c r="S110" i="2"/>
  <c r="R110" i="2"/>
  <c r="S109" i="2"/>
  <c r="R109" i="2"/>
  <c r="S108" i="2"/>
  <c r="R108" i="2"/>
  <c r="S107" i="2"/>
  <c r="R107" i="2"/>
  <c r="S106" i="2"/>
  <c r="R106" i="2"/>
  <c r="S105" i="2"/>
  <c r="R105" i="2"/>
  <c r="S104" i="2"/>
  <c r="R104" i="2"/>
  <c r="S103" i="2"/>
  <c r="R103" i="2"/>
  <c r="S102" i="2"/>
  <c r="R102" i="2"/>
  <c r="S101" i="2"/>
  <c r="R101" i="2"/>
  <c r="S100" i="2"/>
  <c r="R100" i="2"/>
  <c r="S99" i="2"/>
  <c r="R99" i="2"/>
  <c r="S98" i="2"/>
  <c r="R98" i="2"/>
  <c r="S97" i="2"/>
  <c r="R97" i="2"/>
  <c r="S96" i="2"/>
  <c r="R96" i="2"/>
  <c r="S95" i="2"/>
  <c r="R95" i="2"/>
  <c r="S94" i="2"/>
  <c r="R94" i="2"/>
  <c r="S93" i="2"/>
  <c r="R93" i="2"/>
  <c r="S92" i="2"/>
  <c r="R92" i="2"/>
  <c r="S91" i="2"/>
  <c r="R91" i="2"/>
  <c r="S90" i="2"/>
  <c r="R90" i="2"/>
  <c r="S89" i="2"/>
  <c r="R89" i="2"/>
  <c r="S88" i="2"/>
  <c r="R88" i="2"/>
  <c r="S87" i="2"/>
  <c r="R87" i="2"/>
  <c r="S86" i="2"/>
  <c r="R86" i="2"/>
  <c r="S85" i="2"/>
  <c r="R85" i="2"/>
  <c r="S84" i="2"/>
  <c r="R84" i="2"/>
  <c r="S83" i="2"/>
  <c r="R83" i="2"/>
  <c r="S82" i="2"/>
  <c r="R82" i="2"/>
  <c r="S81" i="2"/>
  <c r="R81" i="2"/>
  <c r="S80" i="2"/>
  <c r="R80" i="2"/>
  <c r="S79" i="2"/>
  <c r="R79" i="2"/>
  <c r="S78" i="2"/>
  <c r="R78" i="2"/>
  <c r="S77" i="2"/>
  <c r="R77" i="2"/>
  <c r="S76" i="2"/>
  <c r="R76" i="2"/>
  <c r="S75" i="2"/>
  <c r="R75" i="2"/>
  <c r="S74" i="2"/>
  <c r="R74" i="2"/>
  <c r="S73" i="2"/>
  <c r="R73" i="2"/>
  <c r="S72" i="2"/>
  <c r="R72" i="2"/>
  <c r="S71" i="2"/>
  <c r="R71" i="2"/>
  <c r="S70" i="2"/>
  <c r="R70" i="2"/>
  <c r="S69" i="2"/>
  <c r="R69" i="2"/>
  <c r="S68" i="2"/>
  <c r="R68" i="2"/>
  <c r="S67" i="2"/>
  <c r="R67" i="2"/>
  <c r="S66" i="2"/>
  <c r="R66" i="2"/>
  <c r="S65" i="2"/>
  <c r="R65" i="2"/>
  <c r="S64" i="2"/>
  <c r="R64" i="2"/>
  <c r="S63" i="2"/>
  <c r="R63" i="2"/>
  <c r="S62" i="2"/>
  <c r="R62" i="2"/>
  <c r="S61" i="2"/>
  <c r="R61" i="2"/>
  <c r="S60" i="2"/>
  <c r="R60" i="2"/>
  <c r="S59" i="2"/>
  <c r="R59" i="2"/>
  <c r="S58" i="2"/>
  <c r="R58" i="2"/>
  <c r="S57" i="2"/>
  <c r="R57" i="2"/>
  <c r="S56" i="2"/>
  <c r="R56" i="2"/>
  <c r="S55" i="2"/>
  <c r="R55" i="2"/>
  <c r="S54" i="2"/>
  <c r="R54" i="2"/>
  <c r="S53" i="2"/>
  <c r="R53" i="2"/>
  <c r="S52" i="2"/>
  <c r="R52" i="2"/>
  <c r="Y82" i="6" l="1"/>
  <c r="AI82" i="6"/>
  <c r="AR50" i="6"/>
  <c r="CI86" i="6"/>
  <c r="CJ86" i="6" s="1"/>
  <c r="AG55" i="6"/>
  <c r="BU95" i="6"/>
  <c r="BV95" i="6" s="1"/>
  <c r="BW95" i="6"/>
  <c r="BX95" i="6" s="1"/>
  <c r="BU51" i="6"/>
  <c r="BV51" i="6" s="1"/>
  <c r="BW51" i="6"/>
  <c r="BX51" i="6" s="1"/>
  <c r="BC81" i="6"/>
  <c r="BB81" i="6"/>
  <c r="CR84" i="6"/>
  <c r="CS84" i="6" s="1"/>
  <c r="CP84" i="6"/>
  <c r="CQ84" i="6" s="1"/>
  <c r="P87" i="6"/>
  <c r="Q87" i="6" s="1"/>
  <c r="R87" i="6"/>
  <c r="S87" i="6" s="1"/>
  <c r="AQ87" i="6"/>
  <c r="BU89" i="6"/>
  <c r="BV89" i="6" s="1"/>
  <c r="BW89" i="6"/>
  <c r="BX89" i="6" s="1"/>
  <c r="CB92" i="6"/>
  <c r="CC92" i="6" s="1"/>
  <c r="CD92" i="6"/>
  <c r="CE92" i="6" s="1"/>
  <c r="CB98" i="6"/>
  <c r="CC98" i="6" s="1"/>
  <c r="CD98" i="6"/>
  <c r="CE98" i="6" s="1"/>
  <c r="BU97" i="6"/>
  <c r="BV97" i="6" s="1"/>
  <c r="BW97" i="6"/>
  <c r="BX97" i="6" s="1"/>
  <c r="P98" i="6"/>
  <c r="Q98" i="6" s="1"/>
  <c r="R98" i="6"/>
  <c r="S98" i="6" s="1"/>
  <c r="CD99" i="6"/>
  <c r="CE99" i="6" s="1"/>
  <c r="CB99" i="6"/>
  <c r="CC99" i="6" s="1"/>
  <c r="CI80" i="6"/>
  <c r="CJ80" i="6" s="1"/>
  <c r="CK80" i="6"/>
  <c r="CL80" i="6" s="1"/>
  <c r="BU84" i="6"/>
  <c r="BV84" i="6" s="1"/>
  <c r="BW84" i="6"/>
  <c r="BX84" i="6" s="1"/>
  <c r="AV82" i="6"/>
  <c r="AW82" i="6" s="1"/>
  <c r="AT82" i="6"/>
  <c r="AU82" i="6" s="1"/>
  <c r="CI84" i="6"/>
  <c r="CJ84" i="6" s="1"/>
  <c r="CK84" i="6"/>
  <c r="CL84" i="6" s="1"/>
  <c r="CB93" i="6"/>
  <c r="CC93" i="6" s="1"/>
  <c r="CD93" i="6"/>
  <c r="CE93" i="6" s="1"/>
  <c r="P91" i="6"/>
  <c r="Q91" i="6" s="1"/>
  <c r="R91" i="6"/>
  <c r="S91" i="6" s="1"/>
  <c r="P94" i="6"/>
  <c r="Q94" i="6" s="1"/>
  <c r="R94" i="6"/>
  <c r="S94" i="6" s="1"/>
  <c r="BU86" i="6"/>
  <c r="BV86" i="6" s="1"/>
  <c r="BW86" i="6"/>
  <c r="BX86" i="6" s="1"/>
  <c r="BU80" i="6"/>
  <c r="BV80" i="6" s="1"/>
  <c r="BW80" i="6"/>
  <c r="BX80" i="6" s="1"/>
  <c r="R86" i="6"/>
  <c r="S86" i="6" s="1"/>
  <c r="P86" i="6"/>
  <c r="Q86" i="6" s="1"/>
  <c r="AQ86" i="6" s="1"/>
  <c r="CD84" i="6"/>
  <c r="CE84" i="6" s="1"/>
  <c r="CB84" i="6"/>
  <c r="CC84" i="6" s="1"/>
  <c r="CI82" i="6"/>
  <c r="CJ82" i="6" s="1"/>
  <c r="CK82" i="6"/>
  <c r="CL82" i="6" s="1"/>
  <c r="P85" i="6"/>
  <c r="Q85" i="6" s="1"/>
  <c r="AQ85" i="6" s="1"/>
  <c r="R85" i="6"/>
  <c r="S85" i="6" s="1"/>
  <c r="P92" i="6"/>
  <c r="Q92" i="6" s="1"/>
  <c r="R92" i="6"/>
  <c r="S92" i="6" s="1"/>
  <c r="CP90" i="6"/>
  <c r="CQ90" i="6" s="1"/>
  <c r="CR90" i="6"/>
  <c r="CS90" i="6" s="1"/>
  <c r="P93" i="6"/>
  <c r="Q93" i="6" s="1"/>
  <c r="R93" i="6"/>
  <c r="S93" i="6" s="1"/>
  <c r="CK98" i="6"/>
  <c r="CL98" i="6" s="1"/>
  <c r="CI98" i="6"/>
  <c r="CJ98" i="6" s="1"/>
  <c r="P96" i="6"/>
  <c r="Q96" i="6" s="1"/>
  <c r="R96" i="6"/>
  <c r="S96" i="6" s="1"/>
  <c r="CD100" i="6"/>
  <c r="CE100" i="6" s="1"/>
  <c r="CB100" i="6"/>
  <c r="CC100" i="6" s="1"/>
  <c r="CD80" i="6"/>
  <c r="CE80" i="6" s="1"/>
  <c r="CB80" i="6"/>
  <c r="CC80" i="6" s="1"/>
  <c r="CP81" i="6"/>
  <c r="CQ81" i="6" s="1"/>
  <c r="CR81" i="6"/>
  <c r="CS81" i="6" s="1"/>
  <c r="CR83" i="6"/>
  <c r="CS83" i="6" s="1"/>
  <c r="CP83" i="6"/>
  <c r="CQ83" i="6" s="1"/>
  <c r="CI96" i="6"/>
  <c r="CJ96" i="6" s="1"/>
  <c r="CK96" i="6"/>
  <c r="CL96" i="6" s="1"/>
  <c r="CI99" i="6"/>
  <c r="CJ99" i="6" s="1"/>
  <c r="CK99" i="6"/>
  <c r="CL99" i="6" s="1"/>
  <c r="CK77" i="6"/>
  <c r="CL77" i="6" s="1"/>
  <c r="CI77" i="6"/>
  <c r="CJ77" i="6" s="1"/>
  <c r="BP81" i="6"/>
  <c r="BQ81" i="6" s="1"/>
  <c r="BN81" i="6"/>
  <c r="BO81" i="6" s="1"/>
  <c r="BP83" i="6"/>
  <c r="BQ83" i="6" s="1"/>
  <c r="BN83" i="6"/>
  <c r="BO83" i="6" s="1"/>
  <c r="CK93" i="6"/>
  <c r="CL93" i="6" s="1"/>
  <c r="CI93" i="6"/>
  <c r="CJ93" i="6" s="1"/>
  <c r="CD91" i="6"/>
  <c r="CE91" i="6" s="1"/>
  <c r="CB91" i="6"/>
  <c r="CC91" i="6" s="1"/>
  <c r="CR98" i="6"/>
  <c r="CS98" i="6" s="1"/>
  <c r="CP98" i="6"/>
  <c r="CQ98" i="6" s="1"/>
  <c r="R97" i="6"/>
  <c r="S97" i="6" s="1"/>
  <c r="P97" i="6"/>
  <c r="Q97" i="6" s="1"/>
  <c r="AG97" i="6" s="1"/>
  <c r="BC83" i="6"/>
  <c r="BB83" i="6"/>
  <c r="CI81" i="6"/>
  <c r="CJ81" i="6" s="1"/>
  <c r="CK81" i="6"/>
  <c r="CL81" i="6" s="1"/>
  <c r="CR89" i="6"/>
  <c r="CS89" i="6" s="1"/>
  <c r="CP89" i="6"/>
  <c r="CQ89" i="6" s="1"/>
  <c r="CI94" i="6"/>
  <c r="CJ94" i="6" s="1"/>
  <c r="CK94" i="6"/>
  <c r="CL94" i="6" s="1"/>
  <c r="P100" i="6"/>
  <c r="Q100" i="6" s="1"/>
  <c r="R100" i="6"/>
  <c r="S100" i="6" s="1"/>
  <c r="CP99" i="6"/>
  <c r="CQ99" i="6" s="1"/>
  <c r="CR99" i="6"/>
  <c r="CS99" i="6" s="1"/>
  <c r="CP101" i="6"/>
  <c r="CQ101" i="6" s="1"/>
  <c r="CR101" i="6"/>
  <c r="CS101" i="6" s="1"/>
  <c r="BP82" i="6"/>
  <c r="BQ82" i="6" s="1"/>
  <c r="BN82" i="6"/>
  <c r="BO82" i="6" s="1"/>
  <c r="CK89" i="6"/>
  <c r="CL89" i="6" s="1"/>
  <c r="CI89" i="6"/>
  <c r="CJ89" i="6" s="1"/>
  <c r="CI90" i="6"/>
  <c r="CJ90" i="6" s="1"/>
  <c r="CK90" i="6"/>
  <c r="CL90" i="6" s="1"/>
  <c r="CI100" i="6"/>
  <c r="CJ100" i="6" s="1"/>
  <c r="CK100" i="6"/>
  <c r="CL100" i="6" s="1"/>
  <c r="BU82" i="6"/>
  <c r="BV82" i="6" s="1"/>
  <c r="BW82" i="6"/>
  <c r="BX82" i="6" s="1"/>
  <c r="CK83" i="6"/>
  <c r="CL83" i="6" s="1"/>
  <c r="CI83" i="6"/>
  <c r="CJ83" i="6" s="1"/>
  <c r="CP92" i="6"/>
  <c r="CQ92" i="6" s="1"/>
  <c r="CR92" i="6"/>
  <c r="CS92" i="6" s="1"/>
  <c r="CR91" i="6"/>
  <c r="CS91" i="6" s="1"/>
  <c r="CP91" i="6"/>
  <c r="CQ91" i="6" s="1"/>
  <c r="CI88" i="6"/>
  <c r="CJ88" i="6" s="1"/>
  <c r="CK88" i="6"/>
  <c r="CL88" i="6" s="1"/>
  <c r="CB95" i="6"/>
  <c r="CC95" i="6" s="1"/>
  <c r="CD95" i="6"/>
  <c r="CE95" i="6" s="1"/>
  <c r="CP97" i="6"/>
  <c r="CQ97" i="6" s="1"/>
  <c r="CR97" i="6"/>
  <c r="CS97" i="6" s="1"/>
  <c r="AJ82" i="6"/>
  <c r="AK82" i="6" s="1"/>
  <c r="AL82" i="6"/>
  <c r="AM82" i="6" s="1"/>
  <c r="CD96" i="6"/>
  <c r="CE96" i="6" s="1"/>
  <c r="CB96" i="6"/>
  <c r="CC96" i="6" s="1"/>
  <c r="CD101" i="6"/>
  <c r="CE101" i="6" s="1"/>
  <c r="CB101" i="6"/>
  <c r="CC101" i="6" s="1"/>
  <c r="CP82" i="6"/>
  <c r="CQ82" i="6" s="1"/>
  <c r="CR82" i="6"/>
  <c r="CS82" i="6" s="1"/>
  <c r="BU94" i="6"/>
  <c r="BV94" i="6" s="1"/>
  <c r="BW94" i="6"/>
  <c r="BX94" i="6" s="1"/>
  <c r="CI95" i="6"/>
  <c r="CJ95" i="6" s="1"/>
  <c r="CK95" i="6"/>
  <c r="CL95" i="6" s="1"/>
  <c r="CD97" i="6"/>
  <c r="CE97" i="6" s="1"/>
  <c r="CB97" i="6"/>
  <c r="CC97" i="6" s="1"/>
  <c r="CK101" i="6"/>
  <c r="CL101" i="6" s="1"/>
  <c r="CI101" i="6"/>
  <c r="CJ101" i="6" s="1"/>
  <c r="CD82" i="6"/>
  <c r="CE82" i="6" s="1"/>
  <c r="CB82" i="6"/>
  <c r="CC82" i="6" s="1"/>
  <c r="P89" i="6"/>
  <c r="Q89" i="6" s="1"/>
  <c r="AG89" i="6" s="1"/>
  <c r="R89" i="6"/>
  <c r="S89" i="6" s="1"/>
  <c r="BU91" i="6"/>
  <c r="BV91" i="6" s="1"/>
  <c r="BW91" i="6"/>
  <c r="BX91" i="6" s="1"/>
  <c r="BW98" i="6"/>
  <c r="BX98" i="6" s="1"/>
  <c r="BU98" i="6"/>
  <c r="BV98" i="6" s="1"/>
  <c r="R80" i="6"/>
  <c r="S80" i="6" s="1"/>
  <c r="BK80" i="6" s="1"/>
  <c r="P80" i="6"/>
  <c r="Q80" i="6" s="1"/>
  <c r="BA80" i="6" s="1"/>
  <c r="AV81" i="6"/>
  <c r="AW81" i="6" s="1"/>
  <c r="AT81" i="6"/>
  <c r="AU81" i="6" s="1"/>
  <c r="AT83" i="6"/>
  <c r="AU83" i="6" s="1"/>
  <c r="AV83" i="6"/>
  <c r="AW83" i="6" s="1"/>
  <c r="CK92" i="6"/>
  <c r="CL92" i="6" s="1"/>
  <c r="CI92" i="6"/>
  <c r="CJ92" i="6" s="1"/>
  <c r="BU85" i="6"/>
  <c r="BV85" i="6" s="1"/>
  <c r="BW85" i="6"/>
  <c r="BX85" i="6" s="1"/>
  <c r="CI91" i="6"/>
  <c r="CJ91" i="6" s="1"/>
  <c r="CK91" i="6"/>
  <c r="CL91" i="6" s="1"/>
  <c r="CR88" i="6"/>
  <c r="CS88" i="6" s="1"/>
  <c r="CP88" i="6"/>
  <c r="CQ88" i="6" s="1"/>
  <c r="CB94" i="6"/>
  <c r="CC94" i="6" s="1"/>
  <c r="CD94" i="6"/>
  <c r="CE94" i="6" s="1"/>
  <c r="AI81" i="6"/>
  <c r="AH81" i="6"/>
  <c r="CR80" i="6"/>
  <c r="CS80" i="6" s="1"/>
  <c r="CP80" i="6"/>
  <c r="CQ80" i="6" s="1"/>
  <c r="Z82" i="6"/>
  <c r="AA82" i="6" s="1"/>
  <c r="AB82" i="6"/>
  <c r="AC82" i="6" s="1"/>
  <c r="BW87" i="6"/>
  <c r="BX87" i="6" s="1"/>
  <c r="BU87" i="6"/>
  <c r="BV87" i="6" s="1"/>
  <c r="CI97" i="6"/>
  <c r="CJ97" i="6" s="1"/>
  <c r="CK97" i="6"/>
  <c r="CL97" i="6" s="1"/>
  <c r="CK75" i="6"/>
  <c r="CL75" i="6" s="1"/>
  <c r="CI75" i="6"/>
  <c r="CJ75" i="6" s="1"/>
  <c r="R84" i="6"/>
  <c r="S84" i="6" s="1"/>
  <c r="P84" i="6"/>
  <c r="Q84" i="6" s="1"/>
  <c r="P88" i="6"/>
  <c r="Q88" i="6" s="1"/>
  <c r="R88" i="6"/>
  <c r="S88" i="6" s="1"/>
  <c r="CR93" i="6"/>
  <c r="CS93" i="6" s="1"/>
  <c r="CP93" i="6"/>
  <c r="CQ93" i="6" s="1"/>
  <c r="R95" i="6"/>
  <c r="S95" i="6" s="1"/>
  <c r="P95" i="6"/>
  <c r="Q95" i="6" s="1"/>
  <c r="P90" i="6"/>
  <c r="Q90" i="6" s="1"/>
  <c r="R90" i="6"/>
  <c r="S90" i="6" s="1"/>
  <c r="BU88" i="6"/>
  <c r="BV88" i="6" s="1"/>
  <c r="BW88" i="6"/>
  <c r="BX88" i="6" s="1"/>
  <c r="R101" i="6"/>
  <c r="S101" i="6" s="1"/>
  <c r="P101" i="6"/>
  <c r="Q101" i="6" s="1"/>
  <c r="P99" i="6"/>
  <c r="Q99" i="6" s="1"/>
  <c r="AQ99" i="6" s="1"/>
  <c r="R99" i="6"/>
  <c r="S99" i="6" s="1"/>
  <c r="CP100" i="6"/>
  <c r="CQ100" i="6" s="1"/>
  <c r="CR100" i="6"/>
  <c r="CS100" i="6" s="1"/>
  <c r="Z81" i="6"/>
  <c r="AA81" i="6" s="1"/>
  <c r="AB81" i="6"/>
  <c r="AC81" i="6" s="1"/>
  <c r="Z83" i="6"/>
  <c r="AA83" i="6" s="1"/>
  <c r="AB83" i="6"/>
  <c r="AC83" i="6" s="1"/>
  <c r="BC82" i="6"/>
  <c r="BB82" i="6"/>
  <c r="CD83" i="6"/>
  <c r="CE83" i="6" s="1"/>
  <c r="CB83" i="6"/>
  <c r="CC83" i="6" s="1"/>
  <c r="BW81" i="6"/>
  <c r="BX81" i="6" s="1"/>
  <c r="BU81" i="6"/>
  <c r="BV81" i="6" s="1"/>
  <c r="BW83" i="6"/>
  <c r="BX83" i="6" s="1"/>
  <c r="BU83" i="6"/>
  <c r="BV83" i="6" s="1"/>
  <c r="CD89" i="6"/>
  <c r="CE89" i="6" s="1"/>
  <c r="CB89" i="6"/>
  <c r="CC89" i="6" s="1"/>
  <c r="BU93" i="6"/>
  <c r="BV93" i="6" s="1"/>
  <c r="BW93" i="6"/>
  <c r="BX93" i="6" s="1"/>
  <c r="BU92" i="6"/>
  <c r="BV92" i="6" s="1"/>
  <c r="BW92" i="6"/>
  <c r="BX92" i="6" s="1"/>
  <c r="CD90" i="6"/>
  <c r="CE90" i="6" s="1"/>
  <c r="CB90" i="6"/>
  <c r="CC90" i="6" s="1"/>
  <c r="CP96" i="6"/>
  <c r="CQ96" i="6" s="1"/>
  <c r="CR96" i="6"/>
  <c r="CS96" i="6" s="1"/>
  <c r="AJ83" i="6"/>
  <c r="AK83" i="6" s="1"/>
  <c r="AL83" i="6"/>
  <c r="AM83" i="6" s="1"/>
  <c r="CB67" i="6"/>
  <c r="CC67" i="6" s="1"/>
  <c r="CD67" i="6"/>
  <c r="CE67" i="6" s="1"/>
  <c r="BW69" i="6"/>
  <c r="BX69" i="6" s="1"/>
  <c r="BU69" i="6"/>
  <c r="BV69" i="6" s="1"/>
  <c r="P72" i="6"/>
  <c r="Q72" i="6" s="1"/>
  <c r="R72" i="6"/>
  <c r="S72" i="6" s="1"/>
  <c r="CR74" i="6"/>
  <c r="CS74" i="6" s="1"/>
  <c r="CP74" i="6"/>
  <c r="CQ74" i="6" s="1"/>
  <c r="CK79" i="6"/>
  <c r="CL79" i="6" s="1"/>
  <c r="CI79" i="6"/>
  <c r="CJ79" i="6" s="1"/>
  <c r="CI70" i="6"/>
  <c r="CJ70" i="6" s="1"/>
  <c r="CK70" i="6"/>
  <c r="CL70" i="6" s="1"/>
  <c r="R75" i="6"/>
  <c r="S75" i="6" s="1"/>
  <c r="P75" i="6"/>
  <c r="Q75" i="6" s="1"/>
  <c r="W75" i="6" s="1"/>
  <c r="CI66" i="6"/>
  <c r="CJ66" i="6" s="1"/>
  <c r="CK66" i="6"/>
  <c r="CL66" i="6" s="1"/>
  <c r="CD70" i="6"/>
  <c r="CE70" i="6" s="1"/>
  <c r="CB70" i="6"/>
  <c r="CC70" i="6" s="1"/>
  <c r="CR69" i="6"/>
  <c r="CS69" i="6" s="1"/>
  <c r="CP69" i="6"/>
  <c r="CQ69" i="6" s="1"/>
  <c r="R70" i="6"/>
  <c r="S70" i="6" s="1"/>
  <c r="P70" i="6"/>
  <c r="Q70" i="6" s="1"/>
  <c r="CD68" i="6"/>
  <c r="CE68" i="6" s="1"/>
  <c r="CB68" i="6"/>
  <c r="CC68" i="6" s="1"/>
  <c r="BU71" i="6"/>
  <c r="BV71" i="6" s="1"/>
  <c r="BW71" i="6"/>
  <c r="BX71" i="6" s="1"/>
  <c r="CK72" i="6"/>
  <c r="CL72" i="6" s="1"/>
  <c r="CI72" i="6"/>
  <c r="CJ72" i="6" s="1"/>
  <c r="CD71" i="6"/>
  <c r="CE71" i="6" s="1"/>
  <c r="CB71" i="6"/>
  <c r="CC71" i="6" s="1"/>
  <c r="CP72" i="6"/>
  <c r="CQ72" i="6" s="1"/>
  <c r="CR72" i="6"/>
  <c r="CS72" i="6" s="1"/>
  <c r="CD102" i="6"/>
  <c r="CE102" i="6" s="1"/>
  <c r="CB102" i="6"/>
  <c r="CC102" i="6" s="1"/>
  <c r="CD66" i="6"/>
  <c r="CE66" i="6" s="1"/>
  <c r="CB66" i="6"/>
  <c r="CC66" i="6" s="1"/>
  <c r="CI55" i="6"/>
  <c r="CJ55" i="6" s="1"/>
  <c r="CK55" i="6"/>
  <c r="CL55" i="6" s="1"/>
  <c r="BU68" i="6"/>
  <c r="BV68" i="6" s="1"/>
  <c r="BW68" i="6"/>
  <c r="BX68" i="6" s="1"/>
  <c r="CI73" i="6"/>
  <c r="CJ73" i="6" s="1"/>
  <c r="CK73" i="6"/>
  <c r="CL73" i="6" s="1"/>
  <c r="R68" i="6"/>
  <c r="S68" i="6" s="1"/>
  <c r="P68" i="6"/>
  <c r="Q68" i="6" s="1"/>
  <c r="R74" i="6"/>
  <c r="S74" i="6" s="1"/>
  <c r="P74" i="6"/>
  <c r="Q74" i="6" s="1"/>
  <c r="P102" i="6"/>
  <c r="Q102" i="6" s="1"/>
  <c r="R102" i="6"/>
  <c r="S102" i="6" s="1"/>
  <c r="CB73" i="6"/>
  <c r="CC73" i="6" s="1"/>
  <c r="CD73" i="6"/>
  <c r="CE73" i="6" s="1"/>
  <c r="CD103" i="6"/>
  <c r="CE103" i="6" s="1"/>
  <c r="CB103" i="6"/>
  <c r="CC103" i="6" s="1"/>
  <c r="P67" i="6"/>
  <c r="Q67" i="6" s="1"/>
  <c r="W67" i="6" s="1"/>
  <c r="R67" i="6"/>
  <c r="S67" i="6" s="1"/>
  <c r="CR73" i="6"/>
  <c r="CS73" i="6" s="1"/>
  <c r="CP73" i="6"/>
  <c r="CQ73" i="6" s="1"/>
  <c r="R79" i="6"/>
  <c r="S79" i="6" s="1"/>
  <c r="BA79" i="6" s="1"/>
  <c r="P79" i="6"/>
  <c r="Q79" i="6" s="1"/>
  <c r="CP79" i="6"/>
  <c r="CQ79" i="6" s="1"/>
  <c r="CR79" i="6"/>
  <c r="CS79" i="6" s="1"/>
  <c r="CP103" i="6"/>
  <c r="CQ103" i="6" s="1"/>
  <c r="CR103" i="6"/>
  <c r="CS103" i="6" s="1"/>
  <c r="CI68" i="6"/>
  <c r="CJ68" i="6" s="1"/>
  <c r="CK68" i="6"/>
  <c r="CL68" i="6" s="1"/>
  <c r="CK102" i="6"/>
  <c r="CL102" i="6" s="1"/>
  <c r="CI102" i="6"/>
  <c r="CJ102" i="6" s="1"/>
  <c r="CB72" i="6"/>
  <c r="CC72" i="6" s="1"/>
  <c r="CD72" i="6"/>
  <c r="CE72" i="6" s="1"/>
  <c r="BU67" i="6"/>
  <c r="BV67" i="6" s="1"/>
  <c r="BW67" i="6"/>
  <c r="BX67" i="6" s="1"/>
  <c r="CP66" i="6"/>
  <c r="CQ66" i="6" s="1"/>
  <c r="CR66" i="6"/>
  <c r="CS66" i="6" s="1"/>
  <c r="R71" i="6"/>
  <c r="S71" i="6" s="1"/>
  <c r="P71" i="6"/>
  <c r="Q71" i="6" s="1"/>
  <c r="BU72" i="6"/>
  <c r="BV72" i="6" s="1"/>
  <c r="BW72" i="6"/>
  <c r="BX72" i="6" s="1"/>
  <c r="CP71" i="6"/>
  <c r="CQ71" i="6" s="1"/>
  <c r="CR71" i="6"/>
  <c r="CS71" i="6" s="1"/>
  <c r="R77" i="6"/>
  <c r="S77" i="6" s="1"/>
  <c r="P77" i="6"/>
  <c r="Q77" i="6" s="1"/>
  <c r="R73" i="6"/>
  <c r="S73" i="6" s="1"/>
  <c r="P73" i="6"/>
  <c r="Q73" i="6" s="1"/>
  <c r="CI78" i="6"/>
  <c r="CJ78" i="6" s="1"/>
  <c r="CK78" i="6"/>
  <c r="CL78" i="6" s="1"/>
  <c r="CK103" i="6"/>
  <c r="CL103" i="6" s="1"/>
  <c r="CI103" i="6"/>
  <c r="CJ103" i="6" s="1"/>
  <c r="CP68" i="6"/>
  <c r="CQ68" i="6" s="1"/>
  <c r="CR68" i="6"/>
  <c r="CS68" i="6" s="1"/>
  <c r="P69" i="6"/>
  <c r="Q69" i="6" s="1"/>
  <c r="AQ69" i="6" s="1"/>
  <c r="R69" i="6"/>
  <c r="S69" i="6" s="1"/>
  <c r="R76" i="6"/>
  <c r="S76" i="6" s="1"/>
  <c r="P76" i="6"/>
  <c r="Q76" i="6" s="1"/>
  <c r="R103" i="6"/>
  <c r="S103" i="6" s="1"/>
  <c r="W103" i="6" s="1"/>
  <c r="P103" i="6"/>
  <c r="Q103" i="6" s="1"/>
  <c r="P66" i="6"/>
  <c r="Q66" i="6" s="1"/>
  <c r="R66" i="6"/>
  <c r="S66" i="6" s="1"/>
  <c r="CP70" i="6"/>
  <c r="CQ70" i="6" s="1"/>
  <c r="CR70" i="6"/>
  <c r="CS70" i="6" s="1"/>
  <c r="BW73" i="6"/>
  <c r="BX73" i="6" s="1"/>
  <c r="BU73" i="6"/>
  <c r="BV73" i="6" s="1"/>
  <c r="CK74" i="6"/>
  <c r="CL74" i="6" s="1"/>
  <c r="CI74" i="6"/>
  <c r="CJ74" i="6" s="1"/>
  <c r="R78" i="6"/>
  <c r="S78" i="6" s="1"/>
  <c r="P78" i="6"/>
  <c r="Q78" i="6" s="1"/>
  <c r="CB69" i="6"/>
  <c r="CC69" i="6" s="1"/>
  <c r="CD69" i="6"/>
  <c r="CE69" i="6" s="1"/>
  <c r="CD79" i="6"/>
  <c r="CE79" i="6" s="1"/>
  <c r="CB79" i="6"/>
  <c r="CC79" i="6" s="1"/>
  <c r="CI71" i="6"/>
  <c r="CJ71" i="6" s="1"/>
  <c r="CK71" i="6"/>
  <c r="CL71" i="6" s="1"/>
  <c r="CP102" i="6"/>
  <c r="CQ102" i="6" s="1"/>
  <c r="CR102" i="6"/>
  <c r="CS102" i="6" s="1"/>
  <c r="AS55" i="6"/>
  <c r="AR55" i="6"/>
  <c r="W53" i="6"/>
  <c r="AQ53" i="6"/>
  <c r="BK53" i="6"/>
  <c r="AI50" i="6"/>
  <c r="AH50" i="6"/>
  <c r="AT50" i="6"/>
  <c r="AU50" i="6" s="1"/>
  <c r="AV50" i="6"/>
  <c r="AW50" i="6" s="1"/>
  <c r="CP51" i="6"/>
  <c r="CQ51" i="6" s="1"/>
  <c r="CR51" i="6"/>
  <c r="CS51" i="6" s="1"/>
  <c r="CR53" i="6"/>
  <c r="CS53" i="6" s="1"/>
  <c r="CP53" i="6"/>
  <c r="CQ53" i="6" s="1"/>
  <c r="CP57" i="6"/>
  <c r="CQ57" i="6" s="1"/>
  <c r="CR57" i="6"/>
  <c r="CS57" i="6" s="1"/>
  <c r="CP59" i="6"/>
  <c r="CQ59" i="6" s="1"/>
  <c r="CR59" i="6"/>
  <c r="CS59" i="6" s="1"/>
  <c r="AI51" i="6"/>
  <c r="AH51" i="6"/>
  <c r="BC51" i="6"/>
  <c r="BB51" i="6"/>
  <c r="CI58" i="6"/>
  <c r="CJ58" i="6" s="1"/>
  <c r="CK58" i="6"/>
  <c r="CL58" i="6" s="1"/>
  <c r="AR52" i="6"/>
  <c r="AS52" i="6"/>
  <c r="BN50" i="6"/>
  <c r="BO50" i="6" s="1"/>
  <c r="BP50" i="6"/>
  <c r="BQ50" i="6" s="1"/>
  <c r="BL52" i="6"/>
  <c r="BM52" i="6"/>
  <c r="CB57" i="6"/>
  <c r="CC57" i="6" s="1"/>
  <c r="CD57" i="6"/>
  <c r="CE57" i="6" s="1"/>
  <c r="AI52" i="6"/>
  <c r="AH52" i="6"/>
  <c r="CI53" i="6"/>
  <c r="CJ53" i="6" s="1"/>
  <c r="CK53" i="6"/>
  <c r="CL53" i="6" s="1"/>
  <c r="R54" i="6"/>
  <c r="S54" i="6" s="1"/>
  <c r="P54" i="6"/>
  <c r="Q54" i="6" s="1"/>
  <c r="R59" i="6"/>
  <c r="S59" i="6" s="1"/>
  <c r="P59" i="6"/>
  <c r="Q59" i="6" s="1"/>
  <c r="BA59" i="6" s="1"/>
  <c r="X52" i="6"/>
  <c r="Y52" i="6"/>
  <c r="AB50" i="6"/>
  <c r="AC50" i="6" s="1"/>
  <c r="Z50" i="6"/>
  <c r="AA50" i="6" s="1"/>
  <c r="AI55" i="6"/>
  <c r="AH55" i="6"/>
  <c r="BC52" i="6"/>
  <c r="BB52" i="6"/>
  <c r="P56" i="6"/>
  <c r="Q56" i="6" s="1"/>
  <c r="R56" i="6"/>
  <c r="S56" i="6" s="1"/>
  <c r="Z51" i="6"/>
  <c r="AA51" i="6" s="1"/>
  <c r="AB51" i="6"/>
  <c r="AC51" i="6" s="1"/>
  <c r="R57" i="6"/>
  <c r="S57" i="6" s="1"/>
  <c r="P57" i="6"/>
  <c r="Q57" i="6" s="1"/>
  <c r="CP58" i="6"/>
  <c r="CQ58" i="6" s="1"/>
  <c r="CR58" i="6"/>
  <c r="CS58" i="6" s="1"/>
  <c r="CD58" i="6"/>
  <c r="CE58" i="6" s="1"/>
  <c r="CB58" i="6"/>
  <c r="CC58" i="6" s="1"/>
  <c r="CK59" i="6"/>
  <c r="CL59" i="6" s="1"/>
  <c r="CI59" i="6"/>
  <c r="CJ59" i="6" s="1"/>
  <c r="BA53" i="6"/>
  <c r="CI57" i="6"/>
  <c r="CJ57" i="6" s="1"/>
  <c r="CK57" i="6"/>
  <c r="CL57" i="6" s="1"/>
  <c r="W55" i="6"/>
  <c r="BP51" i="6"/>
  <c r="BQ51" i="6" s="1"/>
  <c r="BN51" i="6"/>
  <c r="BO51" i="6" s="1"/>
  <c r="BC55" i="6"/>
  <c r="BB55" i="6"/>
  <c r="BU57" i="6"/>
  <c r="BV57" i="6" s="1"/>
  <c r="BW57" i="6"/>
  <c r="BX57" i="6" s="1"/>
  <c r="CK56" i="6"/>
  <c r="CL56" i="6" s="1"/>
  <c r="CI56" i="6"/>
  <c r="CJ56" i="6" s="1"/>
  <c r="BC50" i="6"/>
  <c r="BB50" i="6"/>
  <c r="AV51" i="6"/>
  <c r="AW51" i="6" s="1"/>
  <c r="AT51" i="6"/>
  <c r="AU51" i="6" s="1"/>
  <c r="BL55" i="6"/>
  <c r="BM55" i="6"/>
  <c r="AG53" i="6"/>
  <c r="R58" i="6"/>
  <c r="S58" i="6" s="1"/>
  <c r="P58" i="6"/>
  <c r="Q58" i="6" s="1"/>
  <c r="CD59" i="6"/>
  <c r="CE59" i="6" s="1"/>
  <c r="CB59" i="6"/>
  <c r="CC59" i="6" s="1"/>
  <c r="E2" i="13"/>
  <c r="E48" i="13"/>
  <c r="E46" i="13"/>
  <c r="E44" i="13"/>
  <c r="E42" i="13"/>
  <c r="E40" i="13"/>
  <c r="E38" i="13"/>
  <c r="E36" i="13"/>
  <c r="E34" i="13"/>
  <c r="E32" i="13"/>
  <c r="E30" i="13"/>
  <c r="E28" i="13"/>
  <c r="E26" i="13"/>
  <c r="E24" i="13"/>
  <c r="E22" i="13"/>
  <c r="E20" i="13"/>
  <c r="E18" i="13"/>
  <c r="E16" i="13"/>
  <c r="E14" i="13"/>
  <c r="E12" i="13"/>
  <c r="E10" i="13"/>
  <c r="E8" i="13"/>
  <c r="E6" i="13"/>
  <c r="E4" i="13"/>
  <c r="E49" i="13"/>
  <c r="E47" i="13"/>
  <c r="E45" i="13"/>
  <c r="E43" i="13"/>
  <c r="E41" i="13"/>
  <c r="E39" i="13"/>
  <c r="E37" i="13"/>
  <c r="E35" i="13"/>
  <c r="E33" i="13"/>
  <c r="E31" i="13"/>
  <c r="E29" i="13"/>
  <c r="E27" i="13"/>
  <c r="E25" i="13"/>
  <c r="E23" i="13"/>
  <c r="E21" i="13"/>
  <c r="E19" i="13"/>
  <c r="E17" i="13"/>
  <c r="E15" i="13"/>
  <c r="E13" i="13"/>
  <c r="E11" i="13"/>
  <c r="E9" i="13"/>
  <c r="E7" i="13"/>
  <c r="E5" i="13"/>
  <c r="E3" i="13"/>
  <c r="T5" i="13"/>
  <c r="T13" i="13"/>
  <c r="T10" i="13"/>
  <c r="T29" i="13"/>
  <c r="T41" i="13"/>
  <c r="T46" i="13"/>
  <c r="T3" i="13"/>
  <c r="T7" i="13"/>
  <c r="T15" i="13"/>
  <c r="T27" i="13"/>
  <c r="T31" i="13"/>
  <c r="T39" i="13"/>
  <c r="T12" i="13"/>
  <c r="T16" i="13"/>
  <c r="T28" i="13"/>
  <c r="T36" i="13"/>
  <c r="T40" i="13"/>
  <c r="T44" i="13"/>
  <c r="T48" i="13"/>
  <c r="AA36" i="13"/>
  <c r="AX39" i="2" s="1"/>
  <c r="AZ39" i="2" s="1"/>
  <c r="X45" i="13"/>
  <c r="AK46" i="2" s="1"/>
  <c r="AM46" i="2" s="1"/>
  <c r="X16" i="13"/>
  <c r="AK17" i="2" s="1"/>
  <c r="AL17" i="2" s="1"/>
  <c r="AA39" i="13"/>
  <c r="AX36" i="2" s="1"/>
  <c r="AZ36" i="2" s="1"/>
  <c r="X43" i="13"/>
  <c r="AK44" i="2" s="1"/>
  <c r="AM44" i="2" s="1"/>
  <c r="AA14" i="13"/>
  <c r="AX15" i="2" s="1"/>
  <c r="AY15" i="2" s="1"/>
  <c r="X35" i="13"/>
  <c r="AK38" i="2" s="1"/>
  <c r="AL38" i="2" s="1"/>
  <c r="AA6" i="13"/>
  <c r="AX4" i="2" s="1"/>
  <c r="AZ4" i="2" s="1"/>
  <c r="T22" i="13"/>
  <c r="O23" i="2" s="1"/>
  <c r="S23" i="2" s="1"/>
  <c r="X26" i="13"/>
  <c r="AK27" i="2" s="1"/>
  <c r="AM27" i="2" s="1"/>
  <c r="AA15" i="13"/>
  <c r="AX16" i="2" s="1"/>
  <c r="X34" i="13"/>
  <c r="AK40" i="2" s="1"/>
  <c r="AL40" i="2" s="1"/>
  <c r="AA5" i="13"/>
  <c r="AX8" i="2" s="1"/>
  <c r="AA16" i="13"/>
  <c r="AX17" i="2" s="1"/>
  <c r="AZ17" i="2" s="1"/>
  <c r="X40" i="13"/>
  <c r="AK37" i="2" s="1"/>
  <c r="AL37" i="2" s="1"/>
  <c r="X49" i="13"/>
  <c r="AK50" i="2" s="1"/>
  <c r="AM50" i="2" s="1"/>
  <c r="AA38" i="13"/>
  <c r="AX42" i="2" s="1"/>
  <c r="AZ42" i="2" s="1"/>
  <c r="AA44" i="13"/>
  <c r="AX45" i="2" s="1"/>
  <c r="AA34" i="13"/>
  <c r="AX40" i="2" s="1"/>
  <c r="T6" i="13"/>
  <c r="AA17" i="13"/>
  <c r="AX14" i="2" s="1"/>
  <c r="AZ14" i="2" s="1"/>
  <c r="X21" i="13"/>
  <c r="AK22" i="2" s="1"/>
  <c r="AM22" i="2" s="1"/>
  <c r="AA33" i="13"/>
  <c r="AX31" i="2" s="1"/>
  <c r="AY31" i="2" s="1"/>
  <c r="AA3" i="13"/>
  <c r="AX6" i="2" s="1"/>
  <c r="AZ6" i="2" s="1"/>
  <c r="AA41" i="13"/>
  <c r="AX35" i="2" s="1"/>
  <c r="X17" i="13"/>
  <c r="AK14" i="2" s="1"/>
  <c r="AA40" i="13"/>
  <c r="AX37" i="2" s="1"/>
  <c r="AA49" i="13"/>
  <c r="AX50" i="2" s="1"/>
  <c r="X6" i="13"/>
  <c r="AK4" i="2" s="1"/>
  <c r="X13" i="13"/>
  <c r="AK18" i="2" s="1"/>
  <c r="T17" i="13"/>
  <c r="O14" i="2" s="1"/>
  <c r="AA31" i="13"/>
  <c r="AX32" i="2" s="1"/>
  <c r="AA35" i="13"/>
  <c r="AX38" i="2" s="1"/>
  <c r="T47" i="13"/>
  <c r="O47" i="2" s="1"/>
  <c r="AA8" i="13"/>
  <c r="AX5" i="2" s="1"/>
  <c r="AA19" i="13"/>
  <c r="AX20" i="2" s="1"/>
  <c r="T45" i="13"/>
  <c r="O46" i="2" s="1"/>
  <c r="X4" i="13"/>
  <c r="AK7" i="2" s="1"/>
  <c r="X15" i="13"/>
  <c r="AK16" i="2" s="1"/>
  <c r="X28" i="13"/>
  <c r="AK29" i="2" s="1"/>
  <c r="X39" i="13"/>
  <c r="AK36" i="2" s="1"/>
  <c r="T49" i="13"/>
  <c r="X12" i="13"/>
  <c r="AK13" i="2" s="1"/>
  <c r="AA26" i="13"/>
  <c r="AX27" i="2" s="1"/>
  <c r="AA37" i="13"/>
  <c r="AX41" i="2" s="1"/>
  <c r="X42" i="13"/>
  <c r="AK43" i="2" s="1"/>
  <c r="AA4" i="13"/>
  <c r="AX7" i="2" s="1"/>
  <c r="X8" i="13"/>
  <c r="AK5" i="2" s="1"/>
  <c r="AA13" i="13"/>
  <c r="AX18" i="2" s="1"/>
  <c r="AA28" i="13"/>
  <c r="AX29" i="2" s="1"/>
  <c r="AA32" i="13"/>
  <c r="AX34" i="2" s="1"/>
  <c r="T38" i="13"/>
  <c r="X47" i="13"/>
  <c r="AK47" i="2" s="1"/>
  <c r="X2" i="13"/>
  <c r="AK9" i="2" s="1"/>
  <c r="AA7" i="13"/>
  <c r="AX3" i="2" s="1"/>
  <c r="X20" i="13"/>
  <c r="AK21" i="2" s="1"/>
  <c r="T33" i="13"/>
  <c r="O31" i="2" s="1"/>
  <c r="AA42" i="13"/>
  <c r="AX43" i="2" s="1"/>
  <c r="T8" i="13"/>
  <c r="T14" i="13"/>
  <c r="O15" i="2" s="1"/>
  <c r="T21" i="13"/>
  <c r="O22" i="2" s="1"/>
  <c r="X32" i="13"/>
  <c r="AK34" i="2" s="1"/>
  <c r="X36" i="13"/>
  <c r="AK39" i="2" s="1"/>
  <c r="T43" i="13"/>
  <c r="AA47" i="13"/>
  <c r="AX47" i="2" s="1"/>
  <c r="T26" i="13"/>
  <c r="X46" i="13"/>
  <c r="AK48" i="2" s="1"/>
  <c r="AA18" i="13"/>
  <c r="AX19" i="2" s="1"/>
  <c r="X30" i="13"/>
  <c r="AK30" i="2" s="1"/>
  <c r="T42" i="13"/>
  <c r="X7" i="13"/>
  <c r="AK3" i="2" s="1"/>
  <c r="X27" i="13"/>
  <c r="AK28" i="2" s="1"/>
  <c r="AA43" i="13"/>
  <c r="AX44" i="2" s="1"/>
  <c r="X5" i="13"/>
  <c r="AK8" i="2" s="1"/>
  <c r="T9" i="13"/>
  <c r="O10" i="2" s="1"/>
  <c r="X14" i="13"/>
  <c r="AK15" i="2" s="1"/>
  <c r="X29" i="13"/>
  <c r="AK33" i="2" s="1"/>
  <c r="T34" i="13"/>
  <c r="O40" i="2" s="1"/>
  <c r="AA48" i="13"/>
  <c r="AX49" i="2" s="1"/>
  <c r="AA45" i="13"/>
  <c r="AX46" i="2" s="1"/>
  <c r="X31" i="13"/>
  <c r="AK32" i="2" s="1"/>
  <c r="AA11" i="13"/>
  <c r="AX12" i="2" s="1"/>
  <c r="X3" i="13"/>
  <c r="AK6" i="2" s="1"/>
  <c r="X33" i="13"/>
  <c r="AK31" i="2" s="1"/>
  <c r="AA10" i="13"/>
  <c r="AX11" i="2" s="1"/>
  <c r="X37" i="13"/>
  <c r="AK41" i="2" s="1"/>
  <c r="X10" i="13"/>
  <c r="AK11" i="2" s="1"/>
  <c r="T32" i="13"/>
  <c r="O34" i="2" s="1"/>
  <c r="T4" i="13"/>
  <c r="X38" i="13"/>
  <c r="AK42" i="2" s="1"/>
  <c r="AA12" i="13"/>
  <c r="AX13" i="2" s="1"/>
  <c r="AA46" i="13"/>
  <c r="AX48" i="2" s="1"/>
  <c r="AA27" i="13"/>
  <c r="AX28" i="2" s="1"/>
  <c r="AZ15" i="2"/>
  <c r="AL27" i="2"/>
  <c r="X41" i="13"/>
  <c r="AK35" i="2" s="1"/>
  <c r="AA30" i="13"/>
  <c r="AX30" i="2" s="1"/>
  <c r="T11" i="13"/>
  <c r="X44" i="13"/>
  <c r="AK45" i="2" s="1"/>
  <c r="T30" i="13"/>
  <c r="X9" i="13"/>
  <c r="AK10" i="2" s="1"/>
  <c r="T35" i="13"/>
  <c r="O38" i="2" s="1"/>
  <c r="AA9" i="13"/>
  <c r="AX10" i="2" s="1"/>
  <c r="X48" i="13"/>
  <c r="AK49" i="2" s="1"/>
  <c r="T37" i="13"/>
  <c r="AA29" i="13"/>
  <c r="AX33" i="2" s="1"/>
  <c r="X11" i="13"/>
  <c r="AK12" i="2" s="1"/>
  <c r="X22" i="13"/>
  <c r="AK23" i="2" s="1"/>
  <c r="AA2" i="13"/>
  <c r="AX9" i="2" s="1"/>
  <c r="Z21" i="13"/>
  <c r="AA21" i="13" s="1"/>
  <c r="AX22" i="2" s="1"/>
  <c r="Y21" i="13"/>
  <c r="W25" i="13"/>
  <c r="X25" i="13" s="1"/>
  <c r="AK26" i="2" s="1"/>
  <c r="Z25" i="13"/>
  <c r="AA25" i="13" s="1"/>
  <c r="AX26" i="2" s="1"/>
  <c r="V25" i="13"/>
  <c r="Y25" i="13"/>
  <c r="T25" i="13"/>
  <c r="U25" i="13" s="1"/>
  <c r="P26" i="2" s="1"/>
  <c r="Y20" i="13"/>
  <c r="T20" i="13"/>
  <c r="U20" i="13" s="1"/>
  <c r="P21" i="2" s="1"/>
  <c r="Z20" i="13"/>
  <c r="AA20" i="13" s="1"/>
  <c r="AX21" i="2" s="1"/>
  <c r="T2" i="13"/>
  <c r="T18" i="13"/>
  <c r="U18" i="13" s="1"/>
  <c r="P19" i="2" s="1"/>
  <c r="W18" i="13"/>
  <c r="X18" i="13" s="1"/>
  <c r="AK19" i="2" s="1"/>
  <c r="V18" i="13"/>
  <c r="Z22" i="13"/>
  <c r="AA22" i="13" s="1"/>
  <c r="AX23" i="2" s="1"/>
  <c r="Y22" i="13"/>
  <c r="Z24" i="13"/>
  <c r="AA24" i="13" s="1"/>
  <c r="AX25" i="2" s="1"/>
  <c r="Y24" i="13"/>
  <c r="T24" i="13"/>
  <c r="U24" i="13" s="1"/>
  <c r="P25" i="2" s="1"/>
  <c r="W24" i="13"/>
  <c r="X24" i="13" s="1"/>
  <c r="AK25" i="2" s="1"/>
  <c r="V24" i="13"/>
  <c r="W19" i="13"/>
  <c r="X19" i="13" s="1"/>
  <c r="AK20" i="2" s="1"/>
  <c r="V19" i="13"/>
  <c r="T19" i="13"/>
  <c r="U19" i="13" s="1"/>
  <c r="P20" i="2" s="1"/>
  <c r="W23" i="13"/>
  <c r="X23" i="13" s="1"/>
  <c r="AK24" i="2" s="1"/>
  <c r="Z23" i="13"/>
  <c r="AA23" i="13" s="1"/>
  <c r="AX24" i="2" s="1"/>
  <c r="V23" i="13"/>
  <c r="Y23" i="13"/>
  <c r="T23" i="13"/>
  <c r="U23" i="13" s="1"/>
  <c r="P24" i="2" s="1"/>
  <c r="D34" i="2"/>
  <c r="D8" i="2"/>
  <c r="D18" i="2"/>
  <c r="D50" i="2"/>
  <c r="D37" i="2"/>
  <c r="D21" i="2"/>
  <c r="D33" i="2"/>
  <c r="D10" i="2"/>
  <c r="D17" i="2"/>
  <c r="D45" i="2"/>
  <c r="D42" i="2"/>
  <c r="D26" i="2"/>
  <c r="D32" i="2"/>
  <c r="D7" i="2"/>
  <c r="D13" i="2"/>
  <c r="D49" i="2"/>
  <c r="D36" i="2"/>
  <c r="D20" i="2"/>
  <c r="D29" i="2"/>
  <c r="D5" i="2"/>
  <c r="D16" i="2"/>
  <c r="D44" i="2"/>
  <c r="D41" i="2"/>
  <c r="D25" i="2"/>
  <c r="D31" i="2"/>
  <c r="D4" i="2"/>
  <c r="D12" i="2"/>
  <c r="D48" i="2"/>
  <c r="D40" i="2"/>
  <c r="D24" i="2"/>
  <c r="D28" i="2"/>
  <c r="D6" i="2"/>
  <c r="D15" i="2"/>
  <c r="D43" i="2"/>
  <c r="D35" i="2"/>
  <c r="D22" i="2"/>
  <c r="D27" i="2"/>
  <c r="D3" i="2"/>
  <c r="D11" i="2"/>
  <c r="D47" i="2"/>
  <c r="D39" i="2"/>
  <c r="D19" i="2"/>
  <c r="D30" i="2"/>
  <c r="D9" i="2"/>
  <c r="D14" i="2"/>
  <c r="D46" i="2"/>
  <c r="D38" i="2"/>
  <c r="D23" i="2"/>
  <c r="AM38" i="2" l="1"/>
  <c r="BK88" i="6"/>
  <c r="BK100" i="6"/>
  <c r="AQ92" i="6"/>
  <c r="BK91" i="6"/>
  <c r="BM91" i="6" s="1"/>
  <c r="BK102" i="6"/>
  <c r="BA101" i="6"/>
  <c r="BA87" i="6"/>
  <c r="BK57" i="6"/>
  <c r="BL57" i="6" s="1"/>
  <c r="AQ72" i="6"/>
  <c r="W80" i="6"/>
  <c r="W89" i="6"/>
  <c r="BK98" i="6"/>
  <c r="BM98" i="6" s="1"/>
  <c r="BK76" i="6"/>
  <c r="W77" i="6"/>
  <c r="BA68" i="6"/>
  <c r="BK90" i="6"/>
  <c r="BL90" i="6" s="1"/>
  <c r="BK84" i="6"/>
  <c r="AG80" i="6"/>
  <c r="BA89" i="6"/>
  <c r="BA91" i="6"/>
  <c r="BB91" i="6" s="1"/>
  <c r="AG100" i="6"/>
  <c r="BK86" i="6"/>
  <c r="W69" i="6"/>
  <c r="W73" i="6"/>
  <c r="Y73" i="6" s="1"/>
  <c r="W71" i="6"/>
  <c r="AQ67" i="6"/>
  <c r="BK101" i="6"/>
  <c r="BK95" i="6"/>
  <c r="BM95" i="6" s="1"/>
  <c r="AQ80" i="6"/>
  <c r="AQ89" i="6"/>
  <c r="BK89" i="6"/>
  <c r="BK71" i="6"/>
  <c r="BM71" i="6" s="1"/>
  <c r="BA56" i="6"/>
  <c r="AQ71" i="6"/>
  <c r="AQ68" i="6"/>
  <c r="AG90" i="6"/>
  <c r="AI90" i="6" s="1"/>
  <c r="AQ95" i="6"/>
  <c r="W84" i="6"/>
  <c r="BK97" i="6"/>
  <c r="AG92" i="6"/>
  <c r="AI92" i="6" s="1"/>
  <c r="W66" i="6"/>
  <c r="BA71" i="6"/>
  <c r="BK67" i="6"/>
  <c r="AG74" i="6"/>
  <c r="AH74" i="6" s="1"/>
  <c r="AG68" i="6"/>
  <c r="AG99" i="6"/>
  <c r="AG101" i="6"/>
  <c r="BA90" i="6"/>
  <c r="BB90" i="6" s="1"/>
  <c r="W88" i="6"/>
  <c r="AQ100" i="6"/>
  <c r="W100" i="6"/>
  <c r="W97" i="6"/>
  <c r="Y97" i="6" s="1"/>
  <c r="BK96" i="6"/>
  <c r="W93" i="6"/>
  <c r="BK92" i="6"/>
  <c r="BA92" i="6"/>
  <c r="BC92" i="6" s="1"/>
  <c r="BA86" i="6"/>
  <c r="W94" i="6"/>
  <c r="AG91" i="6"/>
  <c r="BK70" i="6"/>
  <c r="BM70" i="6" s="1"/>
  <c r="W101" i="6"/>
  <c r="W90" i="6"/>
  <c r="W95" i="6"/>
  <c r="AG84" i="6"/>
  <c r="AI84" i="6" s="1"/>
  <c r="BA100" i="6"/>
  <c r="AQ97" i="6"/>
  <c r="W92" i="6"/>
  <c r="BM90" i="6"/>
  <c r="BL84" i="6"/>
  <c r="BM84" i="6"/>
  <c r="AR85" i="6"/>
  <c r="AS85" i="6"/>
  <c r="Y84" i="6"/>
  <c r="X84" i="6"/>
  <c r="BM97" i="6"/>
  <c r="BL97" i="6"/>
  <c r="AI99" i="6"/>
  <c r="AH99" i="6"/>
  <c r="X88" i="6"/>
  <c r="Y88" i="6"/>
  <c r="BM96" i="6"/>
  <c r="BL96" i="6"/>
  <c r="Y93" i="6"/>
  <c r="X93" i="6"/>
  <c r="BC86" i="6"/>
  <c r="BB86" i="6"/>
  <c r="Y94" i="6"/>
  <c r="X94" i="6"/>
  <c r="Y101" i="6"/>
  <c r="X101" i="6"/>
  <c r="Y90" i="6"/>
  <c r="X90" i="6"/>
  <c r="X95" i="6"/>
  <c r="Y95" i="6"/>
  <c r="AS89" i="6"/>
  <c r="AR89" i="6"/>
  <c r="BC87" i="6"/>
  <c r="BB87" i="6"/>
  <c r="W57" i="6"/>
  <c r="BA78" i="6"/>
  <c r="AQ103" i="6"/>
  <c r="AR103" i="6" s="1"/>
  <c r="AG69" i="6"/>
  <c r="AG73" i="6"/>
  <c r="AG71" i="6"/>
  <c r="AQ79" i="6"/>
  <c r="AR79" i="6" s="1"/>
  <c r="BA67" i="6"/>
  <c r="BA102" i="6"/>
  <c r="AQ74" i="6"/>
  <c r="BA70" i="6"/>
  <c r="BC70" i="6" s="1"/>
  <c r="W70" i="6"/>
  <c r="BA75" i="6"/>
  <c r="BK99" i="6"/>
  <c r="AQ101" i="6"/>
  <c r="AQ90" i="6"/>
  <c r="BA95" i="6"/>
  <c r="AG95" i="6"/>
  <c r="BA88" i="6"/>
  <c r="AQ84" i="6"/>
  <c r="AR80" i="6"/>
  <c r="AS80" i="6"/>
  <c r="AS100" i="6"/>
  <c r="AR100" i="6"/>
  <c r="Y100" i="6"/>
  <c r="X100" i="6"/>
  <c r="BA96" i="6"/>
  <c r="AG93" i="6"/>
  <c r="BK93" i="6"/>
  <c r="BM92" i="6"/>
  <c r="BL92" i="6"/>
  <c r="AG85" i="6"/>
  <c r="AQ94" i="6"/>
  <c r="W91" i="6"/>
  <c r="AQ91" i="6"/>
  <c r="AQ98" i="6"/>
  <c r="AS99" i="6"/>
  <c r="AR99" i="6"/>
  <c r="BC101" i="6"/>
  <c r="BB101" i="6"/>
  <c r="AI101" i="6"/>
  <c r="AH101" i="6"/>
  <c r="BC90" i="6"/>
  <c r="BL95" i="6"/>
  <c r="AR95" i="6"/>
  <c r="AS95" i="6"/>
  <c r="BL88" i="6"/>
  <c r="BM88" i="6"/>
  <c r="AI80" i="6"/>
  <c r="AH80" i="6"/>
  <c r="BL80" i="6"/>
  <c r="BM80" i="6"/>
  <c r="AH89" i="6"/>
  <c r="AI89" i="6"/>
  <c r="Y89" i="6"/>
  <c r="X89" i="6"/>
  <c r="BC100" i="6"/>
  <c r="BB100" i="6"/>
  <c r="AI100" i="6"/>
  <c r="AH100" i="6"/>
  <c r="BD83" i="6"/>
  <c r="BE83" i="6" s="1"/>
  <c r="BF83" i="6"/>
  <c r="BG83" i="6" s="1"/>
  <c r="Y92" i="6"/>
  <c r="X92" i="6"/>
  <c r="AS86" i="6"/>
  <c r="AR86" i="6"/>
  <c r="BM86" i="6"/>
  <c r="BL86" i="6"/>
  <c r="AG94" i="6"/>
  <c r="AI91" i="6"/>
  <c r="AH91" i="6"/>
  <c r="AS87" i="6"/>
  <c r="AR87" i="6"/>
  <c r="AQ73" i="6"/>
  <c r="BK77" i="6"/>
  <c r="BM77" i="6" s="1"/>
  <c r="W102" i="6"/>
  <c r="BF82" i="6"/>
  <c r="BG82" i="6" s="1"/>
  <c r="BD82" i="6"/>
  <c r="BE82" i="6" s="1"/>
  <c r="BA99" i="6"/>
  <c r="W99" i="6"/>
  <c r="BM101" i="6"/>
  <c r="BL101" i="6"/>
  <c r="AG88" i="6"/>
  <c r="AQ88" i="6"/>
  <c r="BA84" i="6"/>
  <c r="AL81" i="6"/>
  <c r="AM81" i="6" s="1"/>
  <c r="AJ81" i="6"/>
  <c r="AK81" i="6" s="1"/>
  <c r="BB80" i="6"/>
  <c r="BC80" i="6"/>
  <c r="X80" i="6"/>
  <c r="Y80" i="6"/>
  <c r="BC89" i="6"/>
  <c r="BB89" i="6"/>
  <c r="BM89" i="6"/>
  <c r="BL89" i="6"/>
  <c r="BM100" i="6"/>
  <c r="BL100" i="6"/>
  <c r="AI97" i="6"/>
  <c r="AH97" i="6"/>
  <c r="AS97" i="6"/>
  <c r="AR97" i="6"/>
  <c r="AQ96" i="6"/>
  <c r="W96" i="6"/>
  <c r="BA93" i="6"/>
  <c r="AS92" i="6"/>
  <c r="AR92" i="6"/>
  <c r="BK85" i="6"/>
  <c r="W85" i="6"/>
  <c r="AG86" i="6"/>
  <c r="BK94" i="6"/>
  <c r="BA94" i="6"/>
  <c r="BA98" i="6"/>
  <c r="W98" i="6"/>
  <c r="BK87" i="6"/>
  <c r="AG87" i="6"/>
  <c r="BA57" i="6"/>
  <c r="BA54" i="6"/>
  <c r="BA103" i="6"/>
  <c r="BK69" i="6"/>
  <c r="BM69" i="6" s="1"/>
  <c r="BK73" i="6"/>
  <c r="BA73" i="6"/>
  <c r="AG67" i="6"/>
  <c r="AQ102" i="6"/>
  <c r="AS102" i="6" s="1"/>
  <c r="AG102" i="6"/>
  <c r="W68" i="6"/>
  <c r="Y68" i="6" s="1"/>
  <c r="AG70" i="6"/>
  <c r="AQ70" i="6"/>
  <c r="AS70" i="6" s="1"/>
  <c r="BK75" i="6"/>
  <c r="BA97" i="6"/>
  <c r="AG96" i="6"/>
  <c r="AQ93" i="6"/>
  <c r="BA85" i="6"/>
  <c r="W86" i="6"/>
  <c r="AG98" i="6"/>
  <c r="W87" i="6"/>
  <c r="BF81" i="6"/>
  <c r="BG81" i="6" s="1"/>
  <c r="BD81" i="6"/>
  <c r="BE81" i="6" s="1"/>
  <c r="AH67" i="6"/>
  <c r="AI67" i="6"/>
  <c r="X68" i="6"/>
  <c r="BB78" i="6"/>
  <c r="BC78" i="6"/>
  <c r="AS103" i="6"/>
  <c r="AH69" i="6"/>
  <c r="AI69" i="6"/>
  <c r="AS79" i="6"/>
  <c r="AR74" i="6"/>
  <c r="AS74" i="6"/>
  <c r="BC75" i="6"/>
  <c r="BB75" i="6"/>
  <c r="X66" i="6"/>
  <c r="Y66" i="6"/>
  <c r="X73" i="6"/>
  <c r="X77" i="6"/>
  <c r="Y77" i="6"/>
  <c r="BC79" i="6"/>
  <c r="BB79" i="6"/>
  <c r="BM102" i="6"/>
  <c r="BL102" i="6"/>
  <c r="AI74" i="6"/>
  <c r="AS72" i="6"/>
  <c r="AR72" i="6"/>
  <c r="BL76" i="6"/>
  <c r="BM76" i="6"/>
  <c r="BL77" i="6"/>
  <c r="BL73" i="6"/>
  <c r="BM73" i="6"/>
  <c r="BA77" i="6"/>
  <c r="AS67" i="6"/>
  <c r="AR67" i="6"/>
  <c r="Y102" i="6"/>
  <c r="X102" i="6"/>
  <c r="AG59" i="6"/>
  <c r="AI59" i="6" s="1"/>
  <c r="AQ78" i="6"/>
  <c r="AG66" i="6"/>
  <c r="Y103" i="6"/>
  <c r="X103" i="6"/>
  <c r="W76" i="6"/>
  <c r="AS69" i="6"/>
  <c r="AR69" i="6"/>
  <c r="AI73" i="6"/>
  <c r="AH73" i="6"/>
  <c r="BC73" i="6"/>
  <c r="BB73" i="6"/>
  <c r="AG77" i="6"/>
  <c r="AQ77" i="6"/>
  <c r="BC71" i="6"/>
  <c r="BB71" i="6"/>
  <c r="W79" i="6"/>
  <c r="BK79" i="6"/>
  <c r="X67" i="6"/>
  <c r="Y67" i="6"/>
  <c r="BM67" i="6"/>
  <c r="BL67" i="6"/>
  <c r="BC102" i="6"/>
  <c r="BB102" i="6"/>
  <c r="AI102" i="6"/>
  <c r="AH102" i="6"/>
  <c r="W74" i="6"/>
  <c r="BB68" i="6"/>
  <c r="BC68" i="6"/>
  <c r="AS68" i="6"/>
  <c r="AR68" i="6"/>
  <c r="Y70" i="6"/>
  <c r="X70" i="6"/>
  <c r="BM75" i="6"/>
  <c r="BL75" i="6"/>
  <c r="W72" i="6"/>
  <c r="Y69" i="6"/>
  <c r="X69" i="6"/>
  <c r="AS71" i="6"/>
  <c r="AR71" i="6"/>
  <c r="BA74" i="6"/>
  <c r="AI68" i="6"/>
  <c r="AH68" i="6"/>
  <c r="AH70" i="6"/>
  <c r="AI70" i="6"/>
  <c r="AG72" i="6"/>
  <c r="AG57" i="6"/>
  <c r="AH57" i="6" s="1"/>
  <c r="AQ57" i="6"/>
  <c r="AS57" i="6" s="1"/>
  <c r="AG78" i="6"/>
  <c r="W78" i="6"/>
  <c r="AQ66" i="6"/>
  <c r="AG103" i="6"/>
  <c r="BK103" i="6"/>
  <c r="AQ76" i="6"/>
  <c r="AG76" i="6"/>
  <c r="BA69" i="6"/>
  <c r="AG79" i="6"/>
  <c r="BK74" i="6"/>
  <c r="BK68" i="6"/>
  <c r="AQ75" i="6"/>
  <c r="BA72" i="6"/>
  <c r="BK72" i="6"/>
  <c r="BK66" i="6"/>
  <c r="BC103" i="6"/>
  <c r="BB103" i="6"/>
  <c r="BA76" i="6"/>
  <c r="BL69" i="6"/>
  <c r="AR73" i="6"/>
  <c r="AS73" i="6"/>
  <c r="BL71" i="6"/>
  <c r="BC67" i="6"/>
  <c r="BB67" i="6"/>
  <c r="AR102" i="6"/>
  <c r="X75" i="6"/>
  <c r="Y75" i="6"/>
  <c r="AQ58" i="6"/>
  <c r="AS58" i="6" s="1"/>
  <c r="BK54" i="6"/>
  <c r="BM54" i="6" s="1"/>
  <c r="BK78" i="6"/>
  <c r="BA66" i="6"/>
  <c r="AI71" i="6"/>
  <c r="AH71" i="6"/>
  <c r="Y71" i="6"/>
  <c r="X71" i="6"/>
  <c r="AG75" i="6"/>
  <c r="BM57" i="6"/>
  <c r="BC56" i="6"/>
  <c r="BB56" i="6"/>
  <c r="BC59" i="6"/>
  <c r="BB59" i="6"/>
  <c r="BC54" i="6"/>
  <c r="BB54" i="6"/>
  <c r="W58" i="6"/>
  <c r="BA58" i="6"/>
  <c r="BD50" i="6"/>
  <c r="BE50" i="6" s="1"/>
  <c r="BF50" i="6"/>
  <c r="BG50" i="6" s="1"/>
  <c r="BC53" i="6"/>
  <c r="BB53" i="6"/>
  <c r="W56" i="6"/>
  <c r="BK56" i="6"/>
  <c r="BD52" i="6"/>
  <c r="BE52" i="6" s="1"/>
  <c r="BF52" i="6"/>
  <c r="BG52" i="6" s="1"/>
  <c r="W59" i="6"/>
  <c r="BK59" i="6"/>
  <c r="AG54" i="6"/>
  <c r="AQ54" i="6"/>
  <c r="AJ52" i="6"/>
  <c r="AK52" i="6" s="1"/>
  <c r="AL52" i="6"/>
  <c r="AM52" i="6" s="1"/>
  <c r="BF51" i="6"/>
  <c r="BG51" i="6" s="1"/>
  <c r="BD51" i="6"/>
  <c r="BE51" i="6" s="1"/>
  <c r="AR53" i="6"/>
  <c r="AS53" i="6"/>
  <c r="AG58" i="6"/>
  <c r="BK58" i="6"/>
  <c r="X55" i="6"/>
  <c r="Y55" i="6"/>
  <c r="Y57" i="6"/>
  <c r="X57" i="6"/>
  <c r="AG56" i="6"/>
  <c r="AB52" i="6"/>
  <c r="AC52" i="6" s="1"/>
  <c r="Z52" i="6"/>
  <c r="AA52" i="6" s="1"/>
  <c r="X53" i="6"/>
  <c r="Y53" i="6"/>
  <c r="AI53" i="6"/>
  <c r="AH53" i="6"/>
  <c r="BD55" i="6"/>
  <c r="BE55" i="6" s="1"/>
  <c r="BF55" i="6"/>
  <c r="BG55" i="6" s="1"/>
  <c r="BC57" i="6"/>
  <c r="BB57" i="6"/>
  <c r="AQ56" i="6"/>
  <c r="AL55" i="6"/>
  <c r="AM55" i="6" s="1"/>
  <c r="AJ55" i="6"/>
  <c r="AK55" i="6" s="1"/>
  <c r="AQ59" i="6"/>
  <c r="BL54" i="6"/>
  <c r="W54" i="6"/>
  <c r="AJ51" i="6"/>
  <c r="AK51" i="6" s="1"/>
  <c r="AL51" i="6"/>
  <c r="AM51" i="6" s="1"/>
  <c r="AL50" i="6"/>
  <c r="AM50" i="6" s="1"/>
  <c r="AJ50" i="6"/>
  <c r="AK50" i="6" s="1"/>
  <c r="BN55" i="6"/>
  <c r="BO55" i="6" s="1"/>
  <c r="BP55" i="6"/>
  <c r="BQ55" i="6" s="1"/>
  <c r="AI57" i="6"/>
  <c r="BP52" i="6"/>
  <c r="BQ52" i="6" s="1"/>
  <c r="BN52" i="6"/>
  <c r="BO52" i="6" s="1"/>
  <c r="AT52" i="6"/>
  <c r="AU52" i="6" s="1"/>
  <c r="AV52" i="6"/>
  <c r="AW52" i="6" s="1"/>
  <c r="BL53" i="6"/>
  <c r="BM53" i="6"/>
  <c r="AV55" i="6"/>
  <c r="AW55" i="6" s="1"/>
  <c r="AT55" i="6"/>
  <c r="AU55" i="6" s="1"/>
  <c r="AY14" i="2"/>
  <c r="AY42" i="2"/>
  <c r="AY39" i="2"/>
  <c r="O35" i="2"/>
  <c r="S35" i="2" s="1"/>
  <c r="U41" i="13"/>
  <c r="P35" i="2" s="1"/>
  <c r="O49" i="2"/>
  <c r="S49" i="2" s="1"/>
  <c r="U48" i="13"/>
  <c r="P49" i="2" s="1"/>
  <c r="O37" i="2"/>
  <c r="Q37" i="2" s="1"/>
  <c r="U40" i="13"/>
  <c r="P37" i="2" s="1"/>
  <c r="O29" i="2"/>
  <c r="R29" i="2" s="1"/>
  <c r="U28" i="13"/>
  <c r="P29" i="2" s="1"/>
  <c r="O36" i="2"/>
  <c r="R36" i="2" s="1"/>
  <c r="U39" i="13"/>
  <c r="P36" i="2" s="1"/>
  <c r="O28" i="2"/>
  <c r="R28" i="2" s="1"/>
  <c r="U27" i="13"/>
  <c r="P28" i="2" s="1"/>
  <c r="O6" i="2"/>
  <c r="Q6" i="2" s="1"/>
  <c r="U3" i="13"/>
  <c r="P6" i="2" s="1"/>
  <c r="O50" i="2"/>
  <c r="Q50" i="2" s="1"/>
  <c r="U49" i="13"/>
  <c r="P50" i="2" s="1"/>
  <c r="O13" i="2"/>
  <c r="U12" i="13"/>
  <c r="P13" i="2" s="1"/>
  <c r="O18" i="2"/>
  <c r="Q18" i="2" s="1"/>
  <c r="U13" i="13"/>
  <c r="P18" i="2" s="1"/>
  <c r="O4" i="2"/>
  <c r="Q4" i="2" s="1"/>
  <c r="U6" i="13"/>
  <c r="P4" i="2" s="1"/>
  <c r="O48" i="2"/>
  <c r="S48" i="2" s="1"/>
  <c r="U46" i="13"/>
  <c r="P48" i="2" s="1"/>
  <c r="O45" i="2"/>
  <c r="Q45" i="2" s="1"/>
  <c r="U44" i="13"/>
  <c r="P45" i="2" s="1"/>
  <c r="O39" i="2"/>
  <c r="R39" i="2" s="1"/>
  <c r="U36" i="13"/>
  <c r="P39" i="2" s="1"/>
  <c r="O32" i="2"/>
  <c r="Q32" i="2" s="1"/>
  <c r="U31" i="13"/>
  <c r="P32" i="2" s="1"/>
  <c r="O16" i="2"/>
  <c r="R16" i="2" s="1"/>
  <c r="U15" i="13"/>
  <c r="P16" i="2" s="1"/>
  <c r="O3" i="2"/>
  <c r="S3" i="2" s="1"/>
  <c r="U7" i="13"/>
  <c r="P3" i="2" s="1"/>
  <c r="O11" i="2"/>
  <c r="Q11" i="2" s="1"/>
  <c r="U10" i="13"/>
  <c r="P11" i="2" s="1"/>
  <c r="O12" i="2"/>
  <c r="R12" i="2" s="1"/>
  <c r="U11" i="13"/>
  <c r="P12" i="2" s="1"/>
  <c r="O5" i="2"/>
  <c r="S5" i="2" s="1"/>
  <c r="U8" i="13"/>
  <c r="P5" i="2" s="1"/>
  <c r="O41" i="2"/>
  <c r="Q41" i="2" s="1"/>
  <c r="U37" i="13"/>
  <c r="P41" i="2" s="1"/>
  <c r="O43" i="2"/>
  <c r="S43" i="2" s="1"/>
  <c r="U42" i="13"/>
  <c r="P43" i="2" s="1"/>
  <c r="O27" i="2"/>
  <c r="Q27" i="2" s="1"/>
  <c r="U26" i="13"/>
  <c r="P27" i="2" s="1"/>
  <c r="O30" i="2"/>
  <c r="R30" i="2" s="1"/>
  <c r="U30" i="13"/>
  <c r="P30" i="2" s="1"/>
  <c r="O7" i="2"/>
  <c r="R7" i="2" s="1"/>
  <c r="U4" i="13"/>
  <c r="P7" i="2" s="1"/>
  <c r="O44" i="2"/>
  <c r="S44" i="2" s="1"/>
  <c r="U43" i="13"/>
  <c r="P44" i="2" s="1"/>
  <c r="O42" i="2"/>
  <c r="S42" i="2" s="1"/>
  <c r="U38" i="13"/>
  <c r="P42" i="2" s="1"/>
  <c r="O8" i="2"/>
  <c r="S8" i="2" s="1"/>
  <c r="U5" i="13"/>
  <c r="P8" i="2" s="1"/>
  <c r="O17" i="2"/>
  <c r="S17" i="2" s="1"/>
  <c r="U16" i="13"/>
  <c r="P17" i="2" s="1"/>
  <c r="O33" i="2"/>
  <c r="Q33" i="2" s="1"/>
  <c r="T33" i="2" s="1"/>
  <c r="U29" i="13"/>
  <c r="P33" i="2" s="1"/>
  <c r="AY6" i="2"/>
  <c r="AY17" i="2"/>
  <c r="AM17" i="2"/>
  <c r="AM37" i="2"/>
  <c r="AL50" i="2"/>
  <c r="R23" i="2"/>
  <c r="J400" i="11"/>
  <c r="K400" i="11" s="1"/>
  <c r="L356" i="11"/>
  <c r="M356" i="11" s="1"/>
  <c r="L304" i="11"/>
  <c r="M304" i="11" s="1"/>
  <c r="H297" i="11"/>
  <c r="I297" i="11" s="1"/>
  <c r="N249" i="11"/>
  <c r="O249" i="11" s="1"/>
  <c r="L244" i="11"/>
  <c r="M244" i="11" s="1"/>
  <c r="F194" i="11"/>
  <c r="G194" i="11" s="1"/>
  <c r="H187" i="11"/>
  <c r="I187" i="11" s="1"/>
  <c r="N183" i="11"/>
  <c r="O183" i="11" s="1"/>
  <c r="L142" i="11"/>
  <c r="M142" i="11" s="1"/>
  <c r="F140" i="11"/>
  <c r="G140" i="11" s="1"/>
  <c r="H136" i="11"/>
  <c r="I136" i="11" s="1"/>
  <c r="H132" i="11"/>
  <c r="I132" i="11" s="1"/>
  <c r="J129" i="11"/>
  <c r="K129" i="11" s="1"/>
  <c r="J89" i="11"/>
  <c r="K89" i="11" s="1"/>
  <c r="L84" i="11"/>
  <c r="M84" i="11" s="1"/>
  <c r="N79" i="11"/>
  <c r="O79" i="11" s="1"/>
  <c r="J75" i="11"/>
  <c r="K75" i="11" s="1"/>
  <c r="J511" i="11"/>
  <c r="K511" i="11" s="1"/>
  <c r="L249" i="11"/>
  <c r="M249" i="11" s="1"/>
  <c r="J244" i="11"/>
  <c r="K244" i="11" s="1"/>
  <c r="F242" i="11"/>
  <c r="G242" i="11" s="1"/>
  <c r="J196" i="11"/>
  <c r="K196" i="11" s="1"/>
  <c r="L188" i="11"/>
  <c r="M188" i="11" s="1"/>
  <c r="L183" i="11"/>
  <c r="M183" i="11" s="1"/>
  <c r="F145" i="11"/>
  <c r="G145" i="11" s="1"/>
  <c r="J142" i="11"/>
  <c r="K142" i="11" s="1"/>
  <c r="H141" i="11"/>
  <c r="I141" i="11" s="1"/>
  <c r="J137" i="11"/>
  <c r="K137" i="11" s="1"/>
  <c r="F136" i="11"/>
  <c r="G136" i="11" s="1"/>
  <c r="F132" i="11"/>
  <c r="G132" i="11" s="1"/>
  <c r="H129" i="11"/>
  <c r="I129" i="11" s="1"/>
  <c r="N90" i="11"/>
  <c r="O90" i="11" s="1"/>
  <c r="L87" i="11"/>
  <c r="M87" i="11" s="1"/>
  <c r="J84" i="11"/>
  <c r="K84" i="11" s="1"/>
  <c r="N82" i="11"/>
  <c r="O82" i="11" s="1"/>
  <c r="L79" i="11"/>
  <c r="M79" i="11" s="1"/>
  <c r="F78" i="11"/>
  <c r="G78" i="11" s="1"/>
  <c r="H75" i="11"/>
  <c r="I75" i="11" s="1"/>
  <c r="J300" i="11"/>
  <c r="K300" i="11" s="1"/>
  <c r="L293" i="11"/>
  <c r="M293" i="11" s="1"/>
  <c r="H252" i="11"/>
  <c r="I252" i="11" s="1"/>
  <c r="H247" i="11"/>
  <c r="I247" i="11" s="1"/>
  <c r="J239" i="11"/>
  <c r="K239" i="11" s="1"/>
  <c r="H199" i="11"/>
  <c r="I199" i="11" s="1"/>
  <c r="J191" i="11"/>
  <c r="K191" i="11" s="1"/>
  <c r="N188" i="11"/>
  <c r="O188" i="11" s="1"/>
  <c r="J185" i="11"/>
  <c r="K185" i="11" s="1"/>
  <c r="J182" i="11"/>
  <c r="K182" i="11" s="1"/>
  <c r="N143" i="11"/>
  <c r="O143" i="11" s="1"/>
  <c r="J141" i="11"/>
  <c r="K141" i="11" s="1"/>
  <c r="N138" i="11"/>
  <c r="O138" i="11" s="1"/>
  <c r="F135" i="11"/>
  <c r="G135" i="11" s="1"/>
  <c r="L133" i="11"/>
  <c r="M133" i="11" s="1"/>
  <c r="N130" i="11"/>
  <c r="O130" i="11" s="1"/>
  <c r="F91" i="11"/>
  <c r="G91" i="11" s="1"/>
  <c r="N87" i="11"/>
  <c r="O87" i="11" s="1"/>
  <c r="H86" i="11"/>
  <c r="I86" i="11" s="1"/>
  <c r="F83" i="11"/>
  <c r="G83" i="11" s="1"/>
  <c r="J81" i="11"/>
  <c r="K81" i="11" s="1"/>
  <c r="H78" i="11"/>
  <c r="I78" i="11" s="1"/>
  <c r="L76" i="11"/>
  <c r="M76" i="11" s="1"/>
  <c r="N508" i="11"/>
  <c r="O508" i="11" s="1"/>
  <c r="L413" i="11"/>
  <c r="M413" i="11" s="1"/>
  <c r="N357" i="11"/>
  <c r="O357" i="11" s="1"/>
  <c r="H350" i="11"/>
  <c r="I350" i="11" s="1"/>
  <c r="H346" i="11"/>
  <c r="I346" i="11" s="1"/>
  <c r="H304" i="11"/>
  <c r="I304" i="11" s="1"/>
  <c r="L298" i="11"/>
  <c r="M298" i="11" s="1"/>
  <c r="J294" i="11"/>
  <c r="K294" i="11" s="1"/>
  <c r="H291" i="11"/>
  <c r="I291" i="11" s="1"/>
  <c r="F247" i="11"/>
  <c r="G247" i="11" s="1"/>
  <c r="F237" i="11"/>
  <c r="G237" i="11" s="1"/>
  <c r="F199" i="11"/>
  <c r="G199" i="11" s="1"/>
  <c r="N193" i="11"/>
  <c r="O193" i="11" s="1"/>
  <c r="H182" i="11"/>
  <c r="I182" i="11" s="1"/>
  <c r="L143" i="11"/>
  <c r="M143" i="11" s="1"/>
  <c r="L138" i="11"/>
  <c r="M138" i="11" s="1"/>
  <c r="N134" i="11"/>
  <c r="O134" i="11" s="1"/>
  <c r="L130" i="11"/>
  <c r="M130" i="11" s="1"/>
  <c r="H89" i="11"/>
  <c r="I89" i="11" s="1"/>
  <c r="F86" i="11"/>
  <c r="G86" i="11" s="1"/>
  <c r="H81" i="11"/>
  <c r="I81" i="11" s="1"/>
  <c r="J76" i="11"/>
  <c r="K76" i="11" s="1"/>
  <c r="H74" i="11"/>
  <c r="I74" i="11" s="1"/>
  <c r="N75" i="11"/>
  <c r="O75" i="11" s="1"/>
  <c r="F82" i="11"/>
  <c r="G82" i="11" s="1"/>
  <c r="J88" i="11"/>
  <c r="K88" i="11" s="1"/>
  <c r="J131" i="11"/>
  <c r="K131" i="11" s="1"/>
  <c r="F138" i="11"/>
  <c r="G138" i="11" s="1"/>
  <c r="J144" i="11"/>
  <c r="K144" i="11" s="1"/>
  <c r="J184" i="11"/>
  <c r="K184" i="11" s="1"/>
  <c r="L192" i="11"/>
  <c r="M192" i="11" s="1"/>
  <c r="F238" i="11"/>
  <c r="G238" i="11" s="1"/>
  <c r="N250" i="11"/>
  <c r="O250" i="11" s="1"/>
  <c r="J299" i="11"/>
  <c r="K299" i="11" s="1"/>
  <c r="F354" i="11"/>
  <c r="G354" i="11" s="1"/>
  <c r="F506" i="11"/>
  <c r="G506" i="11" s="1"/>
  <c r="J573" i="11"/>
  <c r="K573" i="11" s="1"/>
  <c r="L402" i="11"/>
  <c r="M402" i="11" s="1"/>
  <c r="L80" i="11"/>
  <c r="M80" i="11" s="1"/>
  <c r="F87" i="11"/>
  <c r="G87" i="11" s="1"/>
  <c r="H130" i="11"/>
  <c r="I130" i="11" s="1"/>
  <c r="N136" i="11"/>
  <c r="O136" i="11" s="1"/>
  <c r="L144" i="11"/>
  <c r="M144" i="11" s="1"/>
  <c r="J186" i="11"/>
  <c r="K186" i="11" s="1"/>
  <c r="N240" i="11"/>
  <c r="O240" i="11" s="1"/>
  <c r="L253" i="11"/>
  <c r="M253" i="11" s="1"/>
  <c r="F296" i="11"/>
  <c r="G296" i="11" s="1"/>
  <c r="L359" i="11"/>
  <c r="M359" i="11" s="1"/>
  <c r="N517" i="11"/>
  <c r="O517" i="11" s="1"/>
  <c r="J574" i="11"/>
  <c r="K574" i="11" s="1"/>
  <c r="N570" i="11"/>
  <c r="O570" i="11" s="1"/>
  <c r="J568" i="11"/>
  <c r="K568" i="11" s="1"/>
  <c r="F566" i="11"/>
  <c r="G566" i="11" s="1"/>
  <c r="N562" i="11"/>
  <c r="O562" i="11" s="1"/>
  <c r="L560" i="11"/>
  <c r="M560" i="11" s="1"/>
  <c r="J576" i="11"/>
  <c r="K576" i="11" s="1"/>
  <c r="N573" i="11"/>
  <c r="O573" i="11" s="1"/>
  <c r="F571" i="11"/>
  <c r="G571" i="11" s="1"/>
  <c r="L567" i="11"/>
  <c r="M567" i="11" s="1"/>
  <c r="H564" i="11"/>
  <c r="I564" i="11" s="1"/>
  <c r="L561" i="11"/>
  <c r="M561" i="11" s="1"/>
  <c r="H575" i="11"/>
  <c r="I575" i="11" s="1"/>
  <c r="L571" i="11"/>
  <c r="M571" i="11" s="1"/>
  <c r="F568" i="11"/>
  <c r="G568" i="11" s="1"/>
  <c r="F565" i="11"/>
  <c r="G565" i="11" s="1"/>
  <c r="J561" i="11"/>
  <c r="K561" i="11" s="1"/>
  <c r="N572" i="11"/>
  <c r="O572" i="11" s="1"/>
  <c r="J523" i="11"/>
  <c r="K523" i="11" s="1"/>
  <c r="L520" i="11"/>
  <c r="M520" i="11" s="1"/>
  <c r="N516" i="11"/>
  <c r="O516" i="11" s="1"/>
  <c r="F514" i="11"/>
  <c r="G514" i="11" s="1"/>
  <c r="F511" i="11"/>
  <c r="G511" i="11" s="1"/>
  <c r="H507" i="11"/>
  <c r="I507" i="11" s="1"/>
  <c r="F572" i="11"/>
  <c r="G572" i="11" s="1"/>
  <c r="H560" i="11"/>
  <c r="I560" i="11" s="1"/>
  <c r="H522" i="11"/>
  <c r="I522" i="11" s="1"/>
  <c r="H519" i="11"/>
  <c r="I519" i="11" s="1"/>
  <c r="L513" i="11"/>
  <c r="M513" i="11" s="1"/>
  <c r="F509" i="11"/>
  <c r="G509" i="11" s="1"/>
  <c r="H566" i="11"/>
  <c r="I566" i="11" s="1"/>
  <c r="F519" i="11"/>
  <c r="G519" i="11" s="1"/>
  <c r="L515" i="11"/>
  <c r="M515" i="11" s="1"/>
  <c r="N507" i="11"/>
  <c r="O507" i="11" s="1"/>
  <c r="H467" i="11"/>
  <c r="I467" i="11" s="1"/>
  <c r="H463" i="11"/>
  <c r="I463" i="11" s="1"/>
  <c r="N460" i="11"/>
  <c r="O460" i="11" s="1"/>
  <c r="L457" i="11"/>
  <c r="M457" i="11" s="1"/>
  <c r="N453" i="11"/>
  <c r="O453" i="11" s="1"/>
  <c r="F415" i="11"/>
  <c r="G415" i="11" s="1"/>
  <c r="N410" i="11"/>
  <c r="O410" i="11" s="1"/>
  <c r="N408" i="11"/>
  <c r="O408" i="11" s="1"/>
  <c r="F406" i="11"/>
  <c r="G406" i="11" s="1"/>
  <c r="J403" i="11"/>
  <c r="K403" i="11" s="1"/>
  <c r="H398" i="11"/>
  <c r="I398" i="11" s="1"/>
  <c r="H518" i="11"/>
  <c r="I518" i="11" s="1"/>
  <c r="N513" i="11"/>
  <c r="O513" i="11" s="1"/>
  <c r="H508" i="11"/>
  <c r="I508" i="11" s="1"/>
  <c r="F469" i="11"/>
  <c r="G469" i="11" s="1"/>
  <c r="J466" i="11"/>
  <c r="K466" i="11" s="1"/>
  <c r="N463" i="11"/>
  <c r="O463" i="11" s="1"/>
  <c r="L460" i="11"/>
  <c r="M460" i="11" s="1"/>
  <c r="F458" i="11"/>
  <c r="G458" i="11" s="1"/>
  <c r="J455" i="11"/>
  <c r="K455" i="11" s="1"/>
  <c r="H452" i="11"/>
  <c r="I452" i="11" s="1"/>
  <c r="F413" i="11"/>
  <c r="G413" i="11" s="1"/>
  <c r="H409" i="11"/>
  <c r="I409" i="11" s="1"/>
  <c r="H521" i="11"/>
  <c r="I521" i="11" s="1"/>
  <c r="H468" i="11"/>
  <c r="I468" i="11" s="1"/>
  <c r="N461" i="11"/>
  <c r="O461" i="11" s="1"/>
  <c r="N452" i="11"/>
  <c r="O452" i="11" s="1"/>
  <c r="F412" i="11"/>
  <c r="G412" i="11" s="1"/>
  <c r="F407" i="11"/>
  <c r="G407" i="11" s="1"/>
  <c r="L403" i="11"/>
  <c r="M403" i="11" s="1"/>
  <c r="H399" i="11"/>
  <c r="I399" i="11" s="1"/>
  <c r="N358" i="11"/>
  <c r="O358" i="11" s="1"/>
  <c r="J356" i="11"/>
  <c r="K356" i="11" s="1"/>
  <c r="H353" i="11"/>
  <c r="I353" i="11" s="1"/>
  <c r="F351" i="11"/>
  <c r="G351" i="11" s="1"/>
  <c r="L347" i="11"/>
  <c r="M347" i="11" s="1"/>
  <c r="J344" i="11"/>
  <c r="K344" i="11" s="1"/>
  <c r="F305" i="11"/>
  <c r="G305" i="11" s="1"/>
  <c r="N302" i="11"/>
  <c r="O302" i="11" s="1"/>
  <c r="N300" i="11"/>
  <c r="O300" i="11" s="1"/>
  <c r="J298" i="11"/>
  <c r="K298" i="11" s="1"/>
  <c r="L294" i="11"/>
  <c r="M294" i="11" s="1"/>
  <c r="J291" i="11"/>
  <c r="K291" i="11" s="1"/>
  <c r="H523" i="11"/>
  <c r="I523" i="11" s="1"/>
  <c r="H513" i="11"/>
  <c r="I513" i="11" s="1"/>
  <c r="F508" i="11"/>
  <c r="G508" i="11" s="1"/>
  <c r="L463" i="11"/>
  <c r="M463" i="11" s="1"/>
  <c r="F459" i="11"/>
  <c r="G459" i="11" s="1"/>
  <c r="L452" i="11"/>
  <c r="M452" i="11" s="1"/>
  <c r="H404" i="11"/>
  <c r="I404" i="11" s="1"/>
  <c r="N400" i="11"/>
  <c r="O400" i="11" s="1"/>
  <c r="H360" i="11"/>
  <c r="I360" i="11" s="1"/>
  <c r="J357" i="11"/>
  <c r="K357" i="11" s="1"/>
  <c r="L353" i="11"/>
  <c r="M353" i="11" s="1"/>
  <c r="J350" i="11"/>
  <c r="K350" i="11" s="1"/>
  <c r="J347" i="11"/>
  <c r="K347" i="11" s="1"/>
  <c r="H344" i="11"/>
  <c r="I344" i="11" s="1"/>
  <c r="H510" i="11"/>
  <c r="I510" i="11" s="1"/>
  <c r="H455" i="11"/>
  <c r="I455" i="11" s="1"/>
  <c r="N412" i="11"/>
  <c r="O412" i="11" s="1"/>
  <c r="N403" i="11"/>
  <c r="O403" i="11" s="1"/>
  <c r="H361" i="11"/>
  <c r="I361" i="11" s="1"/>
  <c r="H357" i="11"/>
  <c r="I357" i="11" s="1"/>
  <c r="J353" i="11"/>
  <c r="K353" i="11" s="1"/>
  <c r="H345" i="11"/>
  <c r="I345" i="11" s="1"/>
  <c r="F304" i="11"/>
  <c r="G304" i="11" s="1"/>
  <c r="H299" i="11"/>
  <c r="I299" i="11" s="1"/>
  <c r="L295" i="11"/>
  <c r="M295" i="11" s="1"/>
  <c r="N253" i="11"/>
  <c r="O253" i="11" s="1"/>
  <c r="L250" i="11"/>
  <c r="M250" i="11" s="1"/>
  <c r="J247" i="11"/>
  <c r="K247" i="11" s="1"/>
  <c r="H244" i="11"/>
  <c r="I244" i="11" s="1"/>
  <c r="F241" i="11"/>
  <c r="G241" i="11" s="1"/>
  <c r="J237" i="11"/>
  <c r="K237" i="11" s="1"/>
  <c r="L197" i="11"/>
  <c r="M197" i="11" s="1"/>
  <c r="J194" i="11"/>
  <c r="K194" i="11" s="1"/>
  <c r="H191" i="11"/>
  <c r="I191" i="11" s="1"/>
  <c r="F516" i="11"/>
  <c r="G516" i="11" s="1"/>
  <c r="F464" i="11"/>
  <c r="G464" i="11" s="1"/>
  <c r="H412" i="11"/>
  <c r="I412" i="11" s="1"/>
  <c r="F403" i="11"/>
  <c r="G403" i="11" s="1"/>
  <c r="F361" i="11"/>
  <c r="G361" i="11" s="1"/>
  <c r="H352" i="11"/>
  <c r="I352" i="11" s="1"/>
  <c r="N347" i="11"/>
  <c r="O347" i="11" s="1"/>
  <c r="N307" i="11"/>
  <c r="O307" i="11" s="1"/>
  <c r="N304" i="11"/>
  <c r="O304" i="11" s="1"/>
  <c r="N299" i="11"/>
  <c r="O299" i="11" s="1"/>
  <c r="H293" i="11"/>
  <c r="I293" i="11" s="1"/>
  <c r="H253" i="11"/>
  <c r="I253" i="11" s="1"/>
  <c r="F250" i="11"/>
  <c r="G250" i="11" s="1"/>
  <c r="N246" i="11"/>
  <c r="O246" i="11" s="1"/>
  <c r="L243" i="11"/>
  <c r="M243" i="11" s="1"/>
  <c r="J240" i="11"/>
  <c r="K240" i="11" s="1"/>
  <c r="N237" i="11"/>
  <c r="O237" i="11" s="1"/>
  <c r="L198" i="11"/>
  <c r="M198" i="11" s="1"/>
  <c r="J195" i="11"/>
  <c r="K195" i="11" s="1"/>
  <c r="H192" i="11"/>
  <c r="I192" i="11" s="1"/>
  <c r="F189" i="11"/>
  <c r="G189" i="11" s="1"/>
  <c r="N185" i="11"/>
  <c r="O185" i="11" s="1"/>
  <c r="N182" i="11"/>
  <c r="O182" i="11" s="1"/>
  <c r="N76" i="11"/>
  <c r="O76" i="11" s="1"/>
  <c r="F80" i="11"/>
  <c r="G80" i="11" s="1"/>
  <c r="H83" i="11"/>
  <c r="I83" i="11" s="1"/>
  <c r="J86" i="11"/>
  <c r="K86" i="11" s="1"/>
  <c r="L89" i="11"/>
  <c r="M89" i="11" s="1"/>
  <c r="L129" i="11"/>
  <c r="M129" i="11" s="1"/>
  <c r="H133" i="11"/>
  <c r="I133" i="11" s="1"/>
  <c r="J136" i="11"/>
  <c r="K136" i="11" s="1"/>
  <c r="L139" i="11"/>
  <c r="M139" i="11" s="1"/>
  <c r="N142" i="11"/>
  <c r="O142" i="11" s="1"/>
  <c r="L185" i="11"/>
  <c r="M185" i="11" s="1"/>
  <c r="J189" i="11"/>
  <c r="K189" i="11" s="1"/>
  <c r="N195" i="11"/>
  <c r="O195" i="11" s="1"/>
  <c r="J236" i="11"/>
  <c r="K236" i="11" s="1"/>
  <c r="N243" i="11"/>
  <c r="O243" i="11" s="1"/>
  <c r="H250" i="11"/>
  <c r="I250" i="11" s="1"/>
  <c r="F295" i="11"/>
  <c r="G295" i="11" s="1"/>
  <c r="F301" i="11"/>
  <c r="G301" i="11" s="1"/>
  <c r="L307" i="11"/>
  <c r="M307" i="11" s="1"/>
  <c r="N361" i="11"/>
  <c r="O361" i="11" s="1"/>
  <c r="J399" i="11"/>
  <c r="K399" i="11" s="1"/>
  <c r="F74" i="11"/>
  <c r="G74" i="11" s="1"/>
  <c r="F77" i="11"/>
  <c r="G77" i="11" s="1"/>
  <c r="H80" i="11"/>
  <c r="I80" i="11" s="1"/>
  <c r="J83" i="11"/>
  <c r="K83" i="11" s="1"/>
  <c r="L86" i="11"/>
  <c r="M86" i="11" s="1"/>
  <c r="N89" i="11"/>
  <c r="O89" i="11" s="1"/>
  <c r="N129" i="11"/>
  <c r="O129" i="11" s="1"/>
  <c r="J133" i="11"/>
  <c r="K133" i="11" s="1"/>
  <c r="L136" i="11"/>
  <c r="M136" i="11" s="1"/>
  <c r="N139" i="11"/>
  <c r="O139" i="11" s="1"/>
  <c r="H142" i="11"/>
  <c r="I142" i="11" s="1"/>
  <c r="J145" i="11"/>
  <c r="K145" i="11" s="1"/>
  <c r="F182" i="11"/>
  <c r="G182" i="11" s="1"/>
  <c r="N186" i="11"/>
  <c r="O186" i="11" s="1"/>
  <c r="F192" i="11"/>
  <c r="G192" i="11" s="1"/>
  <c r="J198" i="11"/>
  <c r="K198" i="11" s="1"/>
  <c r="J241" i="11"/>
  <c r="K241" i="11" s="1"/>
  <c r="N247" i="11"/>
  <c r="O247" i="11" s="1"/>
  <c r="N296" i="11"/>
  <c r="O296" i="11" s="1"/>
  <c r="N306" i="11"/>
  <c r="O306" i="11" s="1"/>
  <c r="F350" i="11"/>
  <c r="G350" i="11" s="1"/>
  <c r="L410" i="11"/>
  <c r="M410" i="11" s="1"/>
  <c r="N457" i="11"/>
  <c r="O457" i="11" s="1"/>
  <c r="N78" i="11"/>
  <c r="O78" i="11" s="1"/>
  <c r="L91" i="11"/>
  <c r="M91" i="11" s="1"/>
  <c r="H134" i="11"/>
  <c r="I134" i="11" s="1"/>
  <c r="H243" i="11"/>
  <c r="I243" i="11" s="1"/>
  <c r="F461" i="11"/>
  <c r="G461" i="11" s="1"/>
  <c r="N83" i="11"/>
  <c r="O83" i="11" s="1"/>
  <c r="N245" i="11"/>
  <c r="O245" i="11" s="1"/>
  <c r="F291" i="11"/>
  <c r="G291" i="11" s="1"/>
  <c r="H347" i="11"/>
  <c r="I347" i="11" s="1"/>
  <c r="J463" i="11"/>
  <c r="K463" i="11" s="1"/>
  <c r="L572" i="11"/>
  <c r="M572" i="11" s="1"/>
  <c r="F567" i="11"/>
  <c r="G567" i="11" s="1"/>
  <c r="N561" i="11"/>
  <c r="O561" i="11" s="1"/>
  <c r="J575" i="11"/>
  <c r="K575" i="11" s="1"/>
  <c r="L569" i="11"/>
  <c r="M569" i="11" s="1"/>
  <c r="F563" i="11"/>
  <c r="G563" i="11" s="1"/>
  <c r="L573" i="11"/>
  <c r="M573" i="11" s="1"/>
  <c r="N566" i="11"/>
  <c r="O566" i="11" s="1"/>
  <c r="N575" i="11"/>
  <c r="O575" i="11" s="1"/>
  <c r="N521" i="11"/>
  <c r="O521" i="11" s="1"/>
  <c r="J512" i="11"/>
  <c r="K512" i="11" s="1"/>
  <c r="L576" i="11"/>
  <c r="M576" i="11" s="1"/>
  <c r="J571" i="11"/>
  <c r="K571" i="11" s="1"/>
  <c r="H517" i="11"/>
  <c r="I517" i="11" s="1"/>
  <c r="F507" i="11"/>
  <c r="G507" i="11" s="1"/>
  <c r="L517" i="11"/>
  <c r="M517" i="11" s="1"/>
  <c r="H469" i="11"/>
  <c r="I469" i="11" s="1"/>
  <c r="F462" i="11"/>
  <c r="G462" i="11" s="1"/>
  <c r="L455" i="11"/>
  <c r="M455" i="11" s="1"/>
  <c r="F410" i="11"/>
  <c r="G410" i="11" s="1"/>
  <c r="N404" i="11"/>
  <c r="O404" i="11" s="1"/>
  <c r="L568" i="11"/>
  <c r="M568" i="11" s="1"/>
  <c r="L511" i="11"/>
  <c r="M511" i="11" s="1"/>
  <c r="N467" i="11"/>
  <c r="O467" i="11" s="1"/>
  <c r="J462" i="11"/>
  <c r="K462" i="11" s="1"/>
  <c r="N456" i="11"/>
  <c r="O456" i="11" s="1"/>
  <c r="J414" i="11"/>
  <c r="K414" i="11" s="1"/>
  <c r="N509" i="11"/>
  <c r="O509" i="11" s="1"/>
  <c r="J458" i="11"/>
  <c r="K458" i="11" s="1"/>
  <c r="L409" i="11"/>
  <c r="M409" i="11" s="1"/>
  <c r="H405" i="11"/>
  <c r="I405" i="11" s="1"/>
  <c r="N401" i="11"/>
  <c r="O401" i="11" s="1"/>
  <c r="J361" i="11"/>
  <c r="K361" i="11" s="1"/>
  <c r="L357" i="11"/>
  <c r="M357" i="11" s="1"/>
  <c r="J354" i="11"/>
  <c r="K354" i="11" s="1"/>
  <c r="F352" i="11"/>
  <c r="G352" i="11" s="1"/>
  <c r="L348" i="11"/>
  <c r="M348" i="11" s="1"/>
  <c r="F346" i="11"/>
  <c r="G346" i="11" s="1"/>
  <c r="H306" i="11"/>
  <c r="I306" i="11" s="1"/>
  <c r="N303" i="11"/>
  <c r="O303" i="11" s="1"/>
  <c r="L301" i="11"/>
  <c r="M301" i="11" s="1"/>
  <c r="L299" i="11"/>
  <c r="M299" i="11" s="1"/>
  <c r="N295" i="11"/>
  <c r="O295" i="11" s="1"/>
  <c r="J293" i="11"/>
  <c r="K293" i="11" s="1"/>
  <c r="H290" i="11"/>
  <c r="I290" i="11" s="1"/>
  <c r="N519" i="11"/>
  <c r="O519" i="11" s="1"/>
  <c r="J510" i="11"/>
  <c r="K510" i="11" s="1"/>
  <c r="F468" i="11"/>
  <c r="G468" i="11" s="1"/>
  <c r="L461" i="11"/>
  <c r="M461" i="11" s="1"/>
  <c r="L454" i="11"/>
  <c r="M454" i="11" s="1"/>
  <c r="F409" i="11"/>
  <c r="G409" i="11" s="1"/>
  <c r="H402" i="11"/>
  <c r="I402" i="11" s="1"/>
  <c r="J398" i="11"/>
  <c r="K398" i="11" s="1"/>
  <c r="L358" i="11"/>
  <c r="M358" i="11" s="1"/>
  <c r="N354" i="11"/>
  <c r="O354" i="11" s="1"/>
  <c r="J352" i="11"/>
  <c r="K352" i="11" s="1"/>
  <c r="F349" i="11"/>
  <c r="G349" i="11" s="1"/>
  <c r="J345" i="11"/>
  <c r="K345" i="11" s="1"/>
  <c r="J519" i="11"/>
  <c r="K519" i="11" s="1"/>
  <c r="H464" i="11"/>
  <c r="I464" i="11" s="1"/>
  <c r="F452" i="11"/>
  <c r="G452" i="11" s="1"/>
  <c r="L406" i="11"/>
  <c r="M406" i="11" s="1"/>
  <c r="F401" i="11"/>
  <c r="G401" i="11" s="1"/>
  <c r="L355" i="11"/>
  <c r="M355" i="11" s="1"/>
  <c r="N350" i="11"/>
  <c r="O350" i="11" s="1"/>
  <c r="L302" i="11"/>
  <c r="M302" i="11" s="1"/>
  <c r="L291" i="11"/>
  <c r="M291" i="11" s="1"/>
  <c r="L245" i="11"/>
  <c r="M245" i="11" s="1"/>
  <c r="H239" i="11"/>
  <c r="I239" i="11" s="1"/>
  <c r="H196" i="11"/>
  <c r="I196" i="11" s="1"/>
  <c r="N189" i="11"/>
  <c r="O189" i="11" s="1"/>
  <c r="F455" i="11"/>
  <c r="G455" i="11" s="1"/>
  <c r="N399" i="11"/>
  <c r="O399" i="11" s="1"/>
  <c r="F345" i="11"/>
  <c r="G345" i="11" s="1"/>
  <c r="J302" i="11"/>
  <c r="K302" i="11" s="1"/>
  <c r="F292" i="11"/>
  <c r="G292" i="11" s="1"/>
  <c r="L248" i="11"/>
  <c r="M248" i="11" s="1"/>
  <c r="J245" i="11"/>
  <c r="K245" i="11" s="1"/>
  <c r="H242" i="11"/>
  <c r="I242" i="11" s="1"/>
  <c r="H236" i="11"/>
  <c r="I236" i="11" s="1"/>
  <c r="H194" i="11"/>
  <c r="I194" i="11" s="1"/>
  <c r="N187" i="11"/>
  <c r="O187" i="11" s="1"/>
  <c r="J78" i="11"/>
  <c r="K78" i="11" s="1"/>
  <c r="N84" i="11"/>
  <c r="O84" i="11" s="1"/>
  <c r="H91" i="11"/>
  <c r="I91" i="11" s="1"/>
  <c r="F128" i="11"/>
  <c r="G128" i="11" s="1"/>
  <c r="L137" i="11"/>
  <c r="M137" i="11" s="1"/>
  <c r="F144" i="11"/>
  <c r="G144" i="11" s="1"/>
  <c r="H183" i="11"/>
  <c r="I183" i="11" s="1"/>
  <c r="N191" i="11"/>
  <c r="O191" i="11" s="1"/>
  <c r="F240" i="11"/>
  <c r="G240" i="11" s="1"/>
  <c r="N252" i="11"/>
  <c r="O252" i="11" s="1"/>
  <c r="J297" i="11"/>
  <c r="K297" i="11" s="1"/>
  <c r="N414" i="11"/>
  <c r="O414" i="11" s="1"/>
  <c r="L75" i="11"/>
  <c r="M75" i="11" s="1"/>
  <c r="F85" i="11"/>
  <c r="G85" i="11" s="1"/>
  <c r="J91" i="11"/>
  <c r="K91" i="11" s="1"/>
  <c r="H128" i="11"/>
  <c r="I128" i="11" s="1"/>
  <c r="L134" i="11"/>
  <c r="M134" i="11" s="1"/>
  <c r="F141" i="11"/>
  <c r="G141" i="11" s="1"/>
  <c r="F185" i="11"/>
  <c r="G185" i="11" s="1"/>
  <c r="F196" i="11"/>
  <c r="G196" i="11" s="1"/>
  <c r="L237" i="11"/>
  <c r="M237" i="11" s="1"/>
  <c r="J250" i="11"/>
  <c r="K250" i="11" s="1"/>
  <c r="F293" i="11"/>
  <c r="G293" i="11" s="1"/>
  <c r="N345" i="11"/>
  <c r="O345" i="11" s="1"/>
  <c r="F513" i="11"/>
  <c r="G513" i="11" s="1"/>
  <c r="N86" i="11"/>
  <c r="O86" i="11" s="1"/>
  <c r="F130" i="11"/>
  <c r="G130" i="11" s="1"/>
  <c r="J135" i="11"/>
  <c r="K135" i="11" s="1"/>
  <c r="N141" i="11"/>
  <c r="O141" i="11" s="1"/>
  <c r="F183" i="11"/>
  <c r="G183" i="11" s="1"/>
  <c r="F190" i="11"/>
  <c r="G190" i="11" s="1"/>
  <c r="J248" i="11"/>
  <c r="K248" i="11" s="1"/>
  <c r="N293" i="11"/>
  <c r="O293" i="11" s="1"/>
  <c r="J349" i="11"/>
  <c r="K349" i="11" s="1"/>
  <c r="J570" i="11"/>
  <c r="K570" i="11" s="1"/>
  <c r="L400" i="11"/>
  <c r="M400" i="11" s="1"/>
  <c r="L407" i="11"/>
  <c r="M407" i="11" s="1"/>
  <c r="F79" i="11"/>
  <c r="G79" i="11" s="1"/>
  <c r="J85" i="11"/>
  <c r="K85" i="11" s="1"/>
  <c r="N91" i="11"/>
  <c r="O91" i="11" s="1"/>
  <c r="L128" i="11"/>
  <c r="M128" i="11" s="1"/>
  <c r="L135" i="11"/>
  <c r="M135" i="11" s="1"/>
  <c r="N184" i="11"/>
  <c r="O184" i="11" s="1"/>
  <c r="L575" i="11"/>
  <c r="M575" i="11" s="1"/>
  <c r="L566" i="11"/>
  <c r="M566" i="11" s="1"/>
  <c r="F561" i="11"/>
  <c r="G561" i="11" s="1"/>
  <c r="N574" i="11"/>
  <c r="O574" i="11" s="1"/>
  <c r="H568" i="11"/>
  <c r="I568" i="11" s="1"/>
  <c r="L562" i="11"/>
  <c r="M562" i="11" s="1"/>
  <c r="H572" i="11"/>
  <c r="I572" i="11" s="1"/>
  <c r="F562" i="11"/>
  <c r="G562" i="11" s="1"/>
  <c r="F564" i="11"/>
  <c r="G564" i="11" s="1"/>
  <c r="J517" i="11"/>
  <c r="K517" i="11" s="1"/>
  <c r="N511" i="11"/>
  <c r="O511" i="11" s="1"/>
  <c r="F575" i="11"/>
  <c r="G575" i="11" s="1"/>
  <c r="N523" i="11"/>
  <c r="O523" i="11" s="1"/>
  <c r="L516" i="11"/>
  <c r="M516" i="11" s="1"/>
  <c r="H77" i="11"/>
  <c r="I77" i="11" s="1"/>
  <c r="L83" i="11"/>
  <c r="M83" i="11" s="1"/>
  <c r="F90" i="11"/>
  <c r="G90" i="11" s="1"/>
  <c r="N132" i="11"/>
  <c r="O132" i="11" s="1"/>
  <c r="H139" i="11"/>
  <c r="I139" i="11" s="1"/>
  <c r="L145" i="11"/>
  <c r="M145" i="11" s="1"/>
  <c r="H186" i="11"/>
  <c r="I186" i="11" s="1"/>
  <c r="F195" i="11"/>
  <c r="G195" i="11" s="1"/>
  <c r="L240" i="11"/>
  <c r="M240" i="11" s="1"/>
  <c r="J253" i="11"/>
  <c r="K253" i="11" s="1"/>
  <c r="H307" i="11"/>
  <c r="I307" i="11" s="1"/>
  <c r="L361" i="11"/>
  <c r="M361" i="11" s="1"/>
  <c r="N468" i="11"/>
  <c r="O468" i="11" s="1"/>
  <c r="H466" i="11"/>
  <c r="I466" i="11" s="1"/>
  <c r="N74" i="11"/>
  <c r="O74" i="11" s="1"/>
  <c r="H82" i="11"/>
  <c r="I82" i="11" s="1"/>
  <c r="L88" i="11"/>
  <c r="M88" i="11" s="1"/>
  <c r="L131" i="11"/>
  <c r="M131" i="11" s="1"/>
  <c r="H138" i="11"/>
  <c r="I138" i="11" s="1"/>
  <c r="N145" i="11"/>
  <c r="O145" i="11" s="1"/>
  <c r="N192" i="11"/>
  <c r="O192" i="11" s="1"/>
  <c r="J243" i="11"/>
  <c r="K243" i="11" s="1"/>
  <c r="F298" i="11"/>
  <c r="G298" i="11" s="1"/>
  <c r="J456" i="11"/>
  <c r="K456" i="11" s="1"/>
  <c r="J520" i="11"/>
  <c r="K520" i="11" s="1"/>
  <c r="H573" i="11"/>
  <c r="I573" i="11" s="1"/>
  <c r="H570" i="11"/>
  <c r="I570" i="11" s="1"/>
  <c r="N567" i="11"/>
  <c r="O567" i="11" s="1"/>
  <c r="J565" i="11"/>
  <c r="K565" i="11" s="1"/>
  <c r="H562" i="11"/>
  <c r="I562" i="11" s="1"/>
  <c r="F560" i="11"/>
  <c r="G560" i="11" s="1"/>
  <c r="F576" i="11"/>
  <c r="G576" i="11" s="1"/>
  <c r="F573" i="11"/>
  <c r="G573" i="11" s="1"/>
  <c r="L570" i="11"/>
  <c r="M570" i="11" s="1"/>
  <c r="J566" i="11"/>
  <c r="K566" i="11" s="1"/>
  <c r="N563" i="11"/>
  <c r="O563" i="11" s="1"/>
  <c r="J560" i="11"/>
  <c r="K560" i="11" s="1"/>
  <c r="H574" i="11"/>
  <c r="I574" i="11" s="1"/>
  <c r="F570" i="11"/>
  <c r="G570" i="11" s="1"/>
  <c r="J567" i="11"/>
  <c r="K567" i="11" s="1"/>
  <c r="L564" i="11"/>
  <c r="M564" i="11" s="1"/>
  <c r="N560" i="11"/>
  <c r="O560" i="11" s="1"/>
  <c r="H569" i="11"/>
  <c r="I569" i="11" s="1"/>
  <c r="N522" i="11"/>
  <c r="O522" i="11" s="1"/>
  <c r="L519" i="11"/>
  <c r="M519" i="11" s="1"/>
  <c r="N515" i="11"/>
  <c r="O515" i="11" s="1"/>
  <c r="J513" i="11"/>
  <c r="K513" i="11" s="1"/>
  <c r="L510" i="11"/>
  <c r="M510" i="11" s="1"/>
  <c r="H506" i="11"/>
  <c r="I506" i="11" s="1"/>
  <c r="L565" i="11"/>
  <c r="M565" i="11" s="1"/>
  <c r="H576" i="11"/>
  <c r="I576" i="11" s="1"/>
  <c r="J521" i="11"/>
  <c r="K521" i="11" s="1"/>
  <c r="N518" i="11"/>
  <c r="O518" i="11" s="1"/>
  <c r="N512" i="11"/>
  <c r="O512" i="11" s="1"/>
  <c r="L508" i="11"/>
  <c r="M508" i="11" s="1"/>
  <c r="J563" i="11"/>
  <c r="K563" i="11" s="1"/>
  <c r="J518" i="11"/>
  <c r="K518" i="11" s="1"/>
  <c r="N514" i="11"/>
  <c r="O514" i="11" s="1"/>
  <c r="N506" i="11"/>
  <c r="O506" i="11" s="1"/>
  <c r="L466" i="11"/>
  <c r="M466" i="11" s="1"/>
  <c r="L462" i="11"/>
  <c r="M462" i="11" s="1"/>
  <c r="H460" i="11"/>
  <c r="I460" i="11" s="1"/>
  <c r="H456" i="11"/>
  <c r="I456" i="11" s="1"/>
  <c r="F453" i="11"/>
  <c r="G453" i="11" s="1"/>
  <c r="H413" i="11"/>
  <c r="I413" i="11" s="1"/>
  <c r="J410" i="11"/>
  <c r="K410" i="11" s="1"/>
  <c r="F408" i="11"/>
  <c r="G408" i="11" s="1"/>
  <c r="J405" i="11"/>
  <c r="K405" i="11" s="1"/>
  <c r="L401" i="11"/>
  <c r="M401" i="11" s="1"/>
  <c r="L577" i="11"/>
  <c r="M577" i="11" s="1"/>
  <c r="F517" i="11"/>
  <c r="G517" i="11" s="1"/>
  <c r="L512" i="11"/>
  <c r="M512" i="11" s="1"/>
  <c r="L507" i="11"/>
  <c r="M507" i="11" s="1"/>
  <c r="J468" i="11"/>
  <c r="K468" i="11" s="1"/>
  <c r="N465" i="11"/>
  <c r="O465" i="11" s="1"/>
  <c r="F463" i="11"/>
  <c r="G463" i="11" s="1"/>
  <c r="F460" i="11"/>
  <c r="G460" i="11" s="1"/>
  <c r="J457" i="11"/>
  <c r="K457" i="11" s="1"/>
  <c r="N454" i="11"/>
  <c r="O454" i="11" s="1"/>
  <c r="L415" i="11"/>
  <c r="M415" i="11" s="1"/>
  <c r="J412" i="11"/>
  <c r="K412" i="11" s="1"/>
  <c r="L408" i="11"/>
  <c r="M408" i="11" s="1"/>
  <c r="H515" i="11"/>
  <c r="I515" i="11" s="1"/>
  <c r="J467" i="11"/>
  <c r="K467" i="11" s="1"/>
  <c r="H459" i="11"/>
  <c r="I459" i="11" s="1"/>
  <c r="H415" i="11"/>
  <c r="I415" i="11" s="1"/>
  <c r="H410" i="11"/>
  <c r="I410" i="11" s="1"/>
  <c r="H406" i="11"/>
  <c r="I406" i="11" s="1"/>
  <c r="N402" i="11"/>
  <c r="O402" i="11" s="1"/>
  <c r="L398" i="11"/>
  <c r="M398" i="11" s="1"/>
  <c r="H358" i="11"/>
  <c r="I358" i="11" s="1"/>
  <c r="J355" i="11"/>
  <c r="K355" i="11" s="1"/>
  <c r="L352" i="11"/>
  <c r="M352" i="11" s="1"/>
  <c r="H349" i="11"/>
  <c r="I349" i="11" s="1"/>
  <c r="F347" i="11"/>
  <c r="G347" i="11" s="1"/>
  <c r="J307" i="11"/>
  <c r="K307" i="11" s="1"/>
  <c r="J304" i="11"/>
  <c r="K304" i="11" s="1"/>
  <c r="F302" i="11"/>
  <c r="G302" i="11" s="1"/>
  <c r="H300" i="11"/>
  <c r="I300" i="11" s="1"/>
  <c r="H296" i="11"/>
  <c r="I296" i="11" s="1"/>
  <c r="F294" i="11"/>
  <c r="G294" i="11" s="1"/>
  <c r="N290" i="11"/>
  <c r="O290" i="11" s="1"/>
  <c r="J522" i="11"/>
  <c r="K522" i="11" s="1"/>
  <c r="H512" i="11"/>
  <c r="I512" i="11" s="1"/>
  <c r="J469" i="11"/>
  <c r="K469" i="11" s="1"/>
  <c r="H462" i="11"/>
  <c r="I462" i="11" s="1"/>
  <c r="N455" i="11"/>
  <c r="O455" i="11" s="1"/>
  <c r="F414" i="11"/>
  <c r="G414" i="11" s="1"/>
  <c r="H403" i="11"/>
  <c r="I403" i="11" s="1"/>
  <c r="F399" i="11"/>
  <c r="G399" i="11" s="1"/>
  <c r="N359" i="11"/>
  <c r="O359" i="11" s="1"/>
  <c r="H355" i="11"/>
  <c r="I355" i="11" s="1"/>
  <c r="F353" i="11"/>
  <c r="G353" i="11" s="1"/>
  <c r="N349" i="11"/>
  <c r="O349" i="11" s="1"/>
  <c r="J346" i="11"/>
  <c r="K346" i="11" s="1"/>
  <c r="F523" i="11"/>
  <c r="G523" i="11" s="1"/>
  <c r="L467" i="11"/>
  <c r="M467" i="11" s="1"/>
  <c r="F454" i="11"/>
  <c r="G454" i="11" s="1"/>
  <c r="J411" i="11"/>
  <c r="K411" i="11" s="1"/>
  <c r="J402" i="11"/>
  <c r="K402" i="11" s="1"/>
  <c r="J360" i="11"/>
  <c r="K360" i="11" s="1"/>
  <c r="H356" i="11"/>
  <c r="I356" i="11" s="1"/>
  <c r="N351" i="11"/>
  <c r="O351" i="11" s="1"/>
  <c r="L344" i="11"/>
  <c r="M344" i="11" s="1"/>
  <c r="J303" i="11"/>
  <c r="K303" i="11" s="1"/>
  <c r="N297" i="11"/>
  <c r="O297" i="11" s="1"/>
  <c r="H294" i="11"/>
  <c r="I294" i="11" s="1"/>
  <c r="L252" i="11"/>
  <c r="M252" i="11" s="1"/>
  <c r="J249" i="11"/>
  <c r="K249" i="11" s="1"/>
  <c r="H246" i="11"/>
  <c r="I246" i="11" s="1"/>
  <c r="F243" i="11"/>
  <c r="G243" i="11" s="1"/>
  <c r="N239" i="11"/>
  <c r="O239" i="11" s="1"/>
  <c r="N236" i="11"/>
  <c r="O236" i="11" s="1"/>
  <c r="N196" i="11"/>
  <c r="O196" i="11" s="1"/>
  <c r="L193" i="11"/>
  <c r="M193" i="11" s="1"/>
  <c r="J190" i="11"/>
  <c r="K190" i="11" s="1"/>
  <c r="H514" i="11"/>
  <c r="I514" i="11" s="1"/>
  <c r="L456" i="11"/>
  <c r="M456" i="11" s="1"/>
  <c r="N409" i="11"/>
  <c r="O409" i="11" s="1"/>
  <c r="F402" i="11"/>
  <c r="G402" i="11" s="1"/>
  <c r="F360" i="11"/>
  <c r="G360" i="11" s="1"/>
  <c r="H351" i="11"/>
  <c r="I351" i="11" s="1"/>
  <c r="N346" i="11"/>
  <c r="O346" i="11" s="1"/>
  <c r="F307" i="11"/>
  <c r="G307" i="11" s="1"/>
  <c r="F303" i="11"/>
  <c r="G303" i="11" s="1"/>
  <c r="H298" i="11"/>
  <c r="I298" i="11" s="1"/>
  <c r="N292" i="11"/>
  <c r="O292" i="11" s="1"/>
  <c r="J252" i="11"/>
  <c r="K252" i="11" s="1"/>
  <c r="H249" i="11"/>
  <c r="I249" i="11" s="1"/>
  <c r="F246" i="11"/>
  <c r="G246" i="11" s="1"/>
  <c r="N242" i="11"/>
  <c r="O242" i="11" s="1"/>
  <c r="L239" i="11"/>
  <c r="M239" i="11" s="1"/>
  <c r="H237" i="11"/>
  <c r="I237" i="11" s="1"/>
  <c r="F198" i="11"/>
  <c r="G198" i="11" s="1"/>
  <c r="N194" i="11"/>
  <c r="O194" i="11" s="1"/>
  <c r="L191" i="11"/>
  <c r="M191" i="11" s="1"/>
  <c r="J188" i="11"/>
  <c r="K188" i="11" s="1"/>
  <c r="H185" i="11"/>
  <c r="I185" i="11" s="1"/>
  <c r="J74" i="11"/>
  <c r="K74" i="11" s="1"/>
  <c r="L77" i="11"/>
  <c r="M77" i="11" s="1"/>
  <c r="N80" i="11"/>
  <c r="O80" i="11" s="1"/>
  <c r="F84" i="11"/>
  <c r="G84" i="11" s="1"/>
  <c r="H87" i="11"/>
  <c r="I87" i="11" s="1"/>
  <c r="J90" i="11"/>
  <c r="K90" i="11" s="1"/>
  <c r="F131" i="11"/>
  <c r="G131" i="11" s="1"/>
  <c r="N133" i="11"/>
  <c r="O133" i="11" s="1"/>
  <c r="F137" i="11"/>
  <c r="G137" i="11" s="1"/>
  <c r="H140" i="11"/>
  <c r="I140" i="11" s="1"/>
  <c r="J143" i="11"/>
  <c r="K143" i="11" s="1"/>
  <c r="L182" i="11"/>
  <c r="M182" i="11" s="1"/>
  <c r="L186" i="11"/>
  <c r="M186" i="11" s="1"/>
  <c r="L190" i="11"/>
  <c r="M190" i="11" s="1"/>
  <c r="F197" i="11"/>
  <c r="G197" i="11" s="1"/>
  <c r="N238" i="11"/>
  <c r="O238" i="11" s="1"/>
  <c r="H245" i="11"/>
  <c r="I245" i="11" s="1"/>
  <c r="L251" i="11"/>
  <c r="M251" i="11" s="1"/>
  <c r="L296" i="11"/>
  <c r="M296" i="11" s="1"/>
  <c r="H302" i="11"/>
  <c r="I302" i="11" s="1"/>
  <c r="L346" i="11"/>
  <c r="M346" i="11" s="1"/>
  <c r="N405" i="11"/>
  <c r="O405" i="11" s="1"/>
  <c r="H457" i="11"/>
  <c r="I457" i="11" s="1"/>
  <c r="L74" i="11"/>
  <c r="M74" i="11" s="1"/>
  <c r="N77" i="11"/>
  <c r="O77" i="11" s="1"/>
  <c r="F81" i="11"/>
  <c r="G81" i="11" s="1"/>
  <c r="H84" i="11"/>
  <c r="I84" i="11" s="1"/>
  <c r="J87" i="11"/>
  <c r="K87" i="11" s="1"/>
  <c r="L90" i="11"/>
  <c r="M90" i="11" s="1"/>
  <c r="J130" i="11"/>
  <c r="K130" i="11" s="1"/>
  <c r="F134" i="11"/>
  <c r="G134" i="11" s="1"/>
  <c r="H137" i="11"/>
  <c r="I137" i="11" s="1"/>
  <c r="J140" i="11"/>
  <c r="K140" i="11" s="1"/>
  <c r="F143" i="11"/>
  <c r="G143" i="11" s="1"/>
  <c r="H184" i="11"/>
  <c r="I184" i="11" s="1"/>
  <c r="L187" i="11"/>
  <c r="M187" i="11" s="1"/>
  <c r="L194" i="11"/>
  <c r="M194" i="11" s="1"/>
  <c r="L236" i="11"/>
  <c r="M236" i="11" s="1"/>
  <c r="L242" i="11"/>
  <c r="M242" i="11" s="1"/>
  <c r="F249" i="11"/>
  <c r="G249" i="11" s="1"/>
  <c r="F300" i="11"/>
  <c r="G300" i="11" s="1"/>
  <c r="N355" i="11"/>
  <c r="O355" i="11" s="1"/>
  <c r="J465" i="11"/>
  <c r="K465" i="11" s="1"/>
  <c r="L404" i="11"/>
  <c r="M404" i="11" s="1"/>
  <c r="H85" i="11"/>
  <c r="I85" i="11" s="1"/>
  <c r="J128" i="11"/>
  <c r="K128" i="11" s="1"/>
  <c r="L140" i="11"/>
  <c r="M140" i="11" s="1"/>
  <c r="F188" i="11"/>
  <c r="G188" i="11" s="1"/>
  <c r="H292" i="11"/>
  <c r="I292" i="11" s="1"/>
  <c r="L411" i="11"/>
  <c r="M411" i="11" s="1"/>
  <c r="J77" i="11"/>
  <c r="K77" i="11" s="1"/>
  <c r="H90" i="11"/>
  <c r="I90" i="11" s="1"/>
  <c r="F133" i="11"/>
  <c r="G133" i="11" s="1"/>
  <c r="J139" i="11"/>
  <c r="K139" i="11" s="1"/>
  <c r="H195" i="11"/>
  <c r="I195" i="11" s="1"/>
  <c r="F236" i="11"/>
  <c r="G236" i="11" s="1"/>
  <c r="J577" i="11"/>
  <c r="K577" i="11" s="1"/>
  <c r="N569" i="11"/>
  <c r="O569" i="11" s="1"/>
  <c r="J564" i="11"/>
  <c r="K564" i="11" s="1"/>
  <c r="H577" i="11"/>
  <c r="I577" i="11" s="1"/>
  <c r="J572" i="11"/>
  <c r="K572" i="11" s="1"/>
  <c r="H565" i="11"/>
  <c r="I565" i="11" s="1"/>
  <c r="N577" i="11"/>
  <c r="O577" i="11" s="1"/>
  <c r="J569" i="11"/>
  <c r="K569" i="11" s="1"/>
  <c r="L563" i="11"/>
  <c r="M563" i="11" s="1"/>
  <c r="H567" i="11"/>
  <c r="I567" i="11" s="1"/>
  <c r="F518" i="11"/>
  <c r="G518" i="11" s="1"/>
  <c r="F515" i="11"/>
  <c r="G515" i="11" s="1"/>
  <c r="L509" i="11"/>
  <c r="M509" i="11" s="1"/>
  <c r="J562" i="11"/>
  <c r="K562" i="11" s="1"/>
  <c r="N520" i="11"/>
  <c r="O520" i="11" s="1"/>
  <c r="F512" i="11"/>
  <c r="G512" i="11" s="1"/>
  <c r="F522" i="11"/>
  <c r="G522" i="11" s="1"/>
  <c r="F510" i="11"/>
  <c r="G510" i="11" s="1"/>
  <c r="H465" i="11"/>
  <c r="I465" i="11" s="1"/>
  <c r="L459" i="11"/>
  <c r="M459" i="11" s="1"/>
  <c r="J452" i="11"/>
  <c r="K452" i="11" s="1"/>
  <c r="L412" i="11"/>
  <c r="M412" i="11" s="1"/>
  <c r="J407" i="11"/>
  <c r="K407" i="11" s="1"/>
  <c r="H400" i="11"/>
  <c r="I400" i="11" s="1"/>
  <c r="H516" i="11"/>
  <c r="I516" i="11" s="1"/>
  <c r="L506" i="11"/>
  <c r="M506" i="11" s="1"/>
  <c r="F465" i="11"/>
  <c r="G465" i="11" s="1"/>
  <c r="J459" i="11"/>
  <c r="K459" i="11" s="1"/>
  <c r="H454" i="11"/>
  <c r="I454" i="11" s="1"/>
  <c r="N411" i="11"/>
  <c r="O411" i="11" s="1"/>
  <c r="H407" i="11"/>
  <c r="I407" i="11" s="1"/>
  <c r="F466" i="11"/>
  <c r="G466" i="11" s="1"/>
  <c r="H414" i="11"/>
  <c r="I414" i="11" s="1"/>
  <c r="J359" i="11"/>
  <c r="K359" i="11" s="1"/>
  <c r="L306" i="11"/>
  <c r="M306" i="11" s="1"/>
  <c r="F297" i="11"/>
  <c r="G297" i="11" s="1"/>
  <c r="F252" i="11"/>
  <c r="G252" i="11" s="1"/>
  <c r="N248" i="11"/>
  <c r="O248" i="11" s="1"/>
  <c r="J242" i="11"/>
  <c r="K242" i="11" s="1"/>
  <c r="J199" i="11"/>
  <c r="K199" i="11" s="1"/>
  <c r="F193" i="11"/>
  <c r="G193" i="11" s="1"/>
  <c r="J507" i="11"/>
  <c r="K507" i="11" s="1"/>
  <c r="N407" i="11"/>
  <c r="O407" i="11" s="1"/>
  <c r="F359" i="11"/>
  <c r="G359" i="11" s="1"/>
  <c r="L350" i="11"/>
  <c r="M350" i="11" s="1"/>
  <c r="J306" i="11"/>
  <c r="K306" i="11" s="1"/>
  <c r="L297" i="11"/>
  <c r="M297" i="11" s="1"/>
  <c r="N251" i="11"/>
  <c r="O251" i="11" s="1"/>
  <c r="F239" i="11"/>
  <c r="G239" i="11" s="1"/>
  <c r="J197" i="11"/>
  <c r="K197" i="11" s="1"/>
  <c r="F191" i="11"/>
  <c r="G191" i="11" s="1"/>
  <c r="L184" i="11"/>
  <c r="M184" i="11" s="1"/>
  <c r="F75" i="11"/>
  <c r="G75" i="11" s="1"/>
  <c r="L81" i="11"/>
  <c r="M81" i="11" s="1"/>
  <c r="F88" i="11"/>
  <c r="G88" i="11" s="1"/>
  <c r="N131" i="11"/>
  <c r="O131" i="11" s="1"/>
  <c r="J134" i="11"/>
  <c r="K134" i="11" s="1"/>
  <c r="N140" i="11"/>
  <c r="O140" i="11" s="1"/>
  <c r="J187" i="11"/>
  <c r="K187" i="11" s="1"/>
  <c r="H198" i="11"/>
  <c r="I198" i="11" s="1"/>
  <c r="J246" i="11"/>
  <c r="K246" i="11" s="1"/>
  <c r="J290" i="11"/>
  <c r="K290" i="11" s="1"/>
  <c r="L303" i="11"/>
  <c r="M303" i="11" s="1"/>
  <c r="F355" i="11"/>
  <c r="G355" i="11" s="1"/>
  <c r="N459" i="11"/>
  <c r="O459" i="11" s="1"/>
  <c r="L78" i="11"/>
  <c r="M78" i="11" s="1"/>
  <c r="N81" i="11"/>
  <c r="O81" i="11" s="1"/>
  <c r="H88" i="11"/>
  <c r="I88" i="11" s="1"/>
  <c r="H131" i="11"/>
  <c r="I131" i="11" s="1"/>
  <c r="N137" i="11"/>
  <c r="O137" i="11" s="1"/>
  <c r="H144" i="11"/>
  <c r="I144" i="11" s="1"/>
  <c r="L189" i="11"/>
  <c r="M189" i="11" s="1"/>
  <c r="F244" i="11"/>
  <c r="G244" i="11" s="1"/>
  <c r="J301" i="11"/>
  <c r="K301" i="11" s="1"/>
  <c r="L360" i="11"/>
  <c r="M360" i="11" s="1"/>
  <c r="H401" i="11"/>
  <c r="I401" i="11" s="1"/>
  <c r="J80" i="11"/>
  <c r="K80" i="11" s="1"/>
  <c r="H143" i="11"/>
  <c r="I143" i="11" s="1"/>
  <c r="N197" i="11"/>
  <c r="O197" i="11" s="1"/>
  <c r="H238" i="11"/>
  <c r="I238" i="11" s="1"/>
  <c r="F251" i="11"/>
  <c r="G251" i="11" s="1"/>
  <c r="L292" i="11"/>
  <c r="M292" i="11" s="1"/>
  <c r="N352" i="11"/>
  <c r="O352" i="11" s="1"/>
  <c r="H571" i="11"/>
  <c r="I571" i="11" s="1"/>
  <c r="F569" i="11"/>
  <c r="G569" i="11" s="1"/>
  <c r="H563" i="11"/>
  <c r="I563" i="11" s="1"/>
  <c r="N576" i="11"/>
  <c r="O576" i="11" s="1"/>
  <c r="N571" i="11"/>
  <c r="O571" i="11" s="1"/>
  <c r="N564" i="11"/>
  <c r="O564" i="11" s="1"/>
  <c r="F577" i="11"/>
  <c r="G577" i="11" s="1"/>
  <c r="N568" i="11"/>
  <c r="O568" i="11" s="1"/>
  <c r="N565" i="11"/>
  <c r="O565" i="11" s="1"/>
  <c r="F574" i="11"/>
  <c r="G574" i="11" s="1"/>
  <c r="F521" i="11"/>
  <c r="G521" i="11" s="1"/>
  <c r="L514" i="11"/>
  <c r="M514" i="11" s="1"/>
  <c r="J508" i="11"/>
  <c r="K508" i="11" s="1"/>
  <c r="L574" i="11"/>
  <c r="M574" i="11" s="1"/>
  <c r="F520" i="11"/>
  <c r="G520" i="11" s="1"/>
  <c r="H511" i="11"/>
  <c r="I511" i="11" s="1"/>
  <c r="J506" i="11"/>
  <c r="K506" i="11" s="1"/>
  <c r="L468" i="11"/>
  <c r="M468" i="11" s="1"/>
  <c r="J454" i="11"/>
  <c r="K454" i="11" s="1"/>
  <c r="N406" i="11"/>
  <c r="O406" i="11" s="1"/>
  <c r="J515" i="11"/>
  <c r="K515" i="11" s="1"/>
  <c r="J464" i="11"/>
  <c r="K464" i="11" s="1"/>
  <c r="L453" i="11"/>
  <c r="M453" i="11" s="1"/>
  <c r="L469" i="11"/>
  <c r="M469" i="11" s="1"/>
  <c r="H408" i="11"/>
  <c r="I408" i="11" s="1"/>
  <c r="F357" i="11"/>
  <c r="G357" i="11" s="1"/>
  <c r="L345" i="11"/>
  <c r="M345" i="11" s="1"/>
  <c r="F299" i="11"/>
  <c r="G299" i="11" s="1"/>
  <c r="L518" i="11"/>
  <c r="M518" i="11" s="1"/>
  <c r="J453" i="11"/>
  <c r="K453" i="11" s="1"/>
  <c r="F358" i="11"/>
  <c r="G358" i="11" s="1"/>
  <c r="N344" i="11"/>
  <c r="O344" i="11" s="1"/>
  <c r="L405" i="11"/>
  <c r="M405" i="11" s="1"/>
  <c r="N348" i="11"/>
  <c r="O348" i="11" s="1"/>
  <c r="F290" i="11"/>
  <c r="G290" i="11" s="1"/>
  <c r="N241" i="11"/>
  <c r="O241" i="11" s="1"/>
  <c r="J192" i="11"/>
  <c r="K192" i="11" s="1"/>
  <c r="J406" i="11"/>
  <c r="K406" i="11" s="1"/>
  <c r="F344" i="11"/>
  <c r="G344" i="11" s="1"/>
  <c r="L290" i="11"/>
  <c r="M290" i="11" s="1"/>
  <c r="L241" i="11"/>
  <c r="M241" i="11" s="1"/>
  <c r="J193" i="11"/>
  <c r="K193" i="11" s="1"/>
  <c r="F76" i="11"/>
  <c r="G76" i="11" s="1"/>
  <c r="N88" i="11"/>
  <c r="O88" i="11" s="1"/>
  <c r="J132" i="11"/>
  <c r="K132" i="11" s="1"/>
  <c r="H145" i="11"/>
  <c r="I145" i="11" s="1"/>
  <c r="H193" i="11"/>
  <c r="I193" i="11" s="1"/>
  <c r="F306" i="11"/>
  <c r="G306" i="11" s="1"/>
  <c r="L521" i="11"/>
  <c r="M521" i="11" s="1"/>
  <c r="H76" i="11"/>
  <c r="I76" i="11" s="1"/>
  <c r="F89" i="11"/>
  <c r="G89" i="11" s="1"/>
  <c r="L132" i="11"/>
  <c r="M132" i="11" s="1"/>
  <c r="N144" i="11"/>
  <c r="O144" i="11" s="1"/>
  <c r="H197" i="11"/>
  <c r="I197" i="11" s="1"/>
  <c r="H240" i="11"/>
  <c r="I240" i="11" s="1"/>
  <c r="J408" i="11"/>
  <c r="K408" i="11" s="1"/>
  <c r="H305" i="11"/>
  <c r="I305" i="11" s="1"/>
  <c r="H458" i="11"/>
  <c r="I458" i="11" s="1"/>
  <c r="H561" i="11"/>
  <c r="I561" i="11" s="1"/>
  <c r="N360" i="11"/>
  <c r="O360" i="11" s="1"/>
  <c r="L414" i="11"/>
  <c r="M414" i="11" s="1"/>
  <c r="J296" i="11"/>
  <c r="K296" i="11" s="1"/>
  <c r="L195" i="11"/>
  <c r="M195" i="11" s="1"/>
  <c r="L349" i="11"/>
  <c r="M349" i="11" s="1"/>
  <c r="N244" i="11"/>
  <c r="O244" i="11" s="1"/>
  <c r="J183" i="11"/>
  <c r="K183" i="11" s="1"/>
  <c r="F142" i="11"/>
  <c r="G142" i="11" s="1"/>
  <c r="H188" i="11"/>
  <c r="I188" i="11" s="1"/>
  <c r="N356" i="11"/>
  <c r="O356" i="11" s="1"/>
  <c r="N85" i="11"/>
  <c r="O85" i="11" s="1"/>
  <c r="F129" i="11"/>
  <c r="G129" i="11" s="1"/>
  <c r="L141" i="11"/>
  <c r="M141" i="11" s="1"/>
  <c r="N190" i="11"/>
  <c r="O190" i="11" s="1"/>
  <c r="H520" i="11"/>
  <c r="I520" i="11" s="1"/>
  <c r="L464" i="11"/>
  <c r="M464" i="11" s="1"/>
  <c r="N415" i="11"/>
  <c r="O415" i="11" s="1"/>
  <c r="F404" i="11"/>
  <c r="G404" i="11" s="1"/>
  <c r="N510" i="11"/>
  <c r="O510" i="11" s="1"/>
  <c r="H461" i="11"/>
  <c r="I461" i="11" s="1"/>
  <c r="N413" i="11"/>
  <c r="O413" i="11" s="1"/>
  <c r="N462" i="11"/>
  <c r="O462" i="11" s="1"/>
  <c r="J404" i="11"/>
  <c r="K404" i="11" s="1"/>
  <c r="N353" i="11"/>
  <c r="O353" i="11" s="1"/>
  <c r="L305" i="11"/>
  <c r="M305" i="11" s="1"/>
  <c r="H295" i="11"/>
  <c r="I295" i="11" s="1"/>
  <c r="J509" i="11"/>
  <c r="K509" i="11" s="1"/>
  <c r="F405" i="11"/>
  <c r="G405" i="11" s="1"/>
  <c r="H354" i="11"/>
  <c r="I354" i="11" s="1"/>
  <c r="J514" i="11"/>
  <c r="K514" i="11" s="1"/>
  <c r="N398" i="11"/>
  <c r="O398" i="11" s="1"/>
  <c r="N305" i="11"/>
  <c r="O305" i="11" s="1"/>
  <c r="J251" i="11"/>
  <c r="K251" i="11" s="1"/>
  <c r="L238" i="11"/>
  <c r="M238" i="11" s="1"/>
  <c r="H189" i="11"/>
  <c r="I189" i="11" s="1"/>
  <c r="F398" i="11"/>
  <c r="G398" i="11" s="1"/>
  <c r="J305" i="11"/>
  <c r="K305" i="11" s="1"/>
  <c r="H251" i="11"/>
  <c r="I251" i="11" s="1"/>
  <c r="J238" i="11"/>
  <c r="K238" i="11" s="1"/>
  <c r="H190" i="11"/>
  <c r="I190" i="11" s="1"/>
  <c r="H79" i="11"/>
  <c r="I79" i="11" s="1"/>
  <c r="N135" i="11"/>
  <c r="O135" i="11" s="1"/>
  <c r="L199" i="11"/>
  <c r="M199" i="11" s="1"/>
  <c r="H241" i="11"/>
  <c r="I241" i="11" s="1"/>
  <c r="J79" i="11"/>
  <c r="K79" i="11" s="1"/>
  <c r="H135" i="11"/>
  <c r="I135" i="11" s="1"/>
  <c r="L246" i="11"/>
  <c r="M246" i="11" s="1"/>
  <c r="J295" i="11"/>
  <c r="K295" i="11" s="1"/>
  <c r="H348" i="11"/>
  <c r="I348" i="11" s="1"/>
  <c r="H453" i="11"/>
  <c r="I453" i="11" s="1"/>
  <c r="J516" i="11"/>
  <c r="K516" i="11" s="1"/>
  <c r="J461" i="11"/>
  <c r="K461" i="11" s="1"/>
  <c r="H411" i="11"/>
  <c r="I411" i="11" s="1"/>
  <c r="L399" i="11"/>
  <c r="M399" i="11" s="1"/>
  <c r="N469" i="11"/>
  <c r="O469" i="11" s="1"/>
  <c r="N458" i="11"/>
  <c r="O458" i="11" s="1"/>
  <c r="F411" i="11"/>
  <c r="G411" i="11" s="1"/>
  <c r="F457" i="11"/>
  <c r="G457" i="11" s="1"/>
  <c r="F400" i="11"/>
  <c r="G400" i="11" s="1"/>
  <c r="L351" i="11"/>
  <c r="M351" i="11" s="1"/>
  <c r="H303" i="11"/>
  <c r="I303" i="11" s="1"/>
  <c r="J292" i="11"/>
  <c r="K292" i="11" s="1"/>
  <c r="N464" i="11"/>
  <c r="O464" i="11" s="1"/>
  <c r="J401" i="11"/>
  <c r="K401" i="11" s="1"/>
  <c r="J351" i="11"/>
  <c r="K351" i="11" s="1"/>
  <c r="L458" i="11"/>
  <c r="M458" i="11" s="1"/>
  <c r="J358" i="11"/>
  <c r="K358" i="11" s="1"/>
  <c r="N301" i="11"/>
  <c r="O301" i="11" s="1"/>
  <c r="H248" i="11"/>
  <c r="I248" i="11" s="1"/>
  <c r="N198" i="11"/>
  <c r="O198" i="11" s="1"/>
  <c r="L465" i="11"/>
  <c r="M465" i="11" s="1"/>
  <c r="F356" i="11"/>
  <c r="G356" i="11" s="1"/>
  <c r="L300" i="11"/>
  <c r="M300" i="11" s="1"/>
  <c r="F248" i="11"/>
  <c r="G248" i="11" s="1"/>
  <c r="N199" i="11"/>
  <c r="O199" i="11" s="1"/>
  <c r="F187" i="11"/>
  <c r="G187" i="11" s="1"/>
  <c r="J82" i="11"/>
  <c r="K82" i="11" s="1"/>
  <c r="F139" i="11"/>
  <c r="G139" i="11" s="1"/>
  <c r="F184" i="11"/>
  <c r="G184" i="11" s="1"/>
  <c r="L247" i="11"/>
  <c r="M247" i="11" s="1"/>
  <c r="N291" i="11"/>
  <c r="O291" i="11" s="1"/>
  <c r="L82" i="11"/>
  <c r="M82" i="11" s="1"/>
  <c r="J138" i="11"/>
  <c r="K138" i="11" s="1"/>
  <c r="F186" i="11"/>
  <c r="G186" i="11" s="1"/>
  <c r="F253" i="11"/>
  <c r="G253" i="11" s="1"/>
  <c r="H509" i="11"/>
  <c r="I509" i="11" s="1"/>
  <c r="J409" i="11"/>
  <c r="K409" i="11" s="1"/>
  <c r="L523" i="11"/>
  <c r="M523" i="11" s="1"/>
  <c r="F467" i="11"/>
  <c r="G467" i="11" s="1"/>
  <c r="F456" i="11"/>
  <c r="G456" i="11" s="1"/>
  <c r="L522" i="11"/>
  <c r="M522" i="11" s="1"/>
  <c r="J413" i="11"/>
  <c r="K413" i="11" s="1"/>
  <c r="H359" i="11"/>
  <c r="I359" i="11" s="1"/>
  <c r="F348" i="11"/>
  <c r="G348" i="11" s="1"/>
  <c r="H301" i="11"/>
  <c r="I301" i="11" s="1"/>
  <c r="J460" i="11"/>
  <c r="K460" i="11" s="1"/>
  <c r="J348" i="11"/>
  <c r="K348" i="11" s="1"/>
  <c r="L354" i="11"/>
  <c r="M354" i="11" s="1"/>
  <c r="F245" i="11"/>
  <c r="G245" i="11" s="1"/>
  <c r="J415" i="11"/>
  <c r="K415" i="11" s="1"/>
  <c r="N294" i="11"/>
  <c r="O294" i="11" s="1"/>
  <c r="L196" i="11"/>
  <c r="M196" i="11" s="1"/>
  <c r="L85" i="11"/>
  <c r="M85" i="11" s="1"/>
  <c r="N128" i="11"/>
  <c r="O128" i="11" s="1"/>
  <c r="N298" i="11"/>
  <c r="O298" i="11" s="1"/>
  <c r="N466" i="11"/>
  <c r="O466" i="11" s="1"/>
  <c r="H559" i="11"/>
  <c r="I559" i="11" s="1"/>
  <c r="H558" i="11"/>
  <c r="I558" i="11" s="1"/>
  <c r="L557" i="11"/>
  <c r="M557" i="11" s="1"/>
  <c r="F556" i="11"/>
  <c r="G556" i="11" s="1"/>
  <c r="J555" i="11"/>
  <c r="K555" i="11" s="1"/>
  <c r="J554" i="11"/>
  <c r="K554" i="11" s="1"/>
  <c r="H553" i="11"/>
  <c r="I553" i="11" s="1"/>
  <c r="H552" i="11"/>
  <c r="I552" i="11" s="1"/>
  <c r="L551" i="11"/>
  <c r="M551" i="11" s="1"/>
  <c r="J550" i="11"/>
  <c r="K550" i="11" s="1"/>
  <c r="H549" i="11"/>
  <c r="I549" i="11" s="1"/>
  <c r="N548" i="11"/>
  <c r="O548" i="11" s="1"/>
  <c r="H548" i="11"/>
  <c r="I548" i="11" s="1"/>
  <c r="L547" i="11"/>
  <c r="M547" i="11" s="1"/>
  <c r="F546" i="11"/>
  <c r="G546" i="11" s="1"/>
  <c r="J545" i="11"/>
  <c r="K545" i="11" s="1"/>
  <c r="N544" i="11"/>
  <c r="O544" i="11" s="1"/>
  <c r="N543" i="11"/>
  <c r="O543" i="11" s="1"/>
  <c r="F543" i="11"/>
  <c r="G543" i="11" s="1"/>
  <c r="L542" i="11"/>
  <c r="M542" i="11" s="1"/>
  <c r="N559" i="11"/>
  <c r="O559" i="11" s="1"/>
  <c r="F559" i="11"/>
  <c r="G559" i="11" s="1"/>
  <c r="L558" i="11"/>
  <c r="M558" i="11" s="1"/>
  <c r="F558" i="11"/>
  <c r="G558" i="11" s="1"/>
  <c r="J557" i="11"/>
  <c r="K557" i="11" s="1"/>
  <c r="J556" i="11"/>
  <c r="K556" i="11" s="1"/>
  <c r="H555" i="11"/>
  <c r="I555" i="11" s="1"/>
  <c r="N554" i="11"/>
  <c r="O554" i="11" s="1"/>
  <c r="H554" i="11"/>
  <c r="I554" i="11" s="1"/>
  <c r="N553" i="11"/>
  <c r="O553" i="11" s="1"/>
  <c r="F553" i="11"/>
  <c r="G553" i="11" s="1"/>
  <c r="L552" i="11"/>
  <c r="M552" i="11" s="1"/>
  <c r="F552" i="11"/>
  <c r="G552" i="11" s="1"/>
  <c r="J551" i="11"/>
  <c r="K551" i="11" s="1"/>
  <c r="N550" i="11"/>
  <c r="O550" i="11" s="1"/>
  <c r="N549" i="11"/>
  <c r="O549" i="11" s="1"/>
  <c r="F549" i="11"/>
  <c r="G549" i="11" s="1"/>
  <c r="L548" i="11"/>
  <c r="M548" i="11" s="1"/>
  <c r="F548" i="11"/>
  <c r="G548" i="11" s="1"/>
  <c r="J547" i="11"/>
  <c r="K547" i="11" s="1"/>
  <c r="J546" i="11"/>
  <c r="K546" i="11" s="1"/>
  <c r="H545" i="11"/>
  <c r="I545" i="11" s="1"/>
  <c r="H544" i="11"/>
  <c r="I544" i="11" s="1"/>
  <c r="L543" i="11"/>
  <c r="M543" i="11" s="1"/>
  <c r="J542" i="11"/>
  <c r="K542" i="11" s="1"/>
  <c r="L559" i="11"/>
  <c r="M559" i="11" s="1"/>
  <c r="J558" i="11"/>
  <c r="K558" i="11" s="1"/>
  <c r="H557" i="11"/>
  <c r="I557" i="11" s="1"/>
  <c r="L556" i="11"/>
  <c r="M556" i="11" s="1"/>
  <c r="N555" i="11"/>
  <c r="O555" i="11" s="1"/>
  <c r="L554" i="11"/>
  <c r="M554" i="11" s="1"/>
  <c r="N552" i="11"/>
  <c r="O552" i="11" s="1"/>
  <c r="N551" i="11"/>
  <c r="O551" i="11" s="1"/>
  <c r="N547" i="11"/>
  <c r="O547" i="11" s="1"/>
  <c r="N546" i="11"/>
  <c r="O546" i="11" s="1"/>
  <c r="L505" i="11"/>
  <c r="M505" i="11" s="1"/>
  <c r="J559" i="11"/>
  <c r="K559" i="11" s="1"/>
  <c r="F557" i="11"/>
  <c r="G557" i="11" s="1"/>
  <c r="H556" i="11"/>
  <c r="I556" i="11" s="1"/>
  <c r="L555" i="11"/>
  <c r="M555" i="11" s="1"/>
  <c r="L553" i="11"/>
  <c r="M553" i="11" s="1"/>
  <c r="J552" i="11"/>
  <c r="K552" i="11" s="1"/>
  <c r="H551" i="11"/>
  <c r="I551" i="11" s="1"/>
  <c r="L550" i="11"/>
  <c r="M550" i="11" s="1"/>
  <c r="L549" i="11"/>
  <c r="M549" i="11" s="1"/>
  <c r="H547" i="11"/>
  <c r="I547" i="11" s="1"/>
  <c r="J549" i="11"/>
  <c r="K549" i="11" s="1"/>
  <c r="F547" i="11"/>
  <c r="G547" i="11" s="1"/>
  <c r="F545" i="11"/>
  <c r="G545" i="11" s="1"/>
  <c r="F544" i="11"/>
  <c r="G544" i="11" s="1"/>
  <c r="N557" i="11"/>
  <c r="O557" i="11" s="1"/>
  <c r="F554" i="11"/>
  <c r="G554" i="11" s="1"/>
  <c r="H550" i="11"/>
  <c r="I550" i="11" s="1"/>
  <c r="N542" i="11"/>
  <c r="O542" i="11" s="1"/>
  <c r="N505" i="11"/>
  <c r="O505" i="11" s="1"/>
  <c r="J504" i="11"/>
  <c r="K504" i="11" s="1"/>
  <c r="J503" i="11"/>
  <c r="K503" i="11" s="1"/>
  <c r="J502" i="11"/>
  <c r="K502" i="11" s="1"/>
  <c r="J501" i="11"/>
  <c r="K501" i="11" s="1"/>
  <c r="H500" i="11"/>
  <c r="I500" i="11" s="1"/>
  <c r="N499" i="11"/>
  <c r="O499" i="11" s="1"/>
  <c r="H499" i="11"/>
  <c r="I499" i="11" s="1"/>
  <c r="N498" i="11"/>
  <c r="O498" i="11" s="1"/>
  <c r="F498" i="11"/>
  <c r="G498" i="11" s="1"/>
  <c r="L497" i="11"/>
  <c r="M497" i="11" s="1"/>
  <c r="F497" i="11"/>
  <c r="G497" i="11" s="1"/>
  <c r="J496" i="11"/>
  <c r="K496" i="11" s="1"/>
  <c r="N495" i="11"/>
  <c r="O495" i="11" s="1"/>
  <c r="N494" i="11"/>
  <c r="O494" i="11" s="1"/>
  <c r="F494" i="11"/>
  <c r="G494" i="11" s="1"/>
  <c r="H493" i="11"/>
  <c r="I493" i="11" s="1"/>
  <c r="L492" i="11"/>
  <c r="M492" i="11" s="1"/>
  <c r="F491" i="11"/>
  <c r="G491" i="11" s="1"/>
  <c r="J490" i="11"/>
  <c r="K490" i="11" s="1"/>
  <c r="N489" i="11"/>
  <c r="O489" i="11" s="1"/>
  <c r="H489" i="11"/>
  <c r="I489" i="11" s="1"/>
  <c r="L488" i="11"/>
  <c r="M488" i="11" s="1"/>
  <c r="F555" i="11"/>
  <c r="G555" i="11" s="1"/>
  <c r="F550" i="11"/>
  <c r="G550" i="11" s="1"/>
  <c r="L544" i="11"/>
  <c r="M544" i="11" s="1"/>
  <c r="H543" i="11"/>
  <c r="I543" i="11" s="1"/>
  <c r="N503" i="11"/>
  <c r="O503" i="11" s="1"/>
  <c r="H503" i="11"/>
  <c r="I503" i="11" s="1"/>
  <c r="N502" i="11"/>
  <c r="O502" i="11" s="1"/>
  <c r="H501" i="11"/>
  <c r="I501" i="11" s="1"/>
  <c r="N500" i="11"/>
  <c r="O500" i="11" s="1"/>
  <c r="J499" i="11"/>
  <c r="K499" i="11" s="1"/>
  <c r="L498" i="11"/>
  <c r="M498" i="11" s="1"/>
  <c r="N497" i="11"/>
  <c r="O497" i="11" s="1"/>
  <c r="H497" i="11"/>
  <c r="I497" i="11" s="1"/>
  <c r="H496" i="11"/>
  <c r="I496" i="11" s="1"/>
  <c r="L495" i="11"/>
  <c r="M495" i="11" s="1"/>
  <c r="J493" i="11"/>
  <c r="K493" i="11" s="1"/>
  <c r="N492" i="11"/>
  <c r="O492" i="11" s="1"/>
  <c r="J491" i="11"/>
  <c r="K491" i="11" s="1"/>
  <c r="N490" i="11"/>
  <c r="O490" i="11" s="1"/>
  <c r="F489" i="11"/>
  <c r="G489" i="11" s="1"/>
  <c r="H488" i="11"/>
  <c r="I488" i="11" s="1"/>
  <c r="N451" i="11"/>
  <c r="O451" i="11" s="1"/>
  <c r="F451" i="11"/>
  <c r="G451" i="11" s="1"/>
  <c r="J450" i="11"/>
  <c r="K450" i="11" s="1"/>
  <c r="N449" i="11"/>
  <c r="O449" i="11" s="1"/>
  <c r="F449" i="11"/>
  <c r="G449" i="11" s="1"/>
  <c r="L448" i="11"/>
  <c r="M448" i="11" s="1"/>
  <c r="H447" i="11"/>
  <c r="I447" i="11" s="1"/>
  <c r="L446" i="11"/>
  <c r="M446" i="11" s="1"/>
  <c r="F446" i="11"/>
  <c r="G446" i="11" s="1"/>
  <c r="J445" i="11"/>
  <c r="K445" i="11" s="1"/>
  <c r="N444" i="11"/>
  <c r="O444" i="11" s="1"/>
  <c r="H444" i="11"/>
  <c r="I444" i="11" s="1"/>
  <c r="L443" i="11"/>
  <c r="M443" i="11" s="1"/>
  <c r="H442" i="11"/>
  <c r="I442" i="11" s="1"/>
  <c r="L441" i="11"/>
  <c r="M441" i="11" s="1"/>
  <c r="H440" i="11"/>
  <c r="I440" i="11" s="1"/>
  <c r="L439" i="11"/>
  <c r="M439" i="11" s="1"/>
  <c r="J438" i="11"/>
  <c r="K438" i="11" s="1"/>
  <c r="N437" i="11"/>
  <c r="O437" i="11" s="1"/>
  <c r="F437" i="11"/>
  <c r="G437" i="11" s="1"/>
  <c r="J436" i="11"/>
  <c r="K436" i="11" s="1"/>
  <c r="N435" i="11"/>
  <c r="O435" i="11" s="1"/>
  <c r="F435" i="11"/>
  <c r="G435" i="11" s="1"/>
  <c r="J434" i="11"/>
  <c r="K434" i="11" s="1"/>
  <c r="N545" i="11"/>
  <c r="O545" i="11" s="1"/>
  <c r="J544" i="11"/>
  <c r="K544" i="11" s="1"/>
  <c r="J505" i="11"/>
  <c r="K505" i="11" s="1"/>
  <c r="N504" i="11"/>
  <c r="O504" i="11" s="1"/>
  <c r="H504" i="11"/>
  <c r="I504" i="11" s="1"/>
  <c r="F503" i="11"/>
  <c r="G503" i="11" s="1"/>
  <c r="L502" i="11"/>
  <c r="M502" i="11" s="1"/>
  <c r="N501" i="11"/>
  <c r="O501" i="11" s="1"/>
  <c r="L500" i="11"/>
  <c r="M500" i="11" s="1"/>
  <c r="J498" i="11"/>
  <c r="K498" i="11" s="1"/>
  <c r="F496" i="11"/>
  <c r="G496" i="11" s="1"/>
  <c r="J495" i="11"/>
  <c r="K495" i="11" s="1"/>
  <c r="L494" i="11"/>
  <c r="M494" i="11" s="1"/>
  <c r="J492" i="11"/>
  <c r="K492" i="11" s="1"/>
  <c r="H491" i="11"/>
  <c r="I491" i="11" s="1"/>
  <c r="L490" i="11"/>
  <c r="M490" i="11" s="1"/>
  <c r="F488" i="11"/>
  <c r="G488" i="11" s="1"/>
  <c r="L451" i="11"/>
  <c r="M451" i="11" s="1"/>
  <c r="H450" i="11"/>
  <c r="I450" i="11" s="1"/>
  <c r="L449" i="11"/>
  <c r="M449" i="11" s="1"/>
  <c r="J448" i="11"/>
  <c r="K448" i="11" s="1"/>
  <c r="N447" i="11"/>
  <c r="O447" i="11" s="1"/>
  <c r="F447" i="11"/>
  <c r="G447" i="11" s="1"/>
  <c r="J446" i="11"/>
  <c r="K446" i="11" s="1"/>
  <c r="H445" i="11"/>
  <c r="I445" i="11" s="1"/>
  <c r="L444" i="11"/>
  <c r="M444" i="11" s="1"/>
  <c r="F444" i="11"/>
  <c r="G444" i="11" s="1"/>
  <c r="J443" i="11"/>
  <c r="K443" i="11" s="1"/>
  <c r="N442" i="11"/>
  <c r="O442" i="11" s="1"/>
  <c r="F442" i="11"/>
  <c r="G442" i="11" s="1"/>
  <c r="J441" i="11"/>
  <c r="K441" i="11" s="1"/>
  <c r="N440" i="11"/>
  <c r="O440" i="11" s="1"/>
  <c r="F440" i="11"/>
  <c r="G440" i="11" s="1"/>
  <c r="J439" i="11"/>
  <c r="K439" i="11" s="1"/>
  <c r="N438" i="11"/>
  <c r="O438" i="11" s="1"/>
  <c r="H438" i="11"/>
  <c r="I438" i="11" s="1"/>
  <c r="L437" i="11"/>
  <c r="M437" i="11" s="1"/>
  <c r="H436" i="11"/>
  <c r="I436" i="11" s="1"/>
  <c r="L435" i="11"/>
  <c r="M435" i="11" s="1"/>
  <c r="H434" i="11"/>
  <c r="I434" i="11" s="1"/>
  <c r="N556" i="11"/>
  <c r="O556" i="11" s="1"/>
  <c r="J553" i="11"/>
  <c r="K553" i="11" s="1"/>
  <c r="J543" i="11"/>
  <c r="K543" i="11" s="1"/>
  <c r="H505" i="11"/>
  <c r="I505" i="11" s="1"/>
  <c r="L504" i="11"/>
  <c r="M504" i="11" s="1"/>
  <c r="F502" i="11"/>
  <c r="G502" i="11" s="1"/>
  <c r="F501" i="11"/>
  <c r="G501" i="11" s="1"/>
  <c r="N493" i="11"/>
  <c r="O493" i="11" s="1"/>
  <c r="H492" i="11"/>
  <c r="I492" i="11" s="1"/>
  <c r="L491" i="11"/>
  <c r="M491" i="11" s="1"/>
  <c r="F490" i="11"/>
  <c r="G490" i="11" s="1"/>
  <c r="J451" i="11"/>
  <c r="K451" i="11" s="1"/>
  <c r="L450" i="11"/>
  <c r="M450" i="11" s="1"/>
  <c r="H449" i="11"/>
  <c r="I449" i="11" s="1"/>
  <c r="H448" i="11"/>
  <c r="I448" i="11" s="1"/>
  <c r="J447" i="11"/>
  <c r="K447" i="11" s="1"/>
  <c r="F445" i="11"/>
  <c r="G445" i="11" s="1"/>
  <c r="N441" i="11"/>
  <c r="O441" i="11" s="1"/>
  <c r="L440" i="11"/>
  <c r="M440" i="11" s="1"/>
  <c r="H439" i="11"/>
  <c r="I439" i="11" s="1"/>
  <c r="H437" i="11"/>
  <c r="I437" i="11" s="1"/>
  <c r="F436" i="11"/>
  <c r="G436" i="11" s="1"/>
  <c r="N397" i="11"/>
  <c r="O397" i="11" s="1"/>
  <c r="F397" i="11"/>
  <c r="G397" i="11" s="1"/>
  <c r="J396" i="11"/>
  <c r="K396" i="11" s="1"/>
  <c r="N395" i="11"/>
  <c r="O395" i="11" s="1"/>
  <c r="F395" i="11"/>
  <c r="G395" i="11" s="1"/>
  <c r="J394" i="11"/>
  <c r="K394" i="11" s="1"/>
  <c r="N393" i="11"/>
  <c r="O393" i="11" s="1"/>
  <c r="F393" i="11"/>
  <c r="G393" i="11" s="1"/>
  <c r="J392" i="11"/>
  <c r="K392" i="11" s="1"/>
  <c r="J391" i="11"/>
  <c r="K391" i="11" s="1"/>
  <c r="N390" i="11"/>
  <c r="O390" i="11" s="1"/>
  <c r="H390" i="11"/>
  <c r="I390" i="11" s="1"/>
  <c r="L389" i="11"/>
  <c r="M389" i="11" s="1"/>
  <c r="F389" i="11"/>
  <c r="G389" i="11" s="1"/>
  <c r="J388" i="11"/>
  <c r="K388" i="11" s="1"/>
  <c r="N387" i="11"/>
  <c r="O387" i="11" s="1"/>
  <c r="L386" i="11"/>
  <c r="M386" i="11" s="1"/>
  <c r="H385" i="11"/>
  <c r="I385" i="11" s="1"/>
  <c r="L384" i="11"/>
  <c r="M384" i="11" s="1"/>
  <c r="F384" i="11"/>
  <c r="G384" i="11" s="1"/>
  <c r="L383" i="11"/>
  <c r="M383" i="11" s="1"/>
  <c r="J382" i="11"/>
  <c r="K382" i="11" s="1"/>
  <c r="N381" i="11"/>
  <c r="O381" i="11" s="1"/>
  <c r="H381" i="11"/>
  <c r="I381" i="11" s="1"/>
  <c r="L380" i="11"/>
  <c r="M380" i="11" s="1"/>
  <c r="N343" i="11"/>
  <c r="O343" i="11" s="1"/>
  <c r="L342" i="11"/>
  <c r="M342" i="11" s="1"/>
  <c r="F342" i="11"/>
  <c r="G342" i="11" s="1"/>
  <c r="J341" i="11"/>
  <c r="K341" i="11" s="1"/>
  <c r="J339" i="11"/>
  <c r="K339" i="11" s="1"/>
  <c r="N338" i="11"/>
  <c r="O338" i="11" s="1"/>
  <c r="H338" i="11"/>
  <c r="I338" i="11" s="1"/>
  <c r="L337" i="11"/>
  <c r="M337" i="11" s="1"/>
  <c r="F337" i="11"/>
  <c r="G337" i="11" s="1"/>
  <c r="J336" i="11"/>
  <c r="K336" i="11" s="1"/>
  <c r="J335" i="11"/>
  <c r="K335" i="11" s="1"/>
  <c r="J334" i="11"/>
  <c r="K334" i="11" s="1"/>
  <c r="N333" i="11"/>
  <c r="O333" i="11" s="1"/>
  <c r="H333" i="11"/>
  <c r="I333" i="11" s="1"/>
  <c r="L332" i="11"/>
  <c r="M332" i="11" s="1"/>
  <c r="F332" i="11"/>
  <c r="G332" i="11" s="1"/>
  <c r="L331" i="11"/>
  <c r="M331" i="11" s="1"/>
  <c r="F331" i="11"/>
  <c r="G331" i="11" s="1"/>
  <c r="J330" i="11"/>
  <c r="K330" i="11" s="1"/>
  <c r="J329" i="11"/>
  <c r="K329" i="11" s="1"/>
  <c r="J328" i="11"/>
  <c r="K328" i="11" s="1"/>
  <c r="N327" i="11"/>
  <c r="O327" i="11" s="1"/>
  <c r="N326" i="11"/>
  <c r="O326" i="11" s="1"/>
  <c r="H326" i="11"/>
  <c r="I326" i="11" s="1"/>
  <c r="L289" i="11"/>
  <c r="M289" i="11" s="1"/>
  <c r="F289" i="11"/>
  <c r="G289" i="11" s="1"/>
  <c r="L288" i="11"/>
  <c r="M288" i="11" s="1"/>
  <c r="F288" i="11"/>
  <c r="G288" i="11" s="1"/>
  <c r="N285" i="11"/>
  <c r="O285" i="11" s="1"/>
  <c r="H285" i="11"/>
  <c r="I285" i="11" s="1"/>
  <c r="L284" i="11"/>
  <c r="M284" i="11" s="1"/>
  <c r="L283" i="11"/>
  <c r="M283" i="11" s="1"/>
  <c r="H283" i="11"/>
  <c r="I283" i="11" s="1"/>
  <c r="N282" i="11"/>
  <c r="O282" i="11" s="1"/>
  <c r="F282" i="11"/>
  <c r="G282" i="11" s="1"/>
  <c r="J281" i="11"/>
  <c r="K281" i="11" s="1"/>
  <c r="N280" i="11"/>
  <c r="O280" i="11" s="1"/>
  <c r="F280" i="11"/>
  <c r="G280" i="11" s="1"/>
  <c r="H278" i="11"/>
  <c r="I278" i="11" s="1"/>
  <c r="L277" i="11"/>
  <c r="M277" i="11" s="1"/>
  <c r="H276" i="11"/>
  <c r="I276" i="11" s="1"/>
  <c r="N275" i="11"/>
  <c r="O275" i="11" s="1"/>
  <c r="J275" i="11"/>
  <c r="K275" i="11" s="1"/>
  <c r="F275" i="11"/>
  <c r="G275" i="11" s="1"/>
  <c r="J274" i="11"/>
  <c r="K274" i="11" s="1"/>
  <c r="N273" i="11"/>
  <c r="O273" i="11" s="1"/>
  <c r="F273" i="11"/>
  <c r="G273" i="11" s="1"/>
  <c r="J272" i="11"/>
  <c r="K272" i="11" s="1"/>
  <c r="N558" i="11"/>
  <c r="O558" i="11" s="1"/>
  <c r="L545" i="11"/>
  <c r="M545" i="11" s="1"/>
  <c r="F505" i="11"/>
  <c r="G505" i="11" s="1"/>
  <c r="F504" i="11"/>
  <c r="G504" i="11" s="1"/>
  <c r="L499" i="11"/>
  <c r="M499" i="11" s="1"/>
  <c r="H498" i="11"/>
  <c r="I498" i="11" s="1"/>
  <c r="J494" i="11"/>
  <c r="K494" i="11" s="1"/>
  <c r="L493" i="11"/>
  <c r="M493" i="11" s="1"/>
  <c r="F492" i="11"/>
  <c r="G492" i="11" s="1"/>
  <c r="N488" i="11"/>
  <c r="O488" i="11" s="1"/>
  <c r="H451" i="11"/>
  <c r="I451" i="11" s="1"/>
  <c r="F450" i="11"/>
  <c r="G450" i="11" s="1"/>
  <c r="F448" i="11"/>
  <c r="G448" i="11" s="1"/>
  <c r="N443" i="11"/>
  <c r="O443" i="11" s="1"/>
  <c r="L442" i="11"/>
  <c r="M442" i="11" s="1"/>
  <c r="H441" i="11"/>
  <c r="I441" i="11" s="1"/>
  <c r="J440" i="11"/>
  <c r="K440" i="11" s="1"/>
  <c r="F439" i="11"/>
  <c r="G439" i="11" s="1"/>
  <c r="F438" i="11"/>
  <c r="G438" i="11" s="1"/>
  <c r="N434" i="11"/>
  <c r="O434" i="11" s="1"/>
  <c r="L397" i="11"/>
  <c r="M397" i="11" s="1"/>
  <c r="H396" i="11"/>
  <c r="I396" i="11" s="1"/>
  <c r="L395" i="11"/>
  <c r="M395" i="11" s="1"/>
  <c r="H394" i="11"/>
  <c r="I394" i="11" s="1"/>
  <c r="L393" i="11"/>
  <c r="M393" i="11" s="1"/>
  <c r="H391" i="11"/>
  <c r="I391" i="11" s="1"/>
  <c r="L390" i="11"/>
  <c r="M390" i="11" s="1"/>
  <c r="F390" i="11"/>
  <c r="G390" i="11" s="1"/>
  <c r="J389" i="11"/>
  <c r="K389" i="11" s="1"/>
  <c r="H388" i="11"/>
  <c r="I388" i="11" s="1"/>
  <c r="L387" i="11"/>
  <c r="M387" i="11" s="1"/>
  <c r="F387" i="11"/>
  <c r="G387" i="11" s="1"/>
  <c r="J386" i="11"/>
  <c r="K386" i="11" s="1"/>
  <c r="N385" i="11"/>
  <c r="O385" i="11" s="1"/>
  <c r="F385" i="11"/>
  <c r="G385" i="11" s="1"/>
  <c r="J384" i="11"/>
  <c r="K384" i="11" s="1"/>
  <c r="J383" i="11"/>
  <c r="K383" i="11" s="1"/>
  <c r="N382" i="11"/>
  <c r="O382" i="11" s="1"/>
  <c r="H382" i="11"/>
  <c r="I382" i="11" s="1"/>
  <c r="L381" i="11"/>
  <c r="M381" i="11" s="1"/>
  <c r="F381" i="11"/>
  <c r="G381" i="11" s="1"/>
  <c r="J380" i="11"/>
  <c r="K380" i="11" s="1"/>
  <c r="L343" i="11"/>
  <c r="M343" i="11" s="1"/>
  <c r="F343" i="11"/>
  <c r="G343" i="11" s="1"/>
  <c r="F542" i="11"/>
  <c r="G542" i="11" s="1"/>
  <c r="L503" i="11"/>
  <c r="M503" i="11" s="1"/>
  <c r="J500" i="11"/>
  <c r="K500" i="11" s="1"/>
  <c r="F499" i="11"/>
  <c r="G499" i="11" s="1"/>
  <c r="H495" i="11"/>
  <c r="I495" i="11" s="1"/>
  <c r="N491" i="11"/>
  <c r="O491" i="11" s="1"/>
  <c r="L489" i="11"/>
  <c r="M489" i="11" s="1"/>
  <c r="N446" i="11"/>
  <c r="O446" i="11" s="1"/>
  <c r="L445" i="11"/>
  <c r="M445" i="11" s="1"/>
  <c r="J442" i="11"/>
  <c r="K442" i="11" s="1"/>
  <c r="L436" i="11"/>
  <c r="M436" i="11" s="1"/>
  <c r="H397" i="11"/>
  <c r="I397" i="11" s="1"/>
  <c r="F396" i="11"/>
  <c r="G396" i="11" s="1"/>
  <c r="N392" i="11"/>
  <c r="O392" i="11" s="1"/>
  <c r="N389" i="11"/>
  <c r="O389" i="11" s="1"/>
  <c r="N388" i="11"/>
  <c r="O388" i="11" s="1"/>
  <c r="J387" i="11"/>
  <c r="K387" i="11" s="1"/>
  <c r="H386" i="11"/>
  <c r="I386" i="11" s="1"/>
  <c r="J385" i="11"/>
  <c r="K385" i="11" s="1"/>
  <c r="H384" i="11"/>
  <c r="I384" i="11" s="1"/>
  <c r="H383" i="11"/>
  <c r="I383" i="11" s="1"/>
  <c r="F380" i="11"/>
  <c r="G380" i="11" s="1"/>
  <c r="H343" i="11"/>
  <c r="I343" i="11" s="1"/>
  <c r="J342" i="11"/>
  <c r="K342" i="11" s="1"/>
  <c r="L341" i="11"/>
  <c r="M341" i="11" s="1"/>
  <c r="H340" i="11"/>
  <c r="I340" i="11" s="1"/>
  <c r="L339" i="11"/>
  <c r="M339" i="11" s="1"/>
  <c r="F338" i="11"/>
  <c r="G338" i="11" s="1"/>
  <c r="L336" i="11"/>
  <c r="M336" i="11" s="1"/>
  <c r="H335" i="11"/>
  <c r="I335" i="11" s="1"/>
  <c r="F334" i="11"/>
  <c r="G334" i="11" s="1"/>
  <c r="J332" i="11"/>
  <c r="K332" i="11" s="1"/>
  <c r="H330" i="11"/>
  <c r="I330" i="11" s="1"/>
  <c r="L329" i="11"/>
  <c r="M329" i="11" s="1"/>
  <c r="F329" i="11"/>
  <c r="G329" i="11" s="1"/>
  <c r="L328" i="11"/>
  <c r="M328" i="11" s="1"/>
  <c r="F327" i="11"/>
  <c r="G327" i="11" s="1"/>
  <c r="J326" i="11"/>
  <c r="K326" i="11" s="1"/>
  <c r="N288" i="11"/>
  <c r="O288" i="11" s="1"/>
  <c r="H287" i="11"/>
  <c r="I287" i="11" s="1"/>
  <c r="L286" i="11"/>
  <c r="M286" i="11" s="1"/>
  <c r="F285" i="11"/>
  <c r="G285" i="11" s="1"/>
  <c r="H284" i="11"/>
  <c r="I284" i="11" s="1"/>
  <c r="N283" i="11"/>
  <c r="O283" i="11" s="1"/>
  <c r="L282" i="11"/>
  <c r="M282" i="11" s="1"/>
  <c r="N281" i="11"/>
  <c r="O281" i="11" s="1"/>
  <c r="F279" i="11"/>
  <c r="G279" i="11" s="1"/>
  <c r="J278" i="11"/>
  <c r="K278" i="11" s="1"/>
  <c r="J277" i="11"/>
  <c r="K277" i="11" s="1"/>
  <c r="N276" i="11"/>
  <c r="O276" i="11" s="1"/>
  <c r="F274" i="11"/>
  <c r="G274" i="11" s="1"/>
  <c r="H273" i="11"/>
  <c r="I273" i="11" s="1"/>
  <c r="H272" i="11"/>
  <c r="I272" i="11" s="1"/>
  <c r="N235" i="11"/>
  <c r="O235" i="11" s="1"/>
  <c r="H235" i="11"/>
  <c r="I235" i="11" s="1"/>
  <c r="H234" i="11"/>
  <c r="I234" i="11" s="1"/>
  <c r="L233" i="11"/>
  <c r="M233" i="11" s="1"/>
  <c r="L232" i="11"/>
  <c r="M232" i="11" s="1"/>
  <c r="F232" i="11"/>
  <c r="G232" i="11" s="1"/>
  <c r="F231" i="11"/>
  <c r="G231" i="11" s="1"/>
  <c r="J230" i="11"/>
  <c r="K230" i="11" s="1"/>
  <c r="N229" i="11"/>
  <c r="O229" i="11" s="1"/>
  <c r="F229" i="11"/>
  <c r="G229" i="11" s="1"/>
  <c r="H228" i="11"/>
  <c r="I228" i="11" s="1"/>
  <c r="J227" i="11"/>
  <c r="K227" i="11" s="1"/>
  <c r="L226" i="11"/>
  <c r="M226" i="11" s="1"/>
  <c r="N225" i="11"/>
  <c r="O225" i="11" s="1"/>
  <c r="L224" i="11"/>
  <c r="M224" i="11" s="1"/>
  <c r="N223" i="11"/>
  <c r="O223" i="11" s="1"/>
  <c r="H223" i="11"/>
  <c r="I223" i="11" s="1"/>
  <c r="L222" i="11"/>
  <c r="M222" i="11" s="1"/>
  <c r="J221" i="11"/>
  <c r="K221" i="11" s="1"/>
  <c r="L220" i="11"/>
  <c r="M220" i="11" s="1"/>
  <c r="F220" i="11"/>
  <c r="G220" i="11" s="1"/>
  <c r="J219" i="11"/>
  <c r="K219" i="11" s="1"/>
  <c r="H218" i="11"/>
  <c r="I218" i="11" s="1"/>
  <c r="L546" i="11"/>
  <c r="M546" i="11" s="1"/>
  <c r="L501" i="11"/>
  <c r="M501" i="11" s="1"/>
  <c r="F500" i="11"/>
  <c r="G500" i="11" s="1"/>
  <c r="N496" i="11"/>
  <c r="O496" i="11" s="1"/>
  <c r="F495" i="11"/>
  <c r="G495" i="11" s="1"/>
  <c r="F493" i="11"/>
  <c r="G493" i="11" s="1"/>
  <c r="J489" i="11"/>
  <c r="K489" i="11" s="1"/>
  <c r="J449" i="11"/>
  <c r="K449" i="11" s="1"/>
  <c r="H446" i="11"/>
  <c r="I446" i="11" s="1"/>
  <c r="H443" i="11"/>
  <c r="I443" i="11" s="1"/>
  <c r="N439" i="11"/>
  <c r="O439" i="11" s="1"/>
  <c r="J437" i="11"/>
  <c r="K437" i="11" s="1"/>
  <c r="L434" i="11"/>
  <c r="M434" i="11" s="1"/>
  <c r="N394" i="11"/>
  <c r="O394" i="11" s="1"/>
  <c r="J393" i="11"/>
  <c r="K393" i="11" s="1"/>
  <c r="L392" i="11"/>
  <c r="M392" i="11" s="1"/>
  <c r="N391" i="11"/>
  <c r="O391" i="11" s="1"/>
  <c r="L388" i="11"/>
  <c r="M388" i="11" s="1"/>
  <c r="H387" i="11"/>
  <c r="I387" i="11" s="1"/>
  <c r="F386" i="11"/>
  <c r="G386" i="11" s="1"/>
  <c r="F383" i="11"/>
  <c r="G383" i="11" s="1"/>
  <c r="F382" i="11"/>
  <c r="G382" i="11" s="1"/>
  <c r="H342" i="11"/>
  <c r="I342" i="11" s="1"/>
  <c r="N340" i="11"/>
  <c r="O340" i="11" s="1"/>
  <c r="F340" i="11"/>
  <c r="G340" i="11" s="1"/>
  <c r="L338" i="11"/>
  <c r="M338" i="11" s="1"/>
  <c r="H337" i="11"/>
  <c r="I337" i="11" s="1"/>
  <c r="N334" i="11"/>
  <c r="O334" i="11" s="1"/>
  <c r="F333" i="11"/>
  <c r="G333" i="11" s="1"/>
  <c r="N331" i="11"/>
  <c r="O331" i="11" s="1"/>
  <c r="F330" i="11"/>
  <c r="G330" i="11" s="1"/>
  <c r="H328" i="11"/>
  <c r="I328" i="11" s="1"/>
  <c r="L327" i="11"/>
  <c r="M327" i="11" s="1"/>
  <c r="F326" i="11"/>
  <c r="G326" i="11" s="1"/>
  <c r="H289" i="11"/>
  <c r="I289" i="11" s="1"/>
  <c r="J288" i="11"/>
  <c r="K288" i="11" s="1"/>
  <c r="N287" i="11"/>
  <c r="O287" i="11" s="1"/>
  <c r="F287" i="11"/>
  <c r="G287" i="11" s="1"/>
  <c r="J286" i="11"/>
  <c r="K286" i="11" s="1"/>
  <c r="L285" i="11"/>
  <c r="M285" i="11" s="1"/>
  <c r="F284" i="11"/>
  <c r="G284" i="11" s="1"/>
  <c r="J282" i="11"/>
  <c r="K282" i="11" s="1"/>
  <c r="L281" i="11"/>
  <c r="M281" i="11" s="1"/>
  <c r="L280" i="11"/>
  <c r="M280" i="11" s="1"/>
  <c r="J279" i="11"/>
  <c r="K279" i="11" s="1"/>
  <c r="F278" i="11"/>
  <c r="G278" i="11" s="1"/>
  <c r="H277" i="11"/>
  <c r="I277" i="11" s="1"/>
  <c r="L276" i="11"/>
  <c r="M276" i="11" s="1"/>
  <c r="N274" i="11"/>
  <c r="O274" i="11" s="1"/>
  <c r="F272" i="11"/>
  <c r="G272" i="11" s="1"/>
  <c r="L235" i="11"/>
  <c r="M235" i="11" s="1"/>
  <c r="L234" i="11"/>
  <c r="M234" i="11" s="1"/>
  <c r="F234" i="11"/>
  <c r="G234" i="11" s="1"/>
  <c r="F233" i="11"/>
  <c r="G233" i="11" s="1"/>
  <c r="J232" i="11"/>
  <c r="K232" i="11" s="1"/>
  <c r="J231" i="11"/>
  <c r="K231" i="11" s="1"/>
  <c r="N230" i="11"/>
  <c r="O230" i="11" s="1"/>
  <c r="L229" i="11"/>
  <c r="M229" i="11" s="1"/>
  <c r="N228" i="11"/>
  <c r="O228" i="11" s="1"/>
  <c r="F228" i="11"/>
  <c r="G228" i="11" s="1"/>
  <c r="H227" i="11"/>
  <c r="I227" i="11" s="1"/>
  <c r="J226" i="11"/>
  <c r="K226" i="11" s="1"/>
  <c r="L225" i="11"/>
  <c r="M225" i="11" s="1"/>
  <c r="F225" i="11"/>
  <c r="G225" i="11" s="1"/>
  <c r="J224" i="11"/>
  <c r="K224" i="11" s="1"/>
  <c r="L223" i="11"/>
  <c r="M223" i="11" s="1"/>
  <c r="J222" i="11"/>
  <c r="K222" i="11" s="1"/>
  <c r="N221" i="11"/>
  <c r="O221" i="11" s="1"/>
  <c r="H221" i="11"/>
  <c r="I221" i="11" s="1"/>
  <c r="J220" i="11"/>
  <c r="K220" i="11" s="1"/>
  <c r="H219" i="11"/>
  <c r="I219" i="11" s="1"/>
  <c r="L218" i="11"/>
  <c r="M218" i="11" s="1"/>
  <c r="F218" i="11"/>
  <c r="G218" i="11" s="1"/>
  <c r="N181" i="11"/>
  <c r="O181" i="11" s="1"/>
  <c r="H181" i="11"/>
  <c r="I181" i="11" s="1"/>
  <c r="H180" i="11"/>
  <c r="I180" i="11" s="1"/>
  <c r="L179" i="11"/>
  <c r="M179" i="11" s="1"/>
  <c r="L178" i="11"/>
  <c r="M178" i="11" s="1"/>
  <c r="F178" i="11"/>
  <c r="G178" i="11" s="1"/>
  <c r="F177" i="11"/>
  <c r="G177" i="11" s="1"/>
  <c r="J176" i="11"/>
  <c r="K176" i="11" s="1"/>
  <c r="N175" i="11"/>
  <c r="O175" i="11" s="1"/>
  <c r="F175" i="11"/>
  <c r="G175" i="11" s="1"/>
  <c r="H174" i="11"/>
  <c r="I174" i="11" s="1"/>
  <c r="J173" i="11"/>
  <c r="K173" i="11" s="1"/>
  <c r="L172" i="11"/>
  <c r="M172" i="11" s="1"/>
  <c r="N171" i="11"/>
  <c r="O171" i="11" s="1"/>
  <c r="F171" i="11"/>
  <c r="G171" i="11" s="1"/>
  <c r="H170" i="11"/>
  <c r="I170" i="11" s="1"/>
  <c r="J169" i="11"/>
  <c r="K169" i="11" s="1"/>
  <c r="L168" i="11"/>
  <c r="M168" i="11" s="1"/>
  <c r="N167" i="11"/>
  <c r="O167" i="11" s="1"/>
  <c r="F167" i="11"/>
  <c r="G167" i="11" s="1"/>
  <c r="H166" i="11"/>
  <c r="I166" i="11" s="1"/>
  <c r="J165" i="11"/>
  <c r="K165" i="11" s="1"/>
  <c r="L164" i="11"/>
  <c r="M164" i="11" s="1"/>
  <c r="N450" i="11"/>
  <c r="O450" i="11" s="1"/>
  <c r="N445" i="11"/>
  <c r="O445" i="11" s="1"/>
  <c r="F441" i="11"/>
  <c r="G441" i="11" s="1"/>
  <c r="L438" i="11"/>
  <c r="M438" i="11" s="1"/>
  <c r="F434" i="11"/>
  <c r="G434" i="11" s="1"/>
  <c r="J397" i="11"/>
  <c r="K397" i="11" s="1"/>
  <c r="L394" i="11"/>
  <c r="M394" i="11" s="1"/>
  <c r="L391" i="11"/>
  <c r="M391" i="11" s="1"/>
  <c r="L385" i="11"/>
  <c r="M385" i="11" s="1"/>
  <c r="L382" i="11"/>
  <c r="M382" i="11" s="1"/>
  <c r="N380" i="11"/>
  <c r="O380" i="11" s="1"/>
  <c r="F341" i="11"/>
  <c r="G341" i="11" s="1"/>
  <c r="N337" i="11"/>
  <c r="O337" i="11" s="1"/>
  <c r="H336" i="11"/>
  <c r="I336" i="11" s="1"/>
  <c r="L335" i="11"/>
  <c r="M335" i="11" s="1"/>
  <c r="H334" i="11"/>
  <c r="I334" i="11" s="1"/>
  <c r="J331" i="11"/>
  <c r="K331" i="11" s="1"/>
  <c r="L330" i="11"/>
  <c r="M330" i="11" s="1"/>
  <c r="F328" i="11"/>
  <c r="G328" i="11" s="1"/>
  <c r="N289" i="11"/>
  <c r="O289" i="11" s="1"/>
  <c r="H288" i="11"/>
  <c r="I288" i="11" s="1"/>
  <c r="J287" i="11"/>
  <c r="K287" i="11" s="1"/>
  <c r="F286" i="11"/>
  <c r="G286" i="11" s="1"/>
  <c r="F281" i="11"/>
  <c r="G281" i="11" s="1"/>
  <c r="J276" i="11"/>
  <c r="K276" i="11" s="1"/>
  <c r="L275" i="11"/>
  <c r="M275" i="11" s="1"/>
  <c r="L274" i="11"/>
  <c r="M274" i="11" s="1"/>
  <c r="J273" i="11"/>
  <c r="K273" i="11" s="1"/>
  <c r="J234" i="11"/>
  <c r="K234" i="11" s="1"/>
  <c r="J233" i="11"/>
  <c r="K233" i="11" s="1"/>
  <c r="H231" i="11"/>
  <c r="I231" i="11" s="1"/>
  <c r="H230" i="11"/>
  <c r="I230" i="11" s="1"/>
  <c r="L228" i="11"/>
  <c r="M228" i="11" s="1"/>
  <c r="F227" i="11"/>
  <c r="G227" i="11" s="1"/>
  <c r="J225" i="11"/>
  <c r="K225" i="11" s="1"/>
  <c r="H224" i="11"/>
  <c r="I224" i="11" s="1"/>
  <c r="F223" i="11"/>
  <c r="G223" i="11" s="1"/>
  <c r="L221" i="11"/>
  <c r="M221" i="11" s="1"/>
  <c r="F219" i="11"/>
  <c r="G219" i="11" s="1"/>
  <c r="J181" i="11"/>
  <c r="K181" i="11" s="1"/>
  <c r="L180" i="11"/>
  <c r="M180" i="11" s="1"/>
  <c r="H179" i="11"/>
  <c r="I179" i="11" s="1"/>
  <c r="J178" i="11"/>
  <c r="K178" i="11" s="1"/>
  <c r="N177" i="11"/>
  <c r="O177" i="11" s="1"/>
  <c r="J175" i="11"/>
  <c r="K175" i="11" s="1"/>
  <c r="J174" i="11"/>
  <c r="K174" i="11" s="1"/>
  <c r="H173" i="11"/>
  <c r="I173" i="11" s="1"/>
  <c r="H172" i="11"/>
  <c r="I172" i="11" s="1"/>
  <c r="H171" i="11"/>
  <c r="I171" i="11" s="1"/>
  <c r="F170" i="11"/>
  <c r="G170" i="11" s="1"/>
  <c r="F169" i="11"/>
  <c r="G169" i="11" s="1"/>
  <c r="F168" i="11"/>
  <c r="G168" i="11" s="1"/>
  <c r="N166" i="11"/>
  <c r="O166" i="11" s="1"/>
  <c r="N165" i="11"/>
  <c r="O165" i="11" s="1"/>
  <c r="N164" i="11"/>
  <c r="O164" i="11" s="1"/>
  <c r="J127" i="11"/>
  <c r="K127" i="11" s="1"/>
  <c r="L126" i="11"/>
  <c r="M126" i="11" s="1"/>
  <c r="N125" i="11"/>
  <c r="O125" i="11" s="1"/>
  <c r="F125" i="11"/>
  <c r="G125" i="11" s="1"/>
  <c r="H124" i="11"/>
  <c r="I124" i="11" s="1"/>
  <c r="J123" i="11"/>
  <c r="K123" i="11" s="1"/>
  <c r="L122" i="11"/>
  <c r="M122" i="11" s="1"/>
  <c r="N121" i="11"/>
  <c r="O121" i="11" s="1"/>
  <c r="F121" i="11"/>
  <c r="G121" i="11" s="1"/>
  <c r="H120" i="11"/>
  <c r="I120" i="11" s="1"/>
  <c r="J119" i="11"/>
  <c r="K119" i="11" s="1"/>
  <c r="L118" i="11"/>
  <c r="M118" i="11" s="1"/>
  <c r="N117" i="11"/>
  <c r="O117" i="11" s="1"/>
  <c r="F117" i="11"/>
  <c r="G117" i="11" s="1"/>
  <c r="H116" i="11"/>
  <c r="I116" i="11" s="1"/>
  <c r="J115" i="11"/>
  <c r="K115" i="11" s="1"/>
  <c r="L114" i="11"/>
  <c r="M114" i="11" s="1"/>
  <c r="N113" i="11"/>
  <c r="O113" i="11" s="1"/>
  <c r="F113" i="11"/>
  <c r="G113" i="11" s="1"/>
  <c r="H112" i="11"/>
  <c r="I112" i="11" s="1"/>
  <c r="J111" i="11"/>
  <c r="K111" i="11" s="1"/>
  <c r="L110" i="11"/>
  <c r="M110" i="11" s="1"/>
  <c r="F73" i="11"/>
  <c r="G73" i="11" s="1"/>
  <c r="J72" i="11"/>
  <c r="K72" i="11" s="1"/>
  <c r="J71" i="11"/>
  <c r="K71" i="11" s="1"/>
  <c r="N70" i="11"/>
  <c r="O70" i="11" s="1"/>
  <c r="N69" i="11"/>
  <c r="O69" i="11" s="1"/>
  <c r="H69" i="11"/>
  <c r="I69" i="11" s="1"/>
  <c r="H68" i="11"/>
  <c r="I68" i="11" s="1"/>
  <c r="J67" i="11"/>
  <c r="K67" i="11" s="1"/>
  <c r="L66" i="11"/>
  <c r="M66" i="11" s="1"/>
  <c r="N65" i="11"/>
  <c r="O65" i="11" s="1"/>
  <c r="F65" i="11"/>
  <c r="G65" i="11" s="1"/>
  <c r="H64" i="11"/>
  <c r="I64" i="11" s="1"/>
  <c r="J63" i="11"/>
  <c r="K63" i="11" s="1"/>
  <c r="L62" i="11"/>
  <c r="M62" i="11" s="1"/>
  <c r="N61" i="11"/>
  <c r="O61" i="11" s="1"/>
  <c r="F61" i="11"/>
  <c r="G61" i="11" s="1"/>
  <c r="H60" i="11"/>
  <c r="I60" i="11" s="1"/>
  <c r="J59" i="11"/>
  <c r="K59" i="11" s="1"/>
  <c r="L58" i="11"/>
  <c r="M58" i="11" s="1"/>
  <c r="N57" i="11"/>
  <c r="O57" i="11" s="1"/>
  <c r="F57" i="11"/>
  <c r="G57" i="11" s="1"/>
  <c r="H56" i="11"/>
  <c r="I56" i="11" s="1"/>
  <c r="F551" i="11"/>
  <c r="G551" i="11" s="1"/>
  <c r="J548" i="11"/>
  <c r="K548" i="11" s="1"/>
  <c r="H542" i="11"/>
  <c r="I542" i="11" s="1"/>
  <c r="H494" i="11"/>
  <c r="I494" i="11" s="1"/>
  <c r="J488" i="11"/>
  <c r="K488" i="11" s="1"/>
  <c r="H435" i="11"/>
  <c r="I435" i="11" s="1"/>
  <c r="F392" i="11"/>
  <c r="G392" i="11" s="1"/>
  <c r="N384" i="11"/>
  <c r="O384" i="11" s="1"/>
  <c r="H546" i="11"/>
  <c r="I546" i="11" s="1"/>
  <c r="H502" i="11"/>
  <c r="I502" i="11" s="1"/>
  <c r="J497" i="11"/>
  <c r="K497" i="11" s="1"/>
  <c r="L447" i="11"/>
  <c r="M447" i="11" s="1"/>
  <c r="F443" i="11"/>
  <c r="G443" i="11" s="1"/>
  <c r="J435" i="11"/>
  <c r="K435" i="11" s="1"/>
  <c r="J395" i="11"/>
  <c r="K395" i="11" s="1"/>
  <c r="F394" i="11"/>
  <c r="G394" i="11" s="1"/>
  <c r="H392" i="11"/>
  <c r="I392" i="11" s="1"/>
  <c r="F391" i="11"/>
  <c r="G391" i="11" s="1"/>
  <c r="H389" i="11"/>
  <c r="I389" i="11" s="1"/>
  <c r="H380" i="11"/>
  <c r="I380" i="11" s="1"/>
  <c r="J343" i="11"/>
  <c r="K343" i="11" s="1"/>
  <c r="N339" i="11"/>
  <c r="O339" i="11" s="1"/>
  <c r="J337" i="11"/>
  <c r="K337" i="11" s="1"/>
  <c r="F336" i="11"/>
  <c r="G336" i="11" s="1"/>
  <c r="F335" i="11"/>
  <c r="G335" i="11" s="1"/>
  <c r="N332" i="11"/>
  <c r="O332" i="11" s="1"/>
  <c r="H331" i="11"/>
  <c r="I331" i="11" s="1"/>
  <c r="L326" i="11"/>
  <c r="M326" i="11" s="1"/>
  <c r="J289" i="11"/>
  <c r="K289" i="11" s="1"/>
  <c r="N284" i="11"/>
  <c r="O284" i="11" s="1"/>
  <c r="H282" i="11"/>
  <c r="I282" i="11" s="1"/>
  <c r="N279" i="11"/>
  <c r="O279" i="11" s="1"/>
  <c r="N277" i="11"/>
  <c r="O277" i="11" s="1"/>
  <c r="F276" i="11"/>
  <c r="G276" i="11" s="1"/>
  <c r="H275" i="11"/>
  <c r="I275" i="11" s="1"/>
  <c r="H274" i="11"/>
  <c r="I274" i="11" s="1"/>
  <c r="J235" i="11"/>
  <c r="K235" i="11" s="1"/>
  <c r="H233" i="11"/>
  <c r="I233" i="11" s="1"/>
  <c r="H232" i="11"/>
  <c r="I232" i="11" s="1"/>
  <c r="F230" i="11"/>
  <c r="G230" i="11" s="1"/>
  <c r="J228" i="11"/>
  <c r="K228" i="11" s="1"/>
  <c r="N226" i="11"/>
  <c r="O226" i="11" s="1"/>
  <c r="H225" i="11"/>
  <c r="I225" i="11" s="1"/>
  <c r="F224" i="11"/>
  <c r="G224" i="11" s="1"/>
  <c r="N222" i="11"/>
  <c r="O222" i="11" s="1"/>
  <c r="H220" i="11"/>
  <c r="I220" i="11" s="1"/>
  <c r="N218" i="11"/>
  <c r="O218" i="11" s="1"/>
  <c r="J180" i="11"/>
  <c r="K180" i="11" s="1"/>
  <c r="N179" i="11"/>
  <c r="O179" i="11" s="1"/>
  <c r="F179" i="11"/>
  <c r="G179" i="11" s="1"/>
  <c r="L177" i="11"/>
  <c r="M177" i="11" s="1"/>
  <c r="N176" i="11"/>
  <c r="O176" i="11" s="1"/>
  <c r="H176" i="11"/>
  <c r="I176" i="11" s="1"/>
  <c r="H175" i="11"/>
  <c r="I175" i="11" s="1"/>
  <c r="F174" i="11"/>
  <c r="G174" i="11" s="1"/>
  <c r="F173" i="11"/>
  <c r="G173" i="11" s="1"/>
  <c r="F172" i="11"/>
  <c r="G172" i="11" s="1"/>
  <c r="N170" i="11"/>
  <c r="O170" i="11" s="1"/>
  <c r="N169" i="11"/>
  <c r="O169" i="11" s="1"/>
  <c r="N168" i="11"/>
  <c r="O168" i="11" s="1"/>
  <c r="L167" i="11"/>
  <c r="M167" i="11" s="1"/>
  <c r="L166" i="11"/>
  <c r="M166" i="11" s="1"/>
  <c r="L165" i="11"/>
  <c r="M165" i="11" s="1"/>
  <c r="J164" i="11"/>
  <c r="K164" i="11" s="1"/>
  <c r="H127" i="11"/>
  <c r="I127" i="11" s="1"/>
  <c r="J126" i="11"/>
  <c r="K126" i="11" s="1"/>
  <c r="L125" i="11"/>
  <c r="M125" i="11" s="1"/>
  <c r="N124" i="11"/>
  <c r="O124" i="11" s="1"/>
  <c r="F124" i="11"/>
  <c r="G124" i="11" s="1"/>
  <c r="H123" i="11"/>
  <c r="I123" i="11" s="1"/>
  <c r="J122" i="11"/>
  <c r="K122" i="11" s="1"/>
  <c r="L121" i="11"/>
  <c r="M121" i="11" s="1"/>
  <c r="N120" i="11"/>
  <c r="O120" i="11" s="1"/>
  <c r="F120" i="11"/>
  <c r="G120" i="11" s="1"/>
  <c r="H119" i="11"/>
  <c r="I119" i="11" s="1"/>
  <c r="J118" i="11"/>
  <c r="K118" i="11" s="1"/>
  <c r="L117" i="11"/>
  <c r="M117" i="11" s="1"/>
  <c r="N116" i="11"/>
  <c r="O116" i="11" s="1"/>
  <c r="F116" i="11"/>
  <c r="G116" i="11" s="1"/>
  <c r="H115" i="11"/>
  <c r="I115" i="11" s="1"/>
  <c r="J114" i="11"/>
  <c r="K114" i="11" s="1"/>
  <c r="L113" i="11"/>
  <c r="M113" i="11" s="1"/>
  <c r="N112" i="11"/>
  <c r="O112" i="11" s="1"/>
  <c r="F112" i="11"/>
  <c r="G112" i="11" s="1"/>
  <c r="H111" i="11"/>
  <c r="I111" i="11" s="1"/>
  <c r="J110" i="11"/>
  <c r="K110" i="11" s="1"/>
  <c r="J73" i="11"/>
  <c r="K73" i="11" s="1"/>
  <c r="N72" i="11"/>
  <c r="O72" i="11" s="1"/>
  <c r="N71" i="11"/>
  <c r="O71" i="11" s="1"/>
  <c r="H71" i="11"/>
  <c r="I71" i="11" s="1"/>
  <c r="H70" i="11"/>
  <c r="I70" i="11" s="1"/>
  <c r="L69" i="11"/>
  <c r="M69" i="11" s="1"/>
  <c r="L68" i="11"/>
  <c r="M68" i="11" s="1"/>
  <c r="F68" i="11"/>
  <c r="G68" i="11" s="1"/>
  <c r="H67" i="11"/>
  <c r="I67" i="11" s="1"/>
  <c r="J66" i="11"/>
  <c r="K66" i="11" s="1"/>
  <c r="L65" i="11"/>
  <c r="M65" i="11" s="1"/>
  <c r="N64" i="11"/>
  <c r="O64" i="11" s="1"/>
  <c r="F64" i="11"/>
  <c r="G64" i="11" s="1"/>
  <c r="H63" i="11"/>
  <c r="I63" i="11" s="1"/>
  <c r="J62" i="11"/>
  <c r="K62" i="11" s="1"/>
  <c r="L61" i="11"/>
  <c r="M61" i="11" s="1"/>
  <c r="N60" i="11"/>
  <c r="O60" i="11" s="1"/>
  <c r="F60" i="11"/>
  <c r="G60" i="11" s="1"/>
  <c r="H59" i="11"/>
  <c r="I59" i="11" s="1"/>
  <c r="J58" i="11"/>
  <c r="K58" i="11" s="1"/>
  <c r="L57" i="11"/>
  <c r="M57" i="11" s="1"/>
  <c r="N56" i="11"/>
  <c r="O56" i="11" s="1"/>
  <c r="F56" i="11"/>
  <c r="G56" i="11" s="1"/>
  <c r="N396" i="11"/>
  <c r="O396" i="11" s="1"/>
  <c r="H395" i="11"/>
  <c r="I395" i="11" s="1"/>
  <c r="N386" i="11"/>
  <c r="O386" i="11" s="1"/>
  <c r="N383" i="11"/>
  <c r="O383" i="11" s="1"/>
  <c r="J381" i="11"/>
  <c r="K381" i="11" s="1"/>
  <c r="H490" i="11"/>
  <c r="I490" i="11" s="1"/>
  <c r="H341" i="11"/>
  <c r="I341" i="11" s="1"/>
  <c r="J338" i="11"/>
  <c r="K338" i="11" s="1"/>
  <c r="H332" i="11"/>
  <c r="I332" i="11" s="1"/>
  <c r="N328" i="11"/>
  <c r="O328" i="11" s="1"/>
  <c r="H327" i="11"/>
  <c r="I327" i="11" s="1"/>
  <c r="J285" i="11"/>
  <c r="K285" i="11" s="1"/>
  <c r="H280" i="11"/>
  <c r="I280" i="11" s="1"/>
  <c r="F277" i="11"/>
  <c r="G277" i="11" s="1"/>
  <c r="N231" i="11"/>
  <c r="O231" i="11" s="1"/>
  <c r="J229" i="11"/>
  <c r="K229" i="11" s="1"/>
  <c r="H226" i="11"/>
  <c r="I226" i="11" s="1"/>
  <c r="F221" i="11"/>
  <c r="G221" i="11" s="1"/>
  <c r="J218" i="11"/>
  <c r="K218" i="11" s="1"/>
  <c r="L181" i="11"/>
  <c r="M181" i="11" s="1"/>
  <c r="N178" i="11"/>
  <c r="O178" i="11" s="1"/>
  <c r="J177" i="11"/>
  <c r="K177" i="11" s="1"/>
  <c r="F176" i="11"/>
  <c r="G176" i="11" s="1"/>
  <c r="N173" i="11"/>
  <c r="O173" i="11" s="1"/>
  <c r="L171" i="11"/>
  <c r="M171" i="11" s="1"/>
  <c r="L169" i="11"/>
  <c r="M169" i="11" s="1"/>
  <c r="J167" i="11"/>
  <c r="K167" i="11" s="1"/>
  <c r="H165" i="11"/>
  <c r="I165" i="11" s="1"/>
  <c r="F127" i="11"/>
  <c r="G127" i="11" s="1"/>
  <c r="J125" i="11"/>
  <c r="K125" i="11" s="1"/>
  <c r="N123" i="11"/>
  <c r="O123" i="11" s="1"/>
  <c r="H122" i="11"/>
  <c r="I122" i="11" s="1"/>
  <c r="L120" i="11"/>
  <c r="M120" i="11" s="1"/>
  <c r="F119" i="11"/>
  <c r="G119" i="11" s="1"/>
  <c r="J117" i="11"/>
  <c r="K117" i="11" s="1"/>
  <c r="N115" i="11"/>
  <c r="O115" i="11" s="1"/>
  <c r="H114" i="11"/>
  <c r="I114" i="11" s="1"/>
  <c r="L112" i="11"/>
  <c r="M112" i="11" s="1"/>
  <c r="F111" i="11"/>
  <c r="G111" i="11" s="1"/>
  <c r="N73" i="11"/>
  <c r="O73" i="11" s="1"/>
  <c r="L71" i="11"/>
  <c r="M71" i="11" s="1"/>
  <c r="L70" i="11"/>
  <c r="M70" i="11" s="1"/>
  <c r="J68" i="11"/>
  <c r="K68" i="11" s="1"/>
  <c r="F67" i="11"/>
  <c r="G67" i="11" s="1"/>
  <c r="J65" i="11"/>
  <c r="K65" i="11" s="1"/>
  <c r="N63" i="11"/>
  <c r="O63" i="11" s="1"/>
  <c r="H62" i="11"/>
  <c r="I62" i="11" s="1"/>
  <c r="L60" i="11"/>
  <c r="M60" i="11" s="1"/>
  <c r="F59" i="11"/>
  <c r="G59" i="11" s="1"/>
  <c r="J57" i="11"/>
  <c r="K57" i="11" s="1"/>
  <c r="J444" i="11"/>
  <c r="K444" i="11" s="1"/>
  <c r="F388" i="11"/>
  <c r="G388" i="11" s="1"/>
  <c r="F339" i="11"/>
  <c r="G339" i="11" s="1"/>
  <c r="J333" i="11"/>
  <c r="K333" i="11" s="1"/>
  <c r="F283" i="11"/>
  <c r="G283" i="11" s="1"/>
  <c r="L278" i="11"/>
  <c r="M278" i="11" s="1"/>
  <c r="N232" i="11"/>
  <c r="O232" i="11" s="1"/>
  <c r="N224" i="11"/>
  <c r="O224" i="11" s="1"/>
  <c r="H178" i="11"/>
  <c r="I178" i="11" s="1"/>
  <c r="L170" i="11"/>
  <c r="M170" i="11" s="1"/>
  <c r="H164" i="11"/>
  <c r="I164" i="11" s="1"/>
  <c r="F123" i="11"/>
  <c r="G123" i="11" s="1"/>
  <c r="N119" i="11"/>
  <c r="O119" i="11" s="1"/>
  <c r="F115" i="11"/>
  <c r="G115" i="11" s="1"/>
  <c r="H110" i="11"/>
  <c r="I110" i="11" s="1"/>
  <c r="H72" i="11"/>
  <c r="I72" i="11" s="1"/>
  <c r="N67" i="11"/>
  <c r="O67" i="11" s="1"/>
  <c r="L64" i="11"/>
  <c r="M64" i="11" s="1"/>
  <c r="N59" i="11"/>
  <c r="O59" i="11" s="1"/>
  <c r="N436" i="11"/>
  <c r="O436" i="11" s="1"/>
  <c r="L396" i="11"/>
  <c r="M396" i="11" s="1"/>
  <c r="N234" i="11"/>
  <c r="O234" i="11" s="1"/>
  <c r="L230" i="11"/>
  <c r="M230" i="11" s="1"/>
  <c r="F222" i="11"/>
  <c r="G222" i="11" s="1"/>
  <c r="L219" i="11"/>
  <c r="M219" i="11" s="1"/>
  <c r="N180" i="11"/>
  <c r="O180" i="11" s="1"/>
  <c r="J179" i="11"/>
  <c r="K179" i="11" s="1"/>
  <c r="L174" i="11"/>
  <c r="M174" i="11" s="1"/>
  <c r="L127" i="11"/>
  <c r="M127" i="11" s="1"/>
  <c r="J124" i="11"/>
  <c r="K124" i="11" s="1"/>
  <c r="N122" i="11"/>
  <c r="O122" i="11" s="1"/>
  <c r="L119" i="11"/>
  <c r="M119" i="11" s="1"/>
  <c r="F118" i="11"/>
  <c r="G118" i="11" s="1"/>
  <c r="N114" i="11"/>
  <c r="O114" i="11" s="1"/>
  <c r="H113" i="11"/>
  <c r="I113" i="11" s="1"/>
  <c r="F110" i="11"/>
  <c r="G110" i="11" s="1"/>
  <c r="F72" i="11"/>
  <c r="G72" i="11" s="1"/>
  <c r="F71" i="11"/>
  <c r="G71" i="11" s="1"/>
  <c r="N68" i="11"/>
  <c r="O68" i="11" s="1"/>
  <c r="F66" i="11"/>
  <c r="G66" i="11" s="1"/>
  <c r="N62" i="11"/>
  <c r="O62" i="11" s="1"/>
  <c r="H61" i="11"/>
  <c r="I61" i="11" s="1"/>
  <c r="F58" i="11"/>
  <c r="G58" i="11" s="1"/>
  <c r="J56" i="11"/>
  <c r="K56" i="11" s="1"/>
  <c r="L496" i="11"/>
  <c r="M496" i="11" s="1"/>
  <c r="N448" i="11"/>
  <c r="O448" i="11" s="1"/>
  <c r="N342" i="11"/>
  <c r="O342" i="11" s="1"/>
  <c r="H339" i="11"/>
  <c r="I339" i="11" s="1"/>
  <c r="N335" i="11"/>
  <c r="O335" i="11" s="1"/>
  <c r="L333" i="11"/>
  <c r="M333" i="11" s="1"/>
  <c r="N329" i="11"/>
  <c r="O329" i="11" s="1"/>
  <c r="N286" i="11"/>
  <c r="O286" i="11" s="1"/>
  <c r="J283" i="11"/>
  <c r="K283" i="11" s="1"/>
  <c r="H281" i="11"/>
  <c r="I281" i="11" s="1"/>
  <c r="N278" i="11"/>
  <c r="O278" i="11" s="1"/>
  <c r="N272" i="11"/>
  <c r="O272" i="11" s="1"/>
  <c r="N233" i="11"/>
  <c r="O233" i="11" s="1"/>
  <c r="L231" i="11"/>
  <c r="M231" i="11" s="1"/>
  <c r="H229" i="11"/>
  <c r="I229" i="11" s="1"/>
  <c r="F226" i="11"/>
  <c r="G226" i="11" s="1"/>
  <c r="J223" i="11"/>
  <c r="K223" i="11" s="1"/>
  <c r="N220" i="11"/>
  <c r="O220" i="11" s="1"/>
  <c r="F180" i="11"/>
  <c r="G180" i="11" s="1"/>
  <c r="H177" i="11"/>
  <c r="I177" i="11" s="1"/>
  <c r="L175" i="11"/>
  <c r="M175" i="11" s="1"/>
  <c r="L173" i="11"/>
  <c r="M173" i="11" s="1"/>
  <c r="J171" i="11"/>
  <c r="K171" i="11" s="1"/>
  <c r="H169" i="11"/>
  <c r="I169" i="11" s="1"/>
  <c r="H167" i="11"/>
  <c r="I167" i="11" s="1"/>
  <c r="F165" i="11"/>
  <c r="G165" i="11" s="1"/>
  <c r="N126" i="11"/>
  <c r="O126" i="11" s="1"/>
  <c r="H125" i="11"/>
  <c r="I125" i="11" s="1"/>
  <c r="L123" i="11"/>
  <c r="M123" i="11" s="1"/>
  <c r="F122" i="11"/>
  <c r="G122" i="11" s="1"/>
  <c r="J120" i="11"/>
  <c r="K120" i="11" s="1"/>
  <c r="N118" i="11"/>
  <c r="O118" i="11" s="1"/>
  <c r="H117" i="11"/>
  <c r="I117" i="11" s="1"/>
  <c r="L115" i="11"/>
  <c r="M115" i="11" s="1"/>
  <c r="F114" i="11"/>
  <c r="G114" i="11" s="1"/>
  <c r="J112" i="11"/>
  <c r="K112" i="11" s="1"/>
  <c r="N110" i="11"/>
  <c r="O110" i="11" s="1"/>
  <c r="L73" i="11"/>
  <c r="M73" i="11" s="1"/>
  <c r="L72" i="11"/>
  <c r="M72" i="11" s="1"/>
  <c r="J70" i="11"/>
  <c r="K70" i="11" s="1"/>
  <c r="J69" i="11"/>
  <c r="K69" i="11" s="1"/>
  <c r="N66" i="11"/>
  <c r="O66" i="11" s="1"/>
  <c r="H65" i="11"/>
  <c r="I65" i="11" s="1"/>
  <c r="L63" i="11"/>
  <c r="M63" i="11" s="1"/>
  <c r="F62" i="11"/>
  <c r="G62" i="11" s="1"/>
  <c r="J60" i="11"/>
  <c r="K60" i="11" s="1"/>
  <c r="N58" i="11"/>
  <c r="O58" i="11" s="1"/>
  <c r="H57" i="11"/>
  <c r="I57" i="11" s="1"/>
  <c r="L340" i="11"/>
  <c r="M340" i="11" s="1"/>
  <c r="H329" i="11"/>
  <c r="I329" i="11" s="1"/>
  <c r="H286" i="11"/>
  <c r="I286" i="11" s="1"/>
  <c r="L279" i="11"/>
  <c r="M279" i="11" s="1"/>
  <c r="L272" i="11"/>
  <c r="M272" i="11" s="1"/>
  <c r="F235" i="11"/>
  <c r="G235" i="11" s="1"/>
  <c r="N227" i="11"/>
  <c r="O227" i="11" s="1"/>
  <c r="H222" i="11"/>
  <c r="I222" i="11" s="1"/>
  <c r="N219" i="11"/>
  <c r="O219" i="11" s="1"/>
  <c r="F181" i="11"/>
  <c r="G181" i="11" s="1"/>
  <c r="N174" i="11"/>
  <c r="O174" i="11" s="1"/>
  <c r="N172" i="11"/>
  <c r="O172" i="11" s="1"/>
  <c r="J168" i="11"/>
  <c r="K168" i="11" s="1"/>
  <c r="J166" i="11"/>
  <c r="K166" i="11" s="1"/>
  <c r="N127" i="11"/>
  <c r="O127" i="11" s="1"/>
  <c r="H126" i="11"/>
  <c r="I126" i="11" s="1"/>
  <c r="L124" i="11"/>
  <c r="M124" i="11" s="1"/>
  <c r="J121" i="11"/>
  <c r="K121" i="11" s="1"/>
  <c r="H118" i="11"/>
  <c r="I118" i="11" s="1"/>
  <c r="L116" i="11"/>
  <c r="M116" i="11" s="1"/>
  <c r="J113" i="11"/>
  <c r="K113" i="11" s="1"/>
  <c r="N111" i="11"/>
  <c r="O111" i="11" s="1"/>
  <c r="H73" i="11"/>
  <c r="I73" i="11" s="1"/>
  <c r="F70" i="11"/>
  <c r="G70" i="11" s="1"/>
  <c r="F69" i="11"/>
  <c r="G69" i="11" s="1"/>
  <c r="H66" i="11"/>
  <c r="I66" i="11" s="1"/>
  <c r="F63" i="11"/>
  <c r="G63" i="11" s="1"/>
  <c r="J61" i="11"/>
  <c r="K61" i="11" s="1"/>
  <c r="H58" i="11"/>
  <c r="I58" i="11" s="1"/>
  <c r="L56" i="11"/>
  <c r="M56" i="11" s="1"/>
  <c r="H393" i="11"/>
  <c r="I393" i="11" s="1"/>
  <c r="J390" i="11"/>
  <c r="K390" i="11" s="1"/>
  <c r="N341" i="11"/>
  <c r="O341" i="11" s="1"/>
  <c r="J340" i="11"/>
  <c r="K340" i="11" s="1"/>
  <c r="N336" i="11"/>
  <c r="O336" i="11" s="1"/>
  <c r="L334" i="11"/>
  <c r="M334" i="11" s="1"/>
  <c r="N330" i="11"/>
  <c r="O330" i="11" s="1"/>
  <c r="J327" i="11"/>
  <c r="K327" i="11" s="1"/>
  <c r="L287" i="11"/>
  <c r="M287" i="11" s="1"/>
  <c r="J284" i="11"/>
  <c r="K284" i="11" s="1"/>
  <c r="J280" i="11"/>
  <c r="K280" i="11" s="1"/>
  <c r="H279" i="11"/>
  <c r="I279" i="11" s="1"/>
  <c r="L273" i="11"/>
  <c r="M273" i="11" s="1"/>
  <c r="L227" i="11"/>
  <c r="M227" i="11" s="1"/>
  <c r="L176" i="11"/>
  <c r="M176" i="11" s="1"/>
  <c r="J172" i="11"/>
  <c r="K172" i="11" s="1"/>
  <c r="J170" i="11"/>
  <c r="K170" i="11" s="1"/>
  <c r="H168" i="11"/>
  <c r="I168" i="11" s="1"/>
  <c r="F166" i="11"/>
  <c r="G166" i="11" s="1"/>
  <c r="F164" i="11"/>
  <c r="G164" i="11" s="1"/>
  <c r="F126" i="11"/>
  <c r="G126" i="11" s="1"/>
  <c r="H121" i="11"/>
  <c r="I121" i="11" s="1"/>
  <c r="J116" i="11"/>
  <c r="K116" i="11" s="1"/>
  <c r="L111" i="11"/>
  <c r="M111" i="11" s="1"/>
  <c r="L67" i="11"/>
  <c r="M67" i="11" s="1"/>
  <c r="J64" i="11"/>
  <c r="K64" i="11" s="1"/>
  <c r="L59" i="11"/>
  <c r="M59" i="11" s="1"/>
  <c r="N371" i="11"/>
  <c r="O371" i="11" s="1"/>
  <c r="J367" i="11"/>
  <c r="K367" i="11" s="1"/>
  <c r="N362" i="11"/>
  <c r="O362" i="11" s="1"/>
  <c r="H318" i="11"/>
  <c r="I318" i="11" s="1"/>
  <c r="H265" i="11"/>
  <c r="I265" i="11" s="1"/>
  <c r="F260" i="11"/>
  <c r="G260" i="11" s="1"/>
  <c r="H217" i="11"/>
  <c r="I217" i="11" s="1"/>
  <c r="F207" i="11"/>
  <c r="G207" i="11" s="1"/>
  <c r="L201" i="11"/>
  <c r="M201" i="11" s="1"/>
  <c r="J160" i="11"/>
  <c r="K160" i="11" s="1"/>
  <c r="L154" i="11"/>
  <c r="M154" i="11" s="1"/>
  <c r="H150" i="11"/>
  <c r="I150" i="11" s="1"/>
  <c r="N147" i="11"/>
  <c r="O147" i="11" s="1"/>
  <c r="J105" i="11"/>
  <c r="K105" i="11" s="1"/>
  <c r="H102" i="11"/>
  <c r="I102" i="11" s="1"/>
  <c r="J97" i="11"/>
  <c r="K97" i="11" s="1"/>
  <c r="L92" i="11"/>
  <c r="M92" i="11" s="1"/>
  <c r="F265" i="11"/>
  <c r="G265" i="11" s="1"/>
  <c r="H257" i="11"/>
  <c r="I257" i="11" s="1"/>
  <c r="J214" i="11"/>
  <c r="K214" i="11" s="1"/>
  <c r="F212" i="11"/>
  <c r="G212" i="11" s="1"/>
  <c r="J201" i="11"/>
  <c r="K201" i="11" s="1"/>
  <c r="F162" i="11"/>
  <c r="G162" i="11" s="1"/>
  <c r="H158" i="11"/>
  <c r="I158" i="11" s="1"/>
  <c r="H156" i="11"/>
  <c r="I156" i="11" s="1"/>
  <c r="F150" i="11"/>
  <c r="G150" i="11" s="1"/>
  <c r="N148" i="11"/>
  <c r="O148" i="11" s="1"/>
  <c r="J108" i="11"/>
  <c r="K108" i="11" s="1"/>
  <c r="H105" i="11"/>
  <c r="I105" i="11" s="1"/>
  <c r="F102" i="11"/>
  <c r="G102" i="11" s="1"/>
  <c r="J100" i="11"/>
  <c r="K100" i="11" s="1"/>
  <c r="H97" i="11"/>
  <c r="I97" i="11" s="1"/>
  <c r="L95" i="11"/>
  <c r="M95" i="11" s="1"/>
  <c r="J92" i="11"/>
  <c r="K92" i="11" s="1"/>
  <c r="N322" i="11"/>
  <c r="O322" i="11" s="1"/>
  <c r="N308" i="11"/>
  <c r="O308" i="11" s="1"/>
  <c r="H269" i="11"/>
  <c r="I269" i="11" s="1"/>
  <c r="N262" i="11"/>
  <c r="O262" i="11" s="1"/>
  <c r="J257" i="11"/>
  <c r="K257" i="11" s="1"/>
  <c r="L214" i="11"/>
  <c r="M214" i="11" s="1"/>
  <c r="J209" i="11"/>
  <c r="K209" i="11" s="1"/>
  <c r="H204" i="11"/>
  <c r="I204" i="11" s="1"/>
  <c r="H162" i="11"/>
  <c r="I162" i="11" s="1"/>
  <c r="J158" i="11"/>
  <c r="K158" i="11" s="1"/>
  <c r="J156" i="11"/>
  <c r="K156" i="11" s="1"/>
  <c r="N152" i="11"/>
  <c r="O152" i="11" s="1"/>
  <c r="L151" i="11"/>
  <c r="M151" i="11" s="1"/>
  <c r="F149" i="11"/>
  <c r="G149" i="11" s="1"/>
  <c r="J146" i="11"/>
  <c r="K146" i="11" s="1"/>
  <c r="L108" i="11"/>
  <c r="M108" i="11" s="1"/>
  <c r="F107" i="11"/>
  <c r="G107" i="11" s="1"/>
  <c r="N103" i="11"/>
  <c r="O103" i="11" s="1"/>
  <c r="L100" i="11"/>
  <c r="M100" i="11" s="1"/>
  <c r="F99" i="11"/>
  <c r="G99" i="11" s="1"/>
  <c r="N95" i="11"/>
  <c r="O95" i="11" s="1"/>
  <c r="H94" i="11"/>
  <c r="I94" i="11" s="1"/>
  <c r="F378" i="11"/>
  <c r="G378" i="11" s="1"/>
  <c r="H371" i="11"/>
  <c r="I371" i="11" s="1"/>
  <c r="J362" i="11"/>
  <c r="K362" i="11" s="1"/>
  <c r="F322" i="11"/>
  <c r="G322" i="11" s="1"/>
  <c r="J316" i="11"/>
  <c r="K316" i="11" s="1"/>
  <c r="F308" i="11"/>
  <c r="G308" i="11" s="1"/>
  <c r="N268" i="11"/>
  <c r="O268" i="11" s="1"/>
  <c r="L262" i="11"/>
  <c r="M262" i="11" s="1"/>
  <c r="N259" i="11"/>
  <c r="O259" i="11" s="1"/>
  <c r="N254" i="11"/>
  <c r="O254" i="11" s="1"/>
  <c r="F217" i="11"/>
  <c r="G217" i="11" s="1"/>
  <c r="N206" i="11"/>
  <c r="O206" i="11" s="1"/>
  <c r="F160" i="11"/>
  <c r="G160" i="11" s="1"/>
  <c r="J151" i="11"/>
  <c r="K151" i="11" s="1"/>
  <c r="L147" i="11"/>
  <c r="M147" i="11" s="1"/>
  <c r="N106" i="11"/>
  <c r="O106" i="11" s="1"/>
  <c r="L103" i="11"/>
  <c r="M103" i="11" s="1"/>
  <c r="N98" i="11"/>
  <c r="O98" i="11" s="1"/>
  <c r="F94" i="11"/>
  <c r="G94" i="11" s="1"/>
  <c r="L474" i="11"/>
  <c r="M474" i="11" s="1"/>
  <c r="N94" i="11"/>
  <c r="O94" i="11" s="1"/>
  <c r="H101" i="11"/>
  <c r="I101" i="11" s="1"/>
  <c r="L107" i="11"/>
  <c r="M107" i="11" s="1"/>
  <c r="N150" i="11"/>
  <c r="O150" i="11" s="1"/>
  <c r="H157" i="11"/>
  <c r="I157" i="11" s="1"/>
  <c r="J205" i="11"/>
  <c r="K205" i="11" s="1"/>
  <c r="F267" i="11"/>
  <c r="G267" i="11" s="1"/>
  <c r="H315" i="11"/>
  <c r="I315" i="11" s="1"/>
  <c r="L379" i="11"/>
  <c r="M379" i="11" s="1"/>
  <c r="N483" i="11"/>
  <c r="O483" i="11" s="1"/>
  <c r="H378" i="11"/>
  <c r="I378" i="11" s="1"/>
  <c r="L416" i="11"/>
  <c r="M416" i="11" s="1"/>
  <c r="J93" i="11"/>
  <c r="K93" i="11" s="1"/>
  <c r="N99" i="11"/>
  <c r="O99" i="11" s="1"/>
  <c r="H106" i="11"/>
  <c r="I106" i="11" s="1"/>
  <c r="F151" i="11"/>
  <c r="G151" i="11" s="1"/>
  <c r="H159" i="11"/>
  <c r="I159" i="11" s="1"/>
  <c r="J200" i="11"/>
  <c r="K200" i="11" s="1"/>
  <c r="J213" i="11"/>
  <c r="K213" i="11" s="1"/>
  <c r="F264" i="11"/>
  <c r="G264" i="11" s="1"/>
  <c r="N319" i="11"/>
  <c r="O319" i="11" s="1"/>
  <c r="H432" i="11"/>
  <c r="I432" i="11" s="1"/>
  <c r="N92" i="11"/>
  <c r="O92" i="11" s="1"/>
  <c r="F96" i="11"/>
  <c r="G96" i="11" s="1"/>
  <c r="H99" i="11"/>
  <c r="I99" i="11" s="1"/>
  <c r="J102" i="11"/>
  <c r="K102" i="11" s="1"/>
  <c r="L105" i="11"/>
  <c r="M105" i="11" s="1"/>
  <c r="N108" i="11"/>
  <c r="O108" i="11" s="1"/>
  <c r="F146" i="11"/>
  <c r="G146" i="11" s="1"/>
  <c r="H149" i="11"/>
  <c r="I149" i="11" s="1"/>
  <c r="J152" i="11"/>
  <c r="K152" i="11" s="1"/>
  <c r="N155" i="11"/>
  <c r="O155" i="11" s="1"/>
  <c r="L159" i="11"/>
  <c r="M159" i="11" s="1"/>
  <c r="J163" i="11"/>
  <c r="K163" i="11" s="1"/>
  <c r="H202" i="11"/>
  <c r="I202" i="11" s="1"/>
  <c r="J207" i="11"/>
  <c r="K207" i="11" s="1"/>
  <c r="N213" i="11"/>
  <c r="O213" i="11" s="1"/>
  <c r="L256" i="11"/>
  <c r="M256" i="11" s="1"/>
  <c r="N261" i="11"/>
  <c r="O261" i="11" s="1"/>
  <c r="N269" i="11"/>
  <c r="O269" i="11" s="1"/>
  <c r="J315" i="11"/>
  <c r="K315" i="11" s="1"/>
  <c r="F325" i="11"/>
  <c r="G325" i="11" s="1"/>
  <c r="L370" i="11"/>
  <c r="M370" i="11" s="1"/>
  <c r="J426" i="11"/>
  <c r="K426" i="11" s="1"/>
  <c r="J475" i="11"/>
  <c r="K475" i="11" s="1"/>
  <c r="H524" i="11"/>
  <c r="I524" i="11" s="1"/>
  <c r="H593" i="11"/>
  <c r="I593" i="11" s="1"/>
  <c r="J591" i="11"/>
  <c r="K591" i="11" s="1"/>
  <c r="L587" i="11"/>
  <c r="M587" i="11" s="1"/>
  <c r="H584" i="11"/>
  <c r="I584" i="11" s="1"/>
  <c r="N580" i="11"/>
  <c r="O580" i="11" s="1"/>
  <c r="N578" i="11"/>
  <c r="O578" i="11" s="1"/>
  <c r="N593" i="11"/>
  <c r="O593" i="11" s="1"/>
  <c r="H589" i="11"/>
  <c r="I589" i="11" s="1"/>
  <c r="J587" i="11"/>
  <c r="K587" i="11" s="1"/>
  <c r="F584" i="11"/>
  <c r="G584" i="11" s="1"/>
  <c r="F581" i="11"/>
  <c r="G581" i="11" s="1"/>
  <c r="N540" i="11"/>
  <c r="O540" i="11" s="1"/>
  <c r="N594" i="11"/>
  <c r="O594" i="11" s="1"/>
  <c r="H592" i="11"/>
  <c r="I592" i="11" s="1"/>
  <c r="N589" i="11"/>
  <c r="O589" i="11" s="1"/>
  <c r="H585" i="11"/>
  <c r="I585" i="11" s="1"/>
  <c r="H582" i="11"/>
  <c r="I582" i="11" s="1"/>
  <c r="N579" i="11"/>
  <c r="O579" i="11" s="1"/>
  <c r="H595" i="11"/>
  <c r="I595" i="11" s="1"/>
  <c r="J540" i="11"/>
  <c r="K540" i="11" s="1"/>
  <c r="F537" i="11"/>
  <c r="G537" i="11" s="1"/>
  <c r="J533" i="11"/>
  <c r="K533" i="11" s="1"/>
  <c r="L530" i="11"/>
  <c r="M530" i="11" s="1"/>
  <c r="H527" i="11"/>
  <c r="I527" i="11" s="1"/>
  <c r="F525" i="11"/>
  <c r="G525" i="11" s="1"/>
  <c r="H590" i="11"/>
  <c r="I590" i="11" s="1"/>
  <c r="J581" i="11"/>
  <c r="K581" i="11" s="1"/>
  <c r="L579" i="11"/>
  <c r="M579" i="11" s="1"/>
  <c r="F536" i="11"/>
  <c r="G536" i="11" s="1"/>
  <c r="N528" i="11"/>
  <c r="O528" i="11" s="1"/>
  <c r="N539" i="11"/>
  <c r="O539" i="11" s="1"/>
  <c r="J534" i="11"/>
  <c r="K534" i="11" s="1"/>
  <c r="L531" i="11"/>
  <c r="M531" i="11" s="1"/>
  <c r="L528" i="11"/>
  <c r="M528" i="11" s="1"/>
  <c r="F526" i="11"/>
  <c r="G526" i="11" s="1"/>
  <c r="L486" i="11"/>
  <c r="M486" i="11" s="1"/>
  <c r="L540" i="11"/>
  <c r="M540" i="11" s="1"/>
  <c r="F529" i="11"/>
  <c r="G529" i="11" s="1"/>
  <c r="H485" i="11"/>
  <c r="I485" i="11" s="1"/>
  <c r="J483" i="11"/>
  <c r="K483" i="11" s="1"/>
  <c r="J480" i="11"/>
  <c r="K480" i="11" s="1"/>
  <c r="J476" i="11"/>
  <c r="K476" i="11" s="1"/>
  <c r="N473" i="11"/>
  <c r="O473" i="11" s="1"/>
  <c r="F471" i="11"/>
  <c r="G471" i="11" s="1"/>
  <c r="J431" i="11"/>
  <c r="K431" i="11" s="1"/>
  <c r="L427" i="11"/>
  <c r="M427" i="11" s="1"/>
  <c r="J424" i="11"/>
  <c r="K424" i="11" s="1"/>
  <c r="J421" i="11"/>
  <c r="K421" i="11" s="1"/>
  <c r="N418" i="11"/>
  <c r="O418" i="11" s="1"/>
  <c r="F594" i="11"/>
  <c r="G594" i="11" s="1"/>
  <c r="F540" i="11"/>
  <c r="G540" i="11" s="1"/>
  <c r="J531" i="11"/>
  <c r="K531" i="11" s="1"/>
  <c r="J487" i="11"/>
  <c r="K487" i="11" s="1"/>
  <c r="F482" i="11"/>
  <c r="G482" i="11" s="1"/>
  <c r="F479" i="11"/>
  <c r="G479" i="11" s="1"/>
  <c r="N476" i="11"/>
  <c r="O476" i="11" s="1"/>
  <c r="L473" i="11"/>
  <c r="M473" i="11" s="1"/>
  <c r="N433" i="11"/>
  <c r="O433" i="11" s="1"/>
  <c r="L430" i="11"/>
  <c r="M430" i="11" s="1"/>
  <c r="F428" i="11"/>
  <c r="G428" i="11" s="1"/>
  <c r="L425" i="11"/>
  <c r="M425" i="11" s="1"/>
  <c r="L420" i="11"/>
  <c r="M420" i="11" s="1"/>
  <c r="N416" i="11"/>
  <c r="O416" i="11" s="1"/>
  <c r="J525" i="11"/>
  <c r="K525" i="11" s="1"/>
  <c r="L483" i="11"/>
  <c r="M483" i="11" s="1"/>
  <c r="J479" i="11"/>
  <c r="K479" i="11" s="1"/>
  <c r="N472" i="11"/>
  <c r="O472" i="11" s="1"/>
  <c r="N431" i="11"/>
  <c r="O431" i="11" s="1"/>
  <c r="F427" i="11"/>
  <c r="G427" i="11" s="1"/>
  <c r="H417" i="11"/>
  <c r="I417" i="11" s="1"/>
  <c r="H377" i="11"/>
  <c r="I377" i="11" s="1"/>
  <c r="J375" i="11"/>
  <c r="K375" i="11" s="1"/>
  <c r="L371" i="11"/>
  <c r="M371" i="11" s="1"/>
  <c r="H368" i="11"/>
  <c r="I368" i="11" s="1"/>
  <c r="H364" i="11"/>
  <c r="I364" i="11" s="1"/>
  <c r="L325" i="11"/>
  <c r="M325" i="11" s="1"/>
  <c r="L322" i="11"/>
  <c r="M322" i="11" s="1"/>
  <c r="F319" i="11"/>
  <c r="G319" i="11" s="1"/>
  <c r="L316" i="11"/>
  <c r="M316" i="11" s="1"/>
  <c r="J314" i="11"/>
  <c r="K314" i="11" s="1"/>
  <c r="H309" i="11"/>
  <c r="I309" i="11" s="1"/>
  <c r="J270" i="11"/>
  <c r="K270" i="11" s="1"/>
  <c r="L267" i="11"/>
  <c r="M267" i="11" s="1"/>
  <c r="L533" i="11"/>
  <c r="M533" i="11" s="1"/>
  <c r="F487" i="11"/>
  <c r="G487" i="11" s="1"/>
  <c r="J473" i="11"/>
  <c r="K473" i="11" s="1"/>
  <c r="L433" i="11"/>
  <c r="M433" i="11" s="1"/>
  <c r="N424" i="11"/>
  <c r="O424" i="11" s="1"/>
  <c r="L419" i="11"/>
  <c r="M419" i="11" s="1"/>
  <c r="N379" i="11"/>
  <c r="O379" i="11" s="1"/>
  <c r="F377" i="11"/>
  <c r="G377" i="11" s="1"/>
  <c r="N372" i="11"/>
  <c r="O372" i="11" s="1"/>
  <c r="N370" i="11"/>
  <c r="O370" i="11" s="1"/>
  <c r="J366" i="11"/>
  <c r="K366" i="11" s="1"/>
  <c r="F364" i="11"/>
  <c r="G364" i="11" s="1"/>
  <c r="F527" i="11"/>
  <c r="G527" i="11" s="1"/>
  <c r="L476" i="11"/>
  <c r="M476" i="11" s="1"/>
  <c r="H427" i="11"/>
  <c r="I427" i="11" s="1"/>
  <c r="F375" i="11"/>
  <c r="G375" i="11" s="1"/>
  <c r="H366" i="11"/>
  <c r="I366" i="11" s="1"/>
  <c r="J325" i="11"/>
  <c r="K325" i="11" s="1"/>
  <c r="N321" i="11"/>
  <c r="O321" i="11" s="1"/>
  <c r="N318" i="11"/>
  <c r="O318" i="11" s="1"/>
  <c r="L313" i="11"/>
  <c r="M313" i="11" s="1"/>
  <c r="H311" i="11"/>
  <c r="I311" i="11" s="1"/>
  <c r="J308" i="11"/>
  <c r="K308" i="11" s="1"/>
  <c r="L268" i="11"/>
  <c r="M268" i="11" s="1"/>
  <c r="L263" i="11"/>
  <c r="M263" i="11" s="1"/>
  <c r="J260" i="11"/>
  <c r="K260" i="11" s="1"/>
  <c r="F257" i="11"/>
  <c r="G257" i="11" s="1"/>
  <c r="J217" i="11"/>
  <c r="K217" i="11" s="1"/>
  <c r="H214" i="11"/>
  <c r="I214" i="11" s="1"/>
  <c r="F211" i="11"/>
  <c r="G211" i="11" s="1"/>
  <c r="N207" i="11"/>
  <c r="O207" i="11" s="1"/>
  <c r="F204" i="11"/>
  <c r="G204" i="11" s="1"/>
  <c r="N200" i="11"/>
  <c r="O200" i="11" s="1"/>
  <c r="N529" i="11"/>
  <c r="O529" i="11" s="1"/>
  <c r="L428" i="11"/>
  <c r="M428" i="11" s="1"/>
  <c r="N417" i="11"/>
  <c r="O417" i="11" s="1"/>
  <c r="N373" i="11"/>
  <c r="O373" i="11" s="1"/>
  <c r="F366" i="11"/>
  <c r="G366" i="11" s="1"/>
  <c r="N323" i="11"/>
  <c r="O323" i="11" s="1"/>
  <c r="L317" i="11"/>
  <c r="M317" i="11" s="1"/>
  <c r="H312" i="11"/>
  <c r="I312" i="11" s="1"/>
  <c r="H308" i="11"/>
  <c r="I308" i="11" s="1"/>
  <c r="J267" i="11"/>
  <c r="K267" i="11" s="1"/>
  <c r="H264" i="11"/>
  <c r="I264" i="11" s="1"/>
  <c r="F261" i="11"/>
  <c r="G261" i="11" s="1"/>
  <c r="H258" i="11"/>
  <c r="I258" i="11" s="1"/>
  <c r="F255" i="11"/>
  <c r="G255" i="11" s="1"/>
  <c r="J215" i="11"/>
  <c r="K215" i="11" s="1"/>
  <c r="H212" i="11"/>
  <c r="I212" i="11" s="1"/>
  <c r="F209" i="11"/>
  <c r="G209" i="11" s="1"/>
  <c r="F205" i="11"/>
  <c r="G205" i="11" s="1"/>
  <c r="N201" i="11"/>
  <c r="O201" i="11" s="1"/>
  <c r="F163" i="11"/>
  <c r="G163" i="11" s="1"/>
  <c r="J159" i="11"/>
  <c r="K159" i="11" s="1"/>
  <c r="L156" i="11"/>
  <c r="M156" i="11" s="1"/>
  <c r="F93" i="11"/>
  <c r="G93" i="11" s="1"/>
  <c r="H96" i="11"/>
  <c r="I96" i="11" s="1"/>
  <c r="J99" i="11"/>
  <c r="K99" i="11" s="1"/>
  <c r="L102" i="11"/>
  <c r="M102" i="11" s="1"/>
  <c r="N105" i="11"/>
  <c r="O105" i="11" s="1"/>
  <c r="F109" i="11"/>
  <c r="G109" i="11" s="1"/>
  <c r="L148" i="11"/>
  <c r="M148" i="11" s="1"/>
  <c r="L152" i="11"/>
  <c r="M152" i="11" s="1"/>
  <c r="F156" i="11"/>
  <c r="G156" i="11" s="1"/>
  <c r="N159" i="11"/>
  <c r="O159" i="11" s="1"/>
  <c r="N204" i="11"/>
  <c r="O204" i="11" s="1"/>
  <c r="J211" i="11"/>
  <c r="K211" i="11" s="1"/>
  <c r="N217" i="11"/>
  <c r="O217" i="11" s="1"/>
  <c r="H254" i="11"/>
  <c r="I254" i="11" s="1"/>
  <c r="N260" i="11"/>
  <c r="O260" i="11" s="1"/>
  <c r="F268" i="11"/>
  <c r="G268" i="11" s="1"/>
  <c r="L314" i="11"/>
  <c r="M314" i="11" s="1"/>
  <c r="F324" i="11"/>
  <c r="G324" i="11" s="1"/>
  <c r="N366" i="11"/>
  <c r="O366" i="11" s="1"/>
  <c r="H376" i="11"/>
  <c r="I376" i="11" s="1"/>
  <c r="L480" i="11"/>
  <c r="M480" i="11" s="1"/>
  <c r="J104" i="11"/>
  <c r="K104" i="11" s="1"/>
  <c r="N146" i="11"/>
  <c r="O146" i="11" s="1"/>
  <c r="N162" i="11"/>
  <c r="O162" i="11" s="1"/>
  <c r="H200" i="11"/>
  <c r="I200" i="11" s="1"/>
  <c r="F311" i="11"/>
  <c r="G311" i="11" s="1"/>
  <c r="L365" i="11"/>
  <c r="M365" i="11" s="1"/>
  <c r="H477" i="11"/>
  <c r="I477" i="11" s="1"/>
  <c r="H374" i="11"/>
  <c r="I374" i="11" s="1"/>
  <c r="L96" i="11"/>
  <c r="M96" i="11" s="1"/>
  <c r="J109" i="11"/>
  <c r="K109" i="11" s="1"/>
  <c r="F147" i="11"/>
  <c r="G147" i="11" s="1"/>
  <c r="H163" i="11"/>
  <c r="I163" i="11" s="1"/>
  <c r="H208" i="11"/>
  <c r="I208" i="11" s="1"/>
  <c r="L97" i="11"/>
  <c r="M97" i="11" s="1"/>
  <c r="F104" i="11"/>
  <c r="G104" i="11" s="1"/>
  <c r="J150" i="11"/>
  <c r="K150" i="11" s="1"/>
  <c r="L157" i="11"/>
  <c r="M157" i="11" s="1"/>
  <c r="F210" i="11"/>
  <c r="G210" i="11" s="1"/>
  <c r="F266" i="11"/>
  <c r="G266" i="11" s="1"/>
  <c r="L312" i="11"/>
  <c r="M312" i="11" s="1"/>
  <c r="L366" i="11"/>
  <c r="M366" i="11" s="1"/>
  <c r="J486" i="11"/>
  <c r="K486" i="11" s="1"/>
  <c r="J592" i="11"/>
  <c r="K592" i="11" s="1"/>
  <c r="J582" i="11"/>
  <c r="K582" i="11" s="1"/>
  <c r="L595" i="11"/>
  <c r="M595" i="11" s="1"/>
  <c r="J588" i="11"/>
  <c r="K588" i="11" s="1"/>
  <c r="N582" i="11"/>
  <c r="O582" i="11" s="1"/>
  <c r="L539" i="11"/>
  <c r="M539" i="11" s="1"/>
  <c r="F591" i="11"/>
  <c r="G591" i="11" s="1"/>
  <c r="L580" i="11"/>
  <c r="M580" i="11" s="1"/>
  <c r="F583" i="11"/>
  <c r="G583" i="11" s="1"/>
  <c r="F535" i="11"/>
  <c r="G535" i="11" s="1"/>
  <c r="J529" i="11"/>
  <c r="K529" i="11" s="1"/>
  <c r="F524" i="11"/>
  <c r="G524" i="11" s="1"/>
  <c r="H588" i="11"/>
  <c r="I588" i="11" s="1"/>
  <c r="L534" i="11"/>
  <c r="M534" i="11" s="1"/>
  <c r="H537" i="11"/>
  <c r="I537" i="11" s="1"/>
  <c r="H530" i="11"/>
  <c r="I530" i="11" s="1"/>
  <c r="L589" i="11"/>
  <c r="M589" i="11" s="1"/>
  <c r="L487" i="11"/>
  <c r="M487" i="11" s="1"/>
  <c r="N478" i="11"/>
  <c r="O478" i="11" s="1"/>
  <c r="L432" i="11"/>
  <c r="M432" i="11" s="1"/>
  <c r="N425" i="11"/>
  <c r="O425" i="11" s="1"/>
  <c r="F420" i="11"/>
  <c r="G420" i="11" s="1"/>
  <c r="H536" i="11"/>
  <c r="I536" i="11" s="1"/>
  <c r="F485" i="11"/>
  <c r="G485" i="11" s="1"/>
  <c r="F478" i="11"/>
  <c r="G478" i="11" s="1"/>
  <c r="L471" i="11"/>
  <c r="M471" i="11" s="1"/>
  <c r="N426" i="11"/>
  <c r="O426" i="11" s="1"/>
  <c r="F418" i="11"/>
  <c r="G418" i="11" s="1"/>
  <c r="H486" i="11"/>
  <c r="I486" i="11" s="1"/>
  <c r="F477" i="11"/>
  <c r="G477" i="11" s="1"/>
  <c r="H429" i="11"/>
  <c r="I429" i="11" s="1"/>
  <c r="H379" i="11"/>
  <c r="I379" i="11" s="1"/>
  <c r="L369" i="11"/>
  <c r="M369" i="11" s="1"/>
  <c r="L362" i="11"/>
  <c r="M362" i="11" s="1"/>
  <c r="N320" i="11"/>
  <c r="O320" i="11" s="1"/>
  <c r="L315" i="11"/>
  <c r="M315" i="11" s="1"/>
  <c r="N271" i="11"/>
  <c r="O271" i="11" s="1"/>
  <c r="J265" i="11"/>
  <c r="K265" i="11" s="1"/>
  <c r="F480" i="11"/>
  <c r="G480" i="11" s="1"/>
  <c r="N421" i="11"/>
  <c r="O421" i="11" s="1"/>
  <c r="J378" i="11"/>
  <c r="K378" i="11" s="1"/>
  <c r="F372" i="11"/>
  <c r="G372" i="11" s="1"/>
  <c r="J369" i="11"/>
  <c r="K369" i="11" s="1"/>
  <c r="H365" i="11"/>
  <c r="I365" i="11" s="1"/>
  <c r="F363" i="11"/>
  <c r="G363" i="11" s="1"/>
  <c r="L482" i="11"/>
  <c r="M482" i="11" s="1"/>
  <c r="J433" i="11"/>
  <c r="K433" i="11" s="1"/>
  <c r="J423" i="11"/>
  <c r="K423" i="11" s="1"/>
  <c r="F371" i="11"/>
  <c r="G371" i="11" s="1"/>
  <c r="H363" i="11"/>
  <c r="I363" i="11" s="1"/>
  <c r="H323" i="11"/>
  <c r="I323" i="11" s="1"/>
  <c r="N315" i="11"/>
  <c r="O315" i="11" s="1"/>
  <c r="J312" i="11"/>
  <c r="K312" i="11" s="1"/>
  <c r="F310" i="11"/>
  <c r="G310" i="11" s="1"/>
  <c r="L270" i="11"/>
  <c r="M270" i="11" s="1"/>
  <c r="N265" i="11"/>
  <c r="O265" i="11" s="1"/>
  <c r="J262" i="11"/>
  <c r="K262" i="11" s="1"/>
  <c r="J258" i="11"/>
  <c r="K258" i="11" s="1"/>
  <c r="H255" i="11"/>
  <c r="I255" i="11" s="1"/>
  <c r="J212" i="11"/>
  <c r="K212" i="11" s="1"/>
  <c r="N205" i="11"/>
  <c r="O205" i="11" s="1"/>
  <c r="L538" i="11"/>
  <c r="M538" i="11" s="1"/>
  <c r="H424" i="11"/>
  <c r="I424" i="11" s="1"/>
  <c r="N368" i="11"/>
  <c r="O368" i="11" s="1"/>
  <c r="H319" i="11"/>
  <c r="I319" i="11" s="1"/>
  <c r="L310" i="11"/>
  <c r="M310" i="11" s="1"/>
  <c r="L265" i="11"/>
  <c r="M265" i="11" s="1"/>
  <c r="L259" i="11"/>
  <c r="M259" i="11" s="1"/>
  <c r="L213" i="11"/>
  <c r="M213" i="11" s="1"/>
  <c r="H207" i="11"/>
  <c r="I207" i="11" s="1"/>
  <c r="L200" i="11"/>
  <c r="M200" i="11" s="1"/>
  <c r="F158" i="11"/>
  <c r="G158" i="11" s="1"/>
  <c r="N97" i="11"/>
  <c r="O97" i="11" s="1"/>
  <c r="H104" i="11"/>
  <c r="I104" i="11" s="1"/>
  <c r="L150" i="11"/>
  <c r="M150" i="11" s="1"/>
  <c r="N157" i="11"/>
  <c r="O157" i="11" s="1"/>
  <c r="L207" i="11"/>
  <c r="M207" i="11" s="1"/>
  <c r="J310" i="11"/>
  <c r="K310" i="11" s="1"/>
  <c r="H369" i="11"/>
  <c r="I369" i="11" s="1"/>
  <c r="L426" i="11"/>
  <c r="M426" i="11" s="1"/>
  <c r="H533" i="11"/>
  <c r="I533" i="11" s="1"/>
  <c r="H93" i="11"/>
  <c r="I93" i="11" s="1"/>
  <c r="L99" i="11"/>
  <c r="M99" i="11" s="1"/>
  <c r="F106" i="11"/>
  <c r="G106" i="11" s="1"/>
  <c r="H148" i="11"/>
  <c r="I148" i="11" s="1"/>
  <c r="J155" i="11"/>
  <c r="K155" i="11" s="1"/>
  <c r="N202" i="11"/>
  <c r="O202" i="11" s="1"/>
  <c r="H213" i="11"/>
  <c r="I213" i="11" s="1"/>
  <c r="N263" i="11"/>
  <c r="O263" i="11" s="1"/>
  <c r="H313" i="11"/>
  <c r="I313" i="11" s="1"/>
  <c r="J370" i="11"/>
  <c r="K370" i="11" s="1"/>
  <c r="F421" i="11"/>
  <c r="G421" i="11" s="1"/>
  <c r="F419" i="11"/>
  <c r="G419" i="11" s="1"/>
  <c r="L423" i="11"/>
  <c r="M423" i="11" s="1"/>
  <c r="H98" i="11"/>
  <c r="I98" i="11" s="1"/>
  <c r="L104" i="11"/>
  <c r="M104" i="11" s="1"/>
  <c r="L149" i="11"/>
  <c r="M149" i="11" s="1"/>
  <c r="N210" i="11"/>
  <c r="O210" i="11" s="1"/>
  <c r="J261" i="11"/>
  <c r="K261" i="11" s="1"/>
  <c r="J317" i="11"/>
  <c r="K317" i="11" s="1"/>
  <c r="N429" i="11"/>
  <c r="O429" i="11" s="1"/>
  <c r="J538" i="11"/>
  <c r="K538" i="11" s="1"/>
  <c r="J96" i="11"/>
  <c r="K96" i="11" s="1"/>
  <c r="N102" i="11"/>
  <c r="O102" i="11" s="1"/>
  <c r="H109" i="11"/>
  <c r="I109" i="11" s="1"/>
  <c r="F152" i="11"/>
  <c r="G152" i="11" s="1"/>
  <c r="F161" i="11"/>
  <c r="G161" i="11" s="1"/>
  <c r="F208" i="11"/>
  <c r="G208" i="11" s="1"/>
  <c r="N270" i="11"/>
  <c r="O270" i="11" s="1"/>
  <c r="H321" i="11"/>
  <c r="I321" i="11" s="1"/>
  <c r="H425" i="11"/>
  <c r="I425" i="11" s="1"/>
  <c r="H481" i="11"/>
  <c r="I481" i="11" s="1"/>
  <c r="N470" i="11"/>
  <c r="O470" i="11" s="1"/>
  <c r="N375" i="11"/>
  <c r="O375" i="11" s="1"/>
  <c r="F95" i="11"/>
  <c r="G95" i="11" s="1"/>
  <c r="J101" i="11"/>
  <c r="K101" i="11" s="1"/>
  <c r="N107" i="11"/>
  <c r="O107" i="11" s="1"/>
  <c r="H152" i="11"/>
  <c r="I152" i="11" s="1"/>
  <c r="H161" i="11"/>
  <c r="I161" i="11" s="1"/>
  <c r="L205" i="11"/>
  <c r="M205" i="11" s="1"/>
  <c r="N215" i="11"/>
  <c r="O215" i="11" s="1"/>
  <c r="H256" i="11"/>
  <c r="I256" i="11" s="1"/>
  <c r="H267" i="11"/>
  <c r="I267" i="11" s="1"/>
  <c r="J323" i="11"/>
  <c r="K323" i="11" s="1"/>
  <c r="L372" i="11"/>
  <c r="M372" i="11" s="1"/>
  <c r="L93" i="11"/>
  <c r="M93" i="11" s="1"/>
  <c r="N96" i="11"/>
  <c r="O96" i="11" s="1"/>
  <c r="F100" i="11"/>
  <c r="G100" i="11" s="1"/>
  <c r="H103" i="11"/>
  <c r="I103" i="11" s="1"/>
  <c r="J106" i="11"/>
  <c r="K106" i="11" s="1"/>
  <c r="L109" i="11"/>
  <c r="M109" i="11" s="1"/>
  <c r="L146" i="11"/>
  <c r="M146" i="11" s="1"/>
  <c r="N149" i="11"/>
  <c r="O149" i="11" s="1"/>
  <c r="F153" i="11"/>
  <c r="G153" i="11" s="1"/>
  <c r="N156" i="11"/>
  <c r="O156" i="11" s="1"/>
  <c r="L160" i="11"/>
  <c r="M160" i="11" s="1"/>
  <c r="J203" i="11"/>
  <c r="K203" i="11" s="1"/>
  <c r="N208" i="11"/>
  <c r="O208" i="11" s="1"/>
  <c r="H215" i="11"/>
  <c r="I215" i="11" s="1"/>
  <c r="F258" i="11"/>
  <c r="G258" i="11" s="1"/>
  <c r="H263" i="11"/>
  <c r="I263" i="11" s="1"/>
  <c r="L271" i="11"/>
  <c r="M271" i="11" s="1"/>
  <c r="J311" i="11"/>
  <c r="K311" i="11" s="1"/>
  <c r="N316" i="11"/>
  <c r="O316" i="11" s="1"/>
  <c r="J364" i="11"/>
  <c r="K364" i="11" s="1"/>
  <c r="F373" i="11"/>
  <c r="G373" i="11" s="1"/>
  <c r="N481" i="11"/>
  <c r="O481" i="11" s="1"/>
  <c r="N595" i="11"/>
  <c r="O595" i="11" s="1"/>
  <c r="N592" i="11"/>
  <c r="O592" i="11" s="1"/>
  <c r="N590" i="11"/>
  <c r="O590" i="11" s="1"/>
  <c r="H586" i="11"/>
  <c r="I586" i="11" s="1"/>
  <c r="L583" i="11"/>
  <c r="M583" i="11" s="1"/>
  <c r="J580" i="11"/>
  <c r="K580" i="11" s="1"/>
  <c r="F578" i="11"/>
  <c r="G578" i="11" s="1"/>
  <c r="F593" i="11"/>
  <c r="G593" i="11" s="1"/>
  <c r="N588" i="11"/>
  <c r="O588" i="11" s="1"/>
  <c r="N586" i="11"/>
  <c r="O586" i="11" s="1"/>
  <c r="J583" i="11"/>
  <c r="K583" i="11" s="1"/>
  <c r="H579" i="11"/>
  <c r="I579" i="11" s="1"/>
  <c r="H540" i="11"/>
  <c r="I540" i="11" s="1"/>
  <c r="H594" i="11"/>
  <c r="I594" i="11" s="1"/>
  <c r="N591" i="11"/>
  <c r="O591" i="11" s="1"/>
  <c r="F589" i="11"/>
  <c r="G589" i="11" s="1"/>
  <c r="N584" i="11"/>
  <c r="O584" i="11" s="1"/>
  <c r="L581" i="11"/>
  <c r="M581" i="11" s="1"/>
  <c r="F579" i="11"/>
  <c r="G579" i="11" s="1"/>
  <c r="N587" i="11"/>
  <c r="O587" i="11" s="1"/>
  <c r="J539" i="11"/>
  <c r="K539" i="11" s="1"/>
  <c r="L536" i="11"/>
  <c r="M536" i="11" s="1"/>
  <c r="J532" i="11"/>
  <c r="K532" i="11" s="1"/>
  <c r="F530" i="11"/>
  <c r="G530" i="11" s="1"/>
  <c r="N526" i="11"/>
  <c r="O526" i="11" s="1"/>
  <c r="L524" i="11"/>
  <c r="M524" i="11" s="1"/>
  <c r="L588" i="11"/>
  <c r="M588" i="11" s="1"/>
  <c r="H578" i="11"/>
  <c r="I578" i="11" s="1"/>
  <c r="H538" i="11"/>
  <c r="I538" i="11" s="1"/>
  <c r="J535" i="11"/>
  <c r="K535" i="11" s="1"/>
  <c r="L527" i="11"/>
  <c r="M527" i="11" s="1"/>
  <c r="F538" i="11"/>
  <c r="G538" i="11" s="1"/>
  <c r="N533" i="11"/>
  <c r="O533" i="11" s="1"/>
  <c r="N530" i="11"/>
  <c r="O530" i="11" s="1"/>
  <c r="F528" i="11"/>
  <c r="G528" i="11" s="1"/>
  <c r="H525" i="11"/>
  <c r="I525" i="11" s="1"/>
  <c r="F486" i="11"/>
  <c r="G486" i="11" s="1"/>
  <c r="F539" i="11"/>
  <c r="G539" i="11" s="1"/>
  <c r="N524" i="11"/>
  <c r="O524" i="11" s="1"/>
  <c r="N484" i="11"/>
  <c r="O484" i="11" s="1"/>
  <c r="N482" i="11"/>
  <c r="O482" i="11" s="1"/>
  <c r="H479" i="11"/>
  <c r="I479" i="11" s="1"/>
  <c r="N475" i="11"/>
  <c r="O475" i="11" s="1"/>
  <c r="F473" i="11"/>
  <c r="G473" i="11" s="1"/>
  <c r="H433" i="11"/>
  <c r="I433" i="11" s="1"/>
  <c r="N430" i="11"/>
  <c r="O430" i="11" s="1"/>
  <c r="H426" i="11"/>
  <c r="I426" i="11" s="1"/>
  <c r="H423" i="11"/>
  <c r="I423" i="11" s="1"/>
  <c r="N420" i="11"/>
  <c r="O420" i="11" s="1"/>
  <c r="H418" i="11"/>
  <c r="I418" i="11" s="1"/>
  <c r="L591" i="11"/>
  <c r="M591" i="11" s="1"/>
  <c r="L537" i="11"/>
  <c r="M537" i="11" s="1"/>
  <c r="J530" i="11"/>
  <c r="K530" i="11" s="1"/>
  <c r="N485" i="11"/>
  <c r="O485" i="11" s="1"/>
  <c r="J481" i="11"/>
  <c r="K481" i="11" s="1"/>
  <c r="L478" i="11"/>
  <c r="M478" i="11" s="1"/>
  <c r="H476" i="11"/>
  <c r="I476" i="11" s="1"/>
  <c r="H472" i="11"/>
  <c r="I472" i="11" s="1"/>
  <c r="F433" i="11"/>
  <c r="G433" i="11" s="1"/>
  <c r="F430" i="11"/>
  <c r="G430" i="11" s="1"/>
  <c r="J427" i="11"/>
  <c r="K427" i="11" s="1"/>
  <c r="N423" i="11"/>
  <c r="O423" i="11" s="1"/>
  <c r="H419" i="11"/>
  <c r="I419" i="11" s="1"/>
  <c r="H539" i="11"/>
  <c r="I539" i="11" s="1"/>
  <c r="N487" i="11"/>
  <c r="O487" i="11" s="1"/>
  <c r="J482" i="11"/>
  <c r="K482" i="11" s="1"/>
  <c r="H478" i="11"/>
  <c r="I478" i="11" s="1"/>
  <c r="J471" i="11"/>
  <c r="K471" i="11" s="1"/>
  <c r="J430" i="11"/>
  <c r="K430" i="11" s="1"/>
  <c r="F424" i="11"/>
  <c r="G424" i="11" s="1"/>
  <c r="J416" i="11"/>
  <c r="K416" i="11" s="1"/>
  <c r="N376" i="11"/>
  <c r="O376" i="11" s="1"/>
  <c r="N374" i="11"/>
  <c r="O374" i="11" s="1"/>
  <c r="H370" i="11"/>
  <c r="I370" i="11" s="1"/>
  <c r="N367" i="11"/>
  <c r="O367" i="11" s="1"/>
  <c r="N363" i="11"/>
  <c r="O363" i="11" s="1"/>
  <c r="H324" i="11"/>
  <c r="I324" i="11" s="1"/>
  <c r="J321" i="11"/>
  <c r="K321" i="11" s="1"/>
  <c r="J318" i="11"/>
  <c r="K318" i="11" s="1"/>
  <c r="F316" i="11"/>
  <c r="G316" i="11" s="1"/>
  <c r="F312" i="11"/>
  <c r="G312" i="11" s="1"/>
  <c r="L308" i="11"/>
  <c r="M308" i="11" s="1"/>
  <c r="L269" i="11"/>
  <c r="M269" i="11" s="1"/>
  <c r="N266" i="11"/>
  <c r="O266" i="11" s="1"/>
  <c r="F532" i="11"/>
  <c r="G532" i="11" s="1"/>
  <c r="F483" i="11"/>
  <c r="G483" i="11" s="1"/>
  <c r="L472" i="11"/>
  <c r="M472" i="11" s="1"/>
  <c r="L431" i="11"/>
  <c r="M431" i="11" s="1"/>
  <c r="N422" i="11"/>
  <c r="O422" i="11" s="1"/>
  <c r="J418" i="11"/>
  <c r="K418" i="11" s="1"/>
  <c r="F379" i="11"/>
  <c r="G379" i="11" s="1"/>
  <c r="H375" i="11"/>
  <c r="I375" i="11" s="1"/>
  <c r="J372" i="11"/>
  <c r="K372" i="11" s="1"/>
  <c r="F370" i="11"/>
  <c r="G370" i="11" s="1"/>
  <c r="N365" i="11"/>
  <c r="O365" i="11" s="1"/>
  <c r="L363" i="11"/>
  <c r="M363" i="11" s="1"/>
  <c r="L485" i="11"/>
  <c r="M485" i="11" s="1"/>
  <c r="H475" i="11"/>
  <c r="I475" i="11" s="1"/>
  <c r="L424" i="11"/>
  <c r="M424" i="11" s="1"/>
  <c r="H372" i="11"/>
  <c r="I372" i="11" s="1"/>
  <c r="J365" i="11"/>
  <c r="K365" i="11" s="1"/>
  <c r="N324" i="11"/>
  <c r="O324" i="11" s="1"/>
  <c r="F321" i="11"/>
  <c r="G321" i="11" s="1"/>
  <c r="F317" i="11"/>
  <c r="G317" i="11" s="1"/>
  <c r="F313" i="11"/>
  <c r="G313" i="11" s="1"/>
  <c r="N310" i="11"/>
  <c r="O310" i="11" s="1"/>
  <c r="J271" i="11"/>
  <c r="K271" i="11" s="1"/>
  <c r="L266" i="11"/>
  <c r="M266" i="11" s="1"/>
  <c r="F263" i="11"/>
  <c r="G263" i="11" s="1"/>
  <c r="F259" i="11"/>
  <c r="G259" i="11" s="1"/>
  <c r="N255" i="11"/>
  <c r="O255" i="11" s="1"/>
  <c r="H216" i="11"/>
  <c r="I216" i="11" s="1"/>
  <c r="F213" i="11"/>
  <c r="G213" i="11" s="1"/>
  <c r="N209" i="11"/>
  <c r="O209" i="11" s="1"/>
  <c r="L206" i="11"/>
  <c r="M206" i="11" s="1"/>
  <c r="H203" i="11"/>
  <c r="I203" i="11" s="1"/>
  <c r="F200" i="11"/>
  <c r="G200" i="11" s="1"/>
  <c r="J485" i="11"/>
  <c r="K485" i="11" s="1"/>
  <c r="J425" i="11"/>
  <c r="K425" i="11" s="1"/>
  <c r="N378" i="11"/>
  <c r="O378" i="11" s="1"/>
  <c r="N369" i="11"/>
  <c r="O369" i="11" s="1"/>
  <c r="F365" i="11"/>
  <c r="G365" i="11" s="1"/>
  <c r="H322" i="11"/>
  <c r="I322" i="11" s="1"/>
  <c r="H316" i="11"/>
  <c r="I316" i="11" s="1"/>
  <c r="L311" i="11"/>
  <c r="M311" i="11" s="1"/>
  <c r="H271" i="11"/>
  <c r="I271" i="11" s="1"/>
  <c r="J266" i="11"/>
  <c r="K266" i="11" s="1"/>
  <c r="J263" i="11"/>
  <c r="K263" i="11" s="1"/>
  <c r="H260" i="11"/>
  <c r="I260" i="11" s="1"/>
  <c r="L257" i="11"/>
  <c r="M257" i="11" s="1"/>
  <c r="J254" i="11"/>
  <c r="K254" i="11" s="1"/>
  <c r="N214" i="11"/>
  <c r="O214" i="11" s="1"/>
  <c r="L211" i="11"/>
  <c r="M211" i="11" s="1"/>
  <c r="J208" i="11"/>
  <c r="K208" i="11" s="1"/>
  <c r="J204" i="11"/>
  <c r="K204" i="11" s="1"/>
  <c r="H201" i="11"/>
  <c r="I201" i="11" s="1"/>
  <c r="L161" i="11"/>
  <c r="M161" i="11" s="1"/>
  <c r="N158" i="11"/>
  <c r="O158" i="11" s="1"/>
  <c r="H155" i="11"/>
  <c r="I155" i="11" s="1"/>
  <c r="N93" i="11"/>
  <c r="O93" i="11" s="1"/>
  <c r="F97" i="11"/>
  <c r="G97" i="11" s="1"/>
  <c r="H100" i="11"/>
  <c r="I100" i="11" s="1"/>
  <c r="J103" i="11"/>
  <c r="K103" i="11" s="1"/>
  <c r="L106" i="11"/>
  <c r="M106" i="11" s="1"/>
  <c r="N109" i="11"/>
  <c r="O109" i="11" s="1"/>
  <c r="H146" i="11"/>
  <c r="I146" i="11" s="1"/>
  <c r="J149" i="11"/>
  <c r="K149" i="11" s="1"/>
  <c r="H153" i="11"/>
  <c r="I153" i="11" s="1"/>
  <c r="F157" i="11"/>
  <c r="G157" i="11" s="1"/>
  <c r="N161" i="11"/>
  <c r="O161" i="11" s="1"/>
  <c r="F201" i="11"/>
  <c r="G201" i="11" s="1"/>
  <c r="H206" i="11"/>
  <c r="I206" i="11" s="1"/>
  <c r="L212" i="11"/>
  <c r="M212" i="11" s="1"/>
  <c r="J255" i="11"/>
  <c r="K255" i="11" s="1"/>
  <c r="F262" i="11"/>
  <c r="G262" i="11" s="1"/>
  <c r="F270" i="11"/>
  <c r="G270" i="11" s="1"/>
  <c r="L309" i="11"/>
  <c r="M309" i="11" s="1"/>
  <c r="F318" i="11"/>
  <c r="G318" i="11" s="1"/>
  <c r="N325" i="11"/>
  <c r="O325" i="11" s="1"/>
  <c r="J368" i="11"/>
  <c r="K368" i="11" s="1"/>
  <c r="J379" i="11"/>
  <c r="K379" i="11" s="1"/>
  <c r="J422" i="11"/>
  <c r="K422" i="11" s="1"/>
  <c r="L484" i="11"/>
  <c r="M484" i="11" s="1"/>
  <c r="F98" i="11"/>
  <c r="G98" i="11" s="1"/>
  <c r="J153" i="11"/>
  <c r="K153" i="11" s="1"/>
  <c r="L210" i="11"/>
  <c r="M210" i="11" s="1"/>
  <c r="F256" i="11"/>
  <c r="G256" i="11" s="1"/>
  <c r="J324" i="11"/>
  <c r="K324" i="11" s="1"/>
  <c r="F472" i="11"/>
  <c r="G472" i="11" s="1"/>
  <c r="N427" i="11"/>
  <c r="O427" i="11" s="1"/>
  <c r="F103" i="11"/>
  <c r="G103" i="11" s="1"/>
  <c r="L153" i="11"/>
  <c r="M153" i="11" s="1"/>
  <c r="L258" i="11"/>
  <c r="M258" i="11" s="1"/>
  <c r="N313" i="11"/>
  <c r="O313" i="11" s="1"/>
  <c r="L375" i="11"/>
  <c r="M375" i="11" s="1"/>
  <c r="J94" i="11"/>
  <c r="K94" i="11" s="1"/>
  <c r="N100" i="11"/>
  <c r="O100" i="11" s="1"/>
  <c r="H107" i="11"/>
  <c r="I107" i="11" s="1"/>
  <c r="H147" i="11"/>
  <c r="I147" i="11" s="1"/>
  <c r="F154" i="11"/>
  <c r="G154" i="11" s="1"/>
  <c r="J161" i="11"/>
  <c r="K161" i="11" s="1"/>
  <c r="L204" i="11"/>
  <c r="M204" i="11" s="1"/>
  <c r="J216" i="11"/>
  <c r="K216" i="11" s="1"/>
  <c r="H259" i="11"/>
  <c r="I259" i="11" s="1"/>
  <c r="J320" i="11"/>
  <c r="K320" i="11" s="1"/>
  <c r="J374" i="11"/>
  <c r="K374" i="11" s="1"/>
  <c r="F595" i="11"/>
  <c r="G595" i="11" s="1"/>
  <c r="F590" i="11"/>
  <c r="G590" i="11" s="1"/>
  <c r="L585" i="11"/>
  <c r="M585" i="11" s="1"/>
  <c r="F580" i="11"/>
  <c r="G580" i="11" s="1"/>
  <c r="H591" i="11"/>
  <c r="I591" i="11" s="1"/>
  <c r="F586" i="11"/>
  <c r="G586" i="11" s="1"/>
  <c r="L578" i="11"/>
  <c r="M578" i="11" s="1"/>
  <c r="L593" i="11"/>
  <c r="M593" i="11" s="1"/>
  <c r="H587" i="11"/>
  <c r="I587" i="11" s="1"/>
  <c r="J584" i="11"/>
  <c r="K584" i="11" s="1"/>
  <c r="J578" i="11"/>
  <c r="K578" i="11" s="1"/>
  <c r="N538" i="11"/>
  <c r="O538" i="11" s="1"/>
  <c r="N531" i="11"/>
  <c r="O531" i="11" s="1"/>
  <c r="H526" i="11"/>
  <c r="I526" i="11" s="1"/>
  <c r="F587" i="11"/>
  <c r="G587" i="11" s="1"/>
  <c r="J537" i="11"/>
  <c r="K537" i="11" s="1"/>
  <c r="F585" i="11"/>
  <c r="G585" i="11" s="1"/>
  <c r="F533" i="11"/>
  <c r="G533" i="11" s="1"/>
  <c r="J527" i="11"/>
  <c r="K527" i="11" s="1"/>
  <c r="J524" i="11"/>
  <c r="K524" i="11" s="1"/>
  <c r="J536" i="11"/>
  <c r="K536" i="11" s="1"/>
  <c r="J484" i="11"/>
  <c r="K484" i="11" s="1"/>
  <c r="H482" i="11"/>
  <c r="I482" i="11" s="1"/>
  <c r="F475" i="11"/>
  <c r="G475" i="11" s="1"/>
  <c r="J472" i="11"/>
  <c r="K472" i="11" s="1"/>
  <c r="L429" i="11"/>
  <c r="M429" i="11" s="1"/>
  <c r="L422" i="11"/>
  <c r="M422" i="11" s="1"/>
  <c r="L417" i="11"/>
  <c r="M417" i="11" s="1"/>
  <c r="L582" i="11"/>
  <c r="M582" i="11" s="1"/>
  <c r="N527" i="11"/>
  <c r="O527" i="11" s="1"/>
  <c r="N480" i="11"/>
  <c r="O480" i="11" s="1"/>
  <c r="L475" i="11"/>
  <c r="M475" i="11" s="1"/>
  <c r="J432" i="11"/>
  <c r="K432" i="11" s="1"/>
  <c r="J429" i="11"/>
  <c r="K429" i="11" s="1"/>
  <c r="F423" i="11"/>
  <c r="G423" i="11" s="1"/>
  <c r="N535" i="11"/>
  <c r="O535" i="11" s="1"/>
  <c r="F481" i="11"/>
  <c r="G481" i="11" s="1"/>
  <c r="L470" i="11"/>
  <c r="M470" i="11" s="1"/>
  <c r="N419" i="11"/>
  <c r="O419" i="11" s="1"/>
  <c r="J376" i="11"/>
  <c r="K376" i="11" s="1"/>
  <c r="F374" i="11"/>
  <c r="G374" i="11" s="1"/>
  <c r="F367" i="11"/>
  <c r="G367" i="11" s="1"/>
  <c r="L323" i="11"/>
  <c r="M323" i="11" s="1"/>
  <c r="N317" i="11"/>
  <c r="O317" i="11" s="1"/>
  <c r="H310" i="11"/>
  <c r="I310" i="11" s="1"/>
  <c r="F269" i="11"/>
  <c r="G269" i="11" s="1"/>
  <c r="H528" i="11"/>
  <c r="I528" i="11" s="1"/>
  <c r="H471" i="11"/>
  <c r="I471" i="11" s="1"/>
  <c r="H430" i="11"/>
  <c r="I430" i="11" s="1"/>
  <c r="F417" i="11"/>
  <c r="G417" i="11" s="1"/>
  <c r="L374" i="11"/>
  <c r="M374" i="11" s="1"/>
  <c r="H320" i="11"/>
  <c r="I320" i="11" s="1"/>
  <c r="L215" i="11"/>
  <c r="M215" i="11" s="1"/>
  <c r="H209" i="11"/>
  <c r="I209" i="11" s="1"/>
  <c r="L202" i="11"/>
  <c r="M202" i="11" s="1"/>
  <c r="N477" i="11"/>
  <c r="O477" i="11" s="1"/>
  <c r="L377" i="11"/>
  <c r="M377" i="11" s="1"/>
  <c r="H325" i="11"/>
  <c r="I325" i="11" s="1"/>
  <c r="N314" i="11"/>
  <c r="O314" i="11" s="1"/>
  <c r="H270" i="11"/>
  <c r="I270" i="11" s="1"/>
  <c r="H262" i="11"/>
  <c r="I262" i="11" s="1"/>
  <c r="J256" i="11"/>
  <c r="K256" i="11" s="1"/>
  <c r="N216" i="11"/>
  <c r="O216" i="11" s="1"/>
  <c r="J210" i="11"/>
  <c r="K210" i="11" s="1"/>
  <c r="N203" i="11"/>
  <c r="O203" i="11" s="1"/>
  <c r="N160" i="11"/>
  <c r="O160" i="11" s="1"/>
  <c r="J154" i="11"/>
  <c r="K154" i="11" s="1"/>
  <c r="L94" i="11"/>
  <c r="M94" i="11" s="1"/>
  <c r="F101" i="11"/>
  <c r="G101" i="11" s="1"/>
  <c r="J107" i="11"/>
  <c r="K107" i="11" s="1"/>
  <c r="J147" i="11"/>
  <c r="K147" i="11" s="1"/>
  <c r="H154" i="11"/>
  <c r="I154" i="11" s="1"/>
  <c r="L162" i="11"/>
  <c r="M162" i="11" s="1"/>
  <c r="J202" i="11"/>
  <c r="K202" i="11" s="1"/>
  <c r="F214" i="11"/>
  <c r="G214" i="11" s="1"/>
  <c r="N256" i="11"/>
  <c r="O256" i="11" s="1"/>
  <c r="L264" i="11"/>
  <c r="M264" i="11" s="1"/>
  <c r="L319" i="11"/>
  <c r="M319" i="11" s="1"/>
  <c r="F474" i="11"/>
  <c r="G474" i="11" s="1"/>
  <c r="L155" i="11"/>
  <c r="M155" i="11" s="1"/>
  <c r="F470" i="11"/>
  <c r="G470" i="11" s="1"/>
  <c r="L101" i="11"/>
  <c r="M101" i="11" s="1"/>
  <c r="L158" i="11"/>
  <c r="M158" i="11" s="1"/>
  <c r="L217" i="11"/>
  <c r="M217" i="11" s="1"/>
  <c r="L260" i="11"/>
  <c r="M260" i="11" s="1"/>
  <c r="F369" i="11"/>
  <c r="G369" i="11" s="1"/>
  <c r="L584" i="11"/>
  <c r="M584" i="11" s="1"/>
  <c r="L590" i="11"/>
  <c r="M590" i="11" s="1"/>
  <c r="H541" i="11"/>
  <c r="I541" i="11" s="1"/>
  <c r="L586" i="11"/>
  <c r="M586" i="11" s="1"/>
  <c r="F541" i="11"/>
  <c r="G541" i="11" s="1"/>
  <c r="J528" i="11"/>
  <c r="K528" i="11" s="1"/>
  <c r="N583" i="11"/>
  <c r="O583" i="11" s="1"/>
  <c r="H535" i="11"/>
  <c r="I535" i="11" s="1"/>
  <c r="H487" i="11"/>
  <c r="I487" i="11" s="1"/>
  <c r="F484" i="11"/>
  <c r="G484" i="11" s="1"/>
  <c r="N471" i="11"/>
  <c r="O471" i="11" s="1"/>
  <c r="F422" i="11"/>
  <c r="G422" i="11" s="1"/>
  <c r="N532" i="11"/>
  <c r="O532" i="11" s="1"/>
  <c r="J477" i="11"/>
  <c r="K477" i="11" s="1"/>
  <c r="N428" i="11"/>
  <c r="O428" i="11" s="1"/>
  <c r="H532" i="11"/>
  <c r="I532" i="11" s="1"/>
  <c r="N432" i="11"/>
  <c r="O432" i="11" s="1"/>
  <c r="F376" i="11"/>
  <c r="G376" i="11" s="1"/>
  <c r="F362" i="11"/>
  <c r="G362" i="11" s="1"/>
  <c r="F315" i="11"/>
  <c r="G315" i="11" s="1"/>
  <c r="F582" i="11"/>
  <c r="G582" i="11" s="1"/>
  <c r="F429" i="11"/>
  <c r="G429" i="11" s="1"/>
  <c r="H373" i="11"/>
  <c r="I373" i="11" s="1"/>
  <c r="N534" i="11"/>
  <c r="O534" i="11" s="1"/>
  <c r="H367" i="11"/>
  <c r="I367" i="11" s="1"/>
  <c r="F314" i="11"/>
  <c r="G314" i="11" s="1"/>
  <c r="J264" i="11"/>
  <c r="K264" i="11" s="1"/>
  <c r="F215" i="11"/>
  <c r="G215" i="11" s="1"/>
  <c r="F202" i="11"/>
  <c r="G202" i="11" s="1"/>
  <c r="L376" i="11"/>
  <c r="M376" i="11" s="1"/>
  <c r="J313" i="11"/>
  <c r="K313" i="11" s="1"/>
  <c r="L261" i="11"/>
  <c r="M261" i="11" s="1"/>
  <c r="N212" i="11"/>
  <c r="O212" i="11" s="1"/>
  <c r="N163" i="11"/>
  <c r="O163" i="11" s="1"/>
  <c r="N101" i="11"/>
  <c r="O101" i="11" s="1"/>
  <c r="F159" i="11"/>
  <c r="G159" i="11" s="1"/>
  <c r="H266" i="11"/>
  <c r="I266" i="11" s="1"/>
  <c r="L320" i="11"/>
  <c r="M320" i="11" s="1"/>
  <c r="J579" i="11"/>
  <c r="K579" i="11" s="1"/>
  <c r="F534" i="11"/>
  <c r="G534" i="11" s="1"/>
  <c r="L529" i="11"/>
  <c r="M529" i="11" s="1"/>
  <c r="L535" i="11"/>
  <c r="M535" i="11" s="1"/>
  <c r="H428" i="11"/>
  <c r="I428" i="11" s="1"/>
  <c r="H483" i="11"/>
  <c r="I483" i="11" s="1"/>
  <c r="H421" i="11"/>
  <c r="I421" i="11" s="1"/>
  <c r="L418" i="11"/>
  <c r="M418" i="11" s="1"/>
  <c r="F320" i="11"/>
  <c r="G320" i="11" s="1"/>
  <c r="F271" i="11"/>
  <c r="G271" i="11" s="1"/>
  <c r="F416" i="11"/>
  <c r="G416" i="11" s="1"/>
  <c r="F431" i="11"/>
  <c r="G431" i="11" s="1"/>
  <c r="J309" i="11"/>
  <c r="K309" i="11" s="1"/>
  <c r="L208" i="11"/>
  <c r="M208" i="11" s="1"/>
  <c r="L324" i="11"/>
  <c r="M324" i="11" s="1"/>
  <c r="L255" i="11"/>
  <c r="M255" i="11" s="1"/>
  <c r="J157" i="11"/>
  <c r="K157" i="11" s="1"/>
  <c r="J95" i="11"/>
  <c r="K95" i="11" s="1"/>
  <c r="H108" i="11"/>
  <c r="I108" i="11" s="1"/>
  <c r="H151" i="11"/>
  <c r="I151" i="11" s="1"/>
  <c r="H210" i="11"/>
  <c r="I210" i="11" s="1"/>
  <c r="J478" i="11"/>
  <c r="K478" i="11" s="1"/>
  <c r="J98" i="11"/>
  <c r="K98" i="11" s="1"/>
  <c r="F254" i="11"/>
  <c r="G254" i="11" s="1"/>
  <c r="J589" i="11"/>
  <c r="K589" i="11" s="1"/>
  <c r="N581" i="11"/>
  <c r="O581" i="11" s="1"/>
  <c r="N541" i="11"/>
  <c r="O541" i="11" s="1"/>
  <c r="N585" i="11"/>
  <c r="O585" i="11" s="1"/>
  <c r="L526" i="11"/>
  <c r="M526" i="11" s="1"/>
  <c r="J474" i="11"/>
  <c r="K474" i="11" s="1"/>
  <c r="J541" i="11"/>
  <c r="K541" i="11" s="1"/>
  <c r="N479" i="11"/>
  <c r="O479" i="11" s="1"/>
  <c r="J417" i="11"/>
  <c r="K417" i="11" s="1"/>
  <c r="L378" i="11"/>
  <c r="M378" i="11" s="1"/>
  <c r="H317" i="11"/>
  <c r="I317" i="11" s="1"/>
  <c r="H470" i="11"/>
  <c r="I470" i="11" s="1"/>
  <c r="L364" i="11"/>
  <c r="M364" i="11" s="1"/>
  <c r="J319" i="11"/>
  <c r="K319" i="11" s="1"/>
  <c r="L254" i="11"/>
  <c r="M254" i="11" s="1"/>
  <c r="L421" i="11"/>
  <c r="M421" i="11" s="1"/>
  <c r="N264" i="11"/>
  <c r="O264" i="11" s="1"/>
  <c r="F203" i="11"/>
  <c r="G203" i="11" s="1"/>
  <c r="J259" i="11"/>
  <c r="K259" i="11" s="1"/>
  <c r="L373" i="11"/>
  <c r="M373" i="11" s="1"/>
  <c r="F92" i="11"/>
  <c r="G92" i="11" s="1"/>
  <c r="N104" i="11"/>
  <c r="O104" i="11" s="1"/>
  <c r="J148" i="11"/>
  <c r="K148" i="11" s="1"/>
  <c r="J162" i="11"/>
  <c r="K162" i="11" s="1"/>
  <c r="N267" i="11"/>
  <c r="O267" i="11" s="1"/>
  <c r="H314" i="11"/>
  <c r="I314" i="11" s="1"/>
  <c r="J377" i="11"/>
  <c r="K377" i="11" s="1"/>
  <c r="L594" i="11"/>
  <c r="M594" i="11" s="1"/>
  <c r="H581" i="11"/>
  <c r="I581" i="11" s="1"/>
  <c r="F588" i="11"/>
  <c r="G588" i="11" s="1"/>
  <c r="J595" i="11"/>
  <c r="K595" i="11" s="1"/>
  <c r="H583" i="11"/>
  <c r="I583" i="11" s="1"/>
  <c r="N537" i="11"/>
  <c r="O537" i="11" s="1"/>
  <c r="N525" i="11"/>
  <c r="O525" i="11" s="1"/>
  <c r="N536" i="11"/>
  <c r="O536" i="11" s="1"/>
  <c r="L532" i="11"/>
  <c r="M532" i="11" s="1"/>
  <c r="J586" i="11"/>
  <c r="K586" i="11" s="1"/>
  <c r="L481" i="11"/>
  <c r="M481" i="11" s="1"/>
  <c r="F432" i="11"/>
  <c r="G432" i="11" s="1"/>
  <c r="J419" i="11"/>
  <c r="K419" i="11" s="1"/>
  <c r="L525" i="11"/>
  <c r="M525" i="11" s="1"/>
  <c r="H474" i="11"/>
  <c r="I474" i="11" s="1"/>
  <c r="F426" i="11"/>
  <c r="G426" i="11" s="1"/>
  <c r="H484" i="11"/>
  <c r="I484" i="11" s="1"/>
  <c r="J428" i="11"/>
  <c r="K428" i="11" s="1"/>
  <c r="J373" i="11"/>
  <c r="K373" i="11" s="1"/>
  <c r="F323" i="11"/>
  <c r="G323" i="11" s="1"/>
  <c r="N309" i="11"/>
  <c r="O309" i="11" s="1"/>
  <c r="J526" i="11"/>
  <c r="K526" i="11" s="1"/>
  <c r="J420" i="11"/>
  <c r="K420" i="11" s="1"/>
  <c r="J371" i="11"/>
  <c r="K371" i="11" s="1"/>
  <c r="L479" i="11"/>
  <c r="M479" i="11" s="1"/>
  <c r="H362" i="11"/>
  <c r="I362" i="11" s="1"/>
  <c r="N311" i="11"/>
  <c r="O311" i="11" s="1"/>
  <c r="H261" i="11"/>
  <c r="I261" i="11" s="1"/>
  <c r="N211" i="11"/>
  <c r="O211" i="11" s="1"/>
  <c r="H534" i="11"/>
  <c r="I534" i="11" s="1"/>
  <c r="F368" i="11"/>
  <c r="G368" i="11" s="1"/>
  <c r="F309" i="11"/>
  <c r="G309" i="11" s="1"/>
  <c r="N258" i="11"/>
  <c r="O258" i="11" s="1"/>
  <c r="L209" i="11"/>
  <c r="M209" i="11" s="1"/>
  <c r="H160" i="11"/>
  <c r="I160" i="11" s="1"/>
  <c r="H92" i="11"/>
  <c r="I92" i="11" s="1"/>
  <c r="F105" i="11"/>
  <c r="G105" i="11" s="1"/>
  <c r="F148" i="11"/>
  <c r="G148" i="11" s="1"/>
  <c r="L163" i="11"/>
  <c r="M163" i="11" s="1"/>
  <c r="L203" i="11"/>
  <c r="M203" i="11" s="1"/>
  <c r="H95" i="11"/>
  <c r="I95" i="11" s="1"/>
  <c r="F108" i="11"/>
  <c r="G108" i="11" s="1"/>
  <c r="N151" i="11"/>
  <c r="O151" i="11" s="1"/>
  <c r="F206" i="11"/>
  <c r="G206" i="11" s="1"/>
  <c r="L321" i="11"/>
  <c r="M321" i="11" s="1"/>
  <c r="H422" i="11"/>
  <c r="I422" i="11" s="1"/>
  <c r="F592" i="11"/>
  <c r="G592" i="11" s="1"/>
  <c r="J585" i="11"/>
  <c r="K585" i="11" s="1"/>
  <c r="L592" i="11"/>
  <c r="M592" i="11" s="1"/>
  <c r="H580" i="11"/>
  <c r="I580" i="11" s="1"/>
  <c r="J593" i="11"/>
  <c r="K593" i="11" s="1"/>
  <c r="H529" i="11"/>
  <c r="I529" i="11" s="1"/>
  <c r="L477" i="11"/>
  <c r="M477" i="11" s="1"/>
  <c r="H416" i="11"/>
  <c r="I416" i="11" s="1"/>
  <c r="J470" i="11"/>
  <c r="K470" i="11" s="1"/>
  <c r="H480" i="11"/>
  <c r="I480" i="11" s="1"/>
  <c r="L368" i="11"/>
  <c r="M368" i="11" s="1"/>
  <c r="N474" i="11"/>
  <c r="O474" i="11" s="1"/>
  <c r="L367" i="11"/>
  <c r="M367" i="11" s="1"/>
  <c r="J322" i="11"/>
  <c r="K322" i="11" s="1"/>
  <c r="N257" i="11"/>
  <c r="O257" i="11" s="1"/>
  <c r="H473" i="11"/>
  <c r="I473" i="11" s="1"/>
  <c r="J268" i="11"/>
  <c r="K268" i="11" s="1"/>
  <c r="J206" i="11"/>
  <c r="K206" i="11" s="1"/>
  <c r="J363" i="11"/>
  <c r="K363" i="11" s="1"/>
  <c r="N154" i="11"/>
  <c r="O154" i="11" s="1"/>
  <c r="H211" i="11"/>
  <c r="I211" i="11" s="1"/>
  <c r="J594" i="11"/>
  <c r="K594" i="11" s="1"/>
  <c r="J590" i="11"/>
  <c r="K590" i="11" s="1"/>
  <c r="F531" i="11"/>
  <c r="G531" i="11" s="1"/>
  <c r="L541" i="11"/>
  <c r="M541" i="11" s="1"/>
  <c r="N486" i="11"/>
  <c r="O486" i="11" s="1"/>
  <c r="F425" i="11"/>
  <c r="G425" i="11" s="1"/>
  <c r="H431" i="11"/>
  <c r="I431" i="11" s="1"/>
  <c r="F476" i="11"/>
  <c r="G476" i="11" s="1"/>
  <c r="N364" i="11"/>
  <c r="O364" i="11" s="1"/>
  <c r="H268" i="11"/>
  <c r="I268" i="11" s="1"/>
  <c r="N377" i="11"/>
  <c r="O377" i="11" s="1"/>
  <c r="H420" i="11"/>
  <c r="I420" i="11" s="1"/>
  <c r="J269" i="11"/>
  <c r="K269" i="11" s="1"/>
  <c r="H205" i="11"/>
  <c r="I205" i="11" s="1"/>
  <c r="L318" i="11"/>
  <c r="M318" i="11" s="1"/>
  <c r="F216" i="11"/>
  <c r="G216" i="11" s="1"/>
  <c r="N153" i="11"/>
  <c r="O153" i="11" s="1"/>
  <c r="L98" i="11"/>
  <c r="M98" i="11" s="1"/>
  <c r="F155" i="11"/>
  <c r="G155" i="11" s="1"/>
  <c r="L216" i="11"/>
  <c r="M216" i="11" s="1"/>
  <c r="N312" i="11"/>
  <c r="O312" i="11" s="1"/>
  <c r="H531" i="11"/>
  <c r="I531" i="11" s="1"/>
  <c r="AL46" i="2"/>
  <c r="AL44" i="2"/>
  <c r="AY36" i="2"/>
  <c r="R49" i="2"/>
  <c r="AZ31" i="2"/>
  <c r="AM40" i="2"/>
  <c r="AY4" i="2"/>
  <c r="AL22" i="2"/>
  <c r="AZ8" i="2"/>
  <c r="AY8" i="2"/>
  <c r="S18" i="2"/>
  <c r="AZ40" i="2"/>
  <c r="AY40" i="2"/>
  <c r="AZ16" i="2"/>
  <c r="AY16" i="2"/>
  <c r="AZ45" i="2"/>
  <c r="AY45" i="2"/>
  <c r="AM23" i="2"/>
  <c r="AL23" i="2"/>
  <c r="S38" i="2"/>
  <c r="R38" i="2"/>
  <c r="AL49" i="2"/>
  <c r="AM49" i="2"/>
  <c r="AM10" i="2"/>
  <c r="AL10" i="2"/>
  <c r="AZ30" i="2"/>
  <c r="AY30" i="2"/>
  <c r="AZ48" i="2"/>
  <c r="AY48" i="2"/>
  <c r="AZ11" i="2"/>
  <c r="AY11" i="2"/>
  <c r="AL32" i="2"/>
  <c r="AM32" i="2"/>
  <c r="S10" i="2"/>
  <c r="R10" i="2"/>
  <c r="AM28" i="2"/>
  <c r="AL28" i="2"/>
  <c r="AL30" i="2"/>
  <c r="AM30" i="2"/>
  <c r="AL39" i="2"/>
  <c r="AM39" i="2"/>
  <c r="AL21" i="2"/>
  <c r="AM21" i="2"/>
  <c r="AL5" i="2"/>
  <c r="AM5" i="2"/>
  <c r="AZ27" i="2"/>
  <c r="AY27" i="2"/>
  <c r="AL29" i="2"/>
  <c r="AM29" i="2"/>
  <c r="AY20" i="2"/>
  <c r="AZ20" i="2"/>
  <c r="AZ38" i="2"/>
  <c r="AY38" i="2"/>
  <c r="S40" i="2"/>
  <c r="R40" i="2"/>
  <c r="AM8" i="2"/>
  <c r="AL8" i="2"/>
  <c r="AZ19" i="2"/>
  <c r="AY19" i="2"/>
  <c r="AL34" i="2"/>
  <c r="AM34" i="2"/>
  <c r="AZ3" i="2"/>
  <c r="AY3" i="2"/>
  <c r="AY34" i="2"/>
  <c r="AZ34" i="2"/>
  <c r="AY7" i="2"/>
  <c r="AZ7" i="2"/>
  <c r="AL13" i="2"/>
  <c r="AM13" i="2"/>
  <c r="AM16" i="2"/>
  <c r="AL16" i="2"/>
  <c r="AY5" i="2"/>
  <c r="AZ5" i="2"/>
  <c r="AY32" i="2"/>
  <c r="AZ32" i="2"/>
  <c r="AZ50" i="2"/>
  <c r="AY50" i="2"/>
  <c r="R8" i="2"/>
  <c r="AM12" i="2"/>
  <c r="AL12" i="2"/>
  <c r="S29" i="2"/>
  <c r="S30" i="2"/>
  <c r="AM35" i="2"/>
  <c r="AL35" i="2"/>
  <c r="AY13" i="2"/>
  <c r="AZ13" i="2"/>
  <c r="S34" i="2"/>
  <c r="R34" i="2"/>
  <c r="AM31" i="2"/>
  <c r="AL31" i="2"/>
  <c r="AZ46" i="2"/>
  <c r="AY46" i="2"/>
  <c r="AY9" i="2"/>
  <c r="AZ9" i="2"/>
  <c r="AZ33" i="2"/>
  <c r="AY33" i="2"/>
  <c r="AZ10" i="2"/>
  <c r="AY10" i="2"/>
  <c r="AL45" i="2"/>
  <c r="AM45" i="2"/>
  <c r="AL11" i="2"/>
  <c r="AM11" i="2"/>
  <c r="AL6" i="2"/>
  <c r="AM6" i="2"/>
  <c r="AM33" i="2"/>
  <c r="AL33" i="2"/>
  <c r="AY44" i="2"/>
  <c r="AZ44" i="2"/>
  <c r="AM3" i="2"/>
  <c r="AL3" i="2"/>
  <c r="AZ47" i="2"/>
  <c r="AY47" i="2"/>
  <c r="S22" i="2"/>
  <c r="R22" i="2"/>
  <c r="AZ43" i="2"/>
  <c r="AY43" i="2"/>
  <c r="AM9" i="2"/>
  <c r="AL9" i="2"/>
  <c r="AY29" i="2"/>
  <c r="AZ29" i="2"/>
  <c r="AL43" i="2"/>
  <c r="AM43" i="2"/>
  <c r="R50" i="2"/>
  <c r="S50" i="2"/>
  <c r="AL7" i="2"/>
  <c r="AM7" i="2"/>
  <c r="S47" i="2"/>
  <c r="R47" i="2"/>
  <c r="S14" i="2"/>
  <c r="R14" i="2"/>
  <c r="AY37" i="2"/>
  <c r="AZ37" i="2"/>
  <c r="AZ35" i="2"/>
  <c r="AY35" i="2"/>
  <c r="AY28" i="2"/>
  <c r="AZ28" i="2"/>
  <c r="AL42" i="2"/>
  <c r="AM42" i="2"/>
  <c r="AM41" i="2"/>
  <c r="AL41" i="2"/>
  <c r="AZ12" i="2"/>
  <c r="AY12" i="2"/>
  <c r="AY49" i="2"/>
  <c r="AZ49" i="2"/>
  <c r="AM15" i="2"/>
  <c r="AL15" i="2"/>
  <c r="AM48" i="2"/>
  <c r="AL48" i="2"/>
  <c r="R15" i="2"/>
  <c r="S15" i="2"/>
  <c r="S31" i="2"/>
  <c r="R31" i="2"/>
  <c r="AM47" i="2"/>
  <c r="AL47" i="2"/>
  <c r="AZ18" i="2"/>
  <c r="AY18" i="2"/>
  <c r="AZ41" i="2"/>
  <c r="AY41" i="2"/>
  <c r="AM36" i="2"/>
  <c r="AL36" i="2"/>
  <c r="R46" i="2"/>
  <c r="S46" i="2"/>
  <c r="AM18" i="2"/>
  <c r="AL18" i="2"/>
  <c r="R33" i="2"/>
  <c r="AM4" i="2"/>
  <c r="AL4" i="2"/>
  <c r="AM14" i="2"/>
  <c r="AL14" i="2"/>
  <c r="AM24" i="2"/>
  <c r="AL24" i="2"/>
  <c r="AL20" i="2"/>
  <c r="AM20" i="2"/>
  <c r="AZ23" i="2"/>
  <c r="AY23" i="2"/>
  <c r="O19" i="2"/>
  <c r="Q19" i="2" s="1"/>
  <c r="AY21" i="2"/>
  <c r="AZ21" i="2"/>
  <c r="O26" i="2"/>
  <c r="AM26" i="2"/>
  <c r="AL26" i="2"/>
  <c r="O20" i="2"/>
  <c r="J37" i="11"/>
  <c r="K37" i="11" s="1"/>
  <c r="J34" i="11"/>
  <c r="K34" i="11" s="1"/>
  <c r="H31" i="11"/>
  <c r="I31" i="11" s="1"/>
  <c r="F28" i="11"/>
  <c r="G28" i="11" s="1"/>
  <c r="N24" i="11"/>
  <c r="O24" i="11" s="1"/>
  <c r="L21" i="11"/>
  <c r="M21" i="11" s="1"/>
  <c r="N35" i="11"/>
  <c r="O35" i="11" s="1"/>
  <c r="L32" i="11"/>
  <c r="M32" i="11" s="1"/>
  <c r="J29" i="11"/>
  <c r="K29" i="11" s="1"/>
  <c r="H26" i="11"/>
  <c r="I26" i="11" s="1"/>
  <c r="F23" i="11"/>
  <c r="G23" i="11" s="1"/>
  <c r="N37" i="11"/>
  <c r="O37" i="11" s="1"/>
  <c r="N34" i="11"/>
  <c r="O34" i="11" s="1"/>
  <c r="L31" i="11"/>
  <c r="M31" i="11" s="1"/>
  <c r="J28" i="11"/>
  <c r="K28" i="11" s="1"/>
  <c r="H25" i="11"/>
  <c r="I25" i="11" s="1"/>
  <c r="F22" i="11"/>
  <c r="G22" i="11" s="1"/>
  <c r="F37" i="11"/>
  <c r="G37" i="11" s="1"/>
  <c r="N33" i="11"/>
  <c r="O33" i="11" s="1"/>
  <c r="L30" i="11"/>
  <c r="M30" i="11" s="1"/>
  <c r="J27" i="11"/>
  <c r="K27" i="11" s="1"/>
  <c r="H24" i="11"/>
  <c r="I24" i="11" s="1"/>
  <c r="F21" i="11"/>
  <c r="G21" i="11" s="1"/>
  <c r="N28" i="11"/>
  <c r="O28" i="11" s="1"/>
  <c r="J22" i="11"/>
  <c r="K22" i="11" s="1"/>
  <c r="H30" i="11"/>
  <c r="I30" i="11" s="1"/>
  <c r="L20" i="11"/>
  <c r="M20" i="11" s="1"/>
  <c r="H29" i="11"/>
  <c r="I29" i="11" s="1"/>
  <c r="L37" i="11"/>
  <c r="M37" i="11" s="1"/>
  <c r="H28" i="11"/>
  <c r="I28" i="11" s="1"/>
  <c r="N36" i="11"/>
  <c r="O36" i="11" s="1"/>
  <c r="L33" i="11"/>
  <c r="M33" i="11" s="1"/>
  <c r="J30" i="11"/>
  <c r="K30" i="11" s="1"/>
  <c r="H27" i="11"/>
  <c r="I27" i="11" s="1"/>
  <c r="F24" i="11"/>
  <c r="G24" i="11" s="1"/>
  <c r="N20" i="11"/>
  <c r="O20" i="11" s="1"/>
  <c r="F35" i="11"/>
  <c r="G35" i="11" s="1"/>
  <c r="N31" i="11"/>
  <c r="O31" i="11" s="1"/>
  <c r="L28" i="11"/>
  <c r="M28" i="11" s="1"/>
  <c r="J25" i="11"/>
  <c r="K25" i="11" s="1"/>
  <c r="H22" i="11"/>
  <c r="I22" i="11" s="1"/>
  <c r="H37" i="11"/>
  <c r="I37" i="11" s="1"/>
  <c r="F34" i="11"/>
  <c r="G34" i="11" s="1"/>
  <c r="N30" i="11"/>
  <c r="O30" i="11" s="1"/>
  <c r="L27" i="11"/>
  <c r="M27" i="11" s="1"/>
  <c r="J24" i="11"/>
  <c r="K24" i="11" s="1"/>
  <c r="H21" i="11"/>
  <c r="I21" i="11" s="1"/>
  <c r="H36" i="11"/>
  <c r="I36" i="11" s="1"/>
  <c r="F33" i="11"/>
  <c r="G33" i="11" s="1"/>
  <c r="N29" i="11"/>
  <c r="O29" i="11" s="1"/>
  <c r="L26" i="11"/>
  <c r="M26" i="11" s="1"/>
  <c r="J23" i="11"/>
  <c r="K23" i="11" s="1"/>
  <c r="H20" i="11"/>
  <c r="I20" i="11" s="1"/>
  <c r="F32" i="11"/>
  <c r="G32" i="11" s="1"/>
  <c r="L36" i="11"/>
  <c r="M36" i="11" s="1"/>
  <c r="F27" i="11"/>
  <c r="G27" i="11" s="1"/>
  <c r="L35" i="11"/>
  <c r="M35" i="11" s="1"/>
  <c r="F26" i="11"/>
  <c r="G26" i="11" s="1"/>
  <c r="L34" i="11"/>
  <c r="M34" i="11" s="1"/>
  <c r="F25" i="11"/>
  <c r="G25" i="11" s="1"/>
  <c r="F36" i="11"/>
  <c r="G36" i="11" s="1"/>
  <c r="N32" i="11"/>
  <c r="O32" i="11" s="1"/>
  <c r="L29" i="11"/>
  <c r="M29" i="11" s="1"/>
  <c r="J26" i="11"/>
  <c r="K26" i="11" s="1"/>
  <c r="H23" i="11"/>
  <c r="I23" i="11" s="1"/>
  <c r="F20" i="11"/>
  <c r="G20" i="11" s="1"/>
  <c r="H34" i="11"/>
  <c r="I34" i="11" s="1"/>
  <c r="F31" i="11"/>
  <c r="G31" i="11" s="1"/>
  <c r="N27" i="11"/>
  <c r="O27" i="11" s="1"/>
  <c r="L24" i="11"/>
  <c r="M24" i="11" s="1"/>
  <c r="J21" i="11"/>
  <c r="K21" i="11" s="1"/>
  <c r="J36" i="11"/>
  <c r="K36" i="11" s="1"/>
  <c r="H33" i="11"/>
  <c r="I33" i="11" s="1"/>
  <c r="F30" i="11"/>
  <c r="G30" i="11" s="1"/>
  <c r="N26" i="11"/>
  <c r="O26" i="11" s="1"/>
  <c r="L23" i="11"/>
  <c r="M23" i="11" s="1"/>
  <c r="J20" i="11"/>
  <c r="K20" i="11" s="1"/>
  <c r="J35" i="11"/>
  <c r="K35" i="11" s="1"/>
  <c r="H32" i="11"/>
  <c r="I32" i="11" s="1"/>
  <c r="F29" i="11"/>
  <c r="G29" i="11" s="1"/>
  <c r="N25" i="11"/>
  <c r="O25" i="11" s="1"/>
  <c r="L22" i="11"/>
  <c r="M22" i="11" s="1"/>
  <c r="H35" i="11"/>
  <c r="I35" i="11" s="1"/>
  <c r="L25" i="11"/>
  <c r="M25" i="11" s="1"/>
  <c r="J33" i="11"/>
  <c r="K33" i="11" s="1"/>
  <c r="N23" i="11"/>
  <c r="O23" i="11" s="1"/>
  <c r="J32" i="11"/>
  <c r="K32" i="11" s="1"/>
  <c r="N22" i="11"/>
  <c r="O22" i="11" s="1"/>
  <c r="J31" i="11"/>
  <c r="K31" i="11" s="1"/>
  <c r="N21" i="11"/>
  <c r="O21" i="11" s="1"/>
  <c r="H19" i="11"/>
  <c r="I19" i="11" s="1"/>
  <c r="J18" i="11"/>
  <c r="K18" i="11" s="1"/>
  <c r="L17" i="11"/>
  <c r="M17" i="11" s="1"/>
  <c r="N16" i="11"/>
  <c r="O16" i="11" s="1"/>
  <c r="F16" i="11"/>
  <c r="G16" i="11" s="1"/>
  <c r="H15" i="11"/>
  <c r="I15" i="11" s="1"/>
  <c r="J14" i="11"/>
  <c r="K14" i="11" s="1"/>
  <c r="L13" i="11"/>
  <c r="M13" i="11" s="1"/>
  <c r="N12" i="11"/>
  <c r="O12" i="11" s="1"/>
  <c r="F12" i="11"/>
  <c r="G12" i="11" s="1"/>
  <c r="H11" i="11"/>
  <c r="I11" i="11" s="1"/>
  <c r="J10" i="11"/>
  <c r="K10" i="11" s="1"/>
  <c r="L9" i="11"/>
  <c r="M9" i="11" s="1"/>
  <c r="N8" i="11"/>
  <c r="O8" i="11" s="1"/>
  <c r="F8" i="11"/>
  <c r="G8" i="11" s="1"/>
  <c r="H7" i="11"/>
  <c r="I7" i="11" s="1"/>
  <c r="J6" i="11"/>
  <c r="K6" i="11" s="1"/>
  <c r="L5" i="11"/>
  <c r="M5" i="11" s="1"/>
  <c r="N4" i="11"/>
  <c r="O4" i="11" s="1"/>
  <c r="F4" i="11"/>
  <c r="G4" i="11" s="1"/>
  <c r="H3" i="11"/>
  <c r="I3" i="11" s="1"/>
  <c r="J2" i="11"/>
  <c r="K2" i="11" s="1"/>
  <c r="N19" i="11"/>
  <c r="O19" i="11" s="1"/>
  <c r="F19" i="11"/>
  <c r="G19" i="11" s="1"/>
  <c r="H18" i="11"/>
  <c r="I18" i="11" s="1"/>
  <c r="J17" i="11"/>
  <c r="K17" i="11" s="1"/>
  <c r="L16" i="11"/>
  <c r="M16" i="11" s="1"/>
  <c r="N15" i="11"/>
  <c r="O15" i="11" s="1"/>
  <c r="F15" i="11"/>
  <c r="G15" i="11" s="1"/>
  <c r="H14" i="11"/>
  <c r="I14" i="11" s="1"/>
  <c r="J13" i="11"/>
  <c r="K13" i="11" s="1"/>
  <c r="L12" i="11"/>
  <c r="M12" i="11" s="1"/>
  <c r="N11" i="11"/>
  <c r="O11" i="11" s="1"/>
  <c r="F11" i="11"/>
  <c r="G11" i="11" s="1"/>
  <c r="H10" i="11"/>
  <c r="I10" i="11" s="1"/>
  <c r="J9" i="11"/>
  <c r="K9" i="11" s="1"/>
  <c r="L8" i="11"/>
  <c r="M8" i="11" s="1"/>
  <c r="N7" i="11"/>
  <c r="O7" i="11" s="1"/>
  <c r="F7" i="11"/>
  <c r="G7" i="11" s="1"/>
  <c r="H6" i="11"/>
  <c r="I6" i="11" s="1"/>
  <c r="J5" i="11"/>
  <c r="K5" i="11" s="1"/>
  <c r="L4" i="11"/>
  <c r="M4" i="11" s="1"/>
  <c r="N3" i="11"/>
  <c r="O3" i="11" s="1"/>
  <c r="F3" i="11"/>
  <c r="G3" i="11" s="1"/>
  <c r="H2" i="11"/>
  <c r="L19" i="11"/>
  <c r="M19" i="11" s="1"/>
  <c r="N18" i="11"/>
  <c r="O18" i="11" s="1"/>
  <c r="F18" i="11"/>
  <c r="G18" i="11" s="1"/>
  <c r="H17" i="11"/>
  <c r="I17" i="11" s="1"/>
  <c r="J16" i="11"/>
  <c r="K16" i="11" s="1"/>
  <c r="L15" i="11"/>
  <c r="M15" i="11" s="1"/>
  <c r="N14" i="11"/>
  <c r="O14" i="11" s="1"/>
  <c r="F14" i="11"/>
  <c r="G14" i="11" s="1"/>
  <c r="H13" i="11"/>
  <c r="I13" i="11" s="1"/>
  <c r="J12" i="11"/>
  <c r="K12" i="11" s="1"/>
  <c r="L11" i="11"/>
  <c r="M11" i="11" s="1"/>
  <c r="N10" i="11"/>
  <c r="O10" i="11" s="1"/>
  <c r="F10" i="11"/>
  <c r="G10" i="11" s="1"/>
  <c r="H9" i="11"/>
  <c r="I9" i="11" s="1"/>
  <c r="J8" i="11"/>
  <c r="K8" i="11" s="1"/>
  <c r="L7" i="11"/>
  <c r="M7" i="11" s="1"/>
  <c r="N6" i="11"/>
  <c r="O6" i="11" s="1"/>
  <c r="F6" i="11"/>
  <c r="G6" i="11" s="1"/>
  <c r="H5" i="11"/>
  <c r="I5" i="11" s="1"/>
  <c r="J4" i="11"/>
  <c r="K4" i="11" s="1"/>
  <c r="L3" i="11"/>
  <c r="M3" i="11" s="1"/>
  <c r="N2" i="11"/>
  <c r="O2" i="11" s="1"/>
  <c r="F2" i="11"/>
  <c r="G2" i="11" s="1"/>
  <c r="J19" i="11"/>
  <c r="K19" i="11" s="1"/>
  <c r="L18" i="11"/>
  <c r="M18" i="11" s="1"/>
  <c r="N17" i="11"/>
  <c r="O17" i="11" s="1"/>
  <c r="F17" i="11"/>
  <c r="G17" i="11" s="1"/>
  <c r="H16" i="11"/>
  <c r="I16" i="11" s="1"/>
  <c r="J15" i="11"/>
  <c r="K15" i="11" s="1"/>
  <c r="L14" i="11"/>
  <c r="M14" i="11" s="1"/>
  <c r="N13" i="11"/>
  <c r="O13" i="11" s="1"/>
  <c r="F13" i="11"/>
  <c r="G13" i="11" s="1"/>
  <c r="H12" i="11"/>
  <c r="I12" i="11" s="1"/>
  <c r="J11" i="11"/>
  <c r="K11" i="11" s="1"/>
  <c r="L10" i="11"/>
  <c r="M10" i="11" s="1"/>
  <c r="N9" i="11"/>
  <c r="O9" i="11" s="1"/>
  <c r="F9" i="11"/>
  <c r="G9" i="11" s="1"/>
  <c r="H8" i="11"/>
  <c r="I8" i="11" s="1"/>
  <c r="J7" i="11"/>
  <c r="K7" i="11" s="1"/>
  <c r="L6" i="11"/>
  <c r="M6" i="11" s="1"/>
  <c r="N5" i="11"/>
  <c r="O5" i="11" s="1"/>
  <c r="F5" i="11"/>
  <c r="G5" i="11" s="1"/>
  <c r="H4" i="11"/>
  <c r="I4" i="11" s="1"/>
  <c r="J3" i="11"/>
  <c r="K3" i="11" s="1"/>
  <c r="L2" i="11"/>
  <c r="M2" i="11" s="1"/>
  <c r="O21" i="2"/>
  <c r="AL25" i="2"/>
  <c r="AM25" i="2"/>
  <c r="AY25" i="2"/>
  <c r="AZ25" i="2"/>
  <c r="O9" i="2"/>
  <c r="Q9" i="2" s="1"/>
  <c r="T9" i="2" s="1"/>
  <c r="N38" i="11"/>
  <c r="O38" i="11" s="1"/>
  <c r="F42" i="11"/>
  <c r="G42" i="11" s="1"/>
  <c r="F46" i="11"/>
  <c r="G46" i="11" s="1"/>
  <c r="N48" i="11"/>
  <c r="O48" i="11" s="1"/>
  <c r="J52" i="11"/>
  <c r="K52" i="11" s="1"/>
  <c r="H55" i="11"/>
  <c r="I55" i="11" s="1"/>
  <c r="N40" i="11"/>
  <c r="O40" i="11" s="1"/>
  <c r="F44" i="11"/>
  <c r="G44" i="11" s="1"/>
  <c r="L47" i="11"/>
  <c r="M47" i="11" s="1"/>
  <c r="J50" i="11"/>
  <c r="K50" i="11" s="1"/>
  <c r="F54" i="11"/>
  <c r="G54" i="11" s="1"/>
  <c r="F39" i="11"/>
  <c r="G39" i="11" s="1"/>
  <c r="H42" i="11"/>
  <c r="I42" i="11" s="1"/>
  <c r="F45" i="11"/>
  <c r="G45" i="11" s="1"/>
  <c r="N47" i="11"/>
  <c r="O47" i="11" s="1"/>
  <c r="J51" i="11"/>
  <c r="K51" i="11" s="1"/>
  <c r="H54" i="11"/>
  <c r="I54" i="11" s="1"/>
  <c r="N39" i="11"/>
  <c r="O39" i="11" s="1"/>
  <c r="F43" i="11"/>
  <c r="G43" i="11" s="1"/>
  <c r="L46" i="11"/>
  <c r="M46" i="11" s="1"/>
  <c r="J49" i="11"/>
  <c r="K49" i="11" s="1"/>
  <c r="F53" i="11"/>
  <c r="G53" i="11" s="1"/>
  <c r="F38" i="11"/>
  <c r="G38" i="11" s="1"/>
  <c r="H48" i="11"/>
  <c r="I48" i="11" s="1"/>
  <c r="H40" i="11"/>
  <c r="I40" i="11" s="1"/>
  <c r="N49" i="11"/>
  <c r="O49" i="11" s="1"/>
  <c r="L41" i="11"/>
  <c r="M41" i="11" s="1"/>
  <c r="L50" i="11"/>
  <c r="M50" i="11" s="1"/>
  <c r="J42" i="11"/>
  <c r="K42" i="11" s="1"/>
  <c r="H52" i="11"/>
  <c r="I52" i="11" s="1"/>
  <c r="F40" i="11"/>
  <c r="G40" i="11" s="1"/>
  <c r="H43" i="11"/>
  <c r="I43" i="11" s="1"/>
  <c r="N46" i="11"/>
  <c r="O46" i="11" s="1"/>
  <c r="L49" i="11"/>
  <c r="M49" i="11" s="1"/>
  <c r="H53" i="11"/>
  <c r="I53" i="11" s="1"/>
  <c r="H38" i="11"/>
  <c r="I38" i="11" s="1"/>
  <c r="J41" i="11"/>
  <c r="K41" i="11" s="1"/>
  <c r="N44" i="11"/>
  <c r="O44" i="11" s="1"/>
  <c r="J48" i="11"/>
  <c r="K48" i="11" s="1"/>
  <c r="H51" i="11"/>
  <c r="I51" i="11" s="1"/>
  <c r="N54" i="11"/>
  <c r="O54" i="11" s="1"/>
  <c r="L39" i="11"/>
  <c r="M39" i="11" s="1"/>
  <c r="N42" i="11"/>
  <c r="O42" i="11" s="1"/>
  <c r="L45" i="11"/>
  <c r="M45" i="11" s="1"/>
  <c r="H49" i="11"/>
  <c r="I49" i="11" s="1"/>
  <c r="F52" i="11"/>
  <c r="G52" i="11" s="1"/>
  <c r="L55" i="11"/>
  <c r="M55" i="11" s="1"/>
  <c r="F41" i="11"/>
  <c r="G41" i="11" s="1"/>
  <c r="J44" i="11"/>
  <c r="K44" i="11" s="1"/>
  <c r="H47" i="11"/>
  <c r="I47" i="11" s="1"/>
  <c r="N50" i="11"/>
  <c r="O50" i="11" s="1"/>
  <c r="L53" i="11"/>
  <c r="M53" i="11" s="1"/>
  <c r="H41" i="11"/>
  <c r="I41" i="11" s="1"/>
  <c r="F51" i="11"/>
  <c r="G51" i="11" s="1"/>
  <c r="J43" i="11"/>
  <c r="K43" i="11" s="1"/>
  <c r="L52" i="11"/>
  <c r="M52" i="11" s="1"/>
  <c r="H44" i="11"/>
  <c r="I44" i="11" s="1"/>
  <c r="J53" i="11"/>
  <c r="K53" i="11" s="1"/>
  <c r="N45" i="11"/>
  <c r="O45" i="11" s="1"/>
  <c r="F55" i="11"/>
  <c r="G55" i="11" s="1"/>
  <c r="N55" i="11"/>
  <c r="O55" i="11" s="1"/>
  <c r="L40" i="11"/>
  <c r="M40" i="11" s="1"/>
  <c r="N43" i="11"/>
  <c r="O43" i="11" s="1"/>
  <c r="J47" i="11"/>
  <c r="K47" i="11" s="1"/>
  <c r="H50" i="11"/>
  <c r="I50" i="11" s="1"/>
  <c r="N53" i="11"/>
  <c r="O53" i="11" s="1"/>
  <c r="J39" i="11"/>
  <c r="K39" i="11" s="1"/>
  <c r="L42" i="11"/>
  <c r="M42" i="11" s="1"/>
  <c r="J45" i="11"/>
  <c r="K45" i="11" s="1"/>
  <c r="F49" i="11"/>
  <c r="G49" i="11" s="1"/>
  <c r="N51" i="11"/>
  <c r="O51" i="11" s="1"/>
  <c r="J55" i="11"/>
  <c r="K55" i="11" s="1"/>
  <c r="J40" i="11"/>
  <c r="K40" i="11" s="1"/>
  <c r="L43" i="11"/>
  <c r="M43" i="11" s="1"/>
  <c r="J46" i="11"/>
  <c r="K46" i="11" s="1"/>
  <c r="F50" i="11"/>
  <c r="G50" i="11" s="1"/>
  <c r="N52" i="11"/>
  <c r="O52" i="11" s="1"/>
  <c r="L38" i="11"/>
  <c r="M38" i="11" s="1"/>
  <c r="N41" i="11"/>
  <c r="O41" i="11" s="1"/>
  <c r="H45" i="11"/>
  <c r="I45" i="11" s="1"/>
  <c r="F48" i="11"/>
  <c r="G48" i="11" s="1"/>
  <c r="L51" i="11"/>
  <c r="M51" i="11" s="1"/>
  <c r="J54" i="11"/>
  <c r="K54" i="11" s="1"/>
  <c r="L44" i="11"/>
  <c r="M44" i="11" s="1"/>
  <c r="L54" i="11"/>
  <c r="M54" i="11" s="1"/>
  <c r="H46" i="11"/>
  <c r="I46" i="11" s="1"/>
  <c r="J38" i="11"/>
  <c r="K38" i="11" s="1"/>
  <c r="F47" i="11"/>
  <c r="G47" i="11" s="1"/>
  <c r="H39" i="11"/>
  <c r="I39" i="11" s="1"/>
  <c r="L48" i="11"/>
  <c r="M48" i="11" s="1"/>
  <c r="O24" i="2"/>
  <c r="Q24" i="2" s="1"/>
  <c r="AZ24" i="2"/>
  <c r="AY24" i="2"/>
  <c r="O25" i="2"/>
  <c r="AL19" i="2"/>
  <c r="AM19" i="2"/>
  <c r="AZ26" i="2"/>
  <c r="AY26" i="2"/>
  <c r="AZ22" i="2"/>
  <c r="AY22" i="2"/>
  <c r="I2" i="11"/>
  <c r="D26" i="7"/>
  <c r="C26" i="7"/>
  <c r="C42" i="7"/>
  <c r="C43" i="7" s="1"/>
  <c r="D42" i="7"/>
  <c r="D43" i="7" s="1"/>
  <c r="B42" i="7"/>
  <c r="B43" i="7" s="1"/>
  <c r="B52" i="7"/>
  <c r="B53" i="7" s="1"/>
  <c r="C35" i="7"/>
  <c r="D35" i="7"/>
  <c r="B35" i="7"/>
  <c r="BD152" i="2"/>
  <c r="BC152" i="2" s="1"/>
  <c r="BD151" i="2"/>
  <c r="BC151" i="2" s="1"/>
  <c r="BD150" i="2"/>
  <c r="BC150" i="2" s="1"/>
  <c r="BD149" i="2"/>
  <c r="BC149" i="2" s="1"/>
  <c r="BD148" i="2"/>
  <c r="BC148" i="2" s="1"/>
  <c r="BD147" i="2"/>
  <c r="BC147" i="2" s="1"/>
  <c r="BD146" i="2"/>
  <c r="BC146" i="2" s="1"/>
  <c r="BD145" i="2"/>
  <c r="BC145" i="2" s="1"/>
  <c r="BD144" i="2"/>
  <c r="BC144" i="2" s="1"/>
  <c r="BD143" i="2"/>
  <c r="BC143" i="2" s="1"/>
  <c r="BD142" i="2"/>
  <c r="BC142" i="2" s="1"/>
  <c r="BD141" i="2"/>
  <c r="BC141" i="2" s="1"/>
  <c r="BD140" i="2"/>
  <c r="BC140" i="2" s="1"/>
  <c r="BD139" i="2"/>
  <c r="BC139" i="2" s="1"/>
  <c r="BD138" i="2"/>
  <c r="BC138" i="2" s="1"/>
  <c r="BD137" i="2"/>
  <c r="BC137" i="2" s="1"/>
  <c r="BD136" i="2"/>
  <c r="BC136" i="2" s="1"/>
  <c r="BD135" i="2"/>
  <c r="BC135" i="2" s="1"/>
  <c r="BD134" i="2"/>
  <c r="BC134" i="2" s="1"/>
  <c r="BD133" i="2"/>
  <c r="BC133" i="2" s="1"/>
  <c r="BD132" i="2"/>
  <c r="BC132" i="2" s="1"/>
  <c r="BD131" i="2"/>
  <c r="BC131" i="2" s="1"/>
  <c r="BD130" i="2"/>
  <c r="BC130" i="2" s="1"/>
  <c r="BD129" i="2"/>
  <c r="BC129" i="2" s="1"/>
  <c r="BD128" i="2"/>
  <c r="BC128" i="2" s="1"/>
  <c r="BD127" i="2"/>
  <c r="BC127" i="2" s="1"/>
  <c r="BD126" i="2"/>
  <c r="BC126" i="2" s="1"/>
  <c r="BD125" i="2"/>
  <c r="BC125" i="2" s="1"/>
  <c r="BD124" i="2"/>
  <c r="BC124" i="2" s="1"/>
  <c r="BD123" i="2"/>
  <c r="BC123" i="2" s="1"/>
  <c r="BD122" i="2"/>
  <c r="BC122" i="2" s="1"/>
  <c r="BD121" i="2"/>
  <c r="BC121" i="2" s="1"/>
  <c r="BD120" i="2"/>
  <c r="BC120" i="2" s="1"/>
  <c r="BD119" i="2"/>
  <c r="BC119" i="2" s="1"/>
  <c r="BD118" i="2"/>
  <c r="BC118" i="2" s="1"/>
  <c r="BD117" i="2"/>
  <c r="BC117" i="2" s="1"/>
  <c r="BD116" i="2"/>
  <c r="BC116" i="2" s="1"/>
  <c r="BD115" i="2"/>
  <c r="BC115" i="2" s="1"/>
  <c r="BD114" i="2"/>
  <c r="BC114" i="2" s="1"/>
  <c r="BD113" i="2"/>
  <c r="BC113" i="2" s="1"/>
  <c r="BD112" i="2"/>
  <c r="BC112" i="2" s="1"/>
  <c r="BD111" i="2"/>
  <c r="BC111" i="2" s="1"/>
  <c r="BD110" i="2"/>
  <c r="BC110" i="2" s="1"/>
  <c r="BD109" i="2"/>
  <c r="BC109" i="2" s="1"/>
  <c r="BD108" i="2"/>
  <c r="BC108" i="2" s="1"/>
  <c r="BD107" i="2"/>
  <c r="BC107" i="2" s="1"/>
  <c r="BD106" i="2"/>
  <c r="BC106" i="2" s="1"/>
  <c r="BD105" i="2"/>
  <c r="BC105" i="2" s="1"/>
  <c r="BD104" i="2"/>
  <c r="BC104" i="2" s="1"/>
  <c r="BD103" i="2"/>
  <c r="BC103" i="2" s="1"/>
  <c r="BD102" i="2"/>
  <c r="BC102" i="2" s="1"/>
  <c r="BD101" i="2"/>
  <c r="BC101" i="2" s="1"/>
  <c r="BD100" i="2"/>
  <c r="BC100" i="2" s="1"/>
  <c r="BD99" i="2"/>
  <c r="BC99" i="2" s="1"/>
  <c r="BD98" i="2"/>
  <c r="BC98" i="2" s="1"/>
  <c r="BD97" i="2"/>
  <c r="BC97" i="2" s="1"/>
  <c r="BD96" i="2"/>
  <c r="BC96" i="2" s="1"/>
  <c r="BD95" i="2"/>
  <c r="BC95" i="2" s="1"/>
  <c r="BD94" i="2"/>
  <c r="BC94" i="2" s="1"/>
  <c r="BD93" i="2"/>
  <c r="BC93" i="2" s="1"/>
  <c r="BD92" i="2"/>
  <c r="BC92" i="2" s="1"/>
  <c r="BD91" i="2"/>
  <c r="BC91" i="2" s="1"/>
  <c r="BD90" i="2"/>
  <c r="BC90" i="2" s="1"/>
  <c r="BD89" i="2"/>
  <c r="BC89" i="2" s="1"/>
  <c r="BD88" i="2"/>
  <c r="BC88" i="2" s="1"/>
  <c r="BD87" i="2"/>
  <c r="BC87" i="2" s="1"/>
  <c r="BD86" i="2"/>
  <c r="BC86" i="2" s="1"/>
  <c r="BD85" i="2"/>
  <c r="BC85" i="2" s="1"/>
  <c r="BD84" i="2"/>
  <c r="BC84" i="2" s="1"/>
  <c r="BD83" i="2"/>
  <c r="BC83" i="2" s="1"/>
  <c r="BD82" i="2"/>
  <c r="BC82" i="2" s="1"/>
  <c r="BD81" i="2"/>
  <c r="BC81" i="2" s="1"/>
  <c r="BD80" i="2"/>
  <c r="BC80" i="2" s="1"/>
  <c r="BD79" i="2"/>
  <c r="BC79" i="2" s="1"/>
  <c r="BD78" i="2"/>
  <c r="BC78" i="2" s="1"/>
  <c r="BD77" i="2"/>
  <c r="BC77" i="2" s="1"/>
  <c r="BD76" i="2"/>
  <c r="BC76" i="2" s="1"/>
  <c r="BD75" i="2"/>
  <c r="BC75" i="2" s="1"/>
  <c r="BD74" i="2"/>
  <c r="BC74" i="2" s="1"/>
  <c r="BD73" i="2"/>
  <c r="BC73" i="2" s="1"/>
  <c r="BD72" i="2"/>
  <c r="BC72" i="2" s="1"/>
  <c r="BD71" i="2"/>
  <c r="BC71" i="2" s="1"/>
  <c r="BD70" i="2"/>
  <c r="BC70" i="2" s="1"/>
  <c r="BD69" i="2"/>
  <c r="BC69" i="2" s="1"/>
  <c r="BD68" i="2"/>
  <c r="BC68" i="2" s="1"/>
  <c r="BD67" i="2"/>
  <c r="BC67" i="2" s="1"/>
  <c r="BD66" i="2"/>
  <c r="BC66" i="2" s="1"/>
  <c r="BD65" i="2"/>
  <c r="BC65" i="2" s="1"/>
  <c r="BD64" i="2"/>
  <c r="BC64" i="2" s="1"/>
  <c r="BD63" i="2"/>
  <c r="BC63" i="2" s="1"/>
  <c r="BD62" i="2"/>
  <c r="BC62" i="2" s="1"/>
  <c r="BD61" i="2"/>
  <c r="BC61" i="2" s="1"/>
  <c r="BD60" i="2"/>
  <c r="BC60" i="2" s="1"/>
  <c r="BD59" i="2"/>
  <c r="BC59" i="2" s="1"/>
  <c r="BD58" i="2"/>
  <c r="BC58" i="2" s="1"/>
  <c r="BD57" i="2"/>
  <c r="BC57" i="2" s="1"/>
  <c r="BD56" i="2"/>
  <c r="BC56" i="2" s="1"/>
  <c r="BD55" i="2"/>
  <c r="BC55" i="2" s="1"/>
  <c r="BD54" i="2"/>
  <c r="BC54" i="2" s="1"/>
  <c r="BD53" i="2"/>
  <c r="BC53" i="2" s="1"/>
  <c r="BD52" i="2"/>
  <c r="BC52" i="2" s="1"/>
  <c r="BD34" i="2"/>
  <c r="BC34" i="2" s="1"/>
  <c r="BD8" i="2"/>
  <c r="BC8" i="2" s="1"/>
  <c r="BD18" i="2"/>
  <c r="BC18" i="2" s="1"/>
  <c r="BD50" i="2"/>
  <c r="BC50" i="2" s="1"/>
  <c r="BD37" i="2"/>
  <c r="BC37" i="2" s="1"/>
  <c r="BD21" i="2"/>
  <c r="BC21" i="2" s="1"/>
  <c r="BD33" i="2"/>
  <c r="BC33" i="2" s="1"/>
  <c r="BD10" i="2"/>
  <c r="BC10" i="2" s="1"/>
  <c r="BD17" i="2"/>
  <c r="BC17" i="2" s="1"/>
  <c r="BD45" i="2"/>
  <c r="BC45" i="2" s="1"/>
  <c r="BD42" i="2"/>
  <c r="BC42" i="2" s="1"/>
  <c r="BD26" i="2"/>
  <c r="BC26" i="2" s="1"/>
  <c r="BD32" i="2"/>
  <c r="BC32" i="2" s="1"/>
  <c r="BD7" i="2"/>
  <c r="BC7" i="2" s="1"/>
  <c r="BD13" i="2"/>
  <c r="BC13" i="2" s="1"/>
  <c r="BD49" i="2"/>
  <c r="BC49" i="2" s="1"/>
  <c r="BD36" i="2"/>
  <c r="BC36" i="2" s="1"/>
  <c r="BD20" i="2"/>
  <c r="BC20" i="2" s="1"/>
  <c r="BD29" i="2"/>
  <c r="BC29" i="2" s="1"/>
  <c r="BD5" i="2"/>
  <c r="BC5" i="2" s="1"/>
  <c r="BD16" i="2"/>
  <c r="BC16" i="2" s="1"/>
  <c r="BD44" i="2"/>
  <c r="BC44" i="2" s="1"/>
  <c r="BD41" i="2"/>
  <c r="BC41" i="2" s="1"/>
  <c r="BD25" i="2"/>
  <c r="BC25" i="2" s="1"/>
  <c r="BD31" i="2"/>
  <c r="BC31" i="2" s="1"/>
  <c r="BD4" i="2"/>
  <c r="BC4" i="2" s="1"/>
  <c r="BD12" i="2"/>
  <c r="BC12" i="2" s="1"/>
  <c r="BD48" i="2"/>
  <c r="BC48" i="2" s="1"/>
  <c r="BD40" i="2"/>
  <c r="BC40" i="2" s="1"/>
  <c r="BD24" i="2"/>
  <c r="BC24" i="2" s="1"/>
  <c r="BD28" i="2"/>
  <c r="BC28" i="2" s="1"/>
  <c r="BD6" i="2"/>
  <c r="BC6" i="2" s="1"/>
  <c r="BD15" i="2"/>
  <c r="BC15" i="2" s="1"/>
  <c r="BD43" i="2"/>
  <c r="BC43" i="2" s="1"/>
  <c r="BD35" i="2"/>
  <c r="BC35" i="2" s="1"/>
  <c r="BD22" i="2"/>
  <c r="BC22" i="2" s="1"/>
  <c r="BD27" i="2"/>
  <c r="BC27" i="2" s="1"/>
  <c r="BD3" i="2"/>
  <c r="BC3" i="2" s="1"/>
  <c r="BD11" i="2"/>
  <c r="BC11" i="2" s="1"/>
  <c r="BD47" i="2"/>
  <c r="BC47" i="2" s="1"/>
  <c r="BD39" i="2"/>
  <c r="BC39" i="2" s="1"/>
  <c r="BD19" i="2"/>
  <c r="BC19" i="2" s="1"/>
  <c r="BD30" i="2"/>
  <c r="BC30" i="2" s="1"/>
  <c r="BD9" i="2"/>
  <c r="BC9" i="2" s="1"/>
  <c r="BD14" i="2"/>
  <c r="BC14" i="2" s="1"/>
  <c r="BD46" i="2"/>
  <c r="BC46" i="2" s="1"/>
  <c r="BD38" i="2"/>
  <c r="BC38" i="2" s="1"/>
  <c r="AQ152" i="2"/>
  <c r="AP152" i="2" s="1"/>
  <c r="AQ151" i="2"/>
  <c r="AP151" i="2" s="1"/>
  <c r="AQ150" i="2"/>
  <c r="AP150" i="2" s="1"/>
  <c r="AQ149" i="2"/>
  <c r="AP149" i="2" s="1"/>
  <c r="AQ148" i="2"/>
  <c r="AP148" i="2" s="1"/>
  <c r="AQ147" i="2"/>
  <c r="AP147" i="2" s="1"/>
  <c r="AQ146" i="2"/>
  <c r="AP146" i="2" s="1"/>
  <c r="AQ145" i="2"/>
  <c r="AP145" i="2" s="1"/>
  <c r="AQ144" i="2"/>
  <c r="AP144" i="2" s="1"/>
  <c r="AQ143" i="2"/>
  <c r="AP143" i="2" s="1"/>
  <c r="AQ142" i="2"/>
  <c r="AP142" i="2" s="1"/>
  <c r="AQ141" i="2"/>
  <c r="AP141" i="2" s="1"/>
  <c r="AQ140" i="2"/>
  <c r="AP140" i="2" s="1"/>
  <c r="AQ139" i="2"/>
  <c r="AP139" i="2" s="1"/>
  <c r="AQ138" i="2"/>
  <c r="AP138" i="2" s="1"/>
  <c r="AQ137" i="2"/>
  <c r="AP137" i="2" s="1"/>
  <c r="AQ136" i="2"/>
  <c r="AP136" i="2" s="1"/>
  <c r="AQ135" i="2"/>
  <c r="AP135" i="2" s="1"/>
  <c r="AQ134" i="2"/>
  <c r="AP134" i="2" s="1"/>
  <c r="AQ133" i="2"/>
  <c r="AP133" i="2" s="1"/>
  <c r="AQ132" i="2"/>
  <c r="AP132" i="2" s="1"/>
  <c r="AQ131" i="2"/>
  <c r="AP131" i="2" s="1"/>
  <c r="AQ130" i="2"/>
  <c r="AP130" i="2" s="1"/>
  <c r="AQ129" i="2"/>
  <c r="AP129" i="2" s="1"/>
  <c r="AQ128" i="2"/>
  <c r="AP128" i="2" s="1"/>
  <c r="AQ127" i="2"/>
  <c r="AP127" i="2" s="1"/>
  <c r="AQ126" i="2"/>
  <c r="AP126" i="2" s="1"/>
  <c r="AQ125" i="2"/>
  <c r="AP125" i="2" s="1"/>
  <c r="AQ124" i="2"/>
  <c r="AP124" i="2" s="1"/>
  <c r="AQ123" i="2"/>
  <c r="AP123" i="2" s="1"/>
  <c r="AQ122" i="2"/>
  <c r="AP122" i="2" s="1"/>
  <c r="AQ121" i="2"/>
  <c r="AP121" i="2" s="1"/>
  <c r="AQ120" i="2"/>
  <c r="AP120" i="2" s="1"/>
  <c r="AQ119" i="2"/>
  <c r="AP119" i="2" s="1"/>
  <c r="AQ118" i="2"/>
  <c r="AP118" i="2" s="1"/>
  <c r="AQ117" i="2"/>
  <c r="AP117" i="2" s="1"/>
  <c r="AQ116" i="2"/>
  <c r="AP116" i="2" s="1"/>
  <c r="AQ115" i="2"/>
  <c r="AP115" i="2" s="1"/>
  <c r="AQ114" i="2"/>
  <c r="AP114" i="2" s="1"/>
  <c r="AQ113" i="2"/>
  <c r="AP113" i="2" s="1"/>
  <c r="AQ112" i="2"/>
  <c r="AP112" i="2" s="1"/>
  <c r="AQ111" i="2"/>
  <c r="AP111" i="2" s="1"/>
  <c r="AQ110" i="2"/>
  <c r="AP110" i="2" s="1"/>
  <c r="AQ109" i="2"/>
  <c r="AP109" i="2" s="1"/>
  <c r="AQ108" i="2"/>
  <c r="AP108" i="2" s="1"/>
  <c r="AQ107" i="2"/>
  <c r="AP107" i="2" s="1"/>
  <c r="AQ106" i="2"/>
  <c r="AP106" i="2" s="1"/>
  <c r="AQ105" i="2"/>
  <c r="AP105" i="2" s="1"/>
  <c r="AQ104" i="2"/>
  <c r="AP104" i="2" s="1"/>
  <c r="AQ103" i="2"/>
  <c r="AP103" i="2" s="1"/>
  <c r="AQ102" i="2"/>
  <c r="AP102" i="2" s="1"/>
  <c r="AQ101" i="2"/>
  <c r="AP101" i="2" s="1"/>
  <c r="AQ100" i="2"/>
  <c r="AP100" i="2" s="1"/>
  <c r="AQ99" i="2"/>
  <c r="AP99" i="2" s="1"/>
  <c r="AQ98" i="2"/>
  <c r="AP98" i="2" s="1"/>
  <c r="AQ97" i="2"/>
  <c r="AP97" i="2" s="1"/>
  <c r="AQ96" i="2"/>
  <c r="AP96" i="2" s="1"/>
  <c r="AQ95" i="2"/>
  <c r="AP95" i="2" s="1"/>
  <c r="AQ94" i="2"/>
  <c r="AP94" i="2" s="1"/>
  <c r="AQ93" i="2"/>
  <c r="AP93" i="2" s="1"/>
  <c r="AQ92" i="2"/>
  <c r="AP92" i="2" s="1"/>
  <c r="AQ91" i="2"/>
  <c r="AP91" i="2" s="1"/>
  <c r="AQ90" i="2"/>
  <c r="AP90" i="2" s="1"/>
  <c r="AQ89" i="2"/>
  <c r="AP89" i="2" s="1"/>
  <c r="AQ88" i="2"/>
  <c r="AP88" i="2" s="1"/>
  <c r="AQ87" i="2"/>
  <c r="AP87" i="2" s="1"/>
  <c r="AQ86" i="2"/>
  <c r="AP86" i="2" s="1"/>
  <c r="AQ85" i="2"/>
  <c r="AP85" i="2" s="1"/>
  <c r="AQ84" i="2"/>
  <c r="AP84" i="2" s="1"/>
  <c r="AQ83" i="2"/>
  <c r="AP83" i="2" s="1"/>
  <c r="AQ82" i="2"/>
  <c r="AP82" i="2" s="1"/>
  <c r="AQ81" i="2"/>
  <c r="AP81" i="2" s="1"/>
  <c r="AQ80" i="2"/>
  <c r="AP80" i="2" s="1"/>
  <c r="AQ79" i="2"/>
  <c r="AP79" i="2" s="1"/>
  <c r="AQ78" i="2"/>
  <c r="AP78" i="2" s="1"/>
  <c r="AQ77" i="2"/>
  <c r="AP77" i="2" s="1"/>
  <c r="AQ76" i="2"/>
  <c r="AP76" i="2" s="1"/>
  <c r="AQ75" i="2"/>
  <c r="AP75" i="2" s="1"/>
  <c r="AQ74" i="2"/>
  <c r="AP74" i="2" s="1"/>
  <c r="AQ73" i="2"/>
  <c r="AP73" i="2" s="1"/>
  <c r="AQ72" i="2"/>
  <c r="AP72" i="2" s="1"/>
  <c r="AQ71" i="2"/>
  <c r="AP71" i="2" s="1"/>
  <c r="AQ70" i="2"/>
  <c r="AP70" i="2" s="1"/>
  <c r="AQ69" i="2"/>
  <c r="AP69" i="2" s="1"/>
  <c r="AQ68" i="2"/>
  <c r="AP68" i="2" s="1"/>
  <c r="AQ67" i="2"/>
  <c r="AP67" i="2" s="1"/>
  <c r="AQ66" i="2"/>
  <c r="AP66" i="2" s="1"/>
  <c r="AQ65" i="2"/>
  <c r="AP65" i="2" s="1"/>
  <c r="AQ64" i="2"/>
  <c r="AP64" i="2" s="1"/>
  <c r="AQ63" i="2"/>
  <c r="AP63" i="2" s="1"/>
  <c r="AQ62" i="2"/>
  <c r="AP62" i="2" s="1"/>
  <c r="AQ61" i="2"/>
  <c r="AP61" i="2" s="1"/>
  <c r="AQ60" i="2"/>
  <c r="AP60" i="2" s="1"/>
  <c r="AQ59" i="2"/>
  <c r="AP59" i="2" s="1"/>
  <c r="AQ58" i="2"/>
  <c r="AP58" i="2" s="1"/>
  <c r="AQ57" i="2"/>
  <c r="AP57" i="2" s="1"/>
  <c r="AQ56" i="2"/>
  <c r="AP56" i="2" s="1"/>
  <c r="AQ55" i="2"/>
  <c r="AP55" i="2" s="1"/>
  <c r="AQ54" i="2"/>
  <c r="AP54" i="2" s="1"/>
  <c r="AQ53" i="2"/>
  <c r="AP53" i="2" s="1"/>
  <c r="AQ52" i="2"/>
  <c r="AP52" i="2" s="1"/>
  <c r="AQ34" i="2"/>
  <c r="AP34" i="2" s="1"/>
  <c r="AQ8" i="2"/>
  <c r="AP8" i="2" s="1"/>
  <c r="AQ18" i="2"/>
  <c r="AP18" i="2" s="1"/>
  <c r="AQ50" i="2"/>
  <c r="AP50" i="2" s="1"/>
  <c r="AQ37" i="2"/>
  <c r="AP37" i="2" s="1"/>
  <c r="AQ21" i="2"/>
  <c r="AP21" i="2" s="1"/>
  <c r="AQ33" i="2"/>
  <c r="AP33" i="2" s="1"/>
  <c r="AQ10" i="2"/>
  <c r="AP10" i="2" s="1"/>
  <c r="AQ17" i="2"/>
  <c r="AP17" i="2" s="1"/>
  <c r="AQ45" i="2"/>
  <c r="AP45" i="2" s="1"/>
  <c r="AQ42" i="2"/>
  <c r="AP42" i="2" s="1"/>
  <c r="AQ26" i="2"/>
  <c r="AP26" i="2" s="1"/>
  <c r="AQ32" i="2"/>
  <c r="AP32" i="2" s="1"/>
  <c r="AQ7" i="2"/>
  <c r="AP7" i="2" s="1"/>
  <c r="AQ13" i="2"/>
  <c r="AP13" i="2" s="1"/>
  <c r="AQ49" i="2"/>
  <c r="AP49" i="2" s="1"/>
  <c r="AQ36" i="2"/>
  <c r="AP36" i="2" s="1"/>
  <c r="AQ20" i="2"/>
  <c r="AP20" i="2" s="1"/>
  <c r="AQ29" i="2"/>
  <c r="AP29" i="2" s="1"/>
  <c r="AQ5" i="2"/>
  <c r="AP5" i="2" s="1"/>
  <c r="AQ16" i="2"/>
  <c r="AP16" i="2" s="1"/>
  <c r="AQ44" i="2"/>
  <c r="AP44" i="2" s="1"/>
  <c r="AQ41" i="2"/>
  <c r="AP41" i="2" s="1"/>
  <c r="AQ25" i="2"/>
  <c r="AP25" i="2" s="1"/>
  <c r="AQ31" i="2"/>
  <c r="AP31" i="2" s="1"/>
  <c r="AQ4" i="2"/>
  <c r="AP4" i="2" s="1"/>
  <c r="AQ12" i="2"/>
  <c r="AP12" i="2" s="1"/>
  <c r="AQ48" i="2"/>
  <c r="AP48" i="2" s="1"/>
  <c r="AQ40" i="2"/>
  <c r="AP40" i="2" s="1"/>
  <c r="AQ24" i="2"/>
  <c r="AP24" i="2" s="1"/>
  <c r="AQ28" i="2"/>
  <c r="AP28" i="2" s="1"/>
  <c r="AQ6" i="2"/>
  <c r="AP6" i="2" s="1"/>
  <c r="AQ15" i="2"/>
  <c r="AP15" i="2" s="1"/>
  <c r="AQ43" i="2"/>
  <c r="AP43" i="2" s="1"/>
  <c r="AQ35" i="2"/>
  <c r="AP35" i="2" s="1"/>
  <c r="AQ22" i="2"/>
  <c r="AP22" i="2" s="1"/>
  <c r="AQ27" i="2"/>
  <c r="AP27" i="2" s="1"/>
  <c r="AQ3" i="2"/>
  <c r="AP3" i="2" s="1"/>
  <c r="AQ11" i="2"/>
  <c r="AP11" i="2" s="1"/>
  <c r="AQ47" i="2"/>
  <c r="AP47" i="2" s="1"/>
  <c r="AQ39" i="2"/>
  <c r="AP39" i="2" s="1"/>
  <c r="AQ19" i="2"/>
  <c r="AP19" i="2" s="1"/>
  <c r="AQ30" i="2"/>
  <c r="AP30" i="2" s="1"/>
  <c r="AQ9" i="2"/>
  <c r="AP9" i="2" s="1"/>
  <c r="AQ14" i="2"/>
  <c r="AP14" i="2" s="1"/>
  <c r="AQ46" i="2"/>
  <c r="AP46" i="2" s="1"/>
  <c r="AQ38" i="2"/>
  <c r="AP38" i="2" s="1"/>
  <c r="Z152" i="2"/>
  <c r="Y152" i="2" s="1"/>
  <c r="Z151" i="2"/>
  <c r="Y151" i="2" s="1"/>
  <c r="Z150" i="2"/>
  <c r="Y150" i="2" s="1"/>
  <c r="Z149" i="2"/>
  <c r="Y149" i="2" s="1"/>
  <c r="Z148" i="2"/>
  <c r="Y148" i="2" s="1"/>
  <c r="Z147" i="2"/>
  <c r="Y147" i="2" s="1"/>
  <c r="Z146" i="2"/>
  <c r="Y146" i="2" s="1"/>
  <c r="Z145" i="2"/>
  <c r="Y145" i="2" s="1"/>
  <c r="Z144" i="2"/>
  <c r="Y144" i="2" s="1"/>
  <c r="Z143" i="2"/>
  <c r="Y143" i="2" s="1"/>
  <c r="Z142" i="2"/>
  <c r="Y142" i="2" s="1"/>
  <c r="Z141" i="2"/>
  <c r="Y141" i="2" s="1"/>
  <c r="Z140" i="2"/>
  <c r="Y140" i="2" s="1"/>
  <c r="Z139" i="2"/>
  <c r="Y139" i="2" s="1"/>
  <c r="Z138" i="2"/>
  <c r="Y138" i="2" s="1"/>
  <c r="Z137" i="2"/>
  <c r="Y137" i="2" s="1"/>
  <c r="Z136" i="2"/>
  <c r="Y136" i="2" s="1"/>
  <c r="Z135" i="2"/>
  <c r="Y135" i="2" s="1"/>
  <c r="Z134" i="2"/>
  <c r="Y134" i="2" s="1"/>
  <c r="Z133" i="2"/>
  <c r="Y133" i="2" s="1"/>
  <c r="Z132" i="2"/>
  <c r="Y132" i="2" s="1"/>
  <c r="Z131" i="2"/>
  <c r="Y131" i="2" s="1"/>
  <c r="Z130" i="2"/>
  <c r="Y130" i="2" s="1"/>
  <c r="Z129" i="2"/>
  <c r="Y129" i="2" s="1"/>
  <c r="Z128" i="2"/>
  <c r="Y128" i="2" s="1"/>
  <c r="Z127" i="2"/>
  <c r="Y127" i="2" s="1"/>
  <c r="Z126" i="2"/>
  <c r="Y126" i="2" s="1"/>
  <c r="Z125" i="2"/>
  <c r="Y125" i="2" s="1"/>
  <c r="Z124" i="2"/>
  <c r="Y124" i="2" s="1"/>
  <c r="Z123" i="2"/>
  <c r="Y123" i="2" s="1"/>
  <c r="Z122" i="2"/>
  <c r="Y122" i="2" s="1"/>
  <c r="Z121" i="2"/>
  <c r="Y121" i="2" s="1"/>
  <c r="Z120" i="2"/>
  <c r="Y120" i="2" s="1"/>
  <c r="Z119" i="2"/>
  <c r="Y119" i="2" s="1"/>
  <c r="Z118" i="2"/>
  <c r="Y118" i="2" s="1"/>
  <c r="Z117" i="2"/>
  <c r="Y117" i="2" s="1"/>
  <c r="Z116" i="2"/>
  <c r="Y116" i="2" s="1"/>
  <c r="Z115" i="2"/>
  <c r="Y115" i="2" s="1"/>
  <c r="Z114" i="2"/>
  <c r="Y114" i="2" s="1"/>
  <c r="Z113" i="2"/>
  <c r="Y113" i="2" s="1"/>
  <c r="Z112" i="2"/>
  <c r="Y112" i="2" s="1"/>
  <c r="Z111" i="2"/>
  <c r="Y111" i="2" s="1"/>
  <c r="Z110" i="2"/>
  <c r="Y110" i="2" s="1"/>
  <c r="Z109" i="2"/>
  <c r="Y109" i="2" s="1"/>
  <c r="Z108" i="2"/>
  <c r="Y108" i="2" s="1"/>
  <c r="Z107" i="2"/>
  <c r="Y107" i="2" s="1"/>
  <c r="Z106" i="2"/>
  <c r="Y106" i="2" s="1"/>
  <c r="Z105" i="2"/>
  <c r="Y105" i="2" s="1"/>
  <c r="Z104" i="2"/>
  <c r="Y104" i="2" s="1"/>
  <c r="Z103" i="2"/>
  <c r="Y103" i="2" s="1"/>
  <c r="Z102" i="2"/>
  <c r="Y102" i="2" s="1"/>
  <c r="Z101" i="2"/>
  <c r="Y101" i="2" s="1"/>
  <c r="Z100" i="2"/>
  <c r="Y100" i="2" s="1"/>
  <c r="Z99" i="2"/>
  <c r="Y99" i="2" s="1"/>
  <c r="Z98" i="2"/>
  <c r="Y98" i="2" s="1"/>
  <c r="Z97" i="2"/>
  <c r="Y97" i="2" s="1"/>
  <c r="Z96" i="2"/>
  <c r="Y96" i="2" s="1"/>
  <c r="Z95" i="2"/>
  <c r="Y95" i="2" s="1"/>
  <c r="Z94" i="2"/>
  <c r="Y94" i="2" s="1"/>
  <c r="Z93" i="2"/>
  <c r="Y93" i="2" s="1"/>
  <c r="Z92" i="2"/>
  <c r="Y92" i="2" s="1"/>
  <c r="Z91" i="2"/>
  <c r="Y91" i="2" s="1"/>
  <c r="Z90" i="2"/>
  <c r="Y90" i="2" s="1"/>
  <c r="Z89" i="2"/>
  <c r="Y89" i="2" s="1"/>
  <c r="Z88" i="2"/>
  <c r="Y88" i="2" s="1"/>
  <c r="Z87" i="2"/>
  <c r="Y87" i="2" s="1"/>
  <c r="Z86" i="2"/>
  <c r="Y86" i="2" s="1"/>
  <c r="Z85" i="2"/>
  <c r="Y85" i="2" s="1"/>
  <c r="Z84" i="2"/>
  <c r="Y84" i="2" s="1"/>
  <c r="Z83" i="2"/>
  <c r="Y83" i="2" s="1"/>
  <c r="Z82" i="2"/>
  <c r="Y82" i="2" s="1"/>
  <c r="Z81" i="2"/>
  <c r="Y81" i="2" s="1"/>
  <c r="Z80" i="2"/>
  <c r="Y80" i="2" s="1"/>
  <c r="Z79" i="2"/>
  <c r="Y79" i="2" s="1"/>
  <c r="Z78" i="2"/>
  <c r="Y78" i="2" s="1"/>
  <c r="Z77" i="2"/>
  <c r="Y77" i="2" s="1"/>
  <c r="Z76" i="2"/>
  <c r="Y76" i="2" s="1"/>
  <c r="Z75" i="2"/>
  <c r="Y75" i="2" s="1"/>
  <c r="Z74" i="2"/>
  <c r="Y74" i="2" s="1"/>
  <c r="Z73" i="2"/>
  <c r="Y73" i="2" s="1"/>
  <c r="Z72" i="2"/>
  <c r="Y72" i="2" s="1"/>
  <c r="Z71" i="2"/>
  <c r="Y71" i="2" s="1"/>
  <c r="Z70" i="2"/>
  <c r="Y70" i="2" s="1"/>
  <c r="Z69" i="2"/>
  <c r="Y69" i="2" s="1"/>
  <c r="Z68" i="2"/>
  <c r="Y68" i="2" s="1"/>
  <c r="Z67" i="2"/>
  <c r="Y67" i="2" s="1"/>
  <c r="Z66" i="2"/>
  <c r="Y66" i="2" s="1"/>
  <c r="Z65" i="2"/>
  <c r="Y65" i="2" s="1"/>
  <c r="Z64" i="2"/>
  <c r="Y64" i="2" s="1"/>
  <c r="Z63" i="2"/>
  <c r="Y63" i="2" s="1"/>
  <c r="Z62" i="2"/>
  <c r="Y62" i="2" s="1"/>
  <c r="Z61" i="2"/>
  <c r="Y61" i="2" s="1"/>
  <c r="Z60" i="2"/>
  <c r="Y60" i="2" s="1"/>
  <c r="Z59" i="2"/>
  <c r="Y59" i="2" s="1"/>
  <c r="Z58" i="2"/>
  <c r="Y58" i="2" s="1"/>
  <c r="Z57" i="2"/>
  <c r="Y57" i="2" s="1"/>
  <c r="Z56" i="2"/>
  <c r="Y56" i="2" s="1"/>
  <c r="Z55" i="2"/>
  <c r="Y55" i="2" s="1"/>
  <c r="Z54" i="2"/>
  <c r="Y54" i="2" s="1"/>
  <c r="Z53" i="2"/>
  <c r="Y53" i="2" s="1"/>
  <c r="Z52" i="2"/>
  <c r="Y52" i="2" s="1"/>
  <c r="Z34" i="2"/>
  <c r="Z8" i="2"/>
  <c r="Z18" i="2"/>
  <c r="Z50" i="2"/>
  <c r="Z37" i="2"/>
  <c r="Z21" i="2"/>
  <c r="Z33" i="2"/>
  <c r="Z10" i="2"/>
  <c r="Z17" i="2"/>
  <c r="Z45" i="2"/>
  <c r="Z42" i="2"/>
  <c r="Z26" i="2"/>
  <c r="Z32" i="2"/>
  <c r="Z7" i="2"/>
  <c r="Z13" i="2"/>
  <c r="Z49" i="2"/>
  <c r="Z36" i="2"/>
  <c r="Z20" i="2"/>
  <c r="Z29" i="2"/>
  <c r="Z5" i="2"/>
  <c r="Z16" i="2"/>
  <c r="Z44" i="2"/>
  <c r="Z41" i="2"/>
  <c r="Z25" i="2"/>
  <c r="Z31" i="2"/>
  <c r="Z4" i="2"/>
  <c r="Z12" i="2"/>
  <c r="Z48" i="2"/>
  <c r="Z40" i="2"/>
  <c r="Z24" i="2"/>
  <c r="Z28" i="2"/>
  <c r="Z6" i="2"/>
  <c r="Z15" i="2"/>
  <c r="Z43" i="2"/>
  <c r="Z35" i="2"/>
  <c r="Z22" i="2"/>
  <c r="Z27" i="2"/>
  <c r="Z3" i="2"/>
  <c r="Z11" i="2"/>
  <c r="Z47" i="2"/>
  <c r="Z39" i="2"/>
  <c r="Z19" i="2"/>
  <c r="Z30" i="2"/>
  <c r="Z9" i="2"/>
  <c r="Z14" i="2"/>
  <c r="Z46" i="2"/>
  <c r="Z38" i="2"/>
  <c r="BD23" i="2"/>
  <c r="BC23" i="2" s="1"/>
  <c r="AQ23" i="2"/>
  <c r="AP23" i="2" s="1"/>
  <c r="B26" i="7"/>
  <c r="C41" i="3" s="1"/>
  <c r="S39" i="2" l="1"/>
  <c r="S16" i="2"/>
  <c r="S36" i="2"/>
  <c r="R43" i="2"/>
  <c r="S11" i="2"/>
  <c r="S7" i="2"/>
  <c r="AR57" i="6"/>
  <c r="BB70" i="6"/>
  <c r="BL70" i="6"/>
  <c r="BB92" i="6"/>
  <c r="X97" i="6"/>
  <c r="AH84" i="6"/>
  <c r="AH90" i="6"/>
  <c r="AH92" i="6"/>
  <c r="BC91" i="6"/>
  <c r="BL98" i="6"/>
  <c r="AH59" i="6"/>
  <c r="AR70" i="6"/>
  <c r="BL91" i="6"/>
  <c r="AR58" i="6"/>
  <c r="AH98" i="6"/>
  <c r="AI98" i="6"/>
  <c r="AI96" i="6"/>
  <c r="AH96" i="6"/>
  <c r="BM87" i="6"/>
  <c r="BL87" i="6"/>
  <c r="BM94" i="6"/>
  <c r="BL94" i="6"/>
  <c r="AS96" i="6"/>
  <c r="AR96" i="6"/>
  <c r="AJ97" i="6"/>
  <c r="AK97" i="6" s="1"/>
  <c r="AL97" i="6"/>
  <c r="AM97" i="6" s="1"/>
  <c r="BP89" i="6"/>
  <c r="BQ89" i="6" s="1"/>
  <c r="BN89" i="6"/>
  <c r="BO89" i="6" s="1"/>
  <c r="AL91" i="6"/>
  <c r="AM91" i="6" s="1"/>
  <c r="AJ91" i="6"/>
  <c r="AK91" i="6" s="1"/>
  <c r="BN80" i="6"/>
  <c r="BO80" i="6" s="1"/>
  <c r="BP80" i="6"/>
  <c r="BQ80" i="6" s="1"/>
  <c r="AV95" i="6"/>
  <c r="AW95" i="6" s="1"/>
  <c r="AT95" i="6"/>
  <c r="AU95" i="6" s="1"/>
  <c r="Y91" i="6"/>
  <c r="X91" i="6"/>
  <c r="BP92" i="6"/>
  <c r="BQ92" i="6" s="1"/>
  <c r="BN92" i="6"/>
  <c r="BO92" i="6" s="1"/>
  <c r="AT80" i="6"/>
  <c r="AU80" i="6" s="1"/>
  <c r="AV80" i="6"/>
  <c r="AW80" i="6" s="1"/>
  <c r="AI95" i="6"/>
  <c r="AH95" i="6"/>
  <c r="BM99" i="6"/>
  <c r="BL99" i="6"/>
  <c r="Z88" i="6"/>
  <c r="AA88" i="6" s="1"/>
  <c r="AB88" i="6"/>
  <c r="AC88" i="6" s="1"/>
  <c r="BD91" i="6"/>
  <c r="BE91" i="6" s="1"/>
  <c r="BF91" i="6"/>
  <c r="BG91" i="6" s="1"/>
  <c r="BN84" i="6"/>
  <c r="BO84" i="6" s="1"/>
  <c r="BP84" i="6"/>
  <c r="BQ84" i="6" s="1"/>
  <c r="Y86" i="6"/>
  <c r="X86" i="6"/>
  <c r="BB97" i="6"/>
  <c r="BC97" i="6"/>
  <c r="Y98" i="6"/>
  <c r="X98" i="6"/>
  <c r="AI86" i="6"/>
  <c r="AH86" i="6"/>
  <c r="AV92" i="6"/>
  <c r="AW92" i="6" s="1"/>
  <c r="AT92" i="6"/>
  <c r="AU92" i="6" s="1"/>
  <c r="BD80" i="6"/>
  <c r="BE80" i="6" s="1"/>
  <c r="BF80" i="6"/>
  <c r="BG80" i="6" s="1"/>
  <c r="BC84" i="6"/>
  <c r="BB84" i="6"/>
  <c r="BN101" i="6"/>
  <c r="BO101" i="6" s="1"/>
  <c r="BP101" i="6"/>
  <c r="BQ101" i="6" s="1"/>
  <c r="BN86" i="6"/>
  <c r="BO86" i="6" s="1"/>
  <c r="BP86" i="6"/>
  <c r="BQ86" i="6" s="1"/>
  <c r="BD92" i="6"/>
  <c r="BE92" i="6" s="1"/>
  <c r="BF92" i="6"/>
  <c r="BG92" i="6" s="1"/>
  <c r="AB97" i="6"/>
  <c r="AC97" i="6" s="1"/>
  <c r="Z97" i="6"/>
  <c r="AA97" i="6" s="1"/>
  <c r="AL100" i="6"/>
  <c r="AM100" i="6" s="1"/>
  <c r="AJ100" i="6"/>
  <c r="AK100" i="6" s="1"/>
  <c r="Z89" i="6"/>
  <c r="AA89" i="6" s="1"/>
  <c r="AB89" i="6"/>
  <c r="AC89" i="6" s="1"/>
  <c r="AL84" i="6"/>
  <c r="AM84" i="6" s="1"/>
  <c r="AJ84" i="6"/>
  <c r="AK84" i="6" s="1"/>
  <c r="AL90" i="6"/>
  <c r="AM90" i="6" s="1"/>
  <c r="AJ90" i="6"/>
  <c r="AK90" i="6" s="1"/>
  <c r="AL101" i="6"/>
  <c r="AM101" i="6" s="1"/>
  <c r="AJ101" i="6"/>
  <c r="AK101" i="6" s="1"/>
  <c r="AT99" i="6"/>
  <c r="AU99" i="6" s="1"/>
  <c r="AV99" i="6"/>
  <c r="AW99" i="6" s="1"/>
  <c r="AS94" i="6"/>
  <c r="AR94" i="6"/>
  <c r="BM93" i="6"/>
  <c r="BL93" i="6"/>
  <c r="Z100" i="6"/>
  <c r="AA100" i="6" s="1"/>
  <c r="AB100" i="6"/>
  <c r="AC100" i="6" s="1"/>
  <c r="BC95" i="6"/>
  <c r="BB95" i="6"/>
  <c r="AT89" i="6"/>
  <c r="AU89" i="6" s="1"/>
  <c r="AV89" i="6"/>
  <c r="AW89" i="6" s="1"/>
  <c r="AB90" i="6"/>
  <c r="AC90" i="6" s="1"/>
  <c r="Z90" i="6"/>
  <c r="AA90" i="6" s="1"/>
  <c r="AB94" i="6"/>
  <c r="AC94" i="6" s="1"/>
  <c r="Z94" i="6"/>
  <c r="AA94" i="6" s="1"/>
  <c r="Z93" i="6"/>
  <c r="AA93" i="6" s="1"/>
  <c r="AB93" i="6"/>
  <c r="AC93" i="6" s="1"/>
  <c r="AJ92" i="6"/>
  <c r="AK92" i="6" s="1"/>
  <c r="AL92" i="6"/>
  <c r="AM92" i="6" s="1"/>
  <c r="Z84" i="6"/>
  <c r="AA84" i="6" s="1"/>
  <c r="AB84" i="6"/>
  <c r="AC84" i="6" s="1"/>
  <c r="BC85" i="6"/>
  <c r="BB85" i="6"/>
  <c r="BB98" i="6"/>
  <c r="BC98" i="6"/>
  <c r="Y85" i="6"/>
  <c r="X85" i="6"/>
  <c r="BC93" i="6"/>
  <c r="BB93" i="6"/>
  <c r="AV97" i="6"/>
  <c r="AW97" i="6" s="1"/>
  <c r="AT97" i="6"/>
  <c r="AU97" i="6" s="1"/>
  <c r="BN100" i="6"/>
  <c r="BO100" i="6" s="1"/>
  <c r="BP100" i="6"/>
  <c r="BQ100" i="6" s="1"/>
  <c r="BD89" i="6"/>
  <c r="BE89" i="6" s="1"/>
  <c r="BF89" i="6"/>
  <c r="BG89" i="6" s="1"/>
  <c r="AR88" i="6"/>
  <c r="AS88" i="6"/>
  <c r="Y99" i="6"/>
  <c r="X99" i="6"/>
  <c r="AV87" i="6"/>
  <c r="AW87" i="6" s="1"/>
  <c r="AT87" i="6"/>
  <c r="AU87" i="6" s="1"/>
  <c r="BP91" i="6"/>
  <c r="BQ91" i="6" s="1"/>
  <c r="BN91" i="6"/>
  <c r="BO91" i="6" s="1"/>
  <c r="AL89" i="6"/>
  <c r="AM89" i="6" s="1"/>
  <c r="AJ89" i="6"/>
  <c r="AK89" i="6" s="1"/>
  <c r="BN88" i="6"/>
  <c r="BO88" i="6" s="1"/>
  <c r="BP88" i="6"/>
  <c r="BQ88" i="6" s="1"/>
  <c r="BN95" i="6"/>
  <c r="BO95" i="6" s="1"/>
  <c r="BP95" i="6"/>
  <c r="BQ95" i="6" s="1"/>
  <c r="AR98" i="6"/>
  <c r="AS98" i="6"/>
  <c r="AI85" i="6"/>
  <c r="AH85" i="6"/>
  <c r="AH93" i="6"/>
  <c r="AI93" i="6"/>
  <c r="AS84" i="6"/>
  <c r="AR84" i="6"/>
  <c r="AS90" i="6"/>
  <c r="AR90" i="6"/>
  <c r="AB95" i="6"/>
  <c r="AC95" i="6" s="1"/>
  <c r="Z95" i="6"/>
  <c r="AA95" i="6" s="1"/>
  <c r="BN98" i="6"/>
  <c r="BO98" i="6" s="1"/>
  <c r="BP98" i="6"/>
  <c r="BQ98" i="6" s="1"/>
  <c r="AT85" i="6"/>
  <c r="AU85" i="6" s="1"/>
  <c r="AV85" i="6"/>
  <c r="AW85" i="6" s="1"/>
  <c r="Y87" i="6"/>
  <c r="X87" i="6"/>
  <c r="AS93" i="6"/>
  <c r="AR93" i="6"/>
  <c r="AI87" i="6"/>
  <c r="AH87" i="6"/>
  <c r="BB94" i="6"/>
  <c r="BC94" i="6"/>
  <c r="BM85" i="6"/>
  <c r="BL85" i="6"/>
  <c r="Y96" i="6"/>
  <c r="X96" i="6"/>
  <c r="AB80" i="6"/>
  <c r="AC80" i="6" s="1"/>
  <c r="Z80" i="6"/>
  <c r="AA80" i="6" s="1"/>
  <c r="AI88" i="6"/>
  <c r="AH88" i="6"/>
  <c r="BC99" i="6"/>
  <c r="BB99" i="6"/>
  <c r="AH94" i="6"/>
  <c r="AI94" i="6"/>
  <c r="AV86" i="6"/>
  <c r="AW86" i="6" s="1"/>
  <c r="AT86" i="6"/>
  <c r="AU86" i="6" s="1"/>
  <c r="Z92" i="6"/>
  <c r="AA92" i="6" s="1"/>
  <c r="AB92" i="6"/>
  <c r="AC92" i="6" s="1"/>
  <c r="BF100" i="6"/>
  <c r="BG100" i="6" s="1"/>
  <c r="BD100" i="6"/>
  <c r="BE100" i="6" s="1"/>
  <c r="AL80" i="6"/>
  <c r="AM80" i="6" s="1"/>
  <c r="AJ80" i="6"/>
  <c r="AK80" i="6" s="1"/>
  <c r="BD90" i="6"/>
  <c r="BE90" i="6" s="1"/>
  <c r="BF90" i="6"/>
  <c r="BG90" i="6" s="1"/>
  <c r="BD101" i="6"/>
  <c r="BE101" i="6" s="1"/>
  <c r="BF101" i="6"/>
  <c r="BG101" i="6" s="1"/>
  <c r="AS91" i="6"/>
  <c r="AR91" i="6"/>
  <c r="BB96" i="6"/>
  <c r="BC96" i="6"/>
  <c r="AT100" i="6"/>
  <c r="AU100" i="6" s="1"/>
  <c r="AV100" i="6"/>
  <c r="AW100" i="6" s="1"/>
  <c r="BB88" i="6"/>
  <c r="BC88" i="6"/>
  <c r="AS101" i="6"/>
  <c r="AR101" i="6"/>
  <c r="BD87" i="6"/>
  <c r="BE87" i="6" s="1"/>
  <c r="BF87" i="6"/>
  <c r="BG87" i="6" s="1"/>
  <c r="AB101" i="6"/>
  <c r="AC101" i="6" s="1"/>
  <c r="Z101" i="6"/>
  <c r="AA101" i="6" s="1"/>
  <c r="BD86" i="6"/>
  <c r="BE86" i="6" s="1"/>
  <c r="BF86" i="6"/>
  <c r="BG86" i="6" s="1"/>
  <c r="BP96" i="6"/>
  <c r="BQ96" i="6" s="1"/>
  <c r="BN96" i="6"/>
  <c r="BO96" i="6" s="1"/>
  <c r="AL99" i="6"/>
  <c r="AM99" i="6" s="1"/>
  <c r="AJ99" i="6"/>
  <c r="AK99" i="6" s="1"/>
  <c r="BN97" i="6"/>
  <c r="BO97" i="6" s="1"/>
  <c r="BP97" i="6"/>
  <c r="BQ97" i="6" s="1"/>
  <c r="BP90" i="6"/>
  <c r="BQ90" i="6" s="1"/>
  <c r="BN90" i="6"/>
  <c r="BO90" i="6" s="1"/>
  <c r="Z71" i="6"/>
  <c r="AA71" i="6" s="1"/>
  <c r="AB71" i="6"/>
  <c r="AC71" i="6" s="1"/>
  <c r="BL78" i="6"/>
  <c r="BM78" i="6"/>
  <c r="BD67" i="6"/>
  <c r="BE67" i="6" s="1"/>
  <c r="BF67" i="6"/>
  <c r="BG67" i="6" s="1"/>
  <c r="BB72" i="6"/>
  <c r="BC72" i="6"/>
  <c r="AI79" i="6"/>
  <c r="AH79" i="6"/>
  <c r="BM103" i="6"/>
  <c r="BL103" i="6"/>
  <c r="AI78" i="6"/>
  <c r="AH78" i="6"/>
  <c r="AL70" i="6"/>
  <c r="AM70" i="6" s="1"/>
  <c r="AJ70" i="6"/>
  <c r="AK70" i="6" s="1"/>
  <c r="BC74" i="6"/>
  <c r="BB74" i="6"/>
  <c r="Z69" i="6"/>
  <c r="AA69" i="6" s="1"/>
  <c r="AB69" i="6"/>
  <c r="AC69" i="6" s="1"/>
  <c r="X74" i="6"/>
  <c r="Y74" i="6"/>
  <c r="BF102" i="6"/>
  <c r="BG102" i="6" s="1"/>
  <c r="BD102" i="6"/>
  <c r="BE102" i="6" s="1"/>
  <c r="BD71" i="6"/>
  <c r="BE71" i="6" s="1"/>
  <c r="BF71" i="6"/>
  <c r="BG71" i="6" s="1"/>
  <c r="BF73" i="6"/>
  <c r="BG73" i="6" s="1"/>
  <c r="BD73" i="6"/>
  <c r="BE73" i="6" s="1"/>
  <c r="AT69" i="6"/>
  <c r="AU69" i="6" s="1"/>
  <c r="AV69" i="6"/>
  <c r="AW69" i="6" s="1"/>
  <c r="AI66" i="6"/>
  <c r="AH66" i="6"/>
  <c r="AT70" i="6"/>
  <c r="AU70" i="6" s="1"/>
  <c r="AV70" i="6"/>
  <c r="AW70" i="6" s="1"/>
  <c r="AT67" i="6"/>
  <c r="AU67" i="6" s="1"/>
  <c r="AV67" i="6"/>
  <c r="AW67" i="6" s="1"/>
  <c r="BN77" i="6"/>
  <c r="BO77" i="6" s="1"/>
  <c r="BP77" i="6"/>
  <c r="BQ77" i="6" s="1"/>
  <c r="Z73" i="6"/>
  <c r="AA73" i="6" s="1"/>
  <c r="AB73" i="6"/>
  <c r="AC73" i="6" s="1"/>
  <c r="BF103" i="6"/>
  <c r="BG103" i="6" s="1"/>
  <c r="BD103" i="6"/>
  <c r="BE103" i="6" s="1"/>
  <c r="AS75" i="6"/>
  <c r="AR75" i="6"/>
  <c r="BC69" i="6"/>
  <c r="BB69" i="6"/>
  <c r="AI103" i="6"/>
  <c r="AH103" i="6"/>
  <c r="Y72" i="6"/>
  <c r="X72" i="6"/>
  <c r="Z70" i="6"/>
  <c r="AA70" i="6" s="1"/>
  <c r="AB70" i="6"/>
  <c r="AC70" i="6" s="1"/>
  <c r="AT68" i="6"/>
  <c r="AU68" i="6" s="1"/>
  <c r="AV68" i="6"/>
  <c r="AW68" i="6" s="1"/>
  <c r="BM79" i="6"/>
  <c r="BL79" i="6"/>
  <c r="AR77" i="6"/>
  <c r="AS77" i="6"/>
  <c r="X76" i="6"/>
  <c r="Y76" i="6"/>
  <c r="AR78" i="6"/>
  <c r="AS78" i="6"/>
  <c r="BC77" i="6"/>
  <c r="BB77" i="6"/>
  <c r="AV72" i="6"/>
  <c r="AW72" i="6" s="1"/>
  <c r="AT72" i="6"/>
  <c r="AU72" i="6" s="1"/>
  <c r="AJ74" i="6"/>
  <c r="AK74" i="6" s="1"/>
  <c r="AL74" i="6"/>
  <c r="AM74" i="6" s="1"/>
  <c r="BF79" i="6"/>
  <c r="BG79" i="6" s="1"/>
  <c r="BD79" i="6"/>
  <c r="BE79" i="6" s="1"/>
  <c r="BF75" i="6"/>
  <c r="BG75" i="6" s="1"/>
  <c r="BD75" i="6"/>
  <c r="BE75" i="6" s="1"/>
  <c r="AT79" i="6"/>
  <c r="AU79" i="6" s="1"/>
  <c r="AV79" i="6"/>
  <c r="AW79" i="6" s="1"/>
  <c r="AV103" i="6"/>
  <c r="AW103" i="6" s="1"/>
  <c r="AT103" i="6"/>
  <c r="AU103" i="6" s="1"/>
  <c r="AB68" i="6"/>
  <c r="AC68" i="6" s="1"/>
  <c r="Z68" i="6"/>
  <c r="AA68" i="6" s="1"/>
  <c r="AI75" i="6"/>
  <c r="AH75" i="6"/>
  <c r="AJ71" i="6"/>
  <c r="AK71" i="6" s="1"/>
  <c r="AL71" i="6"/>
  <c r="AM71" i="6" s="1"/>
  <c r="AT102" i="6"/>
  <c r="AU102" i="6" s="1"/>
  <c r="AV102" i="6"/>
  <c r="AW102" i="6" s="1"/>
  <c r="BP71" i="6"/>
  <c r="BQ71" i="6" s="1"/>
  <c r="BN71" i="6"/>
  <c r="BO71" i="6" s="1"/>
  <c r="BP69" i="6"/>
  <c r="BQ69" i="6" s="1"/>
  <c r="BN69" i="6"/>
  <c r="BO69" i="6" s="1"/>
  <c r="BL66" i="6"/>
  <c r="BM66" i="6"/>
  <c r="BM68" i="6"/>
  <c r="BL68" i="6"/>
  <c r="AI76" i="6"/>
  <c r="AH76" i="6"/>
  <c r="AR66" i="6"/>
  <c r="AS66" i="6"/>
  <c r="AT71" i="6"/>
  <c r="AU71" i="6" s="1"/>
  <c r="AV71" i="6"/>
  <c r="AW71" i="6" s="1"/>
  <c r="BD68" i="6"/>
  <c r="BE68" i="6" s="1"/>
  <c r="BF68" i="6"/>
  <c r="BG68" i="6" s="1"/>
  <c r="AL102" i="6"/>
  <c r="AM102" i="6" s="1"/>
  <c r="AJ102" i="6"/>
  <c r="AK102" i="6" s="1"/>
  <c r="BN67" i="6"/>
  <c r="BO67" i="6" s="1"/>
  <c r="BP67" i="6"/>
  <c r="BQ67" i="6" s="1"/>
  <c r="Y79" i="6"/>
  <c r="X79" i="6"/>
  <c r="AI77" i="6"/>
  <c r="AH77" i="6"/>
  <c r="AJ73" i="6"/>
  <c r="AK73" i="6" s="1"/>
  <c r="AL73" i="6"/>
  <c r="AM73" i="6" s="1"/>
  <c r="Z102" i="6"/>
  <c r="AA102" i="6" s="1"/>
  <c r="AB102" i="6"/>
  <c r="AC102" i="6" s="1"/>
  <c r="BN73" i="6"/>
  <c r="BO73" i="6" s="1"/>
  <c r="BP73" i="6"/>
  <c r="BQ73" i="6" s="1"/>
  <c r="BN76" i="6"/>
  <c r="BO76" i="6" s="1"/>
  <c r="BP76" i="6"/>
  <c r="BQ76" i="6" s="1"/>
  <c r="AB77" i="6"/>
  <c r="AC77" i="6" s="1"/>
  <c r="Z77" i="6"/>
  <c r="AA77" i="6" s="1"/>
  <c r="Z66" i="6"/>
  <c r="AA66" i="6" s="1"/>
  <c r="AB66" i="6"/>
  <c r="AC66" i="6" s="1"/>
  <c r="AT74" i="6"/>
  <c r="AU74" i="6" s="1"/>
  <c r="AV74" i="6"/>
  <c r="AW74" i="6" s="1"/>
  <c r="AL69" i="6"/>
  <c r="AM69" i="6" s="1"/>
  <c r="AJ69" i="6"/>
  <c r="AK69" i="6" s="1"/>
  <c r="BD78" i="6"/>
  <c r="BE78" i="6" s="1"/>
  <c r="BF78" i="6"/>
  <c r="BG78" i="6" s="1"/>
  <c r="AL67" i="6"/>
  <c r="AM67" i="6" s="1"/>
  <c r="AJ67" i="6"/>
  <c r="AK67" i="6" s="1"/>
  <c r="BC66" i="6"/>
  <c r="BB66" i="6"/>
  <c r="AB75" i="6"/>
  <c r="AC75" i="6" s="1"/>
  <c r="Z75" i="6"/>
  <c r="AA75" i="6" s="1"/>
  <c r="AV73" i="6"/>
  <c r="AW73" i="6" s="1"/>
  <c r="AT73" i="6"/>
  <c r="AU73" i="6" s="1"/>
  <c r="BC76" i="6"/>
  <c r="BB76" i="6"/>
  <c r="BM72" i="6"/>
  <c r="BL72" i="6"/>
  <c r="BL74" i="6"/>
  <c r="BM74" i="6"/>
  <c r="AR76" i="6"/>
  <c r="AS76" i="6"/>
  <c r="X78" i="6"/>
  <c r="Y78" i="6"/>
  <c r="AI72" i="6"/>
  <c r="AH72" i="6"/>
  <c r="AJ68" i="6"/>
  <c r="AK68" i="6" s="1"/>
  <c r="AL68" i="6"/>
  <c r="AM68" i="6" s="1"/>
  <c r="BP75" i="6"/>
  <c r="BQ75" i="6" s="1"/>
  <c r="BN75" i="6"/>
  <c r="BO75" i="6" s="1"/>
  <c r="BD70" i="6"/>
  <c r="BE70" i="6" s="1"/>
  <c r="BF70" i="6"/>
  <c r="BG70" i="6" s="1"/>
  <c r="AB67" i="6"/>
  <c r="AC67" i="6" s="1"/>
  <c r="Z67" i="6"/>
  <c r="AA67" i="6" s="1"/>
  <c r="Z103" i="6"/>
  <c r="AA103" i="6" s="1"/>
  <c r="AB103" i="6"/>
  <c r="AC103" i="6" s="1"/>
  <c r="BP70" i="6"/>
  <c r="BQ70" i="6" s="1"/>
  <c r="BN70" i="6"/>
  <c r="BO70" i="6" s="1"/>
  <c r="BN102" i="6"/>
  <c r="BO102" i="6" s="1"/>
  <c r="BP102" i="6"/>
  <c r="BQ102" i="6" s="1"/>
  <c r="BP53" i="6"/>
  <c r="BQ53" i="6" s="1"/>
  <c r="BN53" i="6"/>
  <c r="BO53" i="6" s="1"/>
  <c r="X54" i="6"/>
  <c r="Y54" i="6"/>
  <c r="BD57" i="6"/>
  <c r="BE57" i="6" s="1"/>
  <c r="BF57" i="6"/>
  <c r="BG57" i="6" s="1"/>
  <c r="AL53" i="6"/>
  <c r="AM53" i="6" s="1"/>
  <c r="AJ53" i="6"/>
  <c r="AK53" i="6" s="1"/>
  <c r="AL59" i="6"/>
  <c r="AM59" i="6" s="1"/>
  <c r="AJ59" i="6"/>
  <c r="AK59" i="6" s="1"/>
  <c r="BM58" i="6"/>
  <c r="BL58" i="6"/>
  <c r="AS54" i="6"/>
  <c r="AR54" i="6"/>
  <c r="BC58" i="6"/>
  <c r="BB58" i="6"/>
  <c r="AJ57" i="6"/>
  <c r="AK57" i="6" s="1"/>
  <c r="AL57" i="6"/>
  <c r="AM57" i="6" s="1"/>
  <c r="Z53" i="6"/>
  <c r="AA53" i="6" s="1"/>
  <c r="AB53" i="6"/>
  <c r="AC53" i="6" s="1"/>
  <c r="Z57" i="6"/>
  <c r="AA57" i="6" s="1"/>
  <c r="AB57" i="6"/>
  <c r="AC57" i="6" s="1"/>
  <c r="AI58" i="6"/>
  <c r="AH58" i="6"/>
  <c r="AI54" i="6"/>
  <c r="AH54" i="6"/>
  <c r="BF53" i="6"/>
  <c r="BG53" i="6" s="1"/>
  <c r="BD53" i="6"/>
  <c r="BE53" i="6" s="1"/>
  <c r="Y58" i="6"/>
  <c r="X58" i="6"/>
  <c r="BF59" i="6"/>
  <c r="BG59" i="6" s="1"/>
  <c r="BD59" i="6"/>
  <c r="BE59" i="6" s="1"/>
  <c r="BP57" i="6"/>
  <c r="BQ57" i="6" s="1"/>
  <c r="BN57" i="6"/>
  <c r="BO57" i="6" s="1"/>
  <c r="BP54" i="6"/>
  <c r="BQ54" i="6" s="1"/>
  <c r="BN54" i="6"/>
  <c r="BO54" i="6" s="1"/>
  <c r="AR56" i="6"/>
  <c r="AS56" i="6"/>
  <c r="Z55" i="6"/>
  <c r="AA55" i="6" s="1"/>
  <c r="AB55" i="6"/>
  <c r="AC55" i="6" s="1"/>
  <c r="AV53" i="6"/>
  <c r="AW53" i="6" s="1"/>
  <c r="AT53" i="6"/>
  <c r="AU53" i="6" s="1"/>
  <c r="BM59" i="6"/>
  <c r="BL59" i="6"/>
  <c r="BL56" i="6"/>
  <c r="BM56" i="6"/>
  <c r="AT57" i="6"/>
  <c r="AU57" i="6" s="1"/>
  <c r="AV57" i="6"/>
  <c r="AW57" i="6" s="1"/>
  <c r="AS59" i="6"/>
  <c r="AR59" i="6"/>
  <c r="AI56" i="6"/>
  <c r="AH56" i="6"/>
  <c r="Y59" i="6"/>
  <c r="X59" i="6"/>
  <c r="Y56" i="6"/>
  <c r="X56" i="6"/>
  <c r="BF54" i="6"/>
  <c r="BG54" i="6" s="1"/>
  <c r="BD54" i="6"/>
  <c r="BE54" i="6" s="1"/>
  <c r="BF56" i="6"/>
  <c r="BG56" i="6" s="1"/>
  <c r="BD56" i="6"/>
  <c r="BE56" i="6" s="1"/>
  <c r="AT58" i="6"/>
  <c r="AU58" i="6" s="1"/>
  <c r="AV58" i="6"/>
  <c r="AW58" i="6" s="1"/>
  <c r="R42" i="2"/>
  <c r="S12" i="2"/>
  <c r="R35" i="2"/>
  <c r="S27" i="2"/>
  <c r="R45" i="2"/>
  <c r="R3" i="2"/>
  <c r="R32" i="2"/>
  <c r="R6" i="2"/>
  <c r="S37" i="2"/>
  <c r="S32" i="2"/>
  <c r="S6" i="2"/>
  <c r="R27" i="2"/>
  <c r="R37" i="2"/>
  <c r="S45" i="2"/>
  <c r="S41" i="2"/>
  <c r="S33" i="2"/>
  <c r="R11" i="2"/>
  <c r="R5" i="2"/>
  <c r="R18" i="2"/>
  <c r="R44" i="2"/>
  <c r="R41" i="2"/>
  <c r="S4" i="2"/>
  <c r="T19" i="2"/>
  <c r="I8" i="6" s="1"/>
  <c r="T11" i="2"/>
  <c r="I11" i="6" s="1"/>
  <c r="T18" i="2"/>
  <c r="I47" i="6" s="1"/>
  <c r="T50" i="2"/>
  <c r="I46" i="6" s="1"/>
  <c r="T24" i="2"/>
  <c r="I20" i="6" s="1"/>
  <c r="T27" i="2"/>
  <c r="I13" i="6" s="1"/>
  <c r="T41" i="2"/>
  <c r="T32" i="2"/>
  <c r="T45" i="2"/>
  <c r="I40" i="6" s="1"/>
  <c r="T4" i="2"/>
  <c r="I24" i="6" s="1"/>
  <c r="T6" i="2"/>
  <c r="I18" i="6" s="1"/>
  <c r="T37" i="2"/>
  <c r="I45" i="6" s="1"/>
  <c r="R4" i="2"/>
  <c r="R17" i="2"/>
  <c r="S28" i="2"/>
  <c r="R48" i="2"/>
  <c r="R13" i="2"/>
  <c r="S13" i="2"/>
  <c r="I27" i="6"/>
  <c r="I37" i="6"/>
  <c r="I43" i="6"/>
  <c r="J43" i="6" s="1"/>
  <c r="I6" i="6"/>
  <c r="J6" i="6" s="1"/>
  <c r="S25" i="2"/>
  <c r="R25" i="2"/>
  <c r="S9" i="2"/>
  <c r="R9" i="2"/>
  <c r="S19" i="2"/>
  <c r="R19" i="2"/>
  <c r="S24" i="2"/>
  <c r="R24" i="2"/>
  <c r="S20" i="2"/>
  <c r="R20" i="2"/>
  <c r="S26" i="2"/>
  <c r="R26" i="2"/>
  <c r="S21" i="2"/>
  <c r="R21" i="2"/>
  <c r="B53" i="3"/>
  <c r="B47" i="3"/>
  <c r="B41" i="3"/>
  <c r="C56" i="3"/>
  <c r="C54" i="3"/>
  <c r="C52" i="3"/>
  <c r="C50" i="3"/>
  <c r="C48" i="3"/>
  <c r="C46" i="3"/>
  <c r="C44" i="3"/>
  <c r="C42" i="3"/>
  <c r="B51" i="3"/>
  <c r="B43" i="3"/>
  <c r="B56" i="3"/>
  <c r="B54" i="3"/>
  <c r="B52" i="3"/>
  <c r="B50" i="3"/>
  <c r="B48" i="3"/>
  <c r="B46" i="3"/>
  <c r="B44" i="3"/>
  <c r="B42" i="3"/>
  <c r="B55" i="3"/>
  <c r="B49" i="3"/>
  <c r="B45" i="3"/>
  <c r="C55" i="3"/>
  <c r="C53" i="3"/>
  <c r="C51" i="3"/>
  <c r="C49" i="3"/>
  <c r="C47" i="3"/>
  <c r="C45" i="3"/>
  <c r="C43" i="3"/>
  <c r="H111" i="6"/>
  <c r="L111" i="6" s="1"/>
  <c r="G111" i="6"/>
  <c r="F111" i="6"/>
  <c r="E111" i="6"/>
  <c r="C111" i="6"/>
  <c r="B111" i="6"/>
  <c r="H110" i="6"/>
  <c r="L110" i="6" s="1"/>
  <c r="G110" i="6"/>
  <c r="F110" i="6"/>
  <c r="E110" i="6"/>
  <c r="C110" i="6"/>
  <c r="B110" i="6"/>
  <c r="H109" i="6"/>
  <c r="L109" i="6" s="1"/>
  <c r="G109" i="6"/>
  <c r="F109" i="6"/>
  <c r="E109" i="6"/>
  <c r="C109" i="6"/>
  <c r="B109" i="6"/>
  <c r="H108" i="6"/>
  <c r="L108" i="6" s="1"/>
  <c r="G108" i="6"/>
  <c r="F108" i="6"/>
  <c r="E108" i="6"/>
  <c r="C108" i="6"/>
  <c r="B108" i="6"/>
  <c r="H107" i="6"/>
  <c r="L107" i="6" s="1"/>
  <c r="G107" i="6"/>
  <c r="F107" i="6"/>
  <c r="E107" i="6"/>
  <c r="C107" i="6"/>
  <c r="B107" i="6"/>
  <c r="H106" i="6"/>
  <c r="L106" i="6" s="1"/>
  <c r="G106" i="6"/>
  <c r="F106" i="6"/>
  <c r="E106" i="6"/>
  <c r="C106" i="6"/>
  <c r="B106" i="6"/>
  <c r="H105" i="6"/>
  <c r="L105" i="6" s="1"/>
  <c r="G105" i="6"/>
  <c r="F105" i="6"/>
  <c r="E105" i="6"/>
  <c r="C105" i="6"/>
  <c r="B105" i="6"/>
  <c r="H104" i="6"/>
  <c r="L104" i="6" s="1"/>
  <c r="G104" i="6"/>
  <c r="F104" i="6"/>
  <c r="E104" i="6"/>
  <c r="C104" i="6"/>
  <c r="B104" i="6"/>
  <c r="H65" i="6"/>
  <c r="L65" i="6" s="1"/>
  <c r="G65" i="6"/>
  <c r="F65" i="6"/>
  <c r="E65" i="6"/>
  <c r="C65" i="6"/>
  <c r="B65" i="6"/>
  <c r="H64" i="6"/>
  <c r="L64" i="6" s="1"/>
  <c r="G64" i="6"/>
  <c r="F64" i="6"/>
  <c r="E64" i="6"/>
  <c r="C64" i="6"/>
  <c r="B64" i="6"/>
  <c r="H63" i="6"/>
  <c r="L63" i="6" s="1"/>
  <c r="G63" i="6"/>
  <c r="F63" i="6"/>
  <c r="E63" i="6"/>
  <c r="C63" i="6"/>
  <c r="B63" i="6"/>
  <c r="H62" i="6"/>
  <c r="L62" i="6" s="1"/>
  <c r="G62" i="6"/>
  <c r="F62" i="6"/>
  <c r="E62" i="6"/>
  <c r="C62" i="6"/>
  <c r="B62" i="6"/>
  <c r="H61" i="6"/>
  <c r="L61" i="6" s="1"/>
  <c r="G61" i="6"/>
  <c r="F61" i="6"/>
  <c r="E61" i="6"/>
  <c r="C61" i="6"/>
  <c r="B61" i="6"/>
  <c r="H60" i="6"/>
  <c r="L60" i="6" s="1"/>
  <c r="G60" i="6"/>
  <c r="F60" i="6"/>
  <c r="E60" i="6"/>
  <c r="C60" i="6"/>
  <c r="B60" i="6"/>
  <c r="H49" i="6"/>
  <c r="G49" i="6"/>
  <c r="F49" i="6"/>
  <c r="E49" i="6"/>
  <c r="C49" i="6"/>
  <c r="B49" i="6"/>
  <c r="H48" i="6"/>
  <c r="G48" i="6"/>
  <c r="F48" i="6"/>
  <c r="E48" i="6"/>
  <c r="C48" i="6"/>
  <c r="B48" i="6"/>
  <c r="G47" i="6"/>
  <c r="F47" i="6"/>
  <c r="E47" i="6"/>
  <c r="C47" i="6"/>
  <c r="B47" i="6"/>
  <c r="G46" i="6"/>
  <c r="F46" i="6"/>
  <c r="E46" i="6"/>
  <c r="C46" i="6"/>
  <c r="B46" i="6"/>
  <c r="G45" i="6"/>
  <c r="F45" i="6"/>
  <c r="E45" i="6"/>
  <c r="C45" i="6"/>
  <c r="B45" i="6"/>
  <c r="G44" i="6"/>
  <c r="F44" i="6"/>
  <c r="E44" i="6"/>
  <c r="C44" i="6"/>
  <c r="B44" i="6"/>
  <c r="G43" i="6"/>
  <c r="F43" i="6"/>
  <c r="E43" i="6"/>
  <c r="C43" i="6"/>
  <c r="B43" i="6"/>
  <c r="G42" i="6"/>
  <c r="F42" i="6"/>
  <c r="E42" i="6"/>
  <c r="C42" i="6"/>
  <c r="B42" i="6"/>
  <c r="G41" i="6"/>
  <c r="F41" i="6"/>
  <c r="E41" i="6"/>
  <c r="C41" i="6"/>
  <c r="B41" i="6"/>
  <c r="G40" i="6"/>
  <c r="F40" i="6"/>
  <c r="E40" i="6"/>
  <c r="C40" i="6"/>
  <c r="B40" i="6"/>
  <c r="G39" i="6"/>
  <c r="F39" i="6"/>
  <c r="E39" i="6"/>
  <c r="C39" i="6"/>
  <c r="B39" i="6"/>
  <c r="G38" i="6"/>
  <c r="F38" i="6"/>
  <c r="E38" i="6"/>
  <c r="C38" i="6"/>
  <c r="B38" i="6"/>
  <c r="G37" i="6"/>
  <c r="F37" i="6"/>
  <c r="E37" i="6"/>
  <c r="C37" i="6"/>
  <c r="B37" i="6"/>
  <c r="G36" i="6"/>
  <c r="F36" i="6"/>
  <c r="E36" i="6"/>
  <c r="C36" i="6"/>
  <c r="B36" i="6"/>
  <c r="G35" i="6"/>
  <c r="F35" i="6"/>
  <c r="E35" i="6"/>
  <c r="C35" i="6"/>
  <c r="B35" i="6"/>
  <c r="G34" i="6"/>
  <c r="F34" i="6"/>
  <c r="E34" i="6"/>
  <c r="C34" i="6"/>
  <c r="B34" i="6"/>
  <c r="G33" i="6"/>
  <c r="F33" i="6"/>
  <c r="E33" i="6"/>
  <c r="C33" i="6"/>
  <c r="B33" i="6"/>
  <c r="G32" i="6"/>
  <c r="F32" i="6"/>
  <c r="E32" i="6"/>
  <c r="C32" i="6"/>
  <c r="B32" i="6"/>
  <c r="G31" i="6"/>
  <c r="F31" i="6"/>
  <c r="E31" i="6"/>
  <c r="C31" i="6"/>
  <c r="B31" i="6"/>
  <c r="G30" i="6"/>
  <c r="F30" i="6"/>
  <c r="E30" i="6"/>
  <c r="C30" i="6"/>
  <c r="B30" i="6"/>
  <c r="G29" i="6"/>
  <c r="F29" i="6"/>
  <c r="E29" i="6"/>
  <c r="C29" i="6"/>
  <c r="B29" i="6"/>
  <c r="G28" i="6"/>
  <c r="F28" i="6"/>
  <c r="E28" i="6"/>
  <c r="C28" i="6"/>
  <c r="B28" i="6"/>
  <c r="G27" i="6"/>
  <c r="F27" i="6"/>
  <c r="E27" i="6"/>
  <c r="C27" i="6"/>
  <c r="B27" i="6"/>
  <c r="G26" i="6"/>
  <c r="F26" i="6"/>
  <c r="E26" i="6"/>
  <c r="C26" i="6"/>
  <c r="B26" i="6"/>
  <c r="G25" i="6"/>
  <c r="F25" i="6"/>
  <c r="E25" i="6"/>
  <c r="C25" i="6"/>
  <c r="B25" i="6"/>
  <c r="G24" i="6"/>
  <c r="F24" i="6"/>
  <c r="E24" i="6"/>
  <c r="C24" i="6"/>
  <c r="B24" i="6"/>
  <c r="G23" i="6"/>
  <c r="F23" i="6"/>
  <c r="E23" i="6"/>
  <c r="C23" i="6"/>
  <c r="B23" i="6"/>
  <c r="G22" i="6"/>
  <c r="F22" i="6"/>
  <c r="E22" i="6"/>
  <c r="C22" i="6"/>
  <c r="B22" i="6"/>
  <c r="G21" i="6"/>
  <c r="F21" i="6"/>
  <c r="E21" i="6"/>
  <c r="C21" i="6"/>
  <c r="B21" i="6"/>
  <c r="G20" i="6"/>
  <c r="F20" i="6"/>
  <c r="E20" i="6"/>
  <c r="C20" i="6"/>
  <c r="B20" i="6"/>
  <c r="G19" i="6"/>
  <c r="F19" i="6"/>
  <c r="E19" i="6"/>
  <c r="C19" i="6"/>
  <c r="B19" i="6"/>
  <c r="G18" i="6"/>
  <c r="F18" i="6"/>
  <c r="E18" i="6"/>
  <c r="C18" i="6"/>
  <c r="B18" i="6"/>
  <c r="G17" i="6"/>
  <c r="F17" i="6"/>
  <c r="E17" i="6"/>
  <c r="C17" i="6"/>
  <c r="B17" i="6"/>
  <c r="G16" i="6"/>
  <c r="F16" i="6"/>
  <c r="E16" i="6"/>
  <c r="C16" i="6"/>
  <c r="B16" i="6"/>
  <c r="G15" i="6"/>
  <c r="F15" i="6"/>
  <c r="E15" i="6"/>
  <c r="C15" i="6"/>
  <c r="B15" i="6"/>
  <c r="G14" i="6"/>
  <c r="F14" i="6"/>
  <c r="E14" i="6"/>
  <c r="C14" i="6"/>
  <c r="B14" i="6"/>
  <c r="G13" i="6"/>
  <c r="F13" i="6"/>
  <c r="E13" i="6"/>
  <c r="C13" i="6"/>
  <c r="B13" i="6"/>
  <c r="G12" i="6"/>
  <c r="F12" i="6"/>
  <c r="E12" i="6"/>
  <c r="C12" i="6"/>
  <c r="B12" i="6"/>
  <c r="G11" i="6"/>
  <c r="F11" i="6"/>
  <c r="E11" i="6"/>
  <c r="C11" i="6"/>
  <c r="B11" i="6"/>
  <c r="G10" i="6"/>
  <c r="F10" i="6"/>
  <c r="E10" i="6"/>
  <c r="C10" i="6"/>
  <c r="B10" i="6"/>
  <c r="G9" i="6"/>
  <c r="F9" i="6"/>
  <c r="E9" i="6"/>
  <c r="C9" i="6"/>
  <c r="B9" i="6"/>
  <c r="G8" i="6"/>
  <c r="F8" i="6"/>
  <c r="E8" i="6"/>
  <c r="C8" i="6"/>
  <c r="B8" i="6"/>
  <c r="G7" i="6"/>
  <c r="F7" i="6"/>
  <c r="E7" i="6"/>
  <c r="C7" i="6"/>
  <c r="B7" i="6"/>
  <c r="G6" i="6"/>
  <c r="F6" i="6"/>
  <c r="E6" i="6"/>
  <c r="C6" i="6"/>
  <c r="B6" i="6"/>
  <c r="G5" i="6"/>
  <c r="F5" i="6"/>
  <c r="E5" i="6"/>
  <c r="C5" i="6"/>
  <c r="B5" i="6"/>
  <c r="G4" i="6"/>
  <c r="F4" i="6"/>
  <c r="E4" i="6"/>
  <c r="C4" i="6"/>
  <c r="B4" i="6"/>
  <c r="G3" i="6"/>
  <c r="F3" i="6"/>
  <c r="E3" i="6"/>
  <c r="C3" i="6"/>
  <c r="B3" i="6"/>
  <c r="C2" i="6"/>
  <c r="B2" i="6"/>
  <c r="AL93" i="6" l="1"/>
  <c r="AM93" i="6" s="1"/>
  <c r="AJ93" i="6"/>
  <c r="AK93" i="6" s="1"/>
  <c r="AT98" i="6"/>
  <c r="AU98" i="6" s="1"/>
  <c r="AV98" i="6"/>
  <c r="AW98" i="6" s="1"/>
  <c r="BF97" i="6"/>
  <c r="BG97" i="6" s="1"/>
  <c r="BD97" i="6"/>
  <c r="BE97" i="6" s="1"/>
  <c r="AV101" i="6"/>
  <c r="AW101" i="6" s="1"/>
  <c r="AT101" i="6"/>
  <c r="AU101" i="6" s="1"/>
  <c r="AV91" i="6"/>
  <c r="AW91" i="6" s="1"/>
  <c r="AT91" i="6"/>
  <c r="AU91" i="6" s="1"/>
  <c r="BF99" i="6"/>
  <c r="BG99" i="6" s="1"/>
  <c r="BD99" i="6"/>
  <c r="BE99" i="6" s="1"/>
  <c r="BN85" i="6"/>
  <c r="BO85" i="6" s="1"/>
  <c r="BP85" i="6"/>
  <c r="BQ85" i="6" s="1"/>
  <c r="AJ87" i="6"/>
  <c r="AK87" i="6" s="1"/>
  <c r="AL87" i="6"/>
  <c r="AM87" i="6" s="1"/>
  <c r="AB87" i="6"/>
  <c r="AC87" i="6" s="1"/>
  <c r="Z87" i="6"/>
  <c r="AA87" i="6" s="1"/>
  <c r="AT90" i="6"/>
  <c r="AU90" i="6" s="1"/>
  <c r="AV90" i="6"/>
  <c r="AW90" i="6" s="1"/>
  <c r="Z99" i="6"/>
  <c r="AA99" i="6" s="1"/>
  <c r="AB99" i="6"/>
  <c r="AC99" i="6" s="1"/>
  <c r="Z85" i="6"/>
  <c r="AA85" i="6" s="1"/>
  <c r="AB85" i="6"/>
  <c r="AC85" i="6" s="1"/>
  <c r="BD85" i="6"/>
  <c r="BE85" i="6" s="1"/>
  <c r="BF85" i="6"/>
  <c r="BG85" i="6" s="1"/>
  <c r="AV94" i="6"/>
  <c r="AW94" i="6" s="1"/>
  <c r="AT94" i="6"/>
  <c r="AU94" i="6" s="1"/>
  <c r="AJ86" i="6"/>
  <c r="AK86" i="6" s="1"/>
  <c r="AL86" i="6"/>
  <c r="AM86" i="6" s="1"/>
  <c r="AL95" i="6"/>
  <c r="AM95" i="6" s="1"/>
  <c r="AJ95" i="6"/>
  <c r="AK95" i="6" s="1"/>
  <c r="BP94" i="6"/>
  <c r="BQ94" i="6" s="1"/>
  <c r="BN94" i="6"/>
  <c r="BO94" i="6" s="1"/>
  <c r="AL96" i="6"/>
  <c r="AM96" i="6" s="1"/>
  <c r="AJ96" i="6"/>
  <c r="AK96" i="6" s="1"/>
  <c r="BD88" i="6"/>
  <c r="BE88" i="6" s="1"/>
  <c r="BF88" i="6"/>
  <c r="BG88" i="6" s="1"/>
  <c r="BD96" i="6"/>
  <c r="BE96" i="6" s="1"/>
  <c r="BF96" i="6"/>
  <c r="BG96" i="6" s="1"/>
  <c r="AJ94" i="6"/>
  <c r="AK94" i="6" s="1"/>
  <c r="AL94" i="6"/>
  <c r="AM94" i="6" s="1"/>
  <c r="BD94" i="6"/>
  <c r="BE94" i="6" s="1"/>
  <c r="BF94" i="6"/>
  <c r="BG94" i="6" s="1"/>
  <c r="AT88" i="6"/>
  <c r="AU88" i="6" s="1"/>
  <c r="AV88" i="6"/>
  <c r="AW88" i="6" s="1"/>
  <c r="BD98" i="6"/>
  <c r="BE98" i="6" s="1"/>
  <c r="BF98" i="6"/>
  <c r="BG98" i="6" s="1"/>
  <c r="AJ98" i="6"/>
  <c r="AK98" i="6" s="1"/>
  <c r="AL98" i="6"/>
  <c r="AM98" i="6" s="1"/>
  <c r="AJ88" i="6"/>
  <c r="AK88" i="6" s="1"/>
  <c r="AL88" i="6"/>
  <c r="AM88" i="6" s="1"/>
  <c r="Z96" i="6"/>
  <c r="AA96" i="6" s="1"/>
  <c r="AB96" i="6"/>
  <c r="AC96" i="6" s="1"/>
  <c r="AT93" i="6"/>
  <c r="AU93" i="6" s="1"/>
  <c r="AV93" i="6"/>
  <c r="AW93" i="6" s="1"/>
  <c r="AV84" i="6"/>
  <c r="AW84" i="6" s="1"/>
  <c r="AT84" i="6"/>
  <c r="AU84" i="6" s="1"/>
  <c r="AJ85" i="6"/>
  <c r="AK85" i="6" s="1"/>
  <c r="AL85" i="6"/>
  <c r="AM85" i="6" s="1"/>
  <c r="BD93" i="6"/>
  <c r="BE93" i="6" s="1"/>
  <c r="BF93" i="6"/>
  <c r="BG93" i="6" s="1"/>
  <c r="BD95" i="6"/>
  <c r="BE95" i="6" s="1"/>
  <c r="BF95" i="6"/>
  <c r="BG95" i="6" s="1"/>
  <c r="BN93" i="6"/>
  <c r="BO93" i="6" s="1"/>
  <c r="BP93" i="6"/>
  <c r="BQ93" i="6" s="1"/>
  <c r="BD84" i="6"/>
  <c r="BE84" i="6" s="1"/>
  <c r="BF84" i="6"/>
  <c r="BG84" i="6" s="1"/>
  <c r="AB98" i="6"/>
  <c r="AC98" i="6" s="1"/>
  <c r="Z98" i="6"/>
  <c r="AA98" i="6" s="1"/>
  <c r="Z86" i="6"/>
  <c r="AA86" i="6" s="1"/>
  <c r="AB86" i="6"/>
  <c r="AC86" i="6" s="1"/>
  <c r="BP99" i="6"/>
  <c r="BQ99" i="6" s="1"/>
  <c r="BN99" i="6"/>
  <c r="BO99" i="6" s="1"/>
  <c r="AB91" i="6"/>
  <c r="AC91" i="6" s="1"/>
  <c r="Z91" i="6"/>
  <c r="AA91" i="6" s="1"/>
  <c r="AT96" i="6"/>
  <c r="AU96" i="6" s="1"/>
  <c r="AV96" i="6"/>
  <c r="AW96" i="6" s="1"/>
  <c r="BP87" i="6"/>
  <c r="BQ87" i="6" s="1"/>
  <c r="BN87" i="6"/>
  <c r="BO87" i="6" s="1"/>
  <c r="Z78" i="6"/>
  <c r="AA78" i="6" s="1"/>
  <c r="AB78" i="6"/>
  <c r="AC78" i="6" s="1"/>
  <c r="BN74" i="6"/>
  <c r="BO74" i="6" s="1"/>
  <c r="BP74" i="6"/>
  <c r="BQ74" i="6" s="1"/>
  <c r="AT66" i="6"/>
  <c r="AU66" i="6" s="1"/>
  <c r="AV66" i="6"/>
  <c r="AW66" i="6" s="1"/>
  <c r="Z76" i="6"/>
  <c r="AA76" i="6" s="1"/>
  <c r="AB76" i="6"/>
  <c r="AC76" i="6" s="1"/>
  <c r="BD72" i="6"/>
  <c r="BE72" i="6" s="1"/>
  <c r="BF72" i="6"/>
  <c r="BG72" i="6" s="1"/>
  <c r="BP78" i="6"/>
  <c r="BQ78" i="6" s="1"/>
  <c r="BN78" i="6"/>
  <c r="BO78" i="6" s="1"/>
  <c r="BF76" i="6"/>
  <c r="BG76" i="6" s="1"/>
  <c r="BD76" i="6"/>
  <c r="BE76" i="6" s="1"/>
  <c r="AJ77" i="6"/>
  <c r="AK77" i="6" s="1"/>
  <c r="AL77" i="6"/>
  <c r="AM77" i="6" s="1"/>
  <c r="BN68" i="6"/>
  <c r="BO68" i="6" s="1"/>
  <c r="BP68" i="6"/>
  <c r="BQ68" i="6" s="1"/>
  <c r="AL75" i="6"/>
  <c r="AM75" i="6" s="1"/>
  <c r="AJ75" i="6"/>
  <c r="AK75" i="6" s="1"/>
  <c r="BD77" i="6"/>
  <c r="BE77" i="6" s="1"/>
  <c r="BF77" i="6"/>
  <c r="BG77" i="6" s="1"/>
  <c r="BP79" i="6"/>
  <c r="BQ79" i="6" s="1"/>
  <c r="BN79" i="6"/>
  <c r="BO79" i="6" s="1"/>
  <c r="AL103" i="6"/>
  <c r="AM103" i="6" s="1"/>
  <c r="AJ103" i="6"/>
  <c r="AK103" i="6" s="1"/>
  <c r="AT75" i="6"/>
  <c r="AU75" i="6" s="1"/>
  <c r="AV75" i="6"/>
  <c r="AW75" i="6" s="1"/>
  <c r="AJ66" i="6"/>
  <c r="AK66" i="6" s="1"/>
  <c r="AL66" i="6"/>
  <c r="AM66" i="6" s="1"/>
  <c r="BN103" i="6"/>
  <c r="BO103" i="6" s="1"/>
  <c r="BP103" i="6"/>
  <c r="BQ103" i="6" s="1"/>
  <c r="AV76" i="6"/>
  <c r="AW76" i="6" s="1"/>
  <c r="AT76" i="6"/>
  <c r="AU76" i="6" s="1"/>
  <c r="BP66" i="6"/>
  <c r="BQ66" i="6" s="1"/>
  <c r="BN66" i="6"/>
  <c r="BO66" i="6" s="1"/>
  <c r="AV78" i="6"/>
  <c r="AW78" i="6" s="1"/>
  <c r="AT78" i="6"/>
  <c r="AU78" i="6" s="1"/>
  <c r="AV77" i="6"/>
  <c r="AW77" i="6" s="1"/>
  <c r="AT77" i="6"/>
  <c r="AU77" i="6" s="1"/>
  <c r="Z74" i="6"/>
  <c r="AA74" i="6" s="1"/>
  <c r="AB74" i="6"/>
  <c r="AC74" i="6" s="1"/>
  <c r="AL72" i="6"/>
  <c r="AM72" i="6" s="1"/>
  <c r="AJ72" i="6"/>
  <c r="AK72" i="6" s="1"/>
  <c r="BN72" i="6"/>
  <c r="BO72" i="6" s="1"/>
  <c r="BP72" i="6"/>
  <c r="BQ72" i="6" s="1"/>
  <c r="BD66" i="6"/>
  <c r="BE66" i="6" s="1"/>
  <c r="BF66" i="6"/>
  <c r="BG66" i="6" s="1"/>
  <c r="Z79" i="6"/>
  <c r="AA79" i="6" s="1"/>
  <c r="AB79" i="6"/>
  <c r="AC79" i="6" s="1"/>
  <c r="AL76" i="6"/>
  <c r="AM76" i="6" s="1"/>
  <c r="AJ76" i="6"/>
  <c r="AK76" i="6" s="1"/>
  <c r="AB72" i="6"/>
  <c r="AC72" i="6" s="1"/>
  <c r="Z72" i="6"/>
  <c r="AA72" i="6" s="1"/>
  <c r="BF69" i="6"/>
  <c r="BG69" i="6" s="1"/>
  <c r="BD69" i="6"/>
  <c r="BE69" i="6" s="1"/>
  <c r="BF74" i="6"/>
  <c r="BG74" i="6" s="1"/>
  <c r="BD74" i="6"/>
  <c r="BE74" i="6" s="1"/>
  <c r="AJ78" i="6"/>
  <c r="AK78" i="6" s="1"/>
  <c r="AL78" i="6"/>
  <c r="AM78" i="6" s="1"/>
  <c r="AJ79" i="6"/>
  <c r="AK79" i="6" s="1"/>
  <c r="AL79" i="6"/>
  <c r="AM79" i="6" s="1"/>
  <c r="AB54" i="6"/>
  <c r="AC54" i="6" s="1"/>
  <c r="Z54" i="6"/>
  <c r="AA54" i="6" s="1"/>
  <c r="AB56" i="6"/>
  <c r="AC56" i="6" s="1"/>
  <c r="Z56" i="6"/>
  <c r="AA56" i="6" s="1"/>
  <c r="AL56" i="6"/>
  <c r="AM56" i="6" s="1"/>
  <c r="AJ56" i="6"/>
  <c r="AK56" i="6" s="1"/>
  <c r="BN59" i="6"/>
  <c r="BO59" i="6" s="1"/>
  <c r="BP59" i="6"/>
  <c r="BQ59" i="6" s="1"/>
  <c r="AL58" i="6"/>
  <c r="AM58" i="6" s="1"/>
  <c r="AJ58" i="6"/>
  <c r="AK58" i="6" s="1"/>
  <c r="BF58" i="6"/>
  <c r="BG58" i="6" s="1"/>
  <c r="BD58" i="6"/>
  <c r="BE58" i="6" s="1"/>
  <c r="BP58" i="6"/>
  <c r="BQ58" i="6" s="1"/>
  <c r="BN58" i="6"/>
  <c r="BO58" i="6" s="1"/>
  <c r="BP56" i="6"/>
  <c r="BQ56" i="6" s="1"/>
  <c r="BN56" i="6"/>
  <c r="BO56" i="6" s="1"/>
  <c r="AV56" i="6"/>
  <c r="AW56" i="6" s="1"/>
  <c r="AT56" i="6"/>
  <c r="AU56" i="6" s="1"/>
  <c r="AB59" i="6"/>
  <c r="AC59" i="6" s="1"/>
  <c r="Z59" i="6"/>
  <c r="AA59" i="6" s="1"/>
  <c r="AT59" i="6"/>
  <c r="AU59" i="6" s="1"/>
  <c r="AV59" i="6"/>
  <c r="AW59" i="6" s="1"/>
  <c r="Z58" i="6"/>
  <c r="AA58" i="6" s="1"/>
  <c r="AB58" i="6"/>
  <c r="AC58" i="6" s="1"/>
  <c r="AJ54" i="6"/>
  <c r="AK54" i="6" s="1"/>
  <c r="AL54" i="6"/>
  <c r="AM54" i="6" s="1"/>
  <c r="AT54" i="6"/>
  <c r="AU54" i="6" s="1"/>
  <c r="AV54" i="6"/>
  <c r="AW54" i="6" s="1"/>
  <c r="J8" i="6"/>
  <c r="AX4" i="6"/>
  <c r="AY4" i="6" s="1"/>
  <c r="AN4" i="6"/>
  <c r="AO4" i="6" s="1"/>
  <c r="BH4" i="6"/>
  <c r="BI4" i="6" s="1"/>
  <c r="BH9" i="6"/>
  <c r="BI9" i="6" s="1"/>
  <c r="AX9" i="6"/>
  <c r="AY9" i="6" s="1"/>
  <c r="AN9" i="6"/>
  <c r="AO9" i="6" s="1"/>
  <c r="BH44" i="6"/>
  <c r="BI44" i="6" s="1"/>
  <c r="AN44" i="6"/>
  <c r="AO44" i="6" s="1"/>
  <c r="AX44" i="6"/>
  <c r="AY44" i="6" s="1"/>
  <c r="AN7" i="6"/>
  <c r="AO7" i="6" s="1"/>
  <c r="BH7" i="6"/>
  <c r="BI7" i="6" s="1"/>
  <c r="AX7" i="6"/>
  <c r="AY7" i="6" s="1"/>
  <c r="AX5" i="6"/>
  <c r="AY5" i="6" s="1"/>
  <c r="AN5" i="6"/>
  <c r="AO5" i="6" s="1"/>
  <c r="BH5" i="6"/>
  <c r="BI5" i="6" s="1"/>
  <c r="AX12" i="6"/>
  <c r="AY12" i="6" s="1"/>
  <c r="BH12" i="6"/>
  <c r="BI12" i="6" s="1"/>
  <c r="AN12" i="6"/>
  <c r="AO12" i="6" s="1"/>
  <c r="AX30" i="6"/>
  <c r="AY30" i="6" s="1"/>
  <c r="AN30" i="6"/>
  <c r="AO30" i="6" s="1"/>
  <c r="BH30" i="6"/>
  <c r="BI30" i="6" s="1"/>
  <c r="AX60" i="6"/>
  <c r="AY60" i="6" s="1"/>
  <c r="BH60" i="6"/>
  <c r="BI60" i="6" s="1"/>
  <c r="AN60" i="6"/>
  <c r="AO60" i="6" s="1"/>
  <c r="BH62" i="6"/>
  <c r="BI62" i="6" s="1"/>
  <c r="AN62" i="6"/>
  <c r="AO62" i="6" s="1"/>
  <c r="AX62" i="6"/>
  <c r="AY62" i="6" s="1"/>
  <c r="BH64" i="6"/>
  <c r="BI64" i="6" s="1"/>
  <c r="AN64" i="6"/>
  <c r="AO64" i="6" s="1"/>
  <c r="AX64" i="6"/>
  <c r="AY64" i="6" s="1"/>
  <c r="BH104" i="6"/>
  <c r="BI104" i="6" s="1"/>
  <c r="AN104" i="6"/>
  <c r="AO104" i="6" s="1"/>
  <c r="AX104" i="6"/>
  <c r="AY104" i="6" s="1"/>
  <c r="AN106" i="6"/>
  <c r="AO106" i="6" s="1"/>
  <c r="BH106" i="6"/>
  <c r="BI106" i="6" s="1"/>
  <c r="AX106" i="6"/>
  <c r="AY106" i="6" s="1"/>
  <c r="BH108" i="6"/>
  <c r="BI108" i="6" s="1"/>
  <c r="AN108" i="6"/>
  <c r="AO108" i="6" s="1"/>
  <c r="AX108" i="6"/>
  <c r="AY108" i="6" s="1"/>
  <c r="AX110" i="6"/>
  <c r="AY110" i="6" s="1"/>
  <c r="BH110" i="6"/>
  <c r="BI110" i="6" s="1"/>
  <c r="AN110" i="6"/>
  <c r="AO110" i="6" s="1"/>
  <c r="AN17" i="6"/>
  <c r="AO17" i="6" s="1"/>
  <c r="AX17" i="6"/>
  <c r="AY17" i="6" s="1"/>
  <c r="BH17" i="6"/>
  <c r="BI17" i="6" s="1"/>
  <c r="AN31" i="6"/>
  <c r="AO31" i="6" s="1"/>
  <c r="AX31" i="6"/>
  <c r="AY31" i="6" s="1"/>
  <c r="BH31" i="6"/>
  <c r="BI31" i="6" s="1"/>
  <c r="AX46" i="6"/>
  <c r="AY46" i="6" s="1"/>
  <c r="BH46" i="6"/>
  <c r="BI46" i="6" s="1"/>
  <c r="AN46" i="6"/>
  <c r="AO46" i="6" s="1"/>
  <c r="AX47" i="6"/>
  <c r="BH47" i="6"/>
  <c r="BI47" i="6" s="1"/>
  <c r="AN47" i="6"/>
  <c r="AO47" i="6" s="1"/>
  <c r="AN27" i="6"/>
  <c r="AX27" i="6"/>
  <c r="AY27" i="6" s="1"/>
  <c r="BH27" i="6"/>
  <c r="BI27" i="6" s="1"/>
  <c r="BH34" i="6"/>
  <c r="BI34" i="6" s="1"/>
  <c r="AX34" i="6"/>
  <c r="AY34" i="6" s="1"/>
  <c r="AN34" i="6"/>
  <c r="AO34" i="6" s="1"/>
  <c r="BH49" i="6"/>
  <c r="BI49" i="6" s="1"/>
  <c r="AN49" i="6"/>
  <c r="AO49" i="6" s="1"/>
  <c r="AX49" i="6"/>
  <c r="AY49" i="6" s="1"/>
  <c r="BH38" i="6"/>
  <c r="BI38" i="6" s="1"/>
  <c r="AN38" i="6"/>
  <c r="AO38" i="6" s="1"/>
  <c r="AX38" i="6"/>
  <c r="AY38" i="6" s="1"/>
  <c r="AX21" i="6"/>
  <c r="AY21" i="6" s="1"/>
  <c r="AN21" i="6"/>
  <c r="AO21" i="6" s="1"/>
  <c r="BH21" i="6"/>
  <c r="BI21" i="6" s="1"/>
  <c r="AX24" i="6"/>
  <c r="AY24" i="6" s="1"/>
  <c r="BH24" i="6"/>
  <c r="BI24" i="6" s="1"/>
  <c r="AN24" i="6"/>
  <c r="AN25" i="6"/>
  <c r="AO25" i="6" s="1"/>
  <c r="AX25" i="6"/>
  <c r="AY25" i="6" s="1"/>
  <c r="BH25" i="6"/>
  <c r="BI25" i="6" s="1"/>
  <c r="AX28" i="6"/>
  <c r="AY28" i="6" s="1"/>
  <c r="AN28" i="6"/>
  <c r="AO28" i="6" s="1"/>
  <c r="BH28" i="6"/>
  <c r="BI28" i="6" s="1"/>
  <c r="AN19" i="6"/>
  <c r="AO19" i="6" s="1"/>
  <c r="BH19" i="6"/>
  <c r="BI19" i="6" s="1"/>
  <c r="AX19" i="6"/>
  <c r="AY19" i="6" s="1"/>
  <c r="AN22" i="6"/>
  <c r="AO22" i="6" s="1"/>
  <c r="AX22" i="6"/>
  <c r="AY22" i="6" s="1"/>
  <c r="BH22" i="6"/>
  <c r="BI22" i="6" s="1"/>
  <c r="BH16" i="6"/>
  <c r="BI16" i="6" s="1"/>
  <c r="AX16" i="6"/>
  <c r="AY16" i="6" s="1"/>
  <c r="AN16" i="6"/>
  <c r="AO16" i="6" s="1"/>
  <c r="AN15" i="6"/>
  <c r="AO15" i="6" s="1"/>
  <c r="BH15" i="6"/>
  <c r="BI15" i="6" s="1"/>
  <c r="AX15" i="6"/>
  <c r="AY15" i="6" s="1"/>
  <c r="AN42" i="6"/>
  <c r="AO42" i="6" s="1"/>
  <c r="AX42" i="6"/>
  <c r="AY42" i="6" s="1"/>
  <c r="BH42" i="6"/>
  <c r="BI42" i="6" s="1"/>
  <c r="AN61" i="6"/>
  <c r="AO61" i="6" s="1"/>
  <c r="BH61" i="6"/>
  <c r="BI61" i="6" s="1"/>
  <c r="AX61" i="6"/>
  <c r="AY61" i="6" s="1"/>
  <c r="BH63" i="6"/>
  <c r="BI63" i="6" s="1"/>
  <c r="AX63" i="6"/>
  <c r="AY63" i="6" s="1"/>
  <c r="AN63" i="6"/>
  <c r="AO63" i="6" s="1"/>
  <c r="BH65" i="6"/>
  <c r="BI65" i="6" s="1"/>
  <c r="AN65" i="6"/>
  <c r="AO65" i="6" s="1"/>
  <c r="AX65" i="6"/>
  <c r="AY65" i="6" s="1"/>
  <c r="AX105" i="6"/>
  <c r="AY105" i="6" s="1"/>
  <c r="AN105" i="6"/>
  <c r="AO105" i="6" s="1"/>
  <c r="BH105" i="6"/>
  <c r="BI105" i="6" s="1"/>
  <c r="AX107" i="6"/>
  <c r="AY107" i="6" s="1"/>
  <c r="AN107" i="6"/>
  <c r="AO107" i="6" s="1"/>
  <c r="BH107" i="6"/>
  <c r="BI107" i="6" s="1"/>
  <c r="AX109" i="6"/>
  <c r="AY109" i="6" s="1"/>
  <c r="BH109" i="6"/>
  <c r="BI109" i="6" s="1"/>
  <c r="AN109" i="6"/>
  <c r="AO109" i="6" s="1"/>
  <c r="BH111" i="6"/>
  <c r="BI111" i="6" s="1"/>
  <c r="AX111" i="6"/>
  <c r="AY111" i="6" s="1"/>
  <c r="AN111" i="6"/>
  <c r="AO111" i="6" s="1"/>
  <c r="AN33" i="6"/>
  <c r="AO33" i="6" s="1"/>
  <c r="BH33" i="6"/>
  <c r="BI33" i="6" s="1"/>
  <c r="AX33" i="6"/>
  <c r="AY33" i="6" s="1"/>
  <c r="AN40" i="6"/>
  <c r="AO40" i="6" s="1"/>
  <c r="BH40" i="6"/>
  <c r="AX40" i="6"/>
  <c r="AY40" i="6" s="1"/>
  <c r="AN20" i="6"/>
  <c r="AO20" i="6" s="1"/>
  <c r="BH20" i="6"/>
  <c r="BI20" i="6" s="1"/>
  <c r="AX20" i="6"/>
  <c r="BH8" i="6"/>
  <c r="BI8" i="6" s="1"/>
  <c r="AN8" i="6"/>
  <c r="AO8" i="6" s="1"/>
  <c r="AX8" i="6"/>
  <c r="AY8" i="6" s="1"/>
  <c r="AN26" i="6"/>
  <c r="AO26" i="6" s="1"/>
  <c r="AX26" i="6"/>
  <c r="AY26" i="6" s="1"/>
  <c r="BH26" i="6"/>
  <c r="BI26" i="6" s="1"/>
  <c r="AX41" i="6"/>
  <c r="AY41" i="6" s="1"/>
  <c r="AN41" i="6"/>
  <c r="AO41" i="6" s="1"/>
  <c r="BH41" i="6"/>
  <c r="BI41" i="6" s="1"/>
  <c r="AN29" i="6"/>
  <c r="AO29" i="6" s="1"/>
  <c r="BH29" i="6"/>
  <c r="BI29" i="6" s="1"/>
  <c r="AX29" i="6"/>
  <c r="AY29" i="6" s="1"/>
  <c r="AN11" i="6"/>
  <c r="AO11" i="6" s="1"/>
  <c r="AX11" i="6"/>
  <c r="AY11" i="6" s="1"/>
  <c r="BH11" i="6"/>
  <c r="BI11" i="6" s="1"/>
  <c r="AX18" i="6"/>
  <c r="BH18" i="6"/>
  <c r="BI18" i="6" s="1"/>
  <c r="AN18" i="6"/>
  <c r="AO18" i="6" s="1"/>
  <c r="BH48" i="6"/>
  <c r="BI48" i="6" s="1"/>
  <c r="AX48" i="6"/>
  <c r="AN48" i="6"/>
  <c r="AO48" i="6" s="1"/>
  <c r="AX32" i="6"/>
  <c r="AY32" i="6" s="1"/>
  <c r="BH32" i="6"/>
  <c r="BI32" i="6" s="1"/>
  <c r="AN32" i="6"/>
  <c r="AO32" i="6" s="1"/>
  <c r="AN35" i="6"/>
  <c r="BH35" i="6"/>
  <c r="BI35" i="6" s="1"/>
  <c r="AX35" i="6"/>
  <c r="AY35" i="6" s="1"/>
  <c r="AX43" i="6"/>
  <c r="AY43" i="6" s="1"/>
  <c r="BH43" i="6"/>
  <c r="AN43" i="6"/>
  <c r="AO43" i="6" s="1"/>
  <c r="AX23" i="6"/>
  <c r="AY23" i="6" s="1"/>
  <c r="AN23" i="6"/>
  <c r="AO23" i="6" s="1"/>
  <c r="BH23" i="6"/>
  <c r="BI23" i="6" s="1"/>
  <c r="AX3" i="6"/>
  <c r="AY3" i="6" s="1"/>
  <c r="BH3" i="6"/>
  <c r="BI3" i="6" s="1"/>
  <c r="AN3" i="6"/>
  <c r="AO3" i="6" s="1"/>
  <c r="AN36" i="6"/>
  <c r="AO36" i="6" s="1"/>
  <c r="BH36" i="6"/>
  <c r="BI36" i="6" s="1"/>
  <c r="AX36" i="6"/>
  <c r="AY36" i="6" s="1"/>
  <c r="BH37" i="6"/>
  <c r="BI37" i="6" s="1"/>
  <c r="AX37" i="6"/>
  <c r="AY37" i="6" s="1"/>
  <c r="AN37" i="6"/>
  <c r="AO37" i="6" s="1"/>
  <c r="BH45" i="6"/>
  <c r="AN45" i="6"/>
  <c r="AO45" i="6" s="1"/>
  <c r="AX45" i="6"/>
  <c r="AY45" i="6" s="1"/>
  <c r="BH10" i="6"/>
  <c r="BI10" i="6" s="1"/>
  <c r="AX10" i="6"/>
  <c r="AY10" i="6" s="1"/>
  <c r="AN10" i="6"/>
  <c r="AO10" i="6" s="1"/>
  <c r="AX6" i="6"/>
  <c r="AY6" i="6" s="1"/>
  <c r="BH6" i="6"/>
  <c r="BI6" i="6" s="1"/>
  <c r="AN6" i="6"/>
  <c r="AO6" i="6" s="1"/>
  <c r="BH13" i="6"/>
  <c r="AX13" i="6"/>
  <c r="AY13" i="6" s="1"/>
  <c r="AN13" i="6"/>
  <c r="AX39" i="6"/>
  <c r="AY39" i="6" s="1"/>
  <c r="AN39" i="6"/>
  <c r="AO39" i="6" s="1"/>
  <c r="BH39" i="6"/>
  <c r="BI39" i="6" s="1"/>
  <c r="AD110" i="6"/>
  <c r="AE110" i="6" s="1"/>
  <c r="AD7" i="6"/>
  <c r="AE7" i="6" s="1"/>
  <c r="AD11" i="6"/>
  <c r="AD15" i="6"/>
  <c r="AE15" i="6" s="1"/>
  <c r="AD19" i="6"/>
  <c r="AE19" i="6" s="1"/>
  <c r="AD23" i="6"/>
  <c r="AE23" i="6" s="1"/>
  <c r="AD27" i="6"/>
  <c r="AE27" i="6" s="1"/>
  <c r="AD31" i="6"/>
  <c r="AE31" i="6" s="1"/>
  <c r="AD35" i="6"/>
  <c r="AE35" i="6" s="1"/>
  <c r="AD39" i="6"/>
  <c r="AE39" i="6" s="1"/>
  <c r="AD43" i="6"/>
  <c r="AE43" i="6" s="1"/>
  <c r="AD47" i="6"/>
  <c r="AE47" i="6" s="1"/>
  <c r="AD8" i="6"/>
  <c r="AD16" i="6"/>
  <c r="AE16" i="6" s="1"/>
  <c r="AD24" i="6"/>
  <c r="AE24" i="6" s="1"/>
  <c r="AD28" i="6"/>
  <c r="AE28" i="6" s="1"/>
  <c r="AD40" i="6"/>
  <c r="AE40" i="6" s="1"/>
  <c r="AD44" i="6"/>
  <c r="AE44" i="6" s="1"/>
  <c r="AD48" i="6"/>
  <c r="AE48" i="6" s="1"/>
  <c r="AD60" i="6"/>
  <c r="AE60" i="6" s="1"/>
  <c r="AD62" i="6"/>
  <c r="AE62" i="6" s="1"/>
  <c r="AD64" i="6"/>
  <c r="AE64" i="6" s="1"/>
  <c r="AD104" i="6"/>
  <c r="AE104" i="6" s="1"/>
  <c r="AD106" i="6"/>
  <c r="AE106" i="6" s="1"/>
  <c r="AD108" i="6"/>
  <c r="AE108" i="6" s="1"/>
  <c r="AD5" i="6"/>
  <c r="AE5" i="6" s="1"/>
  <c r="AD9" i="6"/>
  <c r="AE9" i="6" s="1"/>
  <c r="AD13" i="6"/>
  <c r="AE13" i="6" s="1"/>
  <c r="AD17" i="6"/>
  <c r="AE17" i="6" s="1"/>
  <c r="AD21" i="6"/>
  <c r="AE21" i="6" s="1"/>
  <c r="AD25" i="6"/>
  <c r="AE25" i="6" s="1"/>
  <c r="AD29" i="6"/>
  <c r="AE29" i="6" s="1"/>
  <c r="AD33" i="6"/>
  <c r="AE33" i="6" s="1"/>
  <c r="AD37" i="6"/>
  <c r="AE37" i="6" s="1"/>
  <c r="AD41" i="6"/>
  <c r="AE41" i="6" s="1"/>
  <c r="AD45" i="6"/>
  <c r="AD3" i="6"/>
  <c r="AE3" i="6" s="1"/>
  <c r="AD4" i="6"/>
  <c r="AE4" i="6" s="1"/>
  <c r="AD12" i="6"/>
  <c r="AE12" i="6" s="1"/>
  <c r="AD20" i="6"/>
  <c r="AE20" i="6" s="1"/>
  <c r="AD32" i="6"/>
  <c r="AE32" i="6" s="1"/>
  <c r="AD36" i="6"/>
  <c r="AE36" i="6" s="1"/>
  <c r="AD6" i="6"/>
  <c r="AE6" i="6" s="1"/>
  <c r="AD10" i="6"/>
  <c r="AE10" i="6" s="1"/>
  <c r="AD14" i="6"/>
  <c r="AE14" i="6" s="1"/>
  <c r="AD18" i="6"/>
  <c r="AE18" i="6" s="1"/>
  <c r="AD22" i="6"/>
  <c r="AE22" i="6" s="1"/>
  <c r="AD26" i="6"/>
  <c r="AE26" i="6" s="1"/>
  <c r="AD30" i="6"/>
  <c r="AE30" i="6" s="1"/>
  <c r="AD34" i="6"/>
  <c r="AE34" i="6" s="1"/>
  <c r="AD38" i="6"/>
  <c r="AE38" i="6" s="1"/>
  <c r="AD42" i="6"/>
  <c r="AE42" i="6" s="1"/>
  <c r="AD46" i="6"/>
  <c r="AE46" i="6" s="1"/>
  <c r="AD49" i="6"/>
  <c r="AE49" i="6" s="1"/>
  <c r="AD61" i="6"/>
  <c r="AE61" i="6" s="1"/>
  <c r="AD63" i="6"/>
  <c r="AE63" i="6" s="1"/>
  <c r="AD65" i="6"/>
  <c r="AE65" i="6" s="1"/>
  <c r="AD105" i="6"/>
  <c r="AE105" i="6" s="1"/>
  <c r="AD107" i="6"/>
  <c r="AE107" i="6" s="1"/>
  <c r="AD109" i="6"/>
  <c r="AE109" i="6" s="1"/>
  <c r="AD111" i="6"/>
  <c r="AE111" i="6" s="1"/>
  <c r="T6" i="6"/>
  <c r="U6" i="6" s="1"/>
  <c r="T10" i="6"/>
  <c r="U10" i="6" s="1"/>
  <c r="T38" i="6"/>
  <c r="U38" i="6" s="1"/>
  <c r="T46" i="6"/>
  <c r="T65" i="6"/>
  <c r="U65" i="6" s="1"/>
  <c r="T105" i="6"/>
  <c r="U105" i="6" s="1"/>
  <c r="T3" i="6"/>
  <c r="U3" i="6" s="1"/>
  <c r="T15" i="6"/>
  <c r="U15" i="6" s="1"/>
  <c r="T19" i="6"/>
  <c r="U19" i="6" s="1"/>
  <c r="T23" i="6"/>
  <c r="U23" i="6" s="1"/>
  <c r="T31" i="6"/>
  <c r="U31" i="6" s="1"/>
  <c r="T39" i="6"/>
  <c r="U39" i="6" s="1"/>
  <c r="T43" i="6"/>
  <c r="U43" i="6" s="1"/>
  <c r="T4" i="6"/>
  <c r="U4" i="6" s="1"/>
  <c r="T8" i="6"/>
  <c r="U8" i="6" s="1"/>
  <c r="T12" i="6"/>
  <c r="U12" i="6" s="1"/>
  <c r="T16" i="6"/>
  <c r="U16" i="6" s="1"/>
  <c r="T20" i="6"/>
  <c r="U20" i="6" s="1"/>
  <c r="T24" i="6"/>
  <c r="U24" i="6" s="1"/>
  <c r="T28" i="6"/>
  <c r="U28" i="6" s="1"/>
  <c r="T32" i="6"/>
  <c r="U32" i="6" s="1"/>
  <c r="T36" i="6"/>
  <c r="U36" i="6" s="1"/>
  <c r="T40" i="6"/>
  <c r="U40" i="6" s="1"/>
  <c r="T44" i="6"/>
  <c r="U44" i="6" s="1"/>
  <c r="T48" i="6"/>
  <c r="U48" i="6" s="1"/>
  <c r="T60" i="6"/>
  <c r="U60" i="6" s="1"/>
  <c r="T62" i="6"/>
  <c r="U62" i="6" s="1"/>
  <c r="T64" i="6"/>
  <c r="U64" i="6" s="1"/>
  <c r="T104" i="6"/>
  <c r="U104" i="6" s="1"/>
  <c r="T106" i="6"/>
  <c r="U106" i="6" s="1"/>
  <c r="T108" i="6"/>
  <c r="U108" i="6" s="1"/>
  <c r="T110" i="6"/>
  <c r="U110" i="6" s="1"/>
  <c r="T14" i="6"/>
  <c r="U14" i="6" s="1"/>
  <c r="T18" i="6"/>
  <c r="T22" i="6"/>
  <c r="U22" i="6" s="1"/>
  <c r="T26" i="6"/>
  <c r="U26" i="6" s="1"/>
  <c r="T30" i="6"/>
  <c r="U30" i="6" s="1"/>
  <c r="T34" i="6"/>
  <c r="U34" i="6" s="1"/>
  <c r="T42" i="6"/>
  <c r="U42" i="6" s="1"/>
  <c r="T49" i="6"/>
  <c r="U49" i="6" s="1"/>
  <c r="T61" i="6"/>
  <c r="U61" i="6" s="1"/>
  <c r="T63" i="6"/>
  <c r="U63" i="6" s="1"/>
  <c r="T7" i="6"/>
  <c r="U7" i="6" s="1"/>
  <c r="T11" i="6"/>
  <c r="U11" i="6" s="1"/>
  <c r="T27" i="6"/>
  <c r="U27" i="6" s="1"/>
  <c r="T35" i="6"/>
  <c r="U35" i="6" s="1"/>
  <c r="T47" i="6"/>
  <c r="U47" i="6" s="1"/>
  <c r="T5" i="6"/>
  <c r="U5" i="6" s="1"/>
  <c r="T9" i="6"/>
  <c r="U9" i="6" s="1"/>
  <c r="T13" i="6"/>
  <c r="U13" i="6" s="1"/>
  <c r="T17" i="6"/>
  <c r="U17" i="6" s="1"/>
  <c r="T21" i="6"/>
  <c r="U21" i="6" s="1"/>
  <c r="T25" i="6"/>
  <c r="U25" i="6" s="1"/>
  <c r="T29" i="6"/>
  <c r="U29" i="6" s="1"/>
  <c r="T33" i="6"/>
  <c r="U33" i="6" s="1"/>
  <c r="T37" i="6"/>
  <c r="T41" i="6"/>
  <c r="U41" i="6" s="1"/>
  <c r="T45" i="6"/>
  <c r="U45" i="6" s="1"/>
  <c r="T107" i="6"/>
  <c r="U107" i="6" s="1"/>
  <c r="T109" i="6"/>
  <c r="U109" i="6" s="1"/>
  <c r="T111" i="6"/>
  <c r="U111" i="6" s="1"/>
  <c r="BR24" i="6"/>
  <c r="BS24" i="6" s="1"/>
  <c r="BY24" i="6"/>
  <c r="BZ24" i="6" s="1"/>
  <c r="CM24" i="6"/>
  <c r="CN24" i="6" s="1"/>
  <c r="CF36" i="6"/>
  <c r="CG36" i="6" s="1"/>
  <c r="BY36" i="6"/>
  <c r="BZ36" i="6" s="1"/>
  <c r="CM25" i="6"/>
  <c r="CN25" i="6" s="1"/>
  <c r="BR25" i="6"/>
  <c r="BS25" i="6" s="1"/>
  <c r="CM19" i="6"/>
  <c r="CN19" i="6" s="1"/>
  <c r="BY19" i="6"/>
  <c r="BZ19" i="6" s="1"/>
  <c r="CM16" i="6"/>
  <c r="CN16" i="6" s="1"/>
  <c r="CF16" i="6"/>
  <c r="CG16" i="6" s="1"/>
  <c r="BR16" i="6"/>
  <c r="BS16" i="6" s="1"/>
  <c r="BY15" i="6"/>
  <c r="BZ15" i="6" s="1"/>
  <c r="CM15" i="6"/>
  <c r="CN15" i="6" s="1"/>
  <c r="CM39" i="6"/>
  <c r="CN39" i="6" s="1"/>
  <c r="CF39" i="6"/>
  <c r="CG39" i="6" s="1"/>
  <c r="BR39" i="6"/>
  <c r="BS39" i="6" s="1"/>
  <c r="BR42" i="6"/>
  <c r="BS42" i="6" s="1"/>
  <c r="BY42" i="6"/>
  <c r="BZ42" i="6" s="1"/>
  <c r="CF61" i="6"/>
  <c r="CG61" i="6" s="1"/>
  <c r="CM61" i="6"/>
  <c r="CN61" i="6" s="1"/>
  <c r="BY61" i="6"/>
  <c r="BZ61" i="6" s="1"/>
  <c r="BR61" i="6"/>
  <c r="BS61" i="6" s="1"/>
  <c r="CM33" i="6"/>
  <c r="CN33" i="6" s="1"/>
  <c r="BR33" i="6"/>
  <c r="BS33" i="6" s="1"/>
  <c r="BR40" i="6"/>
  <c r="BS40" i="6" s="1"/>
  <c r="BY40" i="6"/>
  <c r="BZ40" i="6" s="1"/>
  <c r="CM40" i="6"/>
  <c r="CN40" i="6" s="1"/>
  <c r="CM6" i="6"/>
  <c r="CN6" i="6" s="1"/>
  <c r="CF6" i="6"/>
  <c r="CG6" i="6" s="1"/>
  <c r="CM20" i="6"/>
  <c r="CN20" i="6" s="1"/>
  <c r="CF20" i="6"/>
  <c r="CG20" i="6" s="1"/>
  <c r="BY8" i="6"/>
  <c r="BZ8" i="6" s="1"/>
  <c r="BR8" i="6"/>
  <c r="BS8" i="6" s="1"/>
  <c r="CM8" i="6"/>
  <c r="CN8" i="6" s="1"/>
  <c r="CM26" i="6"/>
  <c r="CN26" i="6" s="1"/>
  <c r="BR26" i="6"/>
  <c r="BS26" i="6" s="1"/>
  <c r="BR13" i="6"/>
  <c r="BS13" i="6" s="1"/>
  <c r="CM13" i="6"/>
  <c r="CN13" i="6" s="1"/>
  <c r="BY41" i="6"/>
  <c r="BZ41" i="6" s="1"/>
  <c r="CF41" i="6"/>
  <c r="CG41" i="6" s="1"/>
  <c r="CF29" i="6"/>
  <c r="CG29" i="6" s="1"/>
  <c r="BY29" i="6"/>
  <c r="BZ29" i="6" s="1"/>
  <c r="CM11" i="6"/>
  <c r="CN11" i="6" s="1"/>
  <c r="CF11" i="6"/>
  <c r="CG11" i="6" s="1"/>
  <c r="BR11" i="6"/>
  <c r="BS11" i="6" s="1"/>
  <c r="BR37" i="6"/>
  <c r="BS37" i="6" s="1"/>
  <c r="CM37" i="6"/>
  <c r="CN37" i="6" s="1"/>
  <c r="BY37" i="6"/>
  <c r="BZ37" i="6" s="1"/>
  <c r="CM48" i="6"/>
  <c r="CN48" i="6" s="1"/>
  <c r="CF48" i="6"/>
  <c r="CG48" i="6" s="1"/>
  <c r="BR48" i="6"/>
  <c r="CM42" i="6"/>
  <c r="CM4" i="6"/>
  <c r="CN4" i="6" s="1"/>
  <c r="CF4" i="6"/>
  <c r="CG4" i="6" s="1"/>
  <c r="BR4" i="6"/>
  <c r="BS4" i="6" s="1"/>
  <c r="CM3" i="6"/>
  <c r="CN3" i="6" s="1"/>
  <c r="BR3" i="6"/>
  <c r="BS3" i="6" s="1"/>
  <c r="CM9" i="6"/>
  <c r="CN9" i="6" s="1"/>
  <c r="BR9" i="6"/>
  <c r="BS9" i="6" s="1"/>
  <c r="BR18" i="6"/>
  <c r="BS18" i="6" s="1"/>
  <c r="CF18" i="6"/>
  <c r="CG18" i="6" s="1"/>
  <c r="BY35" i="6"/>
  <c r="BZ35" i="6" s="1"/>
  <c r="CM35" i="6"/>
  <c r="CN35" i="6" s="1"/>
  <c r="CM44" i="6"/>
  <c r="CN44" i="6" s="1"/>
  <c r="BY44" i="6"/>
  <c r="BZ44" i="6" s="1"/>
  <c r="BR44" i="6"/>
  <c r="BS44" i="6" s="1"/>
  <c r="CM7" i="6"/>
  <c r="CN7" i="6" s="1"/>
  <c r="BR7" i="6"/>
  <c r="BS7" i="6" s="1"/>
  <c r="CF5" i="6"/>
  <c r="CG5" i="6" s="1"/>
  <c r="CM5" i="6"/>
  <c r="CN5" i="6" s="1"/>
  <c r="BY5" i="6"/>
  <c r="BZ5" i="6" s="1"/>
  <c r="BR45" i="6"/>
  <c r="BS45" i="6" s="1"/>
  <c r="BY45" i="6"/>
  <c r="BZ45" i="6" s="1"/>
  <c r="CM12" i="6"/>
  <c r="CN12" i="6" s="1"/>
  <c r="BR12" i="6"/>
  <c r="BS12" i="6" s="1"/>
  <c r="CM30" i="6"/>
  <c r="CN30" i="6" s="1"/>
  <c r="CF30" i="6"/>
  <c r="CG30" i="6" s="1"/>
  <c r="BY30" i="6"/>
  <c r="BZ30" i="6" s="1"/>
  <c r="BY60" i="6"/>
  <c r="BZ60" i="6" s="1"/>
  <c r="BR60" i="6"/>
  <c r="BS60" i="6" s="1"/>
  <c r="CF60" i="6"/>
  <c r="CG60" i="6" s="1"/>
  <c r="CM60" i="6"/>
  <c r="CN60" i="6" s="1"/>
  <c r="CM62" i="6"/>
  <c r="CN62" i="6" s="1"/>
  <c r="BY62" i="6"/>
  <c r="BZ62" i="6" s="1"/>
  <c r="BR62" i="6"/>
  <c r="BS62" i="6" s="1"/>
  <c r="CF62" i="6"/>
  <c r="CG62" i="6" s="1"/>
  <c r="CF17" i="6"/>
  <c r="CG17" i="6" s="1"/>
  <c r="BY17" i="6"/>
  <c r="BZ17" i="6" s="1"/>
  <c r="BY31" i="6"/>
  <c r="BZ31" i="6" s="1"/>
  <c r="CM31" i="6"/>
  <c r="CN31" i="6" s="1"/>
  <c r="CM43" i="6"/>
  <c r="CN43" i="6" s="1"/>
  <c r="BY43" i="6"/>
  <c r="BZ43" i="6" s="1"/>
  <c r="BR43" i="6"/>
  <c r="BS43" i="6" s="1"/>
  <c r="CF46" i="6"/>
  <c r="CG46" i="6" s="1"/>
  <c r="BR46" i="6"/>
  <c r="BS46" i="6" s="1"/>
  <c r="CM47" i="6"/>
  <c r="CN47" i="6" s="1"/>
  <c r="CF47" i="6"/>
  <c r="CG47" i="6" s="1"/>
  <c r="BR47" i="6"/>
  <c r="BS47" i="6" s="1"/>
  <c r="CF27" i="6"/>
  <c r="CG27" i="6" s="1"/>
  <c r="BR27" i="6"/>
  <c r="BS27" i="6" s="1"/>
  <c r="CM27" i="6"/>
  <c r="CN27" i="6" s="1"/>
  <c r="CF34" i="6"/>
  <c r="CG34" i="6" s="1"/>
  <c r="BR34" i="6"/>
  <c r="BS34" i="6" s="1"/>
  <c r="CM49" i="6"/>
  <c r="BY49" i="6"/>
  <c r="BZ49" i="6" s="1"/>
  <c r="BR49" i="6"/>
  <c r="BS49" i="6" s="1"/>
  <c r="CM32" i="6"/>
  <c r="CN32" i="6" s="1"/>
  <c r="BR32" i="6"/>
  <c r="BS32" i="6" s="1"/>
  <c r="CF38" i="6"/>
  <c r="CG38" i="6" s="1"/>
  <c r="BR38" i="6"/>
  <c r="BS38" i="6" s="1"/>
  <c r="BR23" i="6"/>
  <c r="BS23" i="6" s="1"/>
  <c r="BY23" i="6"/>
  <c r="BZ23" i="6" s="1"/>
  <c r="CM63" i="6"/>
  <c r="CN63" i="6" s="1"/>
  <c r="BY63" i="6"/>
  <c r="BZ63" i="6" s="1"/>
  <c r="BR63" i="6"/>
  <c r="BS63" i="6" s="1"/>
  <c r="CF63" i="6"/>
  <c r="CG63" i="6" s="1"/>
  <c r="BY65" i="6"/>
  <c r="BZ65" i="6" s="1"/>
  <c r="CM65" i="6"/>
  <c r="CN65" i="6" s="1"/>
  <c r="CF65" i="6"/>
  <c r="CG65" i="6" s="1"/>
  <c r="BR65" i="6"/>
  <c r="BS65" i="6" s="1"/>
  <c r="CM105" i="6"/>
  <c r="CN105" i="6" s="1"/>
  <c r="BR105" i="6"/>
  <c r="BS105" i="6" s="1"/>
  <c r="CF105" i="6"/>
  <c r="CG105" i="6" s="1"/>
  <c r="BY105" i="6"/>
  <c r="BZ105" i="6" s="1"/>
  <c r="CF107" i="6"/>
  <c r="CG107" i="6" s="1"/>
  <c r="CM107" i="6"/>
  <c r="CN107" i="6" s="1"/>
  <c r="BY107" i="6"/>
  <c r="BZ107" i="6" s="1"/>
  <c r="BR107" i="6"/>
  <c r="BS107" i="6" s="1"/>
  <c r="CM109" i="6"/>
  <c r="CN109" i="6" s="1"/>
  <c r="CF109" i="6"/>
  <c r="CG109" i="6" s="1"/>
  <c r="BR109" i="6"/>
  <c r="BS109" i="6" s="1"/>
  <c r="BY109" i="6"/>
  <c r="BZ109" i="6" s="1"/>
  <c r="CF111" i="6"/>
  <c r="CG111" i="6" s="1"/>
  <c r="CM111" i="6"/>
  <c r="CN111" i="6" s="1"/>
  <c r="BY111" i="6"/>
  <c r="BZ111" i="6" s="1"/>
  <c r="BR111" i="6"/>
  <c r="BS111" i="6" s="1"/>
  <c r="CM10" i="6"/>
  <c r="CN10" i="6" s="1"/>
  <c r="CF10" i="6"/>
  <c r="CG10" i="6" s="1"/>
  <c r="CF21" i="6"/>
  <c r="CG21" i="6" s="1"/>
  <c r="BR21" i="6"/>
  <c r="BS21" i="6" s="1"/>
  <c r="CM21" i="6"/>
  <c r="CN21" i="6" s="1"/>
  <c r="BR28" i="6"/>
  <c r="BS28" i="6" s="1"/>
  <c r="CM28" i="6"/>
  <c r="CN28" i="6" s="1"/>
  <c r="CM22" i="6"/>
  <c r="CN22" i="6" s="1"/>
  <c r="BR22" i="6"/>
  <c r="BS22" i="6" s="1"/>
  <c r="CF64" i="6"/>
  <c r="CG64" i="6" s="1"/>
  <c r="BR64" i="6"/>
  <c r="BS64" i="6" s="1"/>
  <c r="BY64" i="6"/>
  <c r="BZ64" i="6" s="1"/>
  <c r="CM64" i="6"/>
  <c r="CN64" i="6" s="1"/>
  <c r="CM104" i="6"/>
  <c r="CN104" i="6" s="1"/>
  <c r="BR104" i="6"/>
  <c r="BS104" i="6" s="1"/>
  <c r="CF104" i="6"/>
  <c r="CG104" i="6" s="1"/>
  <c r="BY104" i="6"/>
  <c r="BZ104" i="6" s="1"/>
  <c r="BR106" i="6"/>
  <c r="BS106" i="6" s="1"/>
  <c r="CF106" i="6"/>
  <c r="CG106" i="6" s="1"/>
  <c r="CM106" i="6"/>
  <c r="CN106" i="6" s="1"/>
  <c r="BY106" i="6"/>
  <c r="BZ106" i="6" s="1"/>
  <c r="BY108" i="6"/>
  <c r="BZ108" i="6" s="1"/>
  <c r="CM108" i="6"/>
  <c r="CN108" i="6" s="1"/>
  <c r="CF108" i="6"/>
  <c r="CG108" i="6" s="1"/>
  <c r="BR108" i="6"/>
  <c r="BS108" i="6" s="1"/>
  <c r="BY110" i="6"/>
  <c r="BZ110" i="6" s="1"/>
  <c r="BR110" i="6"/>
  <c r="BS110" i="6" s="1"/>
  <c r="CM110" i="6"/>
  <c r="CN110" i="6" s="1"/>
  <c r="CF110" i="6"/>
  <c r="CG110" i="6" s="1"/>
  <c r="D64" i="6"/>
  <c r="D104" i="6"/>
  <c r="D106" i="6"/>
  <c r="D108" i="6"/>
  <c r="D110" i="6"/>
  <c r="D111" i="6"/>
  <c r="D42" i="6"/>
  <c r="D44" i="6"/>
  <c r="D60" i="6"/>
  <c r="D62" i="6"/>
  <c r="D9" i="6"/>
  <c r="D12" i="6"/>
  <c r="D18" i="6"/>
  <c r="D20" i="6"/>
  <c r="D22" i="6"/>
  <c r="D24" i="6"/>
  <c r="D26" i="6"/>
  <c r="D28" i="6"/>
  <c r="D34" i="6"/>
  <c r="D36" i="6"/>
  <c r="D38" i="6"/>
  <c r="D40" i="6"/>
  <c r="D13" i="6"/>
  <c r="D17" i="6"/>
  <c r="D25" i="6"/>
  <c r="D29" i="6"/>
  <c r="D33" i="6"/>
  <c r="D41" i="6"/>
  <c r="D45" i="6"/>
  <c r="D49" i="6"/>
  <c r="D8" i="6"/>
  <c r="D4" i="6"/>
  <c r="D6" i="6"/>
  <c r="D10" i="6"/>
  <c r="D39" i="6"/>
  <c r="D5" i="6"/>
  <c r="D16" i="6"/>
  <c r="D65" i="6"/>
  <c r="D32" i="6"/>
  <c r="D3" i="6"/>
  <c r="D23" i="6"/>
  <c r="D48" i="6"/>
  <c r="D7" i="6"/>
  <c r="D11" i="6"/>
  <c r="D27" i="6"/>
  <c r="D43" i="6"/>
  <c r="D15" i="6"/>
  <c r="D31" i="6"/>
  <c r="D47" i="6"/>
  <c r="D14" i="6"/>
  <c r="D19" i="6"/>
  <c r="D21" i="6"/>
  <c r="D30" i="6"/>
  <c r="D35" i="6"/>
  <c r="D37" i="6"/>
  <c r="D46" i="6"/>
  <c r="D61" i="6"/>
  <c r="D63" i="6"/>
  <c r="D105" i="6"/>
  <c r="D107" i="6"/>
  <c r="D109" i="6"/>
  <c r="K111" i="6"/>
  <c r="K110" i="6"/>
  <c r="K109" i="6"/>
  <c r="K108" i="6"/>
  <c r="K107" i="6"/>
  <c r="K106" i="6"/>
  <c r="K105" i="6"/>
  <c r="K104" i="6"/>
  <c r="K65" i="6"/>
  <c r="K64" i="6"/>
  <c r="K63" i="6"/>
  <c r="K62" i="6"/>
  <c r="K61" i="6"/>
  <c r="K60" i="6"/>
  <c r="G2" i="6"/>
  <c r="F2" i="6"/>
  <c r="AN2" i="6" s="1"/>
  <c r="AO2" i="6" s="1"/>
  <c r="E2" i="6"/>
  <c r="H26" i="6"/>
  <c r="BY28" i="6" s="1"/>
  <c r="H27" i="6"/>
  <c r="BY13" i="6" s="1"/>
  <c r="H28" i="6"/>
  <c r="H29" i="6"/>
  <c r="CM29" i="6" s="1"/>
  <c r="H30" i="6"/>
  <c r="BR19" i="6" s="1"/>
  <c r="H31" i="6"/>
  <c r="BR41" i="6" s="1"/>
  <c r="H32" i="6"/>
  <c r="H33" i="6"/>
  <c r="CF49" i="6" s="1"/>
  <c r="H34" i="6"/>
  <c r="BY22" i="6" s="1"/>
  <c r="H35" i="6"/>
  <c r="BR29" i="6" s="1"/>
  <c r="H36" i="6"/>
  <c r="BR36" i="6" s="1"/>
  <c r="H37" i="6"/>
  <c r="CF32" i="6" s="1"/>
  <c r="H38" i="6"/>
  <c r="BY38" i="6" s="1"/>
  <c r="H39" i="6"/>
  <c r="H40" i="6"/>
  <c r="CF45" i="6" s="1"/>
  <c r="H42" i="6"/>
  <c r="CF15" i="6" s="1"/>
  <c r="H43" i="6"/>
  <c r="H44" i="6"/>
  <c r="H45" i="6"/>
  <c r="CM23" i="6" s="1"/>
  <c r="H46" i="6"/>
  <c r="H47" i="6"/>
  <c r="BY48" i="6" s="1"/>
  <c r="A4" i="3"/>
  <c r="F4" i="3" s="1"/>
  <c r="A3" i="3"/>
  <c r="F3" i="3" s="1"/>
  <c r="A2" i="3"/>
  <c r="F2" i="3" s="1"/>
  <c r="H25" i="6"/>
  <c r="H24" i="6"/>
  <c r="CF35" i="6" s="1"/>
  <c r="H23" i="6"/>
  <c r="CF26" i="6" s="1"/>
  <c r="H22" i="6"/>
  <c r="CF25" i="6" s="1"/>
  <c r="H21" i="6"/>
  <c r="BY47" i="6" s="1"/>
  <c r="H20" i="6"/>
  <c r="BY18" i="6" s="1"/>
  <c r="H19" i="6"/>
  <c r="H18" i="6"/>
  <c r="CM36" i="6" s="1"/>
  <c r="H17" i="6"/>
  <c r="CM46" i="6" s="1"/>
  <c r="H15" i="6"/>
  <c r="BR15" i="6" s="1"/>
  <c r="H14" i="6"/>
  <c r="H13" i="6"/>
  <c r="H12" i="6"/>
  <c r="H11" i="6"/>
  <c r="H10" i="6"/>
  <c r="BY21" i="6" s="1"/>
  <c r="H8" i="6"/>
  <c r="H7" i="6"/>
  <c r="H5" i="6"/>
  <c r="H4" i="6"/>
  <c r="H3" i="6"/>
  <c r="BY33" i="6" s="1"/>
  <c r="Z23" i="2"/>
  <c r="CF24" i="6" l="1"/>
  <c r="CF37" i="6"/>
  <c r="CF40" i="6"/>
  <c r="BY27" i="6"/>
  <c r="BY39" i="6"/>
  <c r="CF44" i="6"/>
  <c r="CF3" i="6"/>
  <c r="CF43" i="6"/>
  <c r="BY34" i="6"/>
  <c r="BY46" i="6"/>
  <c r="BR2" i="6"/>
  <c r="BS2" i="6" s="1"/>
  <c r="BY26" i="6"/>
  <c r="BY4" i="6"/>
  <c r="BR5" i="6"/>
  <c r="BY7" i="6"/>
  <c r="CF23" i="6"/>
  <c r="BY32" i="6"/>
  <c r="CF2" i="6"/>
  <c r="CG2" i="6" s="1"/>
  <c r="BY25" i="6"/>
  <c r="AX2" i="6"/>
  <c r="AY2" i="6" s="1"/>
  <c r="CF8" i="6"/>
  <c r="BY6" i="6"/>
  <c r="CF12" i="6"/>
  <c r="BY11" i="6"/>
  <c r="BR30" i="6"/>
  <c r="BR31" i="6"/>
  <c r="CF7" i="6"/>
  <c r="BR35" i="6"/>
  <c r="CM18" i="6"/>
  <c r="CF13" i="6"/>
  <c r="BY20" i="6"/>
  <c r="CF33" i="6"/>
  <c r="CF42" i="6"/>
  <c r="CF19" i="6"/>
  <c r="BH2" i="6"/>
  <c r="BI2" i="6" s="1"/>
  <c r="CF22" i="6"/>
  <c r="CF28" i="6"/>
  <c r="BY10" i="6"/>
  <c r="CM17" i="6"/>
  <c r="BY12" i="6"/>
  <c r="CM45" i="6"/>
  <c r="BY3" i="6"/>
  <c r="J11" i="6"/>
  <c r="N3" i="4"/>
  <c r="BH14" i="6"/>
  <c r="BJ43" i="6" s="1"/>
  <c r="AN14" i="6"/>
  <c r="AO14" i="6" s="1"/>
  <c r="AX14" i="6"/>
  <c r="AY14" i="6" s="1"/>
  <c r="BJ11" i="6"/>
  <c r="BJ29" i="6"/>
  <c r="AZ41" i="6"/>
  <c r="AZ8" i="6"/>
  <c r="BJ20" i="6"/>
  <c r="AP40" i="6"/>
  <c r="AP111" i="6"/>
  <c r="BJ109" i="6"/>
  <c r="AZ107" i="6"/>
  <c r="AZ65" i="6"/>
  <c r="AZ63" i="6"/>
  <c r="AP61" i="6"/>
  <c r="AZ15" i="6"/>
  <c r="AZ16" i="6"/>
  <c r="AP22" i="6"/>
  <c r="BJ28" i="6"/>
  <c r="AZ25" i="6"/>
  <c r="AZ24" i="6"/>
  <c r="AZ38" i="6"/>
  <c r="AP49" i="6"/>
  <c r="BJ34" i="6"/>
  <c r="AP47" i="6"/>
  <c r="BJ46" i="6"/>
  <c r="AP31" i="6"/>
  <c r="AP110" i="6"/>
  <c r="AP108" i="6"/>
  <c r="AP106" i="6"/>
  <c r="AZ64" i="6"/>
  <c r="AP62" i="6"/>
  <c r="AZ60" i="6"/>
  <c r="AP12" i="6"/>
  <c r="AP5" i="6"/>
  <c r="AP7" i="6"/>
  <c r="AP9" i="6"/>
  <c r="AZ11" i="6"/>
  <c r="AP29" i="6"/>
  <c r="BJ26" i="6"/>
  <c r="AP8" i="6"/>
  <c r="AP20" i="6"/>
  <c r="AZ33" i="6"/>
  <c r="AZ111" i="6"/>
  <c r="AZ109" i="6"/>
  <c r="BJ105" i="6"/>
  <c r="AP65" i="6"/>
  <c r="BJ63" i="6"/>
  <c r="BJ42" i="6"/>
  <c r="BJ15" i="6"/>
  <c r="BJ16" i="6"/>
  <c r="AZ19" i="6"/>
  <c r="AP28" i="6"/>
  <c r="AP25" i="6"/>
  <c r="BJ21" i="6"/>
  <c r="AP38" i="6"/>
  <c r="BJ49" i="6"/>
  <c r="BJ27" i="6"/>
  <c r="BJ47" i="6"/>
  <c r="AZ46" i="6"/>
  <c r="BJ17" i="6"/>
  <c r="BJ110" i="6"/>
  <c r="BJ108" i="6"/>
  <c r="AZ104" i="6"/>
  <c r="AP64" i="6"/>
  <c r="BJ62" i="6"/>
  <c r="BJ30" i="6"/>
  <c r="BJ12" i="6"/>
  <c r="AZ5" i="6"/>
  <c r="AZ44" i="6"/>
  <c r="AZ9" i="6"/>
  <c r="BJ4" i="6"/>
  <c r="AP11" i="6"/>
  <c r="BJ41" i="6"/>
  <c r="AZ26" i="6"/>
  <c r="BJ8" i="6"/>
  <c r="AZ40" i="6"/>
  <c r="BJ33" i="6"/>
  <c r="BJ111" i="6"/>
  <c r="BJ107" i="6"/>
  <c r="AP105" i="6"/>
  <c r="BJ65" i="6"/>
  <c r="AZ61" i="6"/>
  <c r="AZ42" i="6"/>
  <c r="AP15" i="6"/>
  <c r="BJ22" i="6"/>
  <c r="BJ19" i="6"/>
  <c r="AZ28" i="6"/>
  <c r="AP21" i="6"/>
  <c r="BJ38" i="6"/>
  <c r="AP34" i="6"/>
  <c r="AZ27" i="6"/>
  <c r="BJ31" i="6"/>
  <c r="AZ17" i="6"/>
  <c r="AZ110" i="6"/>
  <c r="AZ106" i="6"/>
  <c r="AP104" i="6"/>
  <c r="BJ64" i="6"/>
  <c r="AP60" i="6"/>
  <c r="AP30" i="6"/>
  <c r="AZ12" i="6"/>
  <c r="AZ7" i="6"/>
  <c r="AP44" i="6"/>
  <c r="BJ9" i="6"/>
  <c r="AP4" i="6"/>
  <c r="AZ29" i="6"/>
  <c r="AP41" i="6"/>
  <c r="AP26" i="6"/>
  <c r="AP33" i="6"/>
  <c r="AP109" i="6"/>
  <c r="AP107" i="6"/>
  <c r="AZ105" i="6"/>
  <c r="AP63" i="6"/>
  <c r="BJ61" i="6"/>
  <c r="AP42" i="6"/>
  <c r="AP16" i="6"/>
  <c r="AZ22" i="6"/>
  <c r="AP19" i="6"/>
  <c r="BJ25" i="6"/>
  <c r="BJ24" i="6"/>
  <c r="AZ21" i="6"/>
  <c r="AZ49" i="6"/>
  <c r="AZ34" i="6"/>
  <c r="AP46" i="6"/>
  <c r="AZ31" i="6"/>
  <c r="AP17" i="6"/>
  <c r="AZ108" i="6"/>
  <c r="BJ106" i="6"/>
  <c r="BJ104" i="6"/>
  <c r="AZ62" i="6"/>
  <c r="BJ60" i="6"/>
  <c r="AZ30" i="6"/>
  <c r="BJ5" i="6"/>
  <c r="BJ7" i="6"/>
  <c r="BJ44" i="6"/>
  <c r="AZ4" i="6"/>
  <c r="AZ39" i="6"/>
  <c r="AP6" i="6"/>
  <c r="AZ10" i="6"/>
  <c r="AZ36" i="6"/>
  <c r="BJ3" i="6"/>
  <c r="AZ23" i="6"/>
  <c r="AZ35" i="6"/>
  <c r="BJ32" i="6"/>
  <c r="BJ48" i="6"/>
  <c r="AP2" i="6"/>
  <c r="AP13" i="6"/>
  <c r="BJ6" i="6"/>
  <c r="BJ10" i="6"/>
  <c r="AP37" i="6"/>
  <c r="BJ36" i="6"/>
  <c r="AZ3" i="6"/>
  <c r="AP43" i="6"/>
  <c r="BJ35" i="6"/>
  <c r="AZ32" i="6"/>
  <c r="AP18" i="6"/>
  <c r="BJ39" i="6"/>
  <c r="AZ13" i="6"/>
  <c r="AZ6" i="6"/>
  <c r="AZ45" i="6"/>
  <c r="AZ37" i="6"/>
  <c r="AP36" i="6"/>
  <c r="BJ23" i="6"/>
  <c r="AP48" i="6"/>
  <c r="BJ18" i="6"/>
  <c r="AP39" i="6"/>
  <c r="AP10" i="6"/>
  <c r="AP45" i="6"/>
  <c r="BJ37" i="6"/>
  <c r="AP3" i="6"/>
  <c r="AP23" i="6"/>
  <c r="AZ43" i="6"/>
  <c r="AP32" i="6"/>
  <c r="AF109" i="6"/>
  <c r="AF105" i="6"/>
  <c r="AF63" i="6"/>
  <c r="AF49" i="6"/>
  <c r="AF42" i="6"/>
  <c r="AF34" i="6"/>
  <c r="AF26" i="6"/>
  <c r="AF18" i="6"/>
  <c r="AF10" i="6"/>
  <c r="AF36" i="6"/>
  <c r="AF20" i="6"/>
  <c r="AF4" i="6"/>
  <c r="AF37" i="6"/>
  <c r="AF29" i="6"/>
  <c r="AF21" i="6"/>
  <c r="AF13" i="6"/>
  <c r="AF5" i="6"/>
  <c r="AF106" i="6"/>
  <c r="AF64" i="6"/>
  <c r="AF60" i="6"/>
  <c r="AF44" i="6"/>
  <c r="AF28" i="6"/>
  <c r="AF16" i="6"/>
  <c r="AF47" i="6"/>
  <c r="AF39" i="6"/>
  <c r="AF31" i="6"/>
  <c r="AF23" i="6"/>
  <c r="AF15" i="6"/>
  <c r="AF7" i="6"/>
  <c r="AD2" i="6"/>
  <c r="AF111" i="6"/>
  <c r="AF107" i="6"/>
  <c r="AF65" i="6"/>
  <c r="AF61" i="6"/>
  <c r="AF46" i="6"/>
  <c r="AF38" i="6"/>
  <c r="AF30" i="6"/>
  <c r="AF22" i="6"/>
  <c r="AF14" i="6"/>
  <c r="AF6" i="6"/>
  <c r="AF32" i="6"/>
  <c r="AF12" i="6"/>
  <c r="AF3" i="6"/>
  <c r="AF41" i="6"/>
  <c r="AF33" i="6"/>
  <c r="AF25" i="6"/>
  <c r="AF17" i="6"/>
  <c r="AF9" i="6"/>
  <c r="AF108" i="6"/>
  <c r="AF104" i="6"/>
  <c r="AF62" i="6"/>
  <c r="AF48" i="6"/>
  <c r="AF40" i="6"/>
  <c r="AF24" i="6"/>
  <c r="AF43" i="6"/>
  <c r="AF35" i="6"/>
  <c r="AF27" i="6"/>
  <c r="AF19" i="6"/>
  <c r="AF110" i="6"/>
  <c r="V109" i="6"/>
  <c r="V45" i="6"/>
  <c r="V29" i="6"/>
  <c r="V21" i="6"/>
  <c r="V13" i="6"/>
  <c r="V5" i="6"/>
  <c r="V35" i="6"/>
  <c r="V11" i="6"/>
  <c r="V63" i="6"/>
  <c r="V49" i="6"/>
  <c r="V34" i="6"/>
  <c r="V110" i="6"/>
  <c r="V106" i="6"/>
  <c r="V64" i="6"/>
  <c r="V60" i="6"/>
  <c r="V36" i="6"/>
  <c r="V20" i="6"/>
  <c r="V12" i="6"/>
  <c r="V4" i="6"/>
  <c r="V39" i="6"/>
  <c r="V23" i="6"/>
  <c r="V15" i="6"/>
  <c r="V105" i="6"/>
  <c r="V10" i="6"/>
  <c r="V26" i="6"/>
  <c r="V44" i="6"/>
  <c r="V28" i="6"/>
  <c r="T2" i="6"/>
  <c r="U2" i="6" s="1"/>
  <c r="V111" i="6"/>
  <c r="V107" i="6"/>
  <c r="V41" i="6"/>
  <c r="V33" i="6"/>
  <c r="V25" i="6"/>
  <c r="V17" i="6"/>
  <c r="V9" i="6"/>
  <c r="V27" i="6"/>
  <c r="V7" i="6"/>
  <c r="V61" i="6"/>
  <c r="V42" i="6"/>
  <c r="V30" i="6"/>
  <c r="V22" i="6"/>
  <c r="V14" i="6"/>
  <c r="V104" i="6"/>
  <c r="V62" i="6"/>
  <c r="V48" i="6"/>
  <c r="V40" i="6"/>
  <c r="V32" i="6"/>
  <c r="V24" i="6"/>
  <c r="V16" i="6"/>
  <c r="V8" i="6"/>
  <c r="V43" i="6"/>
  <c r="V31" i="6"/>
  <c r="V19" i="6"/>
  <c r="V3" i="6"/>
  <c r="V65" i="6"/>
  <c r="V6" i="6"/>
  <c r="V47" i="6"/>
  <c r="V108" i="6"/>
  <c r="V38" i="6"/>
  <c r="BT104" i="6"/>
  <c r="CH21" i="6"/>
  <c r="BT63" i="6"/>
  <c r="BT34" i="6"/>
  <c r="CO30" i="6"/>
  <c r="CO7" i="6"/>
  <c r="CA35" i="6"/>
  <c r="CO48" i="6"/>
  <c r="BT11" i="6"/>
  <c r="CH20" i="6"/>
  <c r="CA40" i="6"/>
  <c r="CO61" i="6"/>
  <c r="CA15" i="6"/>
  <c r="CF14" i="6"/>
  <c r="BR14" i="6"/>
  <c r="BS14" i="6" s="1"/>
  <c r="BY14" i="6"/>
  <c r="BZ14" i="6" s="1"/>
  <c r="BT106" i="6"/>
  <c r="CO22" i="6"/>
  <c r="CH109" i="6"/>
  <c r="CO43" i="6"/>
  <c r="CO60" i="6"/>
  <c r="CH108" i="6"/>
  <c r="CO64" i="6"/>
  <c r="CH10" i="6"/>
  <c r="CO107" i="6"/>
  <c r="BT65" i="6"/>
  <c r="CA49" i="6"/>
  <c r="CO47" i="6"/>
  <c r="BT62" i="6"/>
  <c r="BT12" i="6"/>
  <c r="BT45" i="6"/>
  <c r="CO37" i="6"/>
  <c r="BT8" i="6"/>
  <c r="BT110" i="6"/>
  <c r="CA111" i="6"/>
  <c r="BT32" i="6"/>
  <c r="CO31" i="6"/>
  <c r="CH17" i="6"/>
  <c r="CA44" i="6"/>
  <c r="CO16" i="6"/>
  <c r="CA19" i="6"/>
  <c r="CO24" i="6"/>
  <c r="CA110" i="6"/>
  <c r="CO108" i="6"/>
  <c r="CA106" i="6"/>
  <c r="CO104" i="6"/>
  <c r="CA64" i="6"/>
  <c r="CO28" i="6"/>
  <c r="CO10" i="6"/>
  <c r="CO111" i="6"/>
  <c r="CO109" i="6"/>
  <c r="CA105" i="6"/>
  <c r="CO105" i="6"/>
  <c r="CH65" i="6"/>
  <c r="CA63" i="6"/>
  <c r="BT23" i="6"/>
  <c r="CO32" i="6"/>
  <c r="CO27" i="6"/>
  <c r="BT46" i="6"/>
  <c r="CA31" i="6"/>
  <c r="CA62" i="6"/>
  <c r="CH60" i="6"/>
  <c r="CO12" i="6"/>
  <c r="CA5" i="6"/>
  <c r="CO44" i="6"/>
  <c r="BT18" i="6"/>
  <c r="CO3" i="6"/>
  <c r="BT4" i="6"/>
  <c r="BT37" i="6"/>
  <c r="CH11" i="6"/>
  <c r="CA29" i="6"/>
  <c r="CA41" i="6"/>
  <c r="CO26" i="6"/>
  <c r="CO6" i="6"/>
  <c r="BT40" i="6"/>
  <c r="BT33" i="6"/>
  <c r="BT61" i="6"/>
  <c r="CH61" i="6"/>
  <c r="BT42" i="6"/>
  <c r="BT39" i="6"/>
  <c r="BT25" i="6"/>
  <c r="CA36" i="6"/>
  <c r="CA24" i="6"/>
  <c r="CH110" i="6"/>
  <c r="CA108" i="6"/>
  <c r="CO106" i="6"/>
  <c r="CA104" i="6"/>
  <c r="BT64" i="6"/>
  <c r="BT22" i="6"/>
  <c r="BT28" i="6"/>
  <c r="CO21" i="6"/>
  <c r="CH111" i="6"/>
  <c r="CA109" i="6"/>
  <c r="BT107" i="6"/>
  <c r="CH107" i="6"/>
  <c r="CH105" i="6"/>
  <c r="CO65" i="6"/>
  <c r="CO63" i="6"/>
  <c r="BT38" i="6"/>
  <c r="CH34" i="6"/>
  <c r="BT27" i="6"/>
  <c r="BT47" i="6"/>
  <c r="CH46" i="6"/>
  <c r="BT43" i="6"/>
  <c r="CO62" i="6"/>
  <c r="BT60" i="6"/>
  <c r="CA30" i="6"/>
  <c r="CA45" i="6"/>
  <c r="CO5" i="6"/>
  <c r="BT7" i="6"/>
  <c r="BT9" i="6"/>
  <c r="BT2" i="6"/>
  <c r="CH4" i="6"/>
  <c r="CO11" i="6"/>
  <c r="CH29" i="6"/>
  <c r="CO13" i="6"/>
  <c r="CA8" i="6"/>
  <c r="CO20" i="6"/>
  <c r="CO33" i="6"/>
  <c r="CA61" i="6"/>
  <c r="CH39" i="6"/>
  <c r="BT16" i="6"/>
  <c r="CO19" i="6"/>
  <c r="CO110" i="6"/>
  <c r="BT108" i="6"/>
  <c r="CH106" i="6"/>
  <c r="CH104" i="6"/>
  <c r="CH64" i="6"/>
  <c r="BT21" i="6"/>
  <c r="BT111" i="6"/>
  <c r="BT109" i="6"/>
  <c r="CA107" i="6"/>
  <c r="BT105" i="6"/>
  <c r="CA65" i="6"/>
  <c r="CH63" i="6"/>
  <c r="CA23" i="6"/>
  <c r="CH38" i="6"/>
  <c r="BT49" i="6"/>
  <c r="CH27" i="6"/>
  <c r="CH47" i="6"/>
  <c r="CA43" i="6"/>
  <c r="CA17" i="6"/>
  <c r="CH62" i="6"/>
  <c r="CA60" i="6"/>
  <c r="CH30" i="6"/>
  <c r="CH5" i="6"/>
  <c r="BT44" i="6"/>
  <c r="CO35" i="6"/>
  <c r="CH18" i="6"/>
  <c r="CO9" i="6"/>
  <c r="CH2" i="6"/>
  <c r="BT3" i="6"/>
  <c r="CO4" i="6"/>
  <c r="CH48" i="6"/>
  <c r="CA37" i="6"/>
  <c r="CH41" i="6"/>
  <c r="BT13" i="6"/>
  <c r="BT26" i="6"/>
  <c r="CO8" i="6"/>
  <c r="CH6" i="6"/>
  <c r="CO40" i="6"/>
  <c r="CA42" i="6"/>
  <c r="CO39" i="6"/>
  <c r="CO15" i="6"/>
  <c r="CH16" i="6"/>
  <c r="CO25" i="6"/>
  <c r="CH36" i="6"/>
  <c r="BT24" i="6"/>
  <c r="M29" i="6"/>
  <c r="CM34" i="6"/>
  <c r="M12" i="6"/>
  <c r="BY2" i="6"/>
  <c r="M5" i="6"/>
  <c r="BR17" i="6"/>
  <c r="M15" i="6"/>
  <c r="BR20" i="6"/>
  <c r="H2" i="6"/>
  <c r="Y40" i="2"/>
  <c r="Y14" i="2"/>
  <c r="Y27" i="2"/>
  <c r="Y33" i="2"/>
  <c r="Y13" i="2"/>
  <c r="Y41" i="2"/>
  <c r="Y28" i="2"/>
  <c r="Y11" i="2"/>
  <c r="Y38" i="2"/>
  <c r="Y37" i="2"/>
  <c r="Y32" i="2"/>
  <c r="Y16" i="2"/>
  <c r="Y15" i="2"/>
  <c r="Y35" i="2"/>
  <c r="Y18" i="2"/>
  <c r="Y47" i="2"/>
  <c r="Y4" i="2"/>
  <c r="Y25" i="2"/>
  <c r="Y22" i="2"/>
  <c r="Y50" i="2"/>
  <c r="Y44" i="2"/>
  <c r="Y36" i="2"/>
  <c r="Y12" i="2"/>
  <c r="Y39" i="2"/>
  <c r="Y6" i="2"/>
  <c r="Y20" i="2"/>
  <c r="Y49" i="2"/>
  <c r="Y48" i="2"/>
  <c r="Y46" i="2"/>
  <c r="Y7" i="2"/>
  <c r="Y34" i="2"/>
  <c r="Y29" i="2"/>
  <c r="Y31" i="2"/>
  <c r="Y19" i="2"/>
  <c r="Y45" i="2"/>
  <c r="Y10" i="2"/>
  <c r="Y5" i="2"/>
  <c r="Y3" i="2"/>
  <c r="Y21" i="2"/>
  <c r="Y30" i="2"/>
  <c r="Y42" i="2"/>
  <c r="Y17" i="2"/>
  <c r="Y43" i="2"/>
  <c r="Y8" i="2"/>
  <c r="Y9" i="2"/>
  <c r="Y26" i="2"/>
  <c r="Y24" i="2"/>
  <c r="H9" i="6"/>
  <c r="CF9" i="6" s="1"/>
  <c r="H6" i="6"/>
  <c r="H41" i="6"/>
  <c r="CM41" i="6" s="1"/>
  <c r="H16" i="6"/>
  <c r="BY16" i="6" s="1"/>
  <c r="D2" i="6"/>
  <c r="M14" i="6"/>
  <c r="M31" i="6"/>
  <c r="N31" i="6" s="1"/>
  <c r="M4" i="6"/>
  <c r="M17" i="6"/>
  <c r="M39" i="6"/>
  <c r="M3" i="6"/>
  <c r="M30" i="6"/>
  <c r="M21" i="6"/>
  <c r="M23" i="6"/>
  <c r="M20" i="6"/>
  <c r="M10" i="6"/>
  <c r="M44" i="6"/>
  <c r="M35" i="6"/>
  <c r="M8" i="6"/>
  <c r="M18" i="6"/>
  <c r="M45" i="6"/>
  <c r="M24" i="6"/>
  <c r="M26" i="6"/>
  <c r="M34" i="6"/>
  <c r="M27" i="6"/>
  <c r="M28" i="6"/>
  <c r="N28" i="6" s="1"/>
  <c r="M13" i="6"/>
  <c r="N13" i="6" s="1"/>
  <c r="M42" i="6"/>
  <c r="M32" i="6"/>
  <c r="M19" i="6"/>
  <c r="N19" i="6" s="1"/>
  <c r="M40" i="6"/>
  <c r="N40" i="6" s="1"/>
  <c r="M22" i="6"/>
  <c r="M7" i="6"/>
  <c r="M47" i="6"/>
  <c r="M33" i="6"/>
  <c r="M16" i="6"/>
  <c r="N16" i="6" s="1"/>
  <c r="M11" i="6"/>
  <c r="M43" i="6"/>
  <c r="M37" i="6"/>
  <c r="M36" i="6"/>
  <c r="M25" i="6"/>
  <c r="M38" i="6"/>
  <c r="M46" i="6"/>
  <c r="M48" i="6"/>
  <c r="M61" i="6"/>
  <c r="N61" i="6" s="1"/>
  <c r="M63" i="6"/>
  <c r="N63" i="6" s="1"/>
  <c r="M64" i="6"/>
  <c r="N64" i="6" s="1"/>
  <c r="M60" i="6"/>
  <c r="N60" i="6" s="1"/>
  <c r="M62" i="6"/>
  <c r="N62" i="6" s="1"/>
  <c r="M65" i="6"/>
  <c r="N65" i="6" s="1"/>
  <c r="M105" i="6"/>
  <c r="N105" i="6" s="1"/>
  <c r="M106" i="6"/>
  <c r="N106" i="6" s="1"/>
  <c r="M104" i="6"/>
  <c r="N104" i="6" s="1"/>
  <c r="M107" i="6"/>
  <c r="N107" i="6" s="1"/>
  <c r="M108" i="6"/>
  <c r="N108" i="6" s="1"/>
  <c r="M109" i="6"/>
  <c r="N109" i="6" s="1"/>
  <c r="M110" i="6"/>
  <c r="N110" i="6" s="1"/>
  <c r="M111" i="6"/>
  <c r="N111" i="6" s="1"/>
  <c r="M49" i="6"/>
  <c r="Y23" i="2"/>
  <c r="AZ47" i="6" l="1"/>
  <c r="AP24" i="6"/>
  <c r="AZ20" i="6"/>
  <c r="BJ2" i="6"/>
  <c r="BJ13" i="6"/>
  <c r="AZ2" i="6"/>
  <c r="BJ40" i="6"/>
  <c r="L2" i="6"/>
  <c r="M6" i="6"/>
  <c r="BR6" i="6"/>
  <c r="AP27" i="6"/>
  <c r="BI13" i="6"/>
  <c r="CM2" i="6"/>
  <c r="AZ18" i="6"/>
  <c r="AZ48" i="6"/>
  <c r="S5" i="4"/>
  <c r="R4" i="4"/>
  <c r="O3" i="4"/>
  <c r="S3" i="4"/>
  <c r="Q3" i="4"/>
  <c r="P3" i="4"/>
  <c r="S4" i="4"/>
  <c r="R3" i="4"/>
  <c r="R5" i="4"/>
  <c r="AP35" i="6"/>
  <c r="AO13" i="6"/>
  <c r="AO35" i="6" s="1"/>
  <c r="AF11" i="6"/>
  <c r="AE2" i="6"/>
  <c r="AE8" i="6" s="1"/>
  <c r="AE11" i="6" s="1"/>
  <c r="AY18" i="6"/>
  <c r="BJ45" i="6"/>
  <c r="BI14" i="6"/>
  <c r="BI43" i="6" s="1"/>
  <c r="BI45" i="6" s="1"/>
  <c r="AZ14" i="6"/>
  <c r="AP14" i="6"/>
  <c r="BJ14" i="6"/>
  <c r="AF2" i="6"/>
  <c r="AF8" i="6"/>
  <c r="AF45" i="6"/>
  <c r="V18" i="6"/>
  <c r="V2" i="6"/>
  <c r="V37" i="6"/>
  <c r="V46" i="6"/>
  <c r="BY9" i="6"/>
  <c r="CA25" i="6" s="1"/>
  <c r="BR10" i="6"/>
  <c r="CM14" i="6"/>
  <c r="CP8" i="6"/>
  <c r="CQ8" i="6" s="1"/>
  <c r="CR8" i="6"/>
  <c r="CS8" i="6" s="1"/>
  <c r="CR9" i="6"/>
  <c r="CS9" i="6" s="1"/>
  <c r="CP9" i="6"/>
  <c r="CQ9" i="6" s="1"/>
  <c r="CD60" i="6"/>
  <c r="CE60" i="6" s="1"/>
  <c r="CB60" i="6"/>
  <c r="CC60" i="6" s="1"/>
  <c r="CR13" i="6"/>
  <c r="CS13" i="6" s="1"/>
  <c r="CP13" i="6"/>
  <c r="CQ13" i="6" s="1"/>
  <c r="CK4" i="6"/>
  <c r="CL4" i="6" s="1"/>
  <c r="CI4" i="6"/>
  <c r="CJ4" i="6" s="1"/>
  <c r="BW7" i="6"/>
  <c r="BX7" i="6" s="1"/>
  <c r="BU7" i="6"/>
  <c r="BV7" i="6" s="1"/>
  <c r="BW60" i="6"/>
  <c r="BX60" i="6" s="1"/>
  <c r="BU60" i="6"/>
  <c r="BV60" i="6" s="1"/>
  <c r="CI34" i="6"/>
  <c r="CJ34" i="6" s="1"/>
  <c r="CK34" i="6"/>
  <c r="CL34" i="6" s="1"/>
  <c r="CK107" i="6"/>
  <c r="CL107" i="6" s="1"/>
  <c r="CI107" i="6"/>
  <c r="CJ107" i="6" s="1"/>
  <c r="CP21" i="6"/>
  <c r="CQ21" i="6" s="1"/>
  <c r="CR21" i="6"/>
  <c r="CS21" i="6" s="1"/>
  <c r="BW22" i="6"/>
  <c r="BX22" i="6" s="1"/>
  <c r="BU22" i="6"/>
  <c r="BV22" i="6" s="1"/>
  <c r="CB108" i="6"/>
  <c r="CC108" i="6" s="1"/>
  <c r="CD108" i="6"/>
  <c r="CE108" i="6" s="1"/>
  <c r="CB24" i="6"/>
  <c r="CC24" i="6" s="1"/>
  <c r="CD24" i="6"/>
  <c r="CE24" i="6" s="1"/>
  <c r="BU33" i="6"/>
  <c r="BV33" i="6" s="1"/>
  <c r="BW33" i="6"/>
  <c r="BX33" i="6" s="1"/>
  <c r="CR26" i="6"/>
  <c r="CS26" i="6" s="1"/>
  <c r="CP26" i="6"/>
  <c r="CQ26" i="6" s="1"/>
  <c r="CB29" i="6"/>
  <c r="CC29" i="6" s="1"/>
  <c r="CD29" i="6"/>
  <c r="CE29" i="6" s="1"/>
  <c r="CP3" i="6"/>
  <c r="CQ3" i="6" s="1"/>
  <c r="CR3" i="6"/>
  <c r="CS3" i="6" s="1"/>
  <c r="CK60" i="6"/>
  <c r="CL60" i="6" s="1"/>
  <c r="CI60" i="6"/>
  <c r="CJ60" i="6" s="1"/>
  <c r="BW46" i="6"/>
  <c r="BX46" i="6" s="1"/>
  <c r="BU46" i="6"/>
  <c r="BV46" i="6" s="1"/>
  <c r="CB63" i="6"/>
  <c r="CC63" i="6" s="1"/>
  <c r="CD63" i="6"/>
  <c r="CE63" i="6" s="1"/>
  <c r="CP109" i="6"/>
  <c r="CQ109" i="6" s="1"/>
  <c r="CR109" i="6"/>
  <c r="CS109" i="6" s="1"/>
  <c r="CR10" i="6"/>
  <c r="CS10" i="6" s="1"/>
  <c r="CP10" i="6"/>
  <c r="CQ10" i="6" s="1"/>
  <c r="CD64" i="6"/>
  <c r="CE64" i="6" s="1"/>
  <c r="CB64" i="6"/>
  <c r="CC64" i="6" s="1"/>
  <c r="CD106" i="6"/>
  <c r="CE106" i="6" s="1"/>
  <c r="CB106" i="6"/>
  <c r="CC106" i="6" s="1"/>
  <c r="CD110" i="6"/>
  <c r="CE110" i="6" s="1"/>
  <c r="CB110" i="6"/>
  <c r="CC110" i="6" s="1"/>
  <c r="CP37" i="6"/>
  <c r="CQ37" i="6" s="1"/>
  <c r="CR37" i="6"/>
  <c r="CS37" i="6" s="1"/>
  <c r="CR64" i="6"/>
  <c r="CS64" i="6" s="1"/>
  <c r="CP64" i="6"/>
  <c r="CQ64" i="6" s="1"/>
  <c r="BW106" i="6"/>
  <c r="BX106" i="6" s="1"/>
  <c r="BU106" i="6"/>
  <c r="BV106" i="6" s="1"/>
  <c r="BT14" i="6"/>
  <c r="CR48" i="6"/>
  <c r="CS48" i="6" s="1"/>
  <c r="CP48" i="6"/>
  <c r="CQ48" i="6" s="1"/>
  <c r="BW34" i="6"/>
  <c r="BX34" i="6" s="1"/>
  <c r="BU34" i="6"/>
  <c r="BV34" i="6" s="1"/>
  <c r="CI36" i="6"/>
  <c r="CJ36" i="6" s="1"/>
  <c r="CK36" i="6"/>
  <c r="CL36" i="6" s="1"/>
  <c r="CI16" i="6"/>
  <c r="CJ16" i="6" s="1"/>
  <c r="CK16" i="6"/>
  <c r="CL16" i="6" s="1"/>
  <c r="CR39" i="6"/>
  <c r="CS39" i="6" s="1"/>
  <c r="CP39" i="6"/>
  <c r="CQ39" i="6" s="1"/>
  <c r="CR40" i="6"/>
  <c r="CS40" i="6" s="1"/>
  <c r="CP40" i="6"/>
  <c r="CQ40" i="6" s="1"/>
  <c r="BU13" i="6"/>
  <c r="BV13" i="6" s="1"/>
  <c r="BW13" i="6"/>
  <c r="BX13" i="6" s="1"/>
  <c r="CI48" i="6"/>
  <c r="CJ48" i="6" s="1"/>
  <c r="CK48" i="6"/>
  <c r="CL48" i="6" s="1"/>
  <c r="BW3" i="6"/>
  <c r="BX3" i="6" s="1"/>
  <c r="BU3" i="6"/>
  <c r="BV3" i="6" s="1"/>
  <c r="CR35" i="6"/>
  <c r="CS35" i="6" s="1"/>
  <c r="CP35" i="6"/>
  <c r="CQ35" i="6" s="1"/>
  <c r="CI5" i="6"/>
  <c r="CJ5" i="6" s="1"/>
  <c r="CK5" i="6"/>
  <c r="CL5" i="6" s="1"/>
  <c r="CD17" i="6"/>
  <c r="CE17" i="6" s="1"/>
  <c r="CB17" i="6"/>
  <c r="CC17" i="6" s="1"/>
  <c r="CD43" i="6"/>
  <c r="CE43" i="6" s="1"/>
  <c r="CB43" i="6"/>
  <c r="CC43" i="6" s="1"/>
  <c r="CK27" i="6"/>
  <c r="CL27" i="6" s="1"/>
  <c r="CI27" i="6"/>
  <c r="CJ27" i="6" s="1"/>
  <c r="CD23" i="6"/>
  <c r="CE23" i="6" s="1"/>
  <c r="CB23" i="6"/>
  <c r="CC23" i="6" s="1"/>
  <c r="CD65" i="6"/>
  <c r="CE65" i="6" s="1"/>
  <c r="CB65" i="6"/>
  <c r="CC65" i="6" s="1"/>
  <c r="CD107" i="6"/>
  <c r="CE107" i="6" s="1"/>
  <c r="CB107" i="6"/>
  <c r="CC107" i="6" s="1"/>
  <c r="BW111" i="6"/>
  <c r="BX111" i="6" s="1"/>
  <c r="BU111" i="6"/>
  <c r="BV111" i="6" s="1"/>
  <c r="BU21" i="6"/>
  <c r="BV21" i="6" s="1"/>
  <c r="BW21" i="6"/>
  <c r="BX21" i="6" s="1"/>
  <c r="CI104" i="6"/>
  <c r="CJ104" i="6" s="1"/>
  <c r="CK104" i="6"/>
  <c r="CL104" i="6" s="1"/>
  <c r="BU108" i="6"/>
  <c r="BV108" i="6" s="1"/>
  <c r="BW108" i="6"/>
  <c r="BX108" i="6" s="1"/>
  <c r="CR19" i="6"/>
  <c r="CS19" i="6" s="1"/>
  <c r="CP19" i="6"/>
  <c r="CQ19" i="6" s="1"/>
  <c r="CD61" i="6"/>
  <c r="CE61" i="6" s="1"/>
  <c r="CB61" i="6"/>
  <c r="CC61" i="6" s="1"/>
  <c r="CP20" i="6"/>
  <c r="CQ20" i="6" s="1"/>
  <c r="CR20" i="6"/>
  <c r="CS20" i="6" s="1"/>
  <c r="CP11" i="6"/>
  <c r="CQ11" i="6" s="1"/>
  <c r="CR11" i="6"/>
  <c r="CS11" i="6" s="1"/>
  <c r="BU9" i="6"/>
  <c r="BV9" i="6" s="1"/>
  <c r="BW9" i="6"/>
  <c r="BX9" i="6" s="1"/>
  <c r="CB45" i="6"/>
  <c r="CC45" i="6" s="1"/>
  <c r="CD45" i="6"/>
  <c r="CE45" i="6" s="1"/>
  <c r="BU43" i="6"/>
  <c r="BV43" i="6" s="1"/>
  <c r="BW43" i="6"/>
  <c r="BX43" i="6" s="1"/>
  <c r="BU47" i="6"/>
  <c r="BV47" i="6" s="1"/>
  <c r="BW47" i="6"/>
  <c r="BX47" i="6" s="1"/>
  <c r="CR65" i="6"/>
  <c r="CS65" i="6" s="1"/>
  <c r="CP65" i="6"/>
  <c r="CQ65" i="6" s="1"/>
  <c r="CB109" i="6"/>
  <c r="CC109" i="6" s="1"/>
  <c r="CD109" i="6"/>
  <c r="CE109" i="6" s="1"/>
  <c r="CD104" i="6"/>
  <c r="CE104" i="6" s="1"/>
  <c r="CB104" i="6"/>
  <c r="CC104" i="6" s="1"/>
  <c r="BU25" i="6"/>
  <c r="BV25" i="6" s="1"/>
  <c r="BW25" i="6"/>
  <c r="BX25" i="6" s="1"/>
  <c r="BW39" i="6"/>
  <c r="BX39" i="6" s="1"/>
  <c r="BU39" i="6"/>
  <c r="BV39" i="6" s="1"/>
  <c r="CK61" i="6"/>
  <c r="CL61" i="6" s="1"/>
  <c r="CI61" i="6"/>
  <c r="CJ61" i="6" s="1"/>
  <c r="CR6" i="6"/>
  <c r="CS6" i="6" s="1"/>
  <c r="CP6" i="6"/>
  <c r="CQ6" i="6" s="1"/>
  <c r="BU37" i="6"/>
  <c r="BV37" i="6" s="1"/>
  <c r="BW37" i="6"/>
  <c r="BX37" i="6" s="1"/>
  <c r="CR44" i="6"/>
  <c r="CS44" i="6" s="1"/>
  <c r="CP44" i="6"/>
  <c r="CQ44" i="6" s="1"/>
  <c r="CB5" i="6"/>
  <c r="CC5" i="6" s="1"/>
  <c r="CD5" i="6"/>
  <c r="CE5" i="6" s="1"/>
  <c r="CP32" i="6"/>
  <c r="CQ32" i="6" s="1"/>
  <c r="CR32" i="6"/>
  <c r="CS32" i="6" s="1"/>
  <c r="CP105" i="6"/>
  <c r="CQ105" i="6" s="1"/>
  <c r="CR105" i="6"/>
  <c r="CS105" i="6" s="1"/>
  <c r="CB19" i="6"/>
  <c r="CC19" i="6" s="1"/>
  <c r="CD19" i="6"/>
  <c r="CE19" i="6" s="1"/>
  <c r="CI17" i="6"/>
  <c r="CJ17" i="6" s="1"/>
  <c r="CK17" i="6"/>
  <c r="CL17" i="6" s="1"/>
  <c r="CD111" i="6"/>
  <c r="CE111" i="6" s="1"/>
  <c r="CB111" i="6"/>
  <c r="CC111" i="6" s="1"/>
  <c r="BU45" i="6"/>
  <c r="BV45" i="6" s="1"/>
  <c r="BW45" i="6"/>
  <c r="BX45" i="6" s="1"/>
  <c r="BU62" i="6"/>
  <c r="BV62" i="6" s="1"/>
  <c r="BW62" i="6"/>
  <c r="BX62" i="6" s="1"/>
  <c r="CB49" i="6"/>
  <c r="CC49" i="6" s="1"/>
  <c r="CD49" i="6"/>
  <c r="CE49" i="6" s="1"/>
  <c r="CR107" i="6"/>
  <c r="CS107" i="6" s="1"/>
  <c r="CP107" i="6"/>
  <c r="CQ107" i="6" s="1"/>
  <c r="CP43" i="6"/>
  <c r="CQ43" i="6" s="1"/>
  <c r="CR43" i="6"/>
  <c r="CS43" i="6" s="1"/>
  <c r="CI109" i="6"/>
  <c r="CJ109" i="6" s="1"/>
  <c r="CK109" i="6"/>
  <c r="CL109" i="6" s="1"/>
  <c r="CP61" i="6"/>
  <c r="CQ61" i="6" s="1"/>
  <c r="CR61" i="6"/>
  <c r="CS61" i="6" s="1"/>
  <c r="CI20" i="6"/>
  <c r="CJ20" i="6" s="1"/>
  <c r="CK20" i="6"/>
  <c r="CL20" i="6" s="1"/>
  <c r="CP7" i="6"/>
  <c r="CQ7" i="6" s="1"/>
  <c r="CR7" i="6"/>
  <c r="CS7" i="6" s="1"/>
  <c r="CI21" i="6"/>
  <c r="CJ21" i="6" s="1"/>
  <c r="CK21" i="6"/>
  <c r="CL21" i="6" s="1"/>
  <c r="CR25" i="6"/>
  <c r="CS25" i="6" s="1"/>
  <c r="CP25" i="6"/>
  <c r="CQ25" i="6" s="1"/>
  <c r="CB42" i="6"/>
  <c r="CC42" i="6" s="1"/>
  <c r="CD42" i="6"/>
  <c r="CE42" i="6" s="1"/>
  <c r="BW26" i="6"/>
  <c r="BX26" i="6" s="1"/>
  <c r="BU26" i="6"/>
  <c r="BV26" i="6" s="1"/>
  <c r="CI2" i="6"/>
  <c r="CJ2" i="6" s="1"/>
  <c r="CK2" i="6"/>
  <c r="CL2" i="6" s="1"/>
  <c r="CI18" i="6"/>
  <c r="CJ18" i="6" s="1"/>
  <c r="CK18" i="6"/>
  <c r="CL18" i="6" s="1"/>
  <c r="CK30" i="6"/>
  <c r="CL30" i="6" s="1"/>
  <c r="CI30" i="6"/>
  <c r="CJ30" i="6" s="1"/>
  <c r="CI62" i="6"/>
  <c r="CJ62" i="6" s="1"/>
  <c r="CK62" i="6"/>
  <c r="CL62" i="6" s="1"/>
  <c r="CI47" i="6"/>
  <c r="CJ47" i="6" s="1"/>
  <c r="CK47" i="6"/>
  <c r="CL47" i="6" s="1"/>
  <c r="BU49" i="6"/>
  <c r="BV49" i="6" s="1"/>
  <c r="BW49" i="6"/>
  <c r="BX49" i="6" s="1"/>
  <c r="CK38" i="6"/>
  <c r="CL38" i="6" s="1"/>
  <c r="CI38" i="6"/>
  <c r="CJ38" i="6" s="1"/>
  <c r="BU105" i="6"/>
  <c r="BV105" i="6" s="1"/>
  <c r="BW105" i="6"/>
  <c r="BX105" i="6" s="1"/>
  <c r="CI64" i="6"/>
  <c r="CJ64" i="6" s="1"/>
  <c r="CK64" i="6"/>
  <c r="CL64" i="6" s="1"/>
  <c r="CI106" i="6"/>
  <c r="CJ106" i="6" s="1"/>
  <c r="CK106" i="6"/>
  <c r="CL106" i="6" s="1"/>
  <c r="CR110" i="6"/>
  <c r="CS110" i="6" s="1"/>
  <c r="CP110" i="6"/>
  <c r="CQ110" i="6" s="1"/>
  <c r="CP33" i="6"/>
  <c r="CQ33" i="6" s="1"/>
  <c r="CR33" i="6"/>
  <c r="CS33" i="6" s="1"/>
  <c r="BU2" i="6"/>
  <c r="BV2" i="6" s="1"/>
  <c r="BW2" i="6"/>
  <c r="BX2" i="6" s="1"/>
  <c r="CR5" i="6"/>
  <c r="CS5" i="6" s="1"/>
  <c r="CP5" i="6"/>
  <c r="CQ5" i="6" s="1"/>
  <c r="CD30" i="6"/>
  <c r="CE30" i="6" s="1"/>
  <c r="CB30" i="6"/>
  <c r="CC30" i="6" s="1"/>
  <c r="CK46" i="6"/>
  <c r="CL46" i="6" s="1"/>
  <c r="CI46" i="6"/>
  <c r="CJ46" i="6" s="1"/>
  <c r="BW38" i="6"/>
  <c r="BX38" i="6" s="1"/>
  <c r="BU38" i="6"/>
  <c r="BV38" i="6" s="1"/>
  <c r="CP63" i="6"/>
  <c r="CQ63" i="6" s="1"/>
  <c r="CR63" i="6"/>
  <c r="CS63" i="6" s="1"/>
  <c r="BW64" i="6"/>
  <c r="BX64" i="6" s="1"/>
  <c r="BU64" i="6"/>
  <c r="BV64" i="6" s="1"/>
  <c r="CR106" i="6"/>
  <c r="CS106" i="6" s="1"/>
  <c r="CP106" i="6"/>
  <c r="CQ106" i="6" s="1"/>
  <c r="CI110" i="6"/>
  <c r="CJ110" i="6" s="1"/>
  <c r="CK110" i="6"/>
  <c r="CL110" i="6" s="1"/>
  <c r="CB36" i="6"/>
  <c r="CC36" i="6" s="1"/>
  <c r="CD36" i="6"/>
  <c r="CE36" i="6" s="1"/>
  <c r="BW42" i="6"/>
  <c r="BX42" i="6" s="1"/>
  <c r="BU42" i="6"/>
  <c r="BV42" i="6" s="1"/>
  <c r="BW18" i="6"/>
  <c r="BX18" i="6" s="1"/>
  <c r="BU18" i="6"/>
  <c r="BV18" i="6" s="1"/>
  <c r="CB62" i="6"/>
  <c r="CC62" i="6" s="1"/>
  <c r="CD62" i="6"/>
  <c r="CE62" i="6" s="1"/>
  <c r="CB105" i="6"/>
  <c r="CC105" i="6" s="1"/>
  <c r="CD105" i="6"/>
  <c r="CE105" i="6" s="1"/>
  <c r="CR104" i="6"/>
  <c r="CS104" i="6" s="1"/>
  <c r="CP104" i="6"/>
  <c r="CQ104" i="6" s="1"/>
  <c r="BU12" i="6"/>
  <c r="BV12" i="6" s="1"/>
  <c r="BW12" i="6"/>
  <c r="BX12" i="6" s="1"/>
  <c r="CK10" i="6"/>
  <c r="CL10" i="6" s="1"/>
  <c r="CI10" i="6"/>
  <c r="CJ10" i="6" s="1"/>
  <c r="CR60" i="6"/>
  <c r="CS60" i="6" s="1"/>
  <c r="CP60" i="6"/>
  <c r="CQ60" i="6" s="1"/>
  <c r="CR22" i="6"/>
  <c r="CS22" i="6" s="1"/>
  <c r="CP22" i="6"/>
  <c r="CQ22" i="6" s="1"/>
  <c r="CR30" i="6"/>
  <c r="CS30" i="6" s="1"/>
  <c r="CP30" i="6"/>
  <c r="CQ30" i="6" s="1"/>
  <c r="BU24" i="6"/>
  <c r="BV24" i="6" s="1"/>
  <c r="BW24" i="6"/>
  <c r="BX24" i="6" s="1"/>
  <c r="CP15" i="6"/>
  <c r="CQ15" i="6" s="1"/>
  <c r="CR15" i="6"/>
  <c r="CS15" i="6" s="1"/>
  <c r="CI6" i="6"/>
  <c r="CJ6" i="6" s="1"/>
  <c r="CK6" i="6"/>
  <c r="CL6" i="6" s="1"/>
  <c r="CI41" i="6"/>
  <c r="CJ41" i="6" s="1"/>
  <c r="CK41" i="6"/>
  <c r="CL41" i="6" s="1"/>
  <c r="CD37" i="6"/>
  <c r="CE37" i="6" s="1"/>
  <c r="CB37" i="6"/>
  <c r="CC37" i="6" s="1"/>
  <c r="CR4" i="6"/>
  <c r="CS4" i="6" s="1"/>
  <c r="CP4" i="6"/>
  <c r="CQ4" i="6" s="1"/>
  <c r="BW44" i="6"/>
  <c r="BX44" i="6" s="1"/>
  <c r="BU44" i="6"/>
  <c r="BV44" i="6" s="1"/>
  <c r="CI63" i="6"/>
  <c r="CJ63" i="6" s="1"/>
  <c r="CK63" i="6"/>
  <c r="CL63" i="6" s="1"/>
  <c r="BU109" i="6"/>
  <c r="BV109" i="6" s="1"/>
  <c r="BW109" i="6"/>
  <c r="BX109" i="6" s="1"/>
  <c r="BU16" i="6"/>
  <c r="BV16" i="6" s="1"/>
  <c r="BW16" i="6"/>
  <c r="BX16" i="6" s="1"/>
  <c r="CK39" i="6"/>
  <c r="CL39" i="6" s="1"/>
  <c r="CI39" i="6"/>
  <c r="CJ39" i="6" s="1"/>
  <c r="CB8" i="6"/>
  <c r="CC8" i="6" s="1"/>
  <c r="CD8" i="6"/>
  <c r="CE8" i="6" s="1"/>
  <c r="CI29" i="6"/>
  <c r="CJ29" i="6" s="1"/>
  <c r="CK29" i="6"/>
  <c r="CL29" i="6" s="1"/>
  <c r="CR62" i="6"/>
  <c r="CS62" i="6" s="1"/>
  <c r="CP62" i="6"/>
  <c r="CQ62" i="6" s="1"/>
  <c r="BW27" i="6"/>
  <c r="BX27" i="6" s="1"/>
  <c r="BU27" i="6"/>
  <c r="BV27" i="6" s="1"/>
  <c r="CI105" i="6"/>
  <c r="CJ105" i="6" s="1"/>
  <c r="CK105" i="6"/>
  <c r="CL105" i="6" s="1"/>
  <c r="BW107" i="6"/>
  <c r="BX107" i="6" s="1"/>
  <c r="BU107" i="6"/>
  <c r="BV107" i="6" s="1"/>
  <c r="CK111" i="6"/>
  <c r="CL111" i="6" s="1"/>
  <c r="CI111" i="6"/>
  <c r="CJ111" i="6" s="1"/>
  <c r="BW28" i="6"/>
  <c r="BX28" i="6" s="1"/>
  <c r="BU28" i="6"/>
  <c r="BV28" i="6" s="1"/>
  <c r="BU61" i="6"/>
  <c r="BV61" i="6" s="1"/>
  <c r="BW61" i="6"/>
  <c r="BX61" i="6" s="1"/>
  <c r="BW40" i="6"/>
  <c r="BX40" i="6" s="1"/>
  <c r="BU40" i="6"/>
  <c r="BV40" i="6" s="1"/>
  <c r="CB41" i="6"/>
  <c r="CC41" i="6" s="1"/>
  <c r="CD41" i="6"/>
  <c r="CE41" i="6" s="1"/>
  <c r="CK11" i="6"/>
  <c r="CL11" i="6" s="1"/>
  <c r="CI11" i="6"/>
  <c r="CJ11" i="6" s="1"/>
  <c r="BW4" i="6"/>
  <c r="BX4" i="6" s="1"/>
  <c r="BU4" i="6"/>
  <c r="BV4" i="6" s="1"/>
  <c r="CP12" i="6"/>
  <c r="CQ12" i="6" s="1"/>
  <c r="CR12" i="6"/>
  <c r="CS12" i="6" s="1"/>
  <c r="CD31" i="6"/>
  <c r="CE31" i="6" s="1"/>
  <c r="CB31" i="6"/>
  <c r="CC31" i="6" s="1"/>
  <c r="CP27" i="6"/>
  <c r="CQ27" i="6" s="1"/>
  <c r="CR27" i="6"/>
  <c r="CS27" i="6" s="1"/>
  <c r="BU23" i="6"/>
  <c r="BV23" i="6" s="1"/>
  <c r="BW23" i="6"/>
  <c r="BX23" i="6" s="1"/>
  <c r="CK65" i="6"/>
  <c r="CL65" i="6" s="1"/>
  <c r="CI65" i="6"/>
  <c r="CJ65" i="6" s="1"/>
  <c r="CR111" i="6"/>
  <c r="CS111" i="6" s="1"/>
  <c r="CP111" i="6"/>
  <c r="CQ111" i="6" s="1"/>
  <c r="CP28" i="6"/>
  <c r="CQ28" i="6" s="1"/>
  <c r="CR28" i="6"/>
  <c r="CS28" i="6" s="1"/>
  <c r="CP108" i="6"/>
  <c r="CQ108" i="6" s="1"/>
  <c r="CR108" i="6"/>
  <c r="CS108" i="6" s="1"/>
  <c r="CP24" i="6"/>
  <c r="CQ24" i="6" s="1"/>
  <c r="CR24" i="6"/>
  <c r="CS24" i="6" s="1"/>
  <c r="CP16" i="6"/>
  <c r="CQ16" i="6" s="1"/>
  <c r="CR16" i="6"/>
  <c r="CS16" i="6" s="1"/>
  <c r="CB44" i="6"/>
  <c r="CC44" i="6" s="1"/>
  <c r="CD44" i="6"/>
  <c r="CE44" i="6" s="1"/>
  <c r="CR31" i="6"/>
  <c r="CS31" i="6" s="1"/>
  <c r="CP31" i="6"/>
  <c r="CQ31" i="6" s="1"/>
  <c r="BU32" i="6"/>
  <c r="BV32" i="6" s="1"/>
  <c r="BW32" i="6"/>
  <c r="BX32" i="6" s="1"/>
  <c r="BW110" i="6"/>
  <c r="BX110" i="6" s="1"/>
  <c r="BU110" i="6"/>
  <c r="BV110" i="6" s="1"/>
  <c r="BU8" i="6"/>
  <c r="BV8" i="6" s="1"/>
  <c r="BW8" i="6"/>
  <c r="BX8" i="6" s="1"/>
  <c r="CR47" i="6"/>
  <c r="CS47" i="6" s="1"/>
  <c r="CP47" i="6"/>
  <c r="CQ47" i="6" s="1"/>
  <c r="BW65" i="6"/>
  <c r="BX65" i="6" s="1"/>
  <c r="BU65" i="6"/>
  <c r="BV65" i="6" s="1"/>
  <c r="CI108" i="6"/>
  <c r="CJ108" i="6" s="1"/>
  <c r="CK108" i="6"/>
  <c r="CL108" i="6" s="1"/>
  <c r="CA14" i="6"/>
  <c r="CD15" i="6"/>
  <c r="CE15" i="6" s="1"/>
  <c r="CB15" i="6"/>
  <c r="CC15" i="6" s="1"/>
  <c r="CB40" i="6"/>
  <c r="CC40" i="6" s="1"/>
  <c r="CD40" i="6"/>
  <c r="CE40" i="6" s="1"/>
  <c r="BU11" i="6"/>
  <c r="BV11" i="6" s="1"/>
  <c r="BW11" i="6"/>
  <c r="BX11" i="6" s="1"/>
  <c r="CD35" i="6"/>
  <c r="CE35" i="6" s="1"/>
  <c r="CB35" i="6"/>
  <c r="CC35" i="6" s="1"/>
  <c r="BU63" i="6"/>
  <c r="BV63" i="6" s="1"/>
  <c r="BW63" i="6"/>
  <c r="BX63" i="6" s="1"/>
  <c r="BU104" i="6"/>
  <c r="BV104" i="6" s="1"/>
  <c r="BW104" i="6"/>
  <c r="BX104" i="6" s="1"/>
  <c r="M9" i="6"/>
  <c r="CF31" i="6"/>
  <c r="CH19" i="6" s="1"/>
  <c r="M2" i="6"/>
  <c r="BT19" i="6"/>
  <c r="CA27" i="6"/>
  <c r="CA4" i="6"/>
  <c r="CA28" i="6"/>
  <c r="BT17" i="6"/>
  <c r="M41" i="6"/>
  <c r="CM38" i="6"/>
  <c r="BT41" i="6"/>
  <c r="CA39" i="6"/>
  <c r="K30" i="6"/>
  <c r="O110" i="6"/>
  <c r="O62" i="6"/>
  <c r="O61" i="6"/>
  <c r="O106" i="6"/>
  <c r="K31" i="6"/>
  <c r="K36" i="6"/>
  <c r="O108" i="6"/>
  <c r="O105" i="6"/>
  <c r="O64" i="6"/>
  <c r="K23" i="6"/>
  <c r="K48" i="6"/>
  <c r="O104" i="6"/>
  <c r="O109" i="6"/>
  <c r="O60" i="6"/>
  <c r="O111" i="6"/>
  <c r="O107" i="6"/>
  <c r="O65" i="6"/>
  <c r="O63" i="6"/>
  <c r="K34" i="6"/>
  <c r="K7" i="6"/>
  <c r="K14" i="6"/>
  <c r="K3" i="6"/>
  <c r="K6" i="6"/>
  <c r="K39" i="6"/>
  <c r="K19" i="6"/>
  <c r="K46" i="6"/>
  <c r="K22" i="6"/>
  <c r="K45" i="6"/>
  <c r="K35" i="6"/>
  <c r="K15" i="6"/>
  <c r="K38" i="6"/>
  <c r="K18" i="6"/>
  <c r="K33" i="6"/>
  <c r="K21" i="6"/>
  <c r="K13" i="6"/>
  <c r="K20" i="6"/>
  <c r="K2" i="6"/>
  <c r="K29" i="6"/>
  <c r="K44" i="6"/>
  <c r="K12" i="6"/>
  <c r="K37" i="6"/>
  <c r="K17" i="6"/>
  <c r="K32" i="6"/>
  <c r="K43" i="6"/>
  <c r="K27" i="6"/>
  <c r="K11" i="6"/>
  <c r="K42" i="6"/>
  <c r="K26" i="6"/>
  <c r="K10" i="6"/>
  <c r="K41" i="6"/>
  <c r="K25" i="6"/>
  <c r="K5" i="6"/>
  <c r="K28" i="6"/>
  <c r="K16" i="6"/>
  <c r="K49" i="6"/>
  <c r="K4" i="6"/>
  <c r="K9" i="6"/>
  <c r="K47" i="6"/>
  <c r="K40" i="6"/>
  <c r="K24" i="6"/>
  <c r="K8" i="6"/>
  <c r="O16" i="6"/>
  <c r="B21" i="4" l="1"/>
  <c r="F23" i="4" s="1"/>
  <c r="B3" i="4"/>
  <c r="C3" i="4" s="1"/>
  <c r="BI40" i="6"/>
  <c r="CI19" i="6"/>
  <c r="CJ19" i="6" s="1"/>
  <c r="CK19" i="6"/>
  <c r="CD25" i="6"/>
  <c r="CE25" i="6" s="1"/>
  <c r="CB25" i="6"/>
  <c r="CN2" i="6"/>
  <c r="H17" i="10" s="1"/>
  <c r="CO18" i="6"/>
  <c r="CO49" i="6"/>
  <c r="CO45" i="6"/>
  <c r="CO17" i="6"/>
  <c r="CO2" i="6"/>
  <c r="CO29" i="6"/>
  <c r="CH14" i="6"/>
  <c r="CA13" i="6"/>
  <c r="CD13" i="6" s="1"/>
  <c r="CE13" i="6" s="1"/>
  <c r="CA46" i="6"/>
  <c r="CA3" i="6"/>
  <c r="CA34" i="6"/>
  <c r="CA32" i="6"/>
  <c r="CA12" i="6"/>
  <c r="AO24" i="6"/>
  <c r="AO27" i="6" s="1"/>
  <c r="CH13" i="6"/>
  <c r="CH22" i="6"/>
  <c r="CH42" i="6"/>
  <c r="CH28" i="6"/>
  <c r="CO41" i="6"/>
  <c r="CA26" i="6"/>
  <c r="CH9" i="6"/>
  <c r="CA20" i="6"/>
  <c r="BT15" i="6"/>
  <c r="BT6" i="6"/>
  <c r="BT35" i="6"/>
  <c r="BT48" i="6"/>
  <c r="BT31" i="6"/>
  <c r="BT36" i="6"/>
  <c r="CH7" i="6"/>
  <c r="AY48" i="6"/>
  <c r="AY20" i="6"/>
  <c r="AY47" i="6" s="1"/>
  <c r="CH33" i="6"/>
  <c r="CA10" i="6"/>
  <c r="CH23" i="6"/>
  <c r="CA38" i="6"/>
  <c r="CA33" i="6"/>
  <c r="CD33" i="6" s="1"/>
  <c r="CE33" i="6" s="1"/>
  <c r="CA48" i="6"/>
  <c r="CA2" i="6"/>
  <c r="CA9" i="6"/>
  <c r="CD9" i="6" s="1"/>
  <c r="CE9" i="6" s="1"/>
  <c r="CA7" i="6"/>
  <c r="B30" i="4"/>
  <c r="F32" i="4" s="1"/>
  <c r="CA47" i="6"/>
  <c r="CB47" i="6" s="1"/>
  <c r="CA16" i="6"/>
  <c r="CB16" i="6" s="1"/>
  <c r="CA21" i="6"/>
  <c r="CD21" i="6" s="1"/>
  <c r="CA6" i="6"/>
  <c r="CA18" i="6"/>
  <c r="CB18" i="6" s="1"/>
  <c r="CA11" i="6"/>
  <c r="CD11" i="6" s="1"/>
  <c r="CA22" i="6"/>
  <c r="CB22" i="6" s="1"/>
  <c r="CC22" i="6" s="1"/>
  <c r="AE45" i="6"/>
  <c r="H9" i="4"/>
  <c r="I9" i="4" s="1"/>
  <c r="N15" i="4"/>
  <c r="H21" i="4"/>
  <c r="J21" i="4" s="1"/>
  <c r="B6" i="4"/>
  <c r="E7" i="4" s="1"/>
  <c r="H6" i="4"/>
  <c r="H15" i="4"/>
  <c r="H3" i="4"/>
  <c r="H18" i="4"/>
  <c r="B27" i="4"/>
  <c r="E29" i="4" s="1"/>
  <c r="B9" i="4"/>
  <c r="B33" i="4"/>
  <c r="B18" i="4"/>
  <c r="D3" i="4"/>
  <c r="B15" i="4"/>
  <c r="BT10" i="6"/>
  <c r="BS5" i="6"/>
  <c r="CG3" i="6"/>
  <c r="CN14" i="6"/>
  <c r="BZ2" i="6"/>
  <c r="O21" i="6"/>
  <c r="P21" i="6" s="1"/>
  <c r="CO34" i="6"/>
  <c r="CP34" i="6" s="1"/>
  <c r="O11" i="6"/>
  <c r="P11" i="6" s="1"/>
  <c r="O6" i="6"/>
  <c r="P6" i="6" s="1"/>
  <c r="BT30" i="6"/>
  <c r="BW30" i="6" s="1"/>
  <c r="BX30" i="6" s="1"/>
  <c r="BT20" i="6"/>
  <c r="BU20" i="6" s="1"/>
  <c r="BT5" i="6"/>
  <c r="BU5" i="6" s="1"/>
  <c r="BV5" i="6" s="1"/>
  <c r="BT29" i="6"/>
  <c r="BW29" i="6" s="1"/>
  <c r="BX29" i="6" s="1"/>
  <c r="P104" i="6"/>
  <c r="Q104" i="6" s="1"/>
  <c r="P65" i="6"/>
  <c r="Q65" i="6" s="1"/>
  <c r="R109" i="6"/>
  <c r="S109" i="6" s="1"/>
  <c r="R111" i="6"/>
  <c r="S111" i="6" s="1"/>
  <c r="P62" i="6"/>
  <c r="Q62" i="6" s="1"/>
  <c r="P105" i="6"/>
  <c r="Q105" i="6" s="1"/>
  <c r="P63" i="6"/>
  <c r="Q63" i="6" s="1"/>
  <c r="R107" i="6"/>
  <c r="S107" i="6" s="1"/>
  <c r="P60" i="6"/>
  <c r="Q60" i="6" s="1"/>
  <c r="P64" i="6"/>
  <c r="Q64" i="6" s="1"/>
  <c r="P108" i="6"/>
  <c r="Q108" i="6" s="1"/>
  <c r="R106" i="6"/>
  <c r="S106" i="6" s="1"/>
  <c r="P61" i="6"/>
  <c r="Q61" i="6" s="1"/>
  <c r="P110" i="6"/>
  <c r="Q110" i="6" s="1"/>
  <c r="R110" i="6"/>
  <c r="S110" i="6" s="1"/>
  <c r="O38" i="6"/>
  <c r="O28" i="6"/>
  <c r="P28" i="6" s="1"/>
  <c r="O44" i="6"/>
  <c r="R44" i="6" s="1"/>
  <c r="O8" i="6"/>
  <c r="O48" i="6"/>
  <c r="R48" i="6" s="1"/>
  <c r="S48" i="6" s="1"/>
  <c r="O31" i="6"/>
  <c r="O32" i="6"/>
  <c r="R32" i="6" s="1"/>
  <c r="O35" i="6"/>
  <c r="P35" i="6" s="1"/>
  <c r="O36" i="6"/>
  <c r="R36" i="6" s="1"/>
  <c r="R61" i="6"/>
  <c r="S61" i="6" s="1"/>
  <c r="CO36" i="6"/>
  <c r="CP36" i="6" s="1"/>
  <c r="CQ36" i="6" s="1"/>
  <c r="O12" i="6"/>
  <c r="P12" i="6" s="1"/>
  <c r="O2" i="6"/>
  <c r="O13" i="6"/>
  <c r="R13" i="6" s="1"/>
  <c r="S13" i="6" s="1"/>
  <c r="O45" i="6"/>
  <c r="R45" i="6" s="1"/>
  <c r="O17" i="6"/>
  <c r="P17" i="6" s="1"/>
  <c r="O22" i="6"/>
  <c r="R22" i="6" s="1"/>
  <c r="O33" i="6"/>
  <c r="R33" i="6" s="1"/>
  <c r="O34" i="6"/>
  <c r="P34" i="6" s="1"/>
  <c r="O3" i="6"/>
  <c r="P3" i="6" s="1"/>
  <c r="O5" i="6"/>
  <c r="O10" i="6"/>
  <c r="R10" i="6" s="1"/>
  <c r="CK14" i="6"/>
  <c r="CL14" i="6" s="1"/>
  <c r="CI14" i="6"/>
  <c r="BW14" i="6"/>
  <c r="BX14" i="6" s="1"/>
  <c r="BU14" i="6"/>
  <c r="BV14" i="6" s="1"/>
  <c r="O41" i="6"/>
  <c r="P41" i="6" s="1"/>
  <c r="O40" i="6"/>
  <c r="P40" i="6" s="1"/>
  <c r="O37" i="6"/>
  <c r="R37" i="6" s="1"/>
  <c r="S37" i="6" s="1"/>
  <c r="O46" i="6"/>
  <c r="P46" i="6" s="1"/>
  <c r="O42" i="6"/>
  <c r="O4" i="6"/>
  <c r="P4" i="6" s="1"/>
  <c r="Q4" i="6" s="1"/>
  <c r="O30" i="6"/>
  <c r="R30" i="6" s="1"/>
  <c r="S30" i="6" s="1"/>
  <c r="O26" i="6"/>
  <c r="P26" i="6" s="1"/>
  <c r="O23" i="6"/>
  <c r="P23" i="6" s="1"/>
  <c r="O19" i="6"/>
  <c r="R19" i="6" s="1"/>
  <c r="O43" i="6"/>
  <c r="R43" i="6" s="1"/>
  <c r="S43" i="6" s="1"/>
  <c r="O9" i="6"/>
  <c r="P9" i="6" s="1"/>
  <c r="O27" i="6"/>
  <c r="R27" i="6" s="1"/>
  <c r="S27" i="6" s="1"/>
  <c r="O47" i="6"/>
  <c r="R47" i="6" s="1"/>
  <c r="O25" i="6"/>
  <c r="R25" i="6" s="1"/>
  <c r="O18" i="6"/>
  <c r="R18" i="6" s="1"/>
  <c r="O14" i="6"/>
  <c r="P14" i="6" s="1"/>
  <c r="O39" i="6"/>
  <c r="P39" i="6" s="1"/>
  <c r="O20" i="6"/>
  <c r="P20" i="6" s="1"/>
  <c r="O15" i="6"/>
  <c r="R15" i="6" s="1"/>
  <c r="S15" i="6" s="1"/>
  <c r="O24" i="6"/>
  <c r="R24" i="6" s="1"/>
  <c r="S24" i="6" s="1"/>
  <c r="O7" i="6"/>
  <c r="R7" i="6" s="1"/>
  <c r="O29" i="6"/>
  <c r="P29" i="6" s="1"/>
  <c r="O49" i="6"/>
  <c r="P49" i="6" s="1"/>
  <c r="CD14" i="6"/>
  <c r="CE14" i="6" s="1"/>
  <c r="CB14" i="6"/>
  <c r="CC14" i="6" s="1"/>
  <c r="CD39" i="6"/>
  <c r="CB39" i="6"/>
  <c r="BU41" i="6"/>
  <c r="BV41" i="6" s="1"/>
  <c r="BW41" i="6"/>
  <c r="CO38" i="6"/>
  <c r="CO46" i="6"/>
  <c r="CO42" i="6"/>
  <c r="CO23" i="6"/>
  <c r="CO14" i="6"/>
  <c r="CB48" i="6"/>
  <c r="CD48" i="6"/>
  <c r="CE48" i="6" s="1"/>
  <c r="CD47" i="6"/>
  <c r="CE47" i="6" s="1"/>
  <c r="CR34" i="6"/>
  <c r="CS34" i="6" s="1"/>
  <c r="CB28" i="6"/>
  <c r="CD28" i="6"/>
  <c r="CE28" i="6" s="1"/>
  <c r="BW17" i="6"/>
  <c r="BU17" i="6"/>
  <c r="BV17" i="6" s="1"/>
  <c r="CD4" i="6"/>
  <c r="CB4" i="6"/>
  <c r="CC4" i="6" s="1"/>
  <c r="BU19" i="6"/>
  <c r="BW19" i="6"/>
  <c r="BX19" i="6" s="1"/>
  <c r="CH31" i="6"/>
  <c r="CH32" i="6"/>
  <c r="CH26" i="6"/>
  <c r="CH45" i="6"/>
  <c r="CH35" i="6"/>
  <c r="CH49" i="6"/>
  <c r="CH44" i="6"/>
  <c r="CH3" i="6"/>
  <c r="CH25" i="6"/>
  <c r="CH8" i="6"/>
  <c r="CH37" i="6"/>
  <c r="CH15" i="6"/>
  <c r="CH40" i="6"/>
  <c r="CH43" i="6"/>
  <c r="CH24" i="6"/>
  <c r="CH12" i="6"/>
  <c r="CB7" i="6"/>
  <c r="CC7" i="6" s="1"/>
  <c r="CB13" i="6"/>
  <c r="CB2" i="6"/>
  <c r="CC2" i="6" s="1"/>
  <c r="CD6" i="6"/>
  <c r="CB6" i="6"/>
  <c r="CC6" i="6" s="1"/>
  <c r="CD27" i="6"/>
  <c r="CE27" i="6" s="1"/>
  <c r="CB27" i="6"/>
  <c r="BW10" i="6"/>
  <c r="BX10" i="6" s="1"/>
  <c r="BU10" i="6"/>
  <c r="BV10" i="6" s="1"/>
  <c r="R105" i="6"/>
  <c r="S105" i="6" s="1"/>
  <c r="R63" i="6"/>
  <c r="S63" i="6" s="1"/>
  <c r="P107" i="6"/>
  <c r="Q107" i="6" s="1"/>
  <c r="R104" i="6"/>
  <c r="S104" i="6" s="1"/>
  <c r="R64" i="6"/>
  <c r="S64" i="6" s="1"/>
  <c r="R60" i="6"/>
  <c r="S60" i="6" s="1"/>
  <c r="P109" i="6"/>
  <c r="Q109" i="6" s="1"/>
  <c r="P111" i="6"/>
  <c r="Q111" i="6" s="1"/>
  <c r="R62" i="6"/>
  <c r="S62" i="6" s="1"/>
  <c r="BK62" i="6" s="1"/>
  <c r="R65" i="6"/>
  <c r="S65" i="6" s="1"/>
  <c r="BK65" i="6" s="1"/>
  <c r="R108" i="6"/>
  <c r="S108" i="6" s="1"/>
  <c r="P106" i="6"/>
  <c r="Q106" i="6" s="1"/>
  <c r="R46" i="6"/>
  <c r="P16" i="6"/>
  <c r="R16" i="6"/>
  <c r="S16" i="6" s="1"/>
  <c r="E5" i="4" l="1"/>
  <c r="E4" i="4"/>
  <c r="E23" i="4"/>
  <c r="F3" i="4"/>
  <c r="E21" i="4"/>
  <c r="CB21" i="6"/>
  <c r="CB33" i="6"/>
  <c r="E3" i="10"/>
  <c r="C21" i="4"/>
  <c r="F21" i="4"/>
  <c r="F4" i="4"/>
  <c r="E3" i="4"/>
  <c r="F22" i="4"/>
  <c r="E22" i="4"/>
  <c r="F5" i="4"/>
  <c r="D21" i="4"/>
  <c r="CD2" i="6"/>
  <c r="CE2" i="6" s="1"/>
  <c r="D4" i="10"/>
  <c r="CD18" i="6"/>
  <c r="CE18" i="6" s="1"/>
  <c r="E4" i="10"/>
  <c r="P36" i="6"/>
  <c r="D3" i="10"/>
  <c r="R21" i="6"/>
  <c r="S21" i="6" s="1"/>
  <c r="CD7" i="6"/>
  <c r="B4" i="10"/>
  <c r="I17" i="10"/>
  <c r="CD22" i="6"/>
  <c r="CE22" i="6" s="1"/>
  <c r="BA60" i="6"/>
  <c r="BC60" i="6" s="1"/>
  <c r="BF60" i="6" s="1"/>
  <c r="BG60" i="6" s="1"/>
  <c r="K10" i="4"/>
  <c r="R40" i="6"/>
  <c r="F8" i="4"/>
  <c r="F30" i="4"/>
  <c r="P19" i="6"/>
  <c r="E8" i="4"/>
  <c r="E32" i="4"/>
  <c r="F7" i="4"/>
  <c r="C6" i="4"/>
  <c r="L11" i="4"/>
  <c r="L10" i="4"/>
  <c r="F27" i="4"/>
  <c r="E30" i="4"/>
  <c r="F31" i="4"/>
  <c r="P18" i="6"/>
  <c r="C30" i="4"/>
  <c r="E31" i="4"/>
  <c r="CK23" i="6"/>
  <c r="CL23" i="6" s="1"/>
  <c r="CI23" i="6"/>
  <c r="CK7" i="6"/>
  <c r="CL7" i="6" s="1"/>
  <c r="CI7" i="6"/>
  <c r="BW35" i="6"/>
  <c r="BX35" i="6" s="1"/>
  <c r="BU35" i="6"/>
  <c r="CB20" i="6"/>
  <c r="CD20" i="6"/>
  <c r="CE20" i="6" s="1"/>
  <c r="CB26" i="6"/>
  <c r="CD26" i="6"/>
  <c r="CE26" i="6" s="1"/>
  <c r="CI22" i="6"/>
  <c r="CK22" i="6"/>
  <c r="CL22" i="6" s="1"/>
  <c r="CB32" i="6"/>
  <c r="CC32" i="6" s="1"/>
  <c r="CD32" i="6"/>
  <c r="CR18" i="6"/>
  <c r="CP18" i="6"/>
  <c r="CQ18" i="6" s="1"/>
  <c r="BW36" i="6"/>
  <c r="BU36" i="6"/>
  <c r="BV36" i="6" s="1"/>
  <c r="BU6" i="6"/>
  <c r="BW6" i="6"/>
  <c r="BX6" i="6" s="1"/>
  <c r="CN17" i="6"/>
  <c r="CI13" i="6"/>
  <c r="CK13" i="6"/>
  <c r="CL13" i="6" s="1"/>
  <c r="CB34" i="6"/>
  <c r="CC34" i="6" s="1"/>
  <c r="CD34" i="6"/>
  <c r="BZ3" i="6"/>
  <c r="CR29" i="6"/>
  <c r="CS29" i="6" s="1"/>
  <c r="CP29" i="6"/>
  <c r="CP17" i="6"/>
  <c r="CR17" i="6"/>
  <c r="CS17" i="6" s="1"/>
  <c r="P47" i="6"/>
  <c r="R9" i="6"/>
  <c r="S9" i="6" s="1"/>
  <c r="F28" i="4"/>
  <c r="D30" i="4"/>
  <c r="CD10" i="6"/>
  <c r="CB10" i="6"/>
  <c r="CC10" i="6" s="1"/>
  <c r="BU31" i="6"/>
  <c r="BV31" i="6" s="1"/>
  <c r="BW31" i="6"/>
  <c r="BW15" i="6"/>
  <c r="BX15" i="6" s="1"/>
  <c r="BU15" i="6"/>
  <c r="CI9" i="6"/>
  <c r="CK9" i="6"/>
  <c r="CL9" i="6" s="1"/>
  <c r="CR41" i="6"/>
  <c r="CS41" i="6" s="1"/>
  <c r="CP41" i="6"/>
  <c r="CI28" i="6"/>
  <c r="CJ28" i="6" s="1"/>
  <c r="CK28" i="6"/>
  <c r="CK42" i="6"/>
  <c r="CL42" i="6" s="1"/>
  <c r="CI42" i="6"/>
  <c r="CD3" i="6"/>
  <c r="CE3" i="6" s="1"/>
  <c r="CB3" i="6"/>
  <c r="CP2" i="6"/>
  <c r="CR2" i="6"/>
  <c r="CS2" i="6" s="1"/>
  <c r="CP45" i="6"/>
  <c r="CQ45" i="6" s="1"/>
  <c r="CR45" i="6"/>
  <c r="BS10" i="6"/>
  <c r="E5" i="10"/>
  <c r="CB38" i="6"/>
  <c r="CD38" i="6"/>
  <c r="CE38" i="6" s="1"/>
  <c r="CI33" i="6"/>
  <c r="CJ33" i="6" s="1"/>
  <c r="CK33" i="6"/>
  <c r="BU48" i="6"/>
  <c r="BW48" i="6"/>
  <c r="BX48" i="6" s="1"/>
  <c r="BS6" i="6"/>
  <c r="CD12" i="6"/>
  <c r="CE12" i="6" s="1"/>
  <c r="CB12" i="6"/>
  <c r="CB46" i="6"/>
  <c r="CC46" i="6" s="1"/>
  <c r="CD46" i="6"/>
  <c r="CG7" i="6"/>
  <c r="CR49" i="6"/>
  <c r="CS49" i="6" s="1"/>
  <c r="CP49" i="6"/>
  <c r="P44" i="6"/>
  <c r="AQ64" i="6"/>
  <c r="BK105" i="6"/>
  <c r="BL105" i="6" s="1"/>
  <c r="C5" i="10"/>
  <c r="CB9" i="6"/>
  <c r="CB11" i="6"/>
  <c r="D27" i="4"/>
  <c r="E27" i="4"/>
  <c r="BW20" i="6"/>
  <c r="BX20" i="6" s="1"/>
  <c r="D5" i="10"/>
  <c r="CD16" i="6"/>
  <c r="CE16" i="6" s="1"/>
  <c r="E28" i="4"/>
  <c r="C27" i="4"/>
  <c r="W110" i="6"/>
  <c r="X110" i="6" s="1"/>
  <c r="F29" i="4"/>
  <c r="J9" i="4"/>
  <c r="K9" i="4"/>
  <c r="K11" i="4"/>
  <c r="K23" i="4"/>
  <c r="K21" i="4"/>
  <c r="L9" i="4"/>
  <c r="L23" i="4"/>
  <c r="L22" i="4"/>
  <c r="L21" i="4"/>
  <c r="K22" i="4"/>
  <c r="S16" i="4"/>
  <c r="S17" i="4"/>
  <c r="S15" i="4"/>
  <c r="R15" i="4"/>
  <c r="R16" i="4"/>
  <c r="O15" i="4"/>
  <c r="P15" i="4"/>
  <c r="Q15" i="4"/>
  <c r="R17" i="4"/>
  <c r="I21" i="4"/>
  <c r="E6" i="4"/>
  <c r="F6" i="4"/>
  <c r="L8" i="4"/>
  <c r="J6" i="4"/>
  <c r="I6" i="4"/>
  <c r="L7" i="4"/>
  <c r="L6" i="4"/>
  <c r="K8" i="4"/>
  <c r="K7" i="4"/>
  <c r="K6" i="4"/>
  <c r="D6" i="4"/>
  <c r="K18" i="4"/>
  <c r="I18" i="4"/>
  <c r="L19" i="4"/>
  <c r="K19" i="4"/>
  <c r="K20" i="4"/>
  <c r="J18" i="4"/>
  <c r="L20" i="4"/>
  <c r="L18" i="4"/>
  <c r="I3" i="4"/>
  <c r="K4" i="4"/>
  <c r="K3" i="4"/>
  <c r="L4" i="4"/>
  <c r="L3" i="4"/>
  <c r="L5" i="4"/>
  <c r="K5" i="4"/>
  <c r="J3" i="4"/>
  <c r="K15" i="4"/>
  <c r="K17" i="4"/>
  <c r="I15" i="4"/>
  <c r="J15" i="4"/>
  <c r="K16" i="4"/>
  <c r="L16" i="4"/>
  <c r="L15" i="4"/>
  <c r="L17" i="4"/>
  <c r="F20" i="4"/>
  <c r="E19" i="4"/>
  <c r="C18" i="4"/>
  <c r="F19" i="4"/>
  <c r="D18" i="4"/>
  <c r="F18" i="4"/>
  <c r="E18" i="4"/>
  <c r="E20" i="4"/>
  <c r="E17" i="4"/>
  <c r="E16" i="4"/>
  <c r="E15" i="4"/>
  <c r="F17" i="4"/>
  <c r="C15" i="4"/>
  <c r="F16" i="4"/>
  <c r="D15" i="4"/>
  <c r="F15" i="4"/>
  <c r="F35" i="4"/>
  <c r="F34" i="4"/>
  <c r="E34" i="4"/>
  <c r="D33" i="4"/>
  <c r="C33" i="4"/>
  <c r="E33" i="4"/>
  <c r="E35" i="4"/>
  <c r="F33" i="4"/>
  <c r="F11" i="4"/>
  <c r="E11" i="4"/>
  <c r="F10" i="4"/>
  <c r="C9" i="4"/>
  <c r="D9" i="4"/>
  <c r="F9" i="4"/>
  <c r="E10" i="4"/>
  <c r="E9" i="4"/>
  <c r="CG12" i="6"/>
  <c r="CG15" i="6" s="1"/>
  <c r="C4" i="10"/>
  <c r="W63" i="6"/>
  <c r="X63" i="6" s="1"/>
  <c r="B3" i="10"/>
  <c r="BM62" i="6"/>
  <c r="BP62" i="6" s="1"/>
  <c r="BQ62" i="6" s="1"/>
  <c r="BL62" i="6"/>
  <c r="AS64" i="6"/>
  <c r="AR64" i="6"/>
  <c r="BM105" i="6"/>
  <c r="BP105" i="6" s="1"/>
  <c r="BQ105" i="6" s="1"/>
  <c r="BS17" i="6"/>
  <c r="B19" i="10" s="1"/>
  <c r="BM65" i="6"/>
  <c r="BP65" i="6" s="1"/>
  <c r="BQ65" i="6" s="1"/>
  <c r="BL65" i="6"/>
  <c r="CN23" i="6"/>
  <c r="BZ4" i="6"/>
  <c r="C18" i="10"/>
  <c r="B18" i="10"/>
  <c r="CN34" i="6"/>
  <c r="R12" i="6"/>
  <c r="S12" i="6" s="1"/>
  <c r="Q19" i="3"/>
  <c r="O19" i="3"/>
  <c r="P19" i="3"/>
  <c r="AG109" i="6"/>
  <c r="AH109" i="6" s="1"/>
  <c r="P7" i="6"/>
  <c r="R26" i="6"/>
  <c r="S26" i="6" s="1"/>
  <c r="R11" i="6"/>
  <c r="R39" i="6"/>
  <c r="S39" i="6" s="1"/>
  <c r="R3" i="6"/>
  <c r="S3" i="6" s="1"/>
  <c r="P22" i="6"/>
  <c r="R6" i="6"/>
  <c r="S6" i="6" s="1"/>
  <c r="AQ61" i="6"/>
  <c r="BK107" i="6"/>
  <c r="BA110" i="6"/>
  <c r="P13" i="6"/>
  <c r="Q13" i="6" s="1"/>
  <c r="P27" i="6"/>
  <c r="R28" i="6"/>
  <c r="S28" i="6" s="1"/>
  <c r="P32" i="6"/>
  <c r="Q32" i="6" s="1"/>
  <c r="P30" i="6"/>
  <c r="W108" i="6"/>
  <c r="X108" i="6" s="1"/>
  <c r="P24" i="6"/>
  <c r="P37" i="6"/>
  <c r="AQ106" i="6"/>
  <c r="AG110" i="6"/>
  <c r="AH110" i="6" s="1"/>
  <c r="R14" i="6"/>
  <c r="S14" i="6" s="1"/>
  <c r="R17" i="6"/>
  <c r="S17" i="6" s="1"/>
  <c r="P43" i="6"/>
  <c r="AQ105" i="6"/>
  <c r="AG105" i="6"/>
  <c r="AH105" i="6" s="1"/>
  <c r="R34" i="6"/>
  <c r="P15" i="6"/>
  <c r="R4" i="6"/>
  <c r="P33" i="6"/>
  <c r="Q33" i="6" s="1"/>
  <c r="R35" i="6"/>
  <c r="S35" i="6" s="1"/>
  <c r="AQ62" i="6"/>
  <c r="BA107" i="6"/>
  <c r="BK110" i="6"/>
  <c r="AG107" i="6"/>
  <c r="AQ110" i="6"/>
  <c r="BA63" i="6"/>
  <c r="B5" i="10"/>
  <c r="BU29" i="6"/>
  <c r="R8" i="6"/>
  <c r="S8" i="6" s="1"/>
  <c r="AQ108" i="6"/>
  <c r="AQ111" i="6"/>
  <c r="BA104" i="6"/>
  <c r="BW5" i="6"/>
  <c r="C3" i="10"/>
  <c r="BU30" i="6"/>
  <c r="P45" i="6"/>
  <c r="Q45" i="6" s="1"/>
  <c r="P48" i="6"/>
  <c r="R49" i="6"/>
  <c r="S49" i="6" s="1"/>
  <c r="P10" i="6"/>
  <c r="Q10" i="6" s="1"/>
  <c r="R29" i="6"/>
  <c r="S29" i="6" s="1"/>
  <c r="R20" i="6"/>
  <c r="S20" i="6" s="1"/>
  <c r="P25" i="6"/>
  <c r="R23" i="6"/>
  <c r="S23" i="6" s="1"/>
  <c r="P42" i="6"/>
  <c r="R41" i="6"/>
  <c r="S41" i="6" s="1"/>
  <c r="P5" i="6"/>
  <c r="Q5" i="6" s="1"/>
  <c r="P2" i="6"/>
  <c r="P31" i="6"/>
  <c r="Q31" i="6" s="1"/>
  <c r="R38" i="6"/>
  <c r="S38" i="6" s="1"/>
  <c r="R5" i="6"/>
  <c r="R42" i="6"/>
  <c r="S42" i="6" s="1"/>
  <c r="R2" i="6"/>
  <c r="S2" i="6" s="1"/>
  <c r="AG61" i="6"/>
  <c r="AH61" i="6" s="1"/>
  <c r="BA61" i="6"/>
  <c r="P8" i="6"/>
  <c r="P38" i="6"/>
  <c r="R31" i="6"/>
  <c r="S31" i="6" s="1"/>
  <c r="BK61" i="6"/>
  <c r="W61" i="6"/>
  <c r="CR36" i="6"/>
  <c r="AG63" i="6"/>
  <c r="AQ63" i="6"/>
  <c r="W60" i="6"/>
  <c r="BK60" i="6"/>
  <c r="BA105" i="6"/>
  <c r="AG60" i="6"/>
  <c r="CE7" i="6"/>
  <c r="AQ60" i="6"/>
  <c r="W105" i="6"/>
  <c r="X105" i="6" s="1"/>
  <c r="BK63" i="6"/>
  <c r="CC28" i="6"/>
  <c r="L14" i="10"/>
  <c r="K14" i="10"/>
  <c r="CC48" i="6"/>
  <c r="CK3" i="6"/>
  <c r="CL3" i="6" s="1"/>
  <c r="G3" i="10"/>
  <c r="G5" i="10"/>
  <c r="CI3" i="6"/>
  <c r="G4" i="10"/>
  <c r="F3" i="10"/>
  <c r="F5" i="10"/>
  <c r="F4" i="10"/>
  <c r="CC13" i="6"/>
  <c r="CE21" i="6"/>
  <c r="CI24" i="6"/>
  <c r="CK24" i="6"/>
  <c r="CL24" i="6" s="1"/>
  <c r="CK15" i="6"/>
  <c r="CL15" i="6" s="1"/>
  <c r="CI15" i="6"/>
  <c r="CI25" i="6"/>
  <c r="CK25" i="6"/>
  <c r="CL25" i="6" s="1"/>
  <c r="CI45" i="6"/>
  <c r="CK45" i="6"/>
  <c r="CL45" i="6" s="1"/>
  <c r="CC18" i="6"/>
  <c r="CC11" i="6"/>
  <c r="M14" i="10"/>
  <c r="H3" i="10"/>
  <c r="I5" i="10"/>
  <c r="I4" i="10"/>
  <c r="I3" i="10"/>
  <c r="CR14" i="6"/>
  <c r="CS14" i="6" s="1"/>
  <c r="H5" i="10"/>
  <c r="H4" i="10"/>
  <c r="CP14" i="6"/>
  <c r="CQ14" i="6" s="1"/>
  <c r="CR46" i="6"/>
  <c r="CS46" i="6" s="1"/>
  <c r="CP46" i="6"/>
  <c r="CI40" i="6"/>
  <c r="CK40" i="6"/>
  <c r="CL40" i="6" s="1"/>
  <c r="CK35" i="6"/>
  <c r="CL35" i="6" s="1"/>
  <c r="CI35" i="6"/>
  <c r="Y110" i="6"/>
  <c r="AB110" i="6" s="1"/>
  <c r="AC110" i="6" s="1"/>
  <c r="BA65" i="6"/>
  <c r="CI37" i="6"/>
  <c r="CK37" i="6"/>
  <c r="CL37" i="6" s="1"/>
  <c r="CI44" i="6"/>
  <c r="CJ44" i="6" s="1"/>
  <c r="CK44" i="6"/>
  <c r="CK26" i="6"/>
  <c r="CL26" i="6" s="1"/>
  <c r="CI26" i="6"/>
  <c r="CK31" i="6"/>
  <c r="CL31" i="6" s="1"/>
  <c r="CI31" i="6"/>
  <c r="CC16" i="6"/>
  <c r="CC33" i="6"/>
  <c r="CR23" i="6"/>
  <c r="CS23" i="6" s="1"/>
  <c r="CP23" i="6"/>
  <c r="CQ23" i="6" s="1"/>
  <c r="CI8" i="6"/>
  <c r="CK8" i="6"/>
  <c r="CL8" i="6" s="1"/>
  <c r="W107" i="6"/>
  <c r="X107" i="6" s="1"/>
  <c r="AG65" i="6"/>
  <c r="AH65" i="6" s="1"/>
  <c r="CE6" i="6"/>
  <c r="CC9" i="6"/>
  <c r="CI12" i="6"/>
  <c r="CJ12" i="6" s="1"/>
  <c r="CK12" i="6"/>
  <c r="CK43" i="6"/>
  <c r="CL43" i="6" s="1"/>
  <c r="CI43" i="6"/>
  <c r="CI49" i="6"/>
  <c r="CJ49" i="6" s="1"/>
  <c r="CK49" i="6"/>
  <c r="CI32" i="6"/>
  <c r="CK32" i="6"/>
  <c r="CL32" i="6" s="1"/>
  <c r="CR42" i="6"/>
  <c r="CS42" i="6" s="1"/>
  <c r="CP42" i="6"/>
  <c r="CR38" i="6"/>
  <c r="CS38" i="6" s="1"/>
  <c r="CP38" i="6"/>
  <c r="CE39" i="6"/>
  <c r="BA109" i="6"/>
  <c r="AQ107" i="6"/>
  <c r="BK104" i="6"/>
  <c r="W104" i="6"/>
  <c r="X104" i="6" s="1"/>
  <c r="AG62" i="6"/>
  <c r="AH62" i="6" s="1"/>
  <c r="AG64" i="6"/>
  <c r="AH64" i="6" s="1"/>
  <c r="BA62" i="6"/>
  <c r="BB62" i="6" s="1"/>
  <c r="W62" i="6"/>
  <c r="X62" i="6" s="1"/>
  <c r="BK111" i="6"/>
  <c r="AG104" i="6"/>
  <c r="AH104" i="6" s="1"/>
  <c r="AG108" i="6"/>
  <c r="AH108" i="6" s="1"/>
  <c r="AQ104" i="6"/>
  <c r="W106" i="6"/>
  <c r="X106" i="6" s="1"/>
  <c r="BK64" i="6"/>
  <c r="W64" i="6"/>
  <c r="X64" i="6" s="1"/>
  <c r="BA64" i="6"/>
  <c r="BA106" i="6"/>
  <c r="AG106" i="6"/>
  <c r="AH106" i="6" s="1"/>
  <c r="BK109" i="6"/>
  <c r="BL109" i="6" s="1"/>
  <c r="W111" i="6"/>
  <c r="X111" i="6" s="1"/>
  <c r="BA111" i="6"/>
  <c r="AQ109" i="6"/>
  <c r="AG111" i="6"/>
  <c r="AH111" i="6" s="1"/>
  <c r="BA108" i="6"/>
  <c r="W109" i="6"/>
  <c r="X109" i="6" s="1"/>
  <c r="W65" i="6"/>
  <c r="X65" i="6" s="1"/>
  <c r="BK108" i="6"/>
  <c r="BL108" i="6" s="1"/>
  <c r="AQ65" i="6"/>
  <c r="BK106" i="6"/>
  <c r="S19" i="6"/>
  <c r="Q40" i="6"/>
  <c r="Q28" i="6"/>
  <c r="S47" i="6"/>
  <c r="S25" i="6"/>
  <c r="Q36" i="6"/>
  <c r="Q11" i="6"/>
  <c r="Q44" i="6"/>
  <c r="Q18" i="6"/>
  <c r="Q19" i="6"/>
  <c r="Q16" i="6"/>
  <c r="S7" i="6"/>
  <c r="Q34" i="6"/>
  <c r="S40" i="6"/>
  <c r="Q46" i="6"/>
  <c r="S22" i="6"/>
  <c r="H2" i="3"/>
  <c r="J3" i="3"/>
  <c r="I2" i="3"/>
  <c r="J2" i="3"/>
  <c r="I3" i="3"/>
  <c r="H4" i="3"/>
  <c r="I4" i="3"/>
  <c r="J4" i="3"/>
  <c r="H3" i="3"/>
  <c r="CC27" i="6" l="1"/>
  <c r="Q12" i="6"/>
  <c r="CQ2" i="6"/>
  <c r="CS45" i="6"/>
  <c r="CJ8" i="6"/>
  <c r="CL19" i="6"/>
  <c r="CC12" i="6"/>
  <c r="CE4" i="6"/>
  <c r="CC47" i="6"/>
  <c r="BV6" i="6"/>
  <c r="BX5" i="6"/>
  <c r="BX36" i="6"/>
  <c r="BB60" i="6"/>
  <c r="Y63" i="6"/>
  <c r="AB63" i="6" s="1"/>
  <c r="AC63" i="6" s="1"/>
  <c r="Q8" i="6"/>
  <c r="BK8" i="6" s="1"/>
  <c r="S4" i="6"/>
  <c r="AQ4" i="6" s="1"/>
  <c r="AS4" i="6" s="1"/>
  <c r="AV4" i="6" s="1"/>
  <c r="AW4" i="6" s="1"/>
  <c r="AI110" i="6"/>
  <c r="AL110" i="6" s="1"/>
  <c r="AM110" i="6" s="1"/>
  <c r="BV30" i="6"/>
  <c r="Q43" i="6"/>
  <c r="BK43" i="6" s="1"/>
  <c r="Q27" i="6"/>
  <c r="AQ27" i="6" s="1"/>
  <c r="CC25" i="6"/>
  <c r="BS15" i="6"/>
  <c r="S5" i="6"/>
  <c r="AG5" i="6" s="1"/>
  <c r="AH5" i="6" s="1"/>
  <c r="CJ3" i="6"/>
  <c r="CJ14" i="6"/>
  <c r="Q38" i="6"/>
  <c r="S18" i="6"/>
  <c r="AQ18" i="6" s="1"/>
  <c r="CN18" i="6"/>
  <c r="CN29" i="6" s="1"/>
  <c r="CJ42" i="6"/>
  <c r="CQ41" i="6"/>
  <c r="BV15" i="6"/>
  <c r="CG8" i="6"/>
  <c r="CJ7" i="6"/>
  <c r="BV48" i="6"/>
  <c r="CC38" i="6"/>
  <c r="CC3" i="6"/>
  <c r="D7" i="10" s="1"/>
  <c r="CE10" i="6"/>
  <c r="CC21" i="6"/>
  <c r="CC20" i="6"/>
  <c r="CQ49" i="6"/>
  <c r="CL33" i="6"/>
  <c r="CC39" i="6"/>
  <c r="CL28" i="6"/>
  <c r="BX31" i="6"/>
  <c r="CQ17" i="6"/>
  <c r="CE34" i="6"/>
  <c r="CJ13" i="6"/>
  <c r="CG9" i="6"/>
  <c r="BV35" i="6"/>
  <c r="CE46" i="6"/>
  <c r="CE11" i="6"/>
  <c r="CJ9" i="6"/>
  <c r="CQ29" i="6"/>
  <c r="CS18" i="6"/>
  <c r="CE32" i="6"/>
  <c r="CJ22" i="6"/>
  <c r="CC26" i="6"/>
  <c r="CJ23" i="6"/>
  <c r="Q23" i="6"/>
  <c r="BA23" i="6" s="1"/>
  <c r="AI109" i="6"/>
  <c r="AL109" i="6" s="1"/>
  <c r="AM109" i="6" s="1"/>
  <c r="Y108" i="6"/>
  <c r="AB108" i="6" s="1"/>
  <c r="AC108" i="6" s="1"/>
  <c r="AI105" i="6"/>
  <c r="Q25" i="6"/>
  <c r="AG25" i="6" s="1"/>
  <c r="AH25" i="6" s="1"/>
  <c r="Q7" i="6"/>
  <c r="BA7" i="6" s="1"/>
  <c r="Q48" i="6"/>
  <c r="BA48" i="6" s="1"/>
  <c r="S34" i="6"/>
  <c r="AG34" i="6" s="1"/>
  <c r="AH34" i="6" s="1"/>
  <c r="Q24" i="6"/>
  <c r="BK24" i="6" s="1"/>
  <c r="S36" i="6"/>
  <c r="BK36" i="6" s="1"/>
  <c r="BS19" i="6"/>
  <c r="Q39" i="6"/>
  <c r="AQ39" i="6" s="1"/>
  <c r="S46" i="6"/>
  <c r="BA46" i="6" s="1"/>
  <c r="Q22" i="6"/>
  <c r="BA22" i="6" s="1"/>
  <c r="BB22" i="6" s="1"/>
  <c r="Q20" i="6"/>
  <c r="AG20" i="6" s="1"/>
  <c r="AH20" i="6" s="1"/>
  <c r="Q41" i="6"/>
  <c r="AG41" i="6" s="1"/>
  <c r="AH41" i="6" s="1"/>
  <c r="Q37" i="6"/>
  <c r="BK37" i="6" s="1"/>
  <c r="Q2" i="6"/>
  <c r="W2" i="6" s="1"/>
  <c r="S33" i="6"/>
  <c r="AQ33" i="6" s="1"/>
  <c r="Q3" i="6"/>
  <c r="W3" i="6" s="1"/>
  <c r="X3" i="6" s="1"/>
  <c r="S44" i="6"/>
  <c r="AG44" i="6" s="1"/>
  <c r="S45" i="6"/>
  <c r="BA45" i="6" s="1"/>
  <c r="Q49" i="6"/>
  <c r="AQ49" i="6" s="1"/>
  <c r="Q30" i="6"/>
  <c r="AG30" i="6" s="1"/>
  <c r="AH30" i="6" s="1"/>
  <c r="Q42" i="6"/>
  <c r="AQ42" i="6" s="1"/>
  <c r="Q29" i="6"/>
  <c r="BA29" i="6" s="1"/>
  <c r="Q14" i="6"/>
  <c r="BA14" i="6" s="1"/>
  <c r="Q15" i="6"/>
  <c r="BK15" i="6" s="1"/>
  <c r="Q26" i="6"/>
  <c r="BA26" i="6" s="1"/>
  <c r="S32" i="6"/>
  <c r="AQ32" i="6" s="1"/>
  <c r="Q47" i="6"/>
  <c r="BA47" i="6" s="1"/>
  <c r="Q9" i="6"/>
  <c r="BA9" i="6" s="1"/>
  <c r="Q17" i="6"/>
  <c r="AQ17" i="6" s="1"/>
  <c r="Q35" i="6"/>
  <c r="BA35" i="6" s="1"/>
  <c r="S10" i="6"/>
  <c r="AG10" i="6" s="1"/>
  <c r="AH10" i="6" s="1"/>
  <c r="AS110" i="6"/>
  <c r="AV110" i="6" s="1"/>
  <c r="AW110" i="6" s="1"/>
  <c r="AR110" i="6"/>
  <c r="BC111" i="6"/>
  <c r="BF111" i="6" s="1"/>
  <c r="BG111" i="6" s="1"/>
  <c r="BB111" i="6"/>
  <c r="BM111" i="6"/>
  <c r="BP111" i="6" s="1"/>
  <c r="BQ111" i="6" s="1"/>
  <c r="BL111" i="6"/>
  <c r="AS65" i="6"/>
  <c r="AV65" i="6" s="1"/>
  <c r="AW65" i="6" s="1"/>
  <c r="AR65" i="6"/>
  <c r="BC108" i="6"/>
  <c r="BF108" i="6" s="1"/>
  <c r="BG108" i="6" s="1"/>
  <c r="BB108" i="6"/>
  <c r="BC64" i="6"/>
  <c r="BF64" i="6" s="1"/>
  <c r="BG64" i="6" s="1"/>
  <c r="BB64" i="6"/>
  <c r="AS104" i="6"/>
  <c r="AV104" i="6" s="1"/>
  <c r="AW104" i="6" s="1"/>
  <c r="AR104" i="6"/>
  <c r="BC65" i="6"/>
  <c r="BF65" i="6" s="1"/>
  <c r="BG65" i="6" s="1"/>
  <c r="BB65" i="6"/>
  <c r="BM63" i="6"/>
  <c r="BN63" i="6" s="1"/>
  <c r="BO63" i="6" s="1"/>
  <c r="BL63" i="6"/>
  <c r="Y60" i="6"/>
  <c r="AB60" i="6" s="1"/>
  <c r="AC60" i="6" s="1"/>
  <c r="X60" i="6"/>
  <c r="BC106" i="6"/>
  <c r="BD106" i="6" s="1"/>
  <c r="BE106" i="6" s="1"/>
  <c r="BB106" i="6"/>
  <c r="BC109" i="6"/>
  <c r="BF109" i="6" s="1"/>
  <c r="BG109" i="6" s="1"/>
  <c r="BB109" i="6"/>
  <c r="BM104" i="6"/>
  <c r="BP104" i="6" s="1"/>
  <c r="BQ104" i="6" s="1"/>
  <c r="BL104" i="6"/>
  <c r="AI60" i="6"/>
  <c r="AL60" i="6" s="1"/>
  <c r="AM60" i="6" s="1"/>
  <c r="AH60" i="6"/>
  <c r="BM106" i="6"/>
  <c r="BN106" i="6" s="1"/>
  <c r="BO106" i="6" s="1"/>
  <c r="BL106" i="6"/>
  <c r="AS109" i="6"/>
  <c r="AT109" i="6" s="1"/>
  <c r="AU109" i="6" s="1"/>
  <c r="AR109" i="6"/>
  <c r="BM64" i="6"/>
  <c r="BP64" i="6" s="1"/>
  <c r="BQ64" i="6" s="1"/>
  <c r="BL64" i="6"/>
  <c r="AS107" i="6"/>
  <c r="AV107" i="6" s="1"/>
  <c r="AW107" i="6" s="1"/>
  <c r="AR107" i="6"/>
  <c r="AS60" i="6"/>
  <c r="AV60" i="6" s="1"/>
  <c r="AW60" i="6" s="1"/>
  <c r="AR60" i="6"/>
  <c r="BC105" i="6"/>
  <c r="BF105" i="6" s="1"/>
  <c r="BG105" i="6" s="1"/>
  <c r="BB105" i="6"/>
  <c r="AS63" i="6"/>
  <c r="AT63" i="6" s="1"/>
  <c r="AU63" i="6" s="1"/>
  <c r="AR63" i="6"/>
  <c r="AS61" i="6"/>
  <c r="AT61" i="6" s="1"/>
  <c r="AU61" i="6" s="1"/>
  <c r="AR61" i="6"/>
  <c r="BM60" i="6"/>
  <c r="BP60" i="6" s="1"/>
  <c r="BQ60" i="6" s="1"/>
  <c r="BL60" i="6"/>
  <c r="AI63" i="6"/>
  <c r="AJ63" i="6" s="1"/>
  <c r="AK63" i="6" s="1"/>
  <c r="AH63" i="6"/>
  <c r="BC104" i="6"/>
  <c r="BF104" i="6" s="1"/>
  <c r="BG104" i="6" s="1"/>
  <c r="BB104" i="6"/>
  <c r="AI107" i="6"/>
  <c r="AL107" i="6" s="1"/>
  <c r="AM107" i="6" s="1"/>
  <c r="AH107" i="6"/>
  <c r="AS105" i="6"/>
  <c r="AV105" i="6" s="1"/>
  <c r="AW105" i="6" s="1"/>
  <c r="AR105" i="6"/>
  <c r="AS106" i="6"/>
  <c r="AT106" i="6" s="1"/>
  <c r="AU106" i="6" s="1"/>
  <c r="AR106" i="6"/>
  <c r="CN36" i="6"/>
  <c r="C19" i="10"/>
  <c r="BS20" i="6"/>
  <c r="BS29" i="6" s="1"/>
  <c r="BC61" i="6"/>
  <c r="BD61" i="6" s="1"/>
  <c r="BE61" i="6" s="1"/>
  <c r="BB61" i="6"/>
  <c r="AS111" i="6"/>
  <c r="AT111" i="6" s="1"/>
  <c r="AU111" i="6" s="1"/>
  <c r="AR111" i="6"/>
  <c r="BC107" i="6"/>
  <c r="BF107" i="6" s="1"/>
  <c r="BG107" i="6" s="1"/>
  <c r="BB107" i="6"/>
  <c r="BC110" i="6"/>
  <c r="BD110" i="6" s="1"/>
  <c r="BE110" i="6" s="1"/>
  <c r="BB110" i="6"/>
  <c r="CN38" i="6"/>
  <c r="CN42" i="6" s="1"/>
  <c r="Y61" i="6"/>
  <c r="Z61" i="6" s="1"/>
  <c r="AA61" i="6" s="1"/>
  <c r="X61" i="6"/>
  <c r="BM61" i="6"/>
  <c r="BN61" i="6" s="1"/>
  <c r="BO61" i="6" s="1"/>
  <c r="BL61" i="6"/>
  <c r="AS108" i="6"/>
  <c r="AT108" i="6" s="1"/>
  <c r="AU108" i="6" s="1"/>
  <c r="AR108" i="6"/>
  <c r="BC63" i="6"/>
  <c r="BF63" i="6" s="1"/>
  <c r="BG63" i="6" s="1"/>
  <c r="BB63" i="6"/>
  <c r="BM110" i="6"/>
  <c r="BN110" i="6" s="1"/>
  <c r="BO110" i="6" s="1"/>
  <c r="BL110" i="6"/>
  <c r="AS62" i="6"/>
  <c r="AV62" i="6" s="1"/>
  <c r="AW62" i="6" s="1"/>
  <c r="AR62" i="6"/>
  <c r="BM107" i="6"/>
  <c r="BN107" i="6" s="1"/>
  <c r="BO107" i="6" s="1"/>
  <c r="BL107" i="6"/>
  <c r="E18" i="10"/>
  <c r="BZ6" i="6"/>
  <c r="BZ7" i="6" s="1"/>
  <c r="BZ9" i="6" s="1"/>
  <c r="D18" i="10"/>
  <c r="BX41" i="6"/>
  <c r="Q21" i="6"/>
  <c r="AG21" i="6" s="1"/>
  <c r="AH21" i="6" s="1"/>
  <c r="BV19" i="6"/>
  <c r="BV20" i="6"/>
  <c r="BV29" i="6"/>
  <c r="S11" i="6"/>
  <c r="AQ11" i="6" s="1"/>
  <c r="Y105" i="6"/>
  <c r="AB105" i="6" s="1"/>
  <c r="AC105" i="6" s="1"/>
  <c r="Q6" i="6"/>
  <c r="AI61" i="6"/>
  <c r="AJ61" i="6" s="1"/>
  <c r="AK61" i="6" s="1"/>
  <c r="BX17" i="6"/>
  <c r="CQ38" i="6"/>
  <c r="Y65" i="6"/>
  <c r="AB65" i="6" s="1"/>
  <c r="AC65" i="6" s="1"/>
  <c r="AI106" i="6"/>
  <c r="AL106" i="6" s="1"/>
  <c r="AM106" i="6" s="1"/>
  <c r="AI104" i="6"/>
  <c r="AL104" i="6" s="1"/>
  <c r="AM104" i="6" s="1"/>
  <c r="AI64" i="6"/>
  <c r="AL64" i="6" s="1"/>
  <c r="AM64" i="6" s="1"/>
  <c r="Y109" i="6"/>
  <c r="AB109" i="6" s="1"/>
  <c r="AC109" i="6" s="1"/>
  <c r="Y106" i="6"/>
  <c r="AB106" i="6" s="1"/>
  <c r="AC106" i="6" s="1"/>
  <c r="AI62" i="6"/>
  <c r="AJ62" i="6" s="1"/>
  <c r="AK62" i="6" s="1"/>
  <c r="CQ42" i="6"/>
  <c r="CJ43" i="6"/>
  <c r="CJ35" i="6"/>
  <c r="CQ46" i="6"/>
  <c r="CJ15" i="6"/>
  <c r="Y111" i="6"/>
  <c r="Z111" i="6" s="1"/>
  <c r="AA111" i="6" s="1"/>
  <c r="Y62" i="6"/>
  <c r="AB62" i="6" s="1"/>
  <c r="AC62" i="6" s="1"/>
  <c r="Y104" i="6"/>
  <c r="Z104" i="6" s="1"/>
  <c r="AA104" i="6" s="1"/>
  <c r="CJ32" i="6"/>
  <c r="AI65" i="6"/>
  <c r="AJ65" i="6" s="1"/>
  <c r="AK65" i="6" s="1"/>
  <c r="CJ26" i="6"/>
  <c r="CJ45" i="6"/>
  <c r="CQ34" i="6"/>
  <c r="BM108" i="6"/>
  <c r="BN108" i="6" s="1"/>
  <c r="BO108" i="6" s="1"/>
  <c r="AI111" i="6"/>
  <c r="AJ111" i="6" s="1"/>
  <c r="AK111" i="6" s="1"/>
  <c r="BM109" i="6"/>
  <c r="BP109" i="6" s="1"/>
  <c r="BQ109" i="6" s="1"/>
  <c r="Y64" i="6"/>
  <c r="Z64" i="6" s="1"/>
  <c r="AA64" i="6" s="1"/>
  <c r="AI108" i="6"/>
  <c r="AJ108" i="6" s="1"/>
  <c r="AK108" i="6" s="1"/>
  <c r="BC62" i="6"/>
  <c r="BD62" i="6" s="1"/>
  <c r="BE62" i="6" s="1"/>
  <c r="CL49" i="6"/>
  <c r="CL12" i="6"/>
  <c r="Y107" i="6"/>
  <c r="AB107" i="6" s="1"/>
  <c r="AC107" i="6" s="1"/>
  <c r="CJ37" i="6"/>
  <c r="CS36" i="6"/>
  <c r="I12" i="10" s="1"/>
  <c r="CJ31" i="6"/>
  <c r="CL44" i="6"/>
  <c r="CJ40" i="6"/>
  <c r="CJ25" i="6"/>
  <c r="CJ24" i="6"/>
  <c r="BN62" i="6"/>
  <c r="BO62" i="6" s="1"/>
  <c r="BD108" i="6"/>
  <c r="BE108" i="6" s="1"/>
  <c r="BK9" i="6"/>
  <c r="BN105" i="6"/>
  <c r="BO105" i="6" s="1"/>
  <c r="BD60" i="6"/>
  <c r="BE60" i="6" s="1"/>
  <c r="BN65" i="6"/>
  <c r="BO65" i="6" s="1"/>
  <c r="AT64" i="6"/>
  <c r="AU64" i="6" s="1"/>
  <c r="AV64" i="6"/>
  <c r="AW64" i="6" s="1"/>
  <c r="Z110" i="6"/>
  <c r="AA110" i="6" s="1"/>
  <c r="AJ105" i="6"/>
  <c r="AK105" i="6" s="1"/>
  <c r="AL105" i="6"/>
  <c r="AM105" i="6" s="1"/>
  <c r="AJ110" i="6"/>
  <c r="AK110" i="6" s="1"/>
  <c r="AG40" i="6"/>
  <c r="AH40" i="6" s="1"/>
  <c r="AQ23" i="6"/>
  <c r="BA40" i="6"/>
  <c r="AQ40" i="6"/>
  <c r="BK40" i="6"/>
  <c r="AG31" i="6"/>
  <c r="AH31" i="6" s="1"/>
  <c r="BA41" i="6"/>
  <c r="BA12" i="6"/>
  <c r="BK12" i="6"/>
  <c r="AQ12" i="6"/>
  <c r="AG13" i="6"/>
  <c r="AH13" i="6" s="1"/>
  <c r="BA44" i="6"/>
  <c r="AG28" i="6"/>
  <c r="AH28" i="6" s="1"/>
  <c r="BA19" i="6"/>
  <c r="BB19" i="6" s="1"/>
  <c r="AQ19" i="6"/>
  <c r="BK19" i="6"/>
  <c r="BK16" i="6"/>
  <c r="AG38" i="6"/>
  <c r="AH38" i="6" s="1"/>
  <c r="BA16" i="6"/>
  <c r="AQ16" i="6"/>
  <c r="BA3" i="6"/>
  <c r="BK39" i="6"/>
  <c r="BK13" i="6"/>
  <c r="AQ13" i="6"/>
  <c r="BA13" i="6"/>
  <c r="AQ8" i="6"/>
  <c r="AR8" i="6" s="1"/>
  <c r="AG19" i="6"/>
  <c r="AH19" i="6" s="1"/>
  <c r="BA5" i="6"/>
  <c r="AQ38" i="6"/>
  <c r="BA38" i="6"/>
  <c r="BK38" i="6"/>
  <c r="AG3" i="6"/>
  <c r="AH3" i="6" s="1"/>
  <c r="AG16" i="6"/>
  <c r="AH16" i="6" s="1"/>
  <c r="AQ36" i="6"/>
  <c r="BK28" i="6"/>
  <c r="AQ28" i="6"/>
  <c r="BA28" i="6"/>
  <c r="BK31" i="6"/>
  <c r="BA31" i="6"/>
  <c r="AQ31" i="6"/>
  <c r="AQ46" i="6"/>
  <c r="AQ25" i="6"/>
  <c r="W19" i="6"/>
  <c r="X19" i="6" s="1"/>
  <c r="W40" i="6"/>
  <c r="X40" i="6" s="1"/>
  <c r="W16" i="6"/>
  <c r="X16" i="6" s="1"/>
  <c r="W13" i="6"/>
  <c r="X13" i="6" s="1"/>
  <c r="W42" i="6"/>
  <c r="X42" i="6" s="1"/>
  <c r="W8" i="6"/>
  <c r="X8" i="6" s="1"/>
  <c r="W46" i="6"/>
  <c r="W38" i="6"/>
  <c r="X38" i="6" s="1"/>
  <c r="W12" i="6"/>
  <c r="X12" i="6" s="1"/>
  <c r="W20" i="6"/>
  <c r="X20" i="6" s="1"/>
  <c r="AG12" i="6"/>
  <c r="AH12" i="6" s="1"/>
  <c r="W31" i="6"/>
  <c r="X31" i="6" s="1"/>
  <c r="W32" i="6"/>
  <c r="X32" i="6" s="1"/>
  <c r="W44" i="6"/>
  <c r="X44" i="6" s="1"/>
  <c r="W28" i="6"/>
  <c r="X28" i="6" s="1"/>
  <c r="H12" i="3" l="1"/>
  <c r="W35" i="6"/>
  <c r="X35" i="6" s="1"/>
  <c r="BK7" i="6"/>
  <c r="BD111" i="6"/>
  <c r="BE111" i="6" s="1"/>
  <c r="BK22" i="6"/>
  <c r="AQ29" i="6"/>
  <c r="AR29" i="6" s="1"/>
  <c r="BK35" i="6"/>
  <c r="BA2" i="6"/>
  <c r="BC2" i="6" s="1"/>
  <c r="BF2" i="6" s="1"/>
  <c r="AG45" i="6"/>
  <c r="AQ2" i="6"/>
  <c r="W29" i="6"/>
  <c r="X29" i="6" s="1"/>
  <c r="AG29" i="6"/>
  <c r="AH29" i="6" s="1"/>
  <c r="AG22" i="6"/>
  <c r="AH22" i="6" s="1"/>
  <c r="AG2" i="6"/>
  <c r="AH2" i="6" s="1"/>
  <c r="AG35" i="6"/>
  <c r="AQ35" i="6"/>
  <c r="BK45" i="6"/>
  <c r="E7" i="10"/>
  <c r="W22" i="6"/>
  <c r="AQ22" i="6"/>
  <c r="AS22" i="6" s="1"/>
  <c r="AT22" i="6" s="1"/>
  <c r="AU22" i="6" s="1"/>
  <c r="BK32" i="6"/>
  <c r="BK29" i="6"/>
  <c r="W36" i="6"/>
  <c r="BA36" i="6"/>
  <c r="BB36" i="6" s="1"/>
  <c r="AG36" i="6"/>
  <c r="AQ45" i="6"/>
  <c r="BK2" i="6"/>
  <c r="W45" i="6"/>
  <c r="X45" i="6" s="1"/>
  <c r="BA32" i="6"/>
  <c r="AG32" i="6"/>
  <c r="I14" i="3"/>
  <c r="W4" i="6"/>
  <c r="AJ109" i="6"/>
  <c r="AK109" i="6" s="1"/>
  <c r="AG4" i="6"/>
  <c r="BK4" i="6"/>
  <c r="Z63" i="6"/>
  <c r="AA63" i="6" s="1"/>
  <c r="AT104" i="6"/>
  <c r="AU104" i="6" s="1"/>
  <c r="BA4" i="6"/>
  <c r="BB4" i="6" s="1"/>
  <c r="AJ60" i="6"/>
  <c r="AK60" i="6" s="1"/>
  <c r="AT105" i="6"/>
  <c r="AU105" i="6" s="1"/>
  <c r="AG8" i="6"/>
  <c r="D12" i="10"/>
  <c r="D9" i="10"/>
  <c r="BA34" i="6"/>
  <c r="BA18" i="6"/>
  <c r="AQ26" i="6"/>
  <c r="AS26" i="6" s="1"/>
  <c r="AV26" i="6" s="1"/>
  <c r="W7" i="6"/>
  <c r="AG26" i="6"/>
  <c r="AH26" i="6" s="1"/>
  <c r="BA15" i="6"/>
  <c r="AR4" i="6"/>
  <c r="W41" i="6"/>
  <c r="X41" i="6" s="1"/>
  <c r="BA8" i="6"/>
  <c r="BB8" i="6" s="1"/>
  <c r="AQ30" i="6"/>
  <c r="BN111" i="6"/>
  <c r="BO111" i="6" s="1"/>
  <c r="Y3" i="6"/>
  <c r="AB3" i="6" s="1"/>
  <c r="AC3" i="6" s="1"/>
  <c r="AQ47" i="6"/>
  <c r="W27" i="6"/>
  <c r="X27" i="6" s="1"/>
  <c r="AQ34" i="6"/>
  <c r="AR34" i="6" s="1"/>
  <c r="AG39" i="6"/>
  <c r="AH39" i="6" s="1"/>
  <c r="BK27" i="6"/>
  <c r="BL27" i="6" s="1"/>
  <c r="AQ7" i="6"/>
  <c r="W34" i="6"/>
  <c r="BA39" i="6"/>
  <c r="BB39" i="6" s="1"/>
  <c r="AQ41" i="6"/>
  <c r="AR41" i="6" s="1"/>
  <c r="W43" i="6"/>
  <c r="AG9" i="6"/>
  <c r="AH9" i="6" s="1"/>
  <c r="BK34" i="6"/>
  <c r="BM34" i="6" s="1"/>
  <c r="BN34" i="6" s="1"/>
  <c r="BO34" i="6" s="1"/>
  <c r="BK3" i="6"/>
  <c r="BL3" i="6" s="1"/>
  <c r="BK41" i="6"/>
  <c r="BC4" i="6"/>
  <c r="AQ15" i="6"/>
  <c r="AS15" i="6" s="1"/>
  <c r="AV15" i="6" s="1"/>
  <c r="AW15" i="6" s="1"/>
  <c r="AG7" i="6"/>
  <c r="AH7" i="6" s="1"/>
  <c r="AQ9" i="6"/>
  <c r="W30" i="6"/>
  <c r="X30" i="6" s="1"/>
  <c r="W11" i="6"/>
  <c r="X11" i="6" s="1"/>
  <c r="W9" i="6"/>
  <c r="X9" i="6" s="1"/>
  <c r="AQ48" i="6"/>
  <c r="AR48" i="6" s="1"/>
  <c r="BK14" i="6"/>
  <c r="BL14" i="6" s="1"/>
  <c r="BK49" i="6"/>
  <c r="BL49" i="6" s="1"/>
  <c r="BK47" i="6"/>
  <c r="BL47" i="6" s="1"/>
  <c r="BA30" i="6"/>
  <c r="BA27" i="6"/>
  <c r="BB27" i="6" s="1"/>
  <c r="W15" i="6"/>
  <c r="X15" i="6" s="1"/>
  <c r="W18" i="6"/>
  <c r="W39" i="6"/>
  <c r="X39" i="6" s="1"/>
  <c r="W21" i="6"/>
  <c r="X21" i="6" s="1"/>
  <c r="W33" i="6"/>
  <c r="X33" i="6" s="1"/>
  <c r="W25" i="6"/>
  <c r="AG15" i="6"/>
  <c r="AG27" i="6"/>
  <c r="AH27" i="6" s="1"/>
  <c r="AQ3" i="6"/>
  <c r="BK30" i="6"/>
  <c r="BL30" i="6" s="1"/>
  <c r="AB61" i="6"/>
  <c r="AC61" i="6" s="1"/>
  <c r="BD64" i="6"/>
  <c r="BE64" i="6" s="1"/>
  <c r="Z105" i="6"/>
  <c r="AA105" i="6" s="1"/>
  <c r="BP63" i="6"/>
  <c r="BQ63" i="6" s="1"/>
  <c r="BN64" i="6"/>
  <c r="BO64" i="6" s="1"/>
  <c r="BA42" i="6"/>
  <c r="AG17" i="6"/>
  <c r="AH17" i="6" s="1"/>
  <c r="BA37" i="6"/>
  <c r="BC37" i="6" s="1"/>
  <c r="BD37" i="6" s="1"/>
  <c r="BE37" i="6" s="1"/>
  <c r="BA17" i="6"/>
  <c r="BA24" i="6"/>
  <c r="BC24" i="6" s="1"/>
  <c r="BD24" i="6" s="1"/>
  <c r="BE24" i="6" s="1"/>
  <c r="AG42" i="6"/>
  <c r="AH42" i="6" s="1"/>
  <c r="AQ44" i="6"/>
  <c r="AS44" i="6" s="1"/>
  <c r="AV44" i="6" s="1"/>
  <c r="AW44" i="6" s="1"/>
  <c r="BD107" i="6"/>
  <c r="BE107" i="6" s="1"/>
  <c r="Z108" i="6"/>
  <c r="AA108" i="6" s="1"/>
  <c r="I7" i="10"/>
  <c r="W37" i="6"/>
  <c r="W24" i="6"/>
  <c r="X24" i="6" s="1"/>
  <c r="BK42" i="6"/>
  <c r="BL42" i="6" s="1"/>
  <c r="BK46" i="6"/>
  <c r="BL46" i="6" s="1"/>
  <c r="AQ37" i="6"/>
  <c r="AR37" i="6" s="1"/>
  <c r="BK17" i="6"/>
  <c r="BM17" i="6" s="1"/>
  <c r="AQ24" i="6"/>
  <c r="AG46" i="6"/>
  <c r="AH46" i="6" s="1"/>
  <c r="BK44" i="6"/>
  <c r="BK26" i="6"/>
  <c r="BM26" i="6" s="1"/>
  <c r="AG24" i="6"/>
  <c r="AH24" i="6" s="1"/>
  <c r="BF61" i="6"/>
  <c r="BG61" i="6" s="1"/>
  <c r="I9" i="3"/>
  <c r="W26" i="6"/>
  <c r="X26" i="6" s="1"/>
  <c r="W17" i="6"/>
  <c r="X17" i="6" s="1"/>
  <c r="AG37" i="6"/>
  <c r="AH37" i="6" s="1"/>
  <c r="B7" i="10"/>
  <c r="AT60" i="6"/>
  <c r="AU60" i="6" s="1"/>
  <c r="AJ107" i="6"/>
  <c r="AK107" i="6" s="1"/>
  <c r="BD105" i="6"/>
  <c r="BE105" i="6" s="1"/>
  <c r="BP106" i="6"/>
  <c r="BQ106" i="6" s="1"/>
  <c r="BD65" i="6"/>
  <c r="BE65" i="6" s="1"/>
  <c r="BA11" i="6"/>
  <c r="BC11" i="6" s="1"/>
  <c r="BF11" i="6" s="1"/>
  <c r="BG11" i="6" s="1"/>
  <c r="BK21" i="6"/>
  <c r="BM21" i="6" s="1"/>
  <c r="BP21" i="6" s="1"/>
  <c r="BQ21" i="6" s="1"/>
  <c r="AL65" i="6"/>
  <c r="AM65" i="6" s="1"/>
  <c r="AV109" i="6"/>
  <c r="AW109" i="6" s="1"/>
  <c r="BP110" i="6"/>
  <c r="BQ110" i="6" s="1"/>
  <c r="BD109" i="6"/>
  <c r="BE109" i="6" s="1"/>
  <c r="AQ21" i="6"/>
  <c r="AV108" i="6"/>
  <c r="AW108" i="6" s="1"/>
  <c r="AT107" i="6"/>
  <c r="AU107" i="6" s="1"/>
  <c r="BD104" i="6"/>
  <c r="BE104" i="6" s="1"/>
  <c r="BK11" i="6"/>
  <c r="BL11" i="6" s="1"/>
  <c r="BP107" i="6"/>
  <c r="BQ107" i="6" s="1"/>
  <c r="BA21" i="6"/>
  <c r="BB21" i="6" s="1"/>
  <c r="BN104" i="6"/>
  <c r="BO104" i="6" s="1"/>
  <c r="BN60" i="6"/>
  <c r="BO60" i="6" s="1"/>
  <c r="AV63" i="6"/>
  <c r="AW63" i="6" s="1"/>
  <c r="D8" i="10"/>
  <c r="AV61" i="6"/>
  <c r="AW61" i="6" s="1"/>
  <c r="E12" i="10"/>
  <c r="H14" i="3"/>
  <c r="I12" i="3"/>
  <c r="W47" i="6"/>
  <c r="X47" i="6" s="1"/>
  <c r="W23" i="6"/>
  <c r="X23" i="6" s="1"/>
  <c r="W10" i="6"/>
  <c r="AG49" i="6"/>
  <c r="AH49" i="6" s="1"/>
  <c r="BK25" i="6"/>
  <c r="BM25" i="6" s="1"/>
  <c r="BP25" i="6" s="1"/>
  <c r="BQ25" i="6" s="1"/>
  <c r="BK48" i="6"/>
  <c r="BL48" i="6" s="1"/>
  <c r="BA20" i="6"/>
  <c r="BK33" i="6"/>
  <c r="BL33" i="6" s="1"/>
  <c r="AG43" i="6"/>
  <c r="AH43" i="6" s="1"/>
  <c r="BK5" i="6"/>
  <c r="BM5" i="6" s="1"/>
  <c r="BP5" i="6" s="1"/>
  <c r="BQ5" i="6" s="1"/>
  <c r="AG33" i="6"/>
  <c r="AG23" i="6"/>
  <c r="AQ43" i="6"/>
  <c r="AR43" i="6" s="1"/>
  <c r="BK18" i="6"/>
  <c r="BL18" i="6" s="1"/>
  <c r="BK23" i="6"/>
  <c r="BM23" i="6" s="1"/>
  <c r="AV111" i="6"/>
  <c r="AW111" i="6" s="1"/>
  <c r="D13" i="10"/>
  <c r="E11" i="10"/>
  <c r="J12" i="3"/>
  <c r="J13" i="3"/>
  <c r="W14" i="6"/>
  <c r="X14" i="6" s="1"/>
  <c r="W48" i="6"/>
  <c r="W49" i="6"/>
  <c r="W5" i="6"/>
  <c r="Y5" i="6" s="1"/>
  <c r="AB5" i="6" s="1"/>
  <c r="AC5" i="6" s="1"/>
  <c r="BA25" i="6"/>
  <c r="BC25" i="6" s="1"/>
  <c r="BD25" i="6" s="1"/>
  <c r="BE25" i="6" s="1"/>
  <c r="AG47" i="6"/>
  <c r="AH47" i="6" s="1"/>
  <c r="BK20" i="6"/>
  <c r="BM20" i="6" s="1"/>
  <c r="BN20" i="6" s="1"/>
  <c r="BO20" i="6" s="1"/>
  <c r="BA33" i="6"/>
  <c r="BC33" i="6" s="1"/>
  <c r="BF33" i="6" s="1"/>
  <c r="BG33" i="6" s="1"/>
  <c r="AG18" i="6"/>
  <c r="AH18" i="6" s="1"/>
  <c r="AQ14" i="6"/>
  <c r="BA49" i="6"/>
  <c r="BB49" i="6" s="1"/>
  <c r="AG48" i="6"/>
  <c r="AH48" i="6" s="1"/>
  <c r="BA43" i="6"/>
  <c r="BB43" i="6" s="1"/>
  <c r="AG14" i="6"/>
  <c r="AH14" i="6" s="1"/>
  <c r="E9" i="10"/>
  <c r="E8" i="10"/>
  <c r="AQ20" i="6"/>
  <c r="AS20" i="6" s="1"/>
  <c r="AQ5" i="6"/>
  <c r="AS5" i="6" s="1"/>
  <c r="AT5" i="6" s="1"/>
  <c r="AU5" i="6" s="1"/>
  <c r="BF110" i="6"/>
  <c r="BG110" i="6" s="1"/>
  <c r="D11" i="10"/>
  <c r="AI5" i="6"/>
  <c r="AJ5" i="6" s="1"/>
  <c r="AK5" i="6" s="1"/>
  <c r="E13" i="10"/>
  <c r="BS30" i="6"/>
  <c r="BS31" i="6" s="1"/>
  <c r="BF106" i="6"/>
  <c r="BG106" i="6" s="1"/>
  <c r="AT110" i="6"/>
  <c r="AU110" i="6" s="1"/>
  <c r="F11" i="10"/>
  <c r="BK6" i="6"/>
  <c r="BL6" i="6" s="1"/>
  <c r="CN46" i="6"/>
  <c r="CN41" i="6"/>
  <c r="H21" i="10" s="1"/>
  <c r="CG13" i="6"/>
  <c r="CG14" i="6" s="1"/>
  <c r="G7" i="10"/>
  <c r="BZ10" i="6"/>
  <c r="BZ11" i="6" s="1"/>
  <c r="G17" i="10"/>
  <c r="F17" i="10"/>
  <c r="I19" i="10"/>
  <c r="H19" i="10"/>
  <c r="CG26" i="6"/>
  <c r="CG31" i="6"/>
  <c r="G11" i="10"/>
  <c r="BM48" i="6"/>
  <c r="BP48" i="6" s="1"/>
  <c r="BQ48" i="6" s="1"/>
  <c r="BC32" i="6"/>
  <c r="BD32" i="6" s="1"/>
  <c r="BE32" i="6" s="1"/>
  <c r="BB32" i="6"/>
  <c r="BM29" i="6"/>
  <c r="BN29" i="6" s="1"/>
  <c r="BO29" i="6" s="1"/>
  <c r="BL29" i="6"/>
  <c r="AS46" i="6"/>
  <c r="AT46" i="6" s="1"/>
  <c r="AU46" i="6" s="1"/>
  <c r="AR46" i="6"/>
  <c r="AS36" i="6"/>
  <c r="AT36" i="6" s="1"/>
  <c r="AU36" i="6" s="1"/>
  <c r="AR36" i="6"/>
  <c r="BC13" i="6"/>
  <c r="BD13" i="6" s="1"/>
  <c r="BE13" i="6" s="1"/>
  <c r="BB13" i="6"/>
  <c r="BM39" i="6"/>
  <c r="BN39" i="6" s="1"/>
  <c r="BO39" i="6" s="1"/>
  <c r="BL39" i="6"/>
  <c r="BC12" i="6"/>
  <c r="BD12" i="6" s="1"/>
  <c r="BE12" i="6" s="1"/>
  <c r="BB12" i="6"/>
  <c r="BC40" i="6"/>
  <c r="BD40" i="6" s="1"/>
  <c r="BE40" i="6" s="1"/>
  <c r="BB40" i="6"/>
  <c r="AS42" i="6"/>
  <c r="AT42" i="6" s="1"/>
  <c r="AU42" i="6" s="1"/>
  <c r="AR42" i="6"/>
  <c r="BM22" i="6"/>
  <c r="BN22" i="6" s="1"/>
  <c r="BO22" i="6" s="1"/>
  <c r="BL22" i="6"/>
  <c r="AI36" i="6"/>
  <c r="AL36" i="6" s="1"/>
  <c r="AM36" i="6" s="1"/>
  <c r="AH36" i="6"/>
  <c r="AS13" i="6"/>
  <c r="AV13" i="6" s="1"/>
  <c r="AW13" i="6" s="1"/>
  <c r="AR13" i="6"/>
  <c r="BC3" i="6"/>
  <c r="BF3" i="6" s="1"/>
  <c r="BG3" i="6" s="1"/>
  <c r="BB3" i="6"/>
  <c r="AS16" i="6"/>
  <c r="AT16" i="6" s="1"/>
  <c r="AU16" i="6" s="1"/>
  <c r="AR16" i="6"/>
  <c r="BM15" i="6"/>
  <c r="BP15" i="6" s="1"/>
  <c r="BQ15" i="6" s="1"/>
  <c r="BL15" i="6"/>
  <c r="AS18" i="6"/>
  <c r="AV18" i="6" s="1"/>
  <c r="AW18" i="6" s="1"/>
  <c r="AR18" i="6"/>
  <c r="AS45" i="6"/>
  <c r="AV45" i="6" s="1"/>
  <c r="AW45" i="6" s="1"/>
  <c r="AR45" i="6"/>
  <c r="BC7" i="6"/>
  <c r="BF7" i="6" s="1"/>
  <c r="BG7" i="6" s="1"/>
  <c r="BB7" i="6"/>
  <c r="AV106" i="6"/>
  <c r="AW106" i="6" s="1"/>
  <c r="AT62" i="6"/>
  <c r="AU62" i="6" s="1"/>
  <c r="BC9" i="6"/>
  <c r="BB9" i="6"/>
  <c r="E30" i="10"/>
  <c r="D30" i="10"/>
  <c r="BM2" i="6"/>
  <c r="BL2" i="6"/>
  <c r="BC31" i="6"/>
  <c r="BF31" i="6" s="1"/>
  <c r="BG31" i="6" s="1"/>
  <c r="BB31" i="6"/>
  <c r="AS28" i="6"/>
  <c r="AT28" i="6" s="1"/>
  <c r="AU28" i="6" s="1"/>
  <c r="AR28" i="6"/>
  <c r="BM33" i="6"/>
  <c r="BN33" i="6" s="1"/>
  <c r="BO33" i="6" s="1"/>
  <c r="BC35" i="6"/>
  <c r="BD35" i="6" s="1"/>
  <c r="BE35" i="6" s="1"/>
  <c r="BB35" i="6"/>
  <c r="AS2" i="6"/>
  <c r="AT2" i="6" s="1"/>
  <c r="AR2" i="6"/>
  <c r="BC36" i="6"/>
  <c r="BD36" i="6" s="1"/>
  <c r="BE36" i="6" s="1"/>
  <c r="BM37" i="6"/>
  <c r="BP37" i="6" s="1"/>
  <c r="BQ37" i="6" s="1"/>
  <c r="BL37" i="6"/>
  <c r="AS32" i="6"/>
  <c r="AT32" i="6" s="1"/>
  <c r="AU32" i="6" s="1"/>
  <c r="AR32" i="6"/>
  <c r="BC14" i="6"/>
  <c r="BF14" i="6" s="1"/>
  <c r="BG14" i="6" s="1"/>
  <c r="BB14" i="6"/>
  <c r="AS38" i="6"/>
  <c r="AT38" i="6" s="1"/>
  <c r="AU38" i="6" s="1"/>
  <c r="AR38" i="6"/>
  <c r="AS49" i="6"/>
  <c r="AT49" i="6" s="1"/>
  <c r="AU49" i="6" s="1"/>
  <c r="AR49" i="6"/>
  <c r="BC30" i="6"/>
  <c r="BF30" i="6" s="1"/>
  <c r="BG30" i="6" s="1"/>
  <c r="BB30" i="6"/>
  <c r="AS11" i="6"/>
  <c r="AT11" i="6" s="1"/>
  <c r="AU11" i="6" s="1"/>
  <c r="AR11" i="6"/>
  <c r="BM35" i="6"/>
  <c r="BP35" i="6" s="1"/>
  <c r="BQ35" i="6" s="1"/>
  <c r="BL35" i="6"/>
  <c r="BC23" i="6"/>
  <c r="BD23" i="6" s="1"/>
  <c r="BE23" i="6" s="1"/>
  <c r="BB23" i="6"/>
  <c r="AS17" i="6"/>
  <c r="AT17" i="6" s="1"/>
  <c r="AU17" i="6" s="1"/>
  <c r="AR17" i="6"/>
  <c r="BC45" i="6"/>
  <c r="BD45" i="6" s="1"/>
  <c r="BE45" i="6" s="1"/>
  <c r="BB45" i="6"/>
  <c r="BM7" i="6"/>
  <c r="BP7" i="6" s="1"/>
  <c r="BQ7" i="6" s="1"/>
  <c r="BL7" i="6"/>
  <c r="Z60" i="6"/>
  <c r="AA60" i="6" s="1"/>
  <c r="AL63" i="6"/>
  <c r="AM63" i="6" s="1"/>
  <c r="AT65" i="6"/>
  <c r="AU65" i="6" s="1"/>
  <c r="B21" i="10"/>
  <c r="C21" i="10"/>
  <c r="I23" i="10"/>
  <c r="I20" i="10"/>
  <c r="H23" i="10"/>
  <c r="H20" i="10"/>
  <c r="BS41" i="6"/>
  <c r="AS25" i="6"/>
  <c r="AT25" i="6" s="1"/>
  <c r="AU25" i="6" s="1"/>
  <c r="AR25" i="6"/>
  <c r="BM36" i="6"/>
  <c r="BN36" i="6" s="1"/>
  <c r="BO36" i="6" s="1"/>
  <c r="BL36" i="6"/>
  <c r="BB37" i="6"/>
  <c r="BM24" i="6"/>
  <c r="BP24" i="6" s="1"/>
  <c r="BQ24" i="6" s="1"/>
  <c r="BL24" i="6"/>
  <c r="BM32" i="6"/>
  <c r="BN32" i="6" s="1"/>
  <c r="BO32" i="6" s="1"/>
  <c r="BL32" i="6"/>
  <c r="BM14" i="6"/>
  <c r="BP14" i="6" s="1"/>
  <c r="BQ14" i="6" s="1"/>
  <c r="BM38" i="6"/>
  <c r="BN38" i="6" s="1"/>
  <c r="BO38" i="6" s="1"/>
  <c r="BL38" i="6"/>
  <c r="BC44" i="6"/>
  <c r="BF44" i="6" s="1"/>
  <c r="BG44" i="6" s="1"/>
  <c r="BB44" i="6"/>
  <c r="BM12" i="6"/>
  <c r="BP12" i="6" s="1"/>
  <c r="BQ12" i="6" s="1"/>
  <c r="BL12" i="6"/>
  <c r="AS40" i="6"/>
  <c r="AV40" i="6" s="1"/>
  <c r="AW40" i="6" s="1"/>
  <c r="AR40" i="6"/>
  <c r="AS23" i="6"/>
  <c r="AR23" i="6"/>
  <c r="BL21" i="6"/>
  <c r="AS7" i="6"/>
  <c r="AT7" i="6" s="1"/>
  <c r="AU7" i="6" s="1"/>
  <c r="AR7" i="6"/>
  <c r="BP61" i="6"/>
  <c r="BQ61" i="6" s="1"/>
  <c r="BD63" i="6"/>
  <c r="BE63" i="6" s="1"/>
  <c r="CG32" i="6"/>
  <c r="CG35" i="6" s="1"/>
  <c r="G24" i="10"/>
  <c r="F24" i="10"/>
  <c r="F28" i="10"/>
  <c r="F7" i="10"/>
  <c r="B12" i="10"/>
  <c r="C12" i="10"/>
  <c r="G8" i="10"/>
  <c r="BK10" i="6"/>
  <c r="BL10" i="6" s="1"/>
  <c r="Z65" i="6"/>
  <c r="AA65" i="6" s="1"/>
  <c r="AJ104" i="6"/>
  <c r="AK104" i="6" s="1"/>
  <c r="H7" i="3"/>
  <c r="BP108" i="6"/>
  <c r="BQ108" i="6" s="1"/>
  <c r="J14" i="3"/>
  <c r="AQ6" i="6"/>
  <c r="AS12" i="6" s="1"/>
  <c r="AT12" i="6" s="1"/>
  <c r="AL61" i="6"/>
  <c r="AM61" i="6" s="1"/>
  <c r="B9" i="10"/>
  <c r="C7" i="10"/>
  <c r="H13" i="3"/>
  <c r="I13" i="3"/>
  <c r="BA6" i="6"/>
  <c r="AG11" i="6"/>
  <c r="C9" i="10"/>
  <c r="C8" i="10"/>
  <c r="B8" i="10"/>
  <c r="AI21" i="6"/>
  <c r="AJ21" i="6" s="1"/>
  <c r="AK21" i="6" s="1"/>
  <c r="AB104" i="6"/>
  <c r="AC104" i="6" s="1"/>
  <c r="Z106" i="6"/>
  <c r="AA106" i="6" s="1"/>
  <c r="AQ10" i="6"/>
  <c r="H8" i="3"/>
  <c r="I7" i="3"/>
  <c r="J9" i="3"/>
  <c r="J8" i="3"/>
  <c r="I8" i="3"/>
  <c r="J7" i="3"/>
  <c r="H9" i="3"/>
  <c r="BA10" i="6"/>
  <c r="AS8" i="6"/>
  <c r="AT8" i="6" s="1"/>
  <c r="AU8" i="6" s="1"/>
  <c r="W6" i="6"/>
  <c r="AG6" i="6"/>
  <c r="AH6" i="6" s="1"/>
  <c r="AB64" i="6"/>
  <c r="AC64" i="6" s="1"/>
  <c r="AB111" i="6"/>
  <c r="AC111" i="6" s="1"/>
  <c r="Z107" i="6"/>
  <c r="AA107" i="6" s="1"/>
  <c r="AL62" i="6"/>
  <c r="AM62" i="6" s="1"/>
  <c r="Z109" i="6"/>
  <c r="AA109" i="6" s="1"/>
  <c r="AL108" i="6"/>
  <c r="AM108" i="6" s="1"/>
  <c r="Z62" i="6"/>
  <c r="AA62" i="6" s="1"/>
  <c r="BF62" i="6"/>
  <c r="BG62" i="6" s="1"/>
  <c r="C13" i="10"/>
  <c r="B13" i="10"/>
  <c r="B11" i="10"/>
  <c r="C11" i="10"/>
  <c r="BN109" i="6"/>
  <c r="BO109" i="6" s="1"/>
  <c r="G12" i="10"/>
  <c r="AJ64" i="6"/>
  <c r="AK64" i="6" s="1"/>
  <c r="AL111" i="6"/>
  <c r="AM111" i="6" s="1"/>
  <c r="AJ106" i="6"/>
  <c r="AK106" i="6" s="1"/>
  <c r="F9" i="10"/>
  <c r="F8" i="10"/>
  <c r="G9" i="10"/>
  <c r="Y28" i="6"/>
  <c r="AB28" i="6" s="1"/>
  <c r="AC28" i="6" s="1"/>
  <c r="Y31" i="6"/>
  <c r="AB31" i="6" s="1"/>
  <c r="AC31" i="6" s="1"/>
  <c r="Y20" i="6"/>
  <c r="AB20" i="6" s="1"/>
  <c r="AC20" i="6" s="1"/>
  <c r="Y44" i="6"/>
  <c r="AB44" i="6" s="1"/>
  <c r="Y24" i="6"/>
  <c r="Z24" i="6" s="1"/>
  <c r="Y35" i="6"/>
  <c r="AB35" i="6" s="1"/>
  <c r="AC35" i="6" s="1"/>
  <c r="Y40" i="6"/>
  <c r="AB40" i="6" s="1"/>
  <c r="AI9" i="6"/>
  <c r="AL9" i="6" s="1"/>
  <c r="AM9" i="6" s="1"/>
  <c r="AI46" i="6"/>
  <c r="AJ46" i="6" s="1"/>
  <c r="AK46" i="6" s="1"/>
  <c r="BC19" i="6"/>
  <c r="AI31" i="6"/>
  <c r="AJ31" i="6" s="1"/>
  <c r="AK31" i="6" s="1"/>
  <c r="AI10" i="6"/>
  <c r="AJ10" i="6" s="1"/>
  <c r="AK10" i="6" s="1"/>
  <c r="F13" i="10"/>
  <c r="G13" i="10"/>
  <c r="H11" i="10"/>
  <c r="H12" i="10"/>
  <c r="H13" i="10"/>
  <c r="H9" i="10"/>
  <c r="H7" i="10"/>
  <c r="Y38" i="6"/>
  <c r="Z38" i="6" s="1"/>
  <c r="AA38" i="6" s="1"/>
  <c r="Y21" i="6"/>
  <c r="Z21" i="6" s="1"/>
  <c r="AA21" i="6" s="1"/>
  <c r="Y19" i="6"/>
  <c r="Z19" i="6" s="1"/>
  <c r="AS48" i="6"/>
  <c r="AI29" i="6"/>
  <c r="AJ29" i="6" s="1"/>
  <c r="AK29" i="6" s="1"/>
  <c r="AI16" i="6"/>
  <c r="AJ16" i="6" s="1"/>
  <c r="AK16" i="6" s="1"/>
  <c r="AI22" i="6"/>
  <c r="AL22" i="6" s="1"/>
  <c r="AM22" i="6" s="1"/>
  <c r="AI2" i="6"/>
  <c r="AL2" i="6" s="1"/>
  <c r="AM2" i="6" s="1"/>
  <c r="AS29" i="6"/>
  <c r="AI25" i="6"/>
  <c r="AL25" i="6" s="1"/>
  <c r="AM25" i="6" s="1"/>
  <c r="F12" i="10"/>
  <c r="I11" i="10"/>
  <c r="I8" i="10"/>
  <c r="H8" i="10"/>
  <c r="AI12" i="6"/>
  <c r="Y13" i="6"/>
  <c r="AB13" i="6" s="1"/>
  <c r="AS37" i="6"/>
  <c r="AI19" i="6"/>
  <c r="AL19" i="6" s="1"/>
  <c r="AM19" i="6" s="1"/>
  <c r="AI20" i="6"/>
  <c r="AJ20" i="6" s="1"/>
  <c r="AK20" i="6" s="1"/>
  <c r="I13" i="10"/>
  <c r="I9" i="10"/>
  <c r="Y32" i="6"/>
  <c r="AB32" i="6" s="1"/>
  <c r="Y39" i="6"/>
  <c r="AB39" i="6" s="1"/>
  <c r="Y27" i="6"/>
  <c r="AB27" i="6" s="1"/>
  <c r="AC27" i="6" s="1"/>
  <c r="Y12" i="6"/>
  <c r="Y8" i="6"/>
  <c r="AB8" i="6" s="1"/>
  <c r="AC8" i="6" s="1"/>
  <c r="Y42" i="6"/>
  <c r="AB42" i="6" s="1"/>
  <c r="Y16" i="6"/>
  <c r="AB16" i="6" s="1"/>
  <c r="AC16" i="6" s="1"/>
  <c r="AI37" i="6"/>
  <c r="AL37" i="6" s="1"/>
  <c r="AM37" i="6" s="1"/>
  <c r="AI18" i="6"/>
  <c r="AI34" i="6"/>
  <c r="AL34" i="6" s="1"/>
  <c r="AM34" i="6" s="1"/>
  <c r="AI41" i="6"/>
  <c r="AL41" i="6" s="1"/>
  <c r="AM41" i="6" s="1"/>
  <c r="AI38" i="6"/>
  <c r="AL38" i="6" s="1"/>
  <c r="AM38" i="6" s="1"/>
  <c r="AI30" i="6"/>
  <c r="AL30" i="6" s="1"/>
  <c r="AM30" i="6" s="1"/>
  <c r="AI13" i="6"/>
  <c r="AT4" i="6"/>
  <c r="AU4" i="6" s="1"/>
  <c r="Y23" i="6" l="1"/>
  <c r="AB23" i="6" s="1"/>
  <c r="AC23" i="6" s="1"/>
  <c r="Y45" i="6"/>
  <c r="AB45" i="6" s="1"/>
  <c r="BC8" i="6"/>
  <c r="BD8" i="6" s="1"/>
  <c r="BE8" i="6" s="1"/>
  <c r="BB2" i="6"/>
  <c r="BB5" i="6" s="1"/>
  <c r="BB6" i="6" s="1"/>
  <c r="BF35" i="6"/>
  <c r="BG35" i="6" s="1"/>
  <c r="AR22" i="6"/>
  <c r="BM27" i="6"/>
  <c r="BN27" i="6" s="1"/>
  <c r="BO27" i="6" s="1"/>
  <c r="AR44" i="6"/>
  <c r="AH4" i="6"/>
  <c r="AI4" i="6"/>
  <c r="AS34" i="6"/>
  <c r="AV34" i="6" s="1"/>
  <c r="AW34" i="6" s="1"/>
  <c r="BL4" i="6"/>
  <c r="BM4" i="6"/>
  <c r="Y36" i="6"/>
  <c r="Z36" i="6" s="1"/>
  <c r="AA36" i="6" s="1"/>
  <c r="BD2" i="6"/>
  <c r="AI48" i="6"/>
  <c r="AL48" i="6" s="1"/>
  <c r="AM48" i="6" s="1"/>
  <c r="AS43" i="6"/>
  <c r="X5" i="6"/>
  <c r="Y4" i="6"/>
  <c r="BC43" i="6"/>
  <c r="BF43" i="6" s="1"/>
  <c r="BG43" i="6" s="1"/>
  <c r="AI8" i="6"/>
  <c r="AH8" i="6"/>
  <c r="AH11" i="6" s="1"/>
  <c r="BM18" i="6"/>
  <c r="BP18" i="6" s="1"/>
  <c r="BQ18" i="6" s="1"/>
  <c r="AV2" i="6"/>
  <c r="AW2" i="6" s="1"/>
  <c r="AS39" i="6"/>
  <c r="AT39" i="6" s="1"/>
  <c r="Y30" i="6"/>
  <c r="AB30" i="6" s="1"/>
  <c r="AC30" i="6" s="1"/>
  <c r="AV49" i="6"/>
  <c r="AW49" i="6" s="1"/>
  <c r="AI27" i="6"/>
  <c r="AL27" i="6" s="1"/>
  <c r="AM27" i="6" s="1"/>
  <c r="AR26" i="6"/>
  <c r="BM11" i="6"/>
  <c r="BN11" i="6" s="1"/>
  <c r="BO11" i="6" s="1"/>
  <c r="AT45" i="6"/>
  <c r="AU45" i="6" s="1"/>
  <c r="BP22" i="6"/>
  <c r="BQ22" i="6" s="1"/>
  <c r="Y47" i="6"/>
  <c r="AB47" i="6" s="1"/>
  <c r="AI49" i="6"/>
  <c r="AJ49" i="6" s="1"/>
  <c r="AK49" i="6" s="1"/>
  <c r="BM42" i="6"/>
  <c r="BN42" i="6" s="1"/>
  <c r="BO42" i="6" s="1"/>
  <c r="Z3" i="6"/>
  <c r="AA3" i="6" s="1"/>
  <c r="Y9" i="6"/>
  <c r="AB9" i="6" s="1"/>
  <c r="AI7" i="6"/>
  <c r="AJ7" i="6" s="1"/>
  <c r="AK7" i="6" s="1"/>
  <c r="BM46" i="6"/>
  <c r="BN46" i="6" s="1"/>
  <c r="BO46" i="6" s="1"/>
  <c r="Y41" i="6"/>
  <c r="AB41" i="6" s="1"/>
  <c r="AC41" i="6" s="1"/>
  <c r="AI24" i="6"/>
  <c r="AL24" i="6" s="1"/>
  <c r="AM24" i="6" s="1"/>
  <c r="BM30" i="6"/>
  <c r="BP30" i="6" s="1"/>
  <c r="BQ30" i="6" s="1"/>
  <c r="BM49" i="6"/>
  <c r="BP49" i="6" s="1"/>
  <c r="BQ49" i="6" s="1"/>
  <c r="AV36" i="6"/>
  <c r="AW36" i="6" s="1"/>
  <c r="AT44" i="6"/>
  <c r="AU44" i="6" s="1"/>
  <c r="BN48" i="6"/>
  <c r="BO48" i="6" s="1"/>
  <c r="BC27" i="6"/>
  <c r="BD27" i="6" s="1"/>
  <c r="AI17" i="6"/>
  <c r="AJ17" i="6" s="1"/>
  <c r="AK17" i="6" s="1"/>
  <c r="BM3" i="6"/>
  <c r="BP3" i="6" s="1"/>
  <c r="BQ3" i="6" s="1"/>
  <c r="BB25" i="6"/>
  <c r="BF32" i="6"/>
  <c r="BG32" i="6" s="1"/>
  <c r="AS41" i="6"/>
  <c r="AV41" i="6" s="1"/>
  <c r="AI26" i="6"/>
  <c r="AL26" i="6" s="1"/>
  <c r="AM26" i="6" s="1"/>
  <c r="AS27" i="6"/>
  <c r="AT27" i="6" s="1"/>
  <c r="BP32" i="6"/>
  <c r="BQ32" i="6" s="1"/>
  <c r="BP36" i="6"/>
  <c r="BQ36" i="6" s="1"/>
  <c r="AV28" i="6"/>
  <c r="AW28" i="6" s="1"/>
  <c r="AI14" i="6"/>
  <c r="AJ14" i="6" s="1"/>
  <c r="AK14" i="6" s="1"/>
  <c r="Y26" i="6"/>
  <c r="AB26" i="6" s="1"/>
  <c r="AC26" i="6" s="1"/>
  <c r="Y33" i="6"/>
  <c r="AB33" i="6" s="1"/>
  <c r="BB24" i="6"/>
  <c r="BL5" i="6"/>
  <c r="BL34" i="6"/>
  <c r="BD3" i="6"/>
  <c r="BE3" i="6" s="1"/>
  <c r="BN15" i="6"/>
  <c r="BO15" i="6" s="1"/>
  <c r="BP29" i="6"/>
  <c r="BQ29" i="6" s="1"/>
  <c r="Y11" i="6"/>
  <c r="AB11" i="6" s="1"/>
  <c r="AC11" i="6" s="1"/>
  <c r="AI39" i="6"/>
  <c r="AL39" i="6" s="1"/>
  <c r="AM39" i="6" s="1"/>
  <c r="AR15" i="6"/>
  <c r="AR5" i="6"/>
  <c r="AT18" i="6"/>
  <c r="AU18" i="6" s="1"/>
  <c r="AI47" i="6"/>
  <c r="AL47" i="6" s="1"/>
  <c r="AM47" i="6" s="1"/>
  <c r="Y15" i="6"/>
  <c r="AB15" i="6" s="1"/>
  <c r="AC15" i="6" s="1"/>
  <c r="BD31" i="6"/>
  <c r="BE31" i="6" s="1"/>
  <c r="Y17" i="6"/>
  <c r="AB17" i="6" s="1"/>
  <c r="BB11" i="6"/>
  <c r="AI32" i="6"/>
  <c r="AL32" i="6" s="1"/>
  <c r="AV27" i="6"/>
  <c r="AW27" i="6" s="1"/>
  <c r="AV17" i="6"/>
  <c r="AW17" i="6" s="1"/>
  <c r="BF4" i="6"/>
  <c r="BG4" i="6" s="1"/>
  <c r="BD4" i="6"/>
  <c r="BE4" i="6" s="1"/>
  <c r="BF40" i="6"/>
  <c r="BG40" i="6" s="1"/>
  <c r="AT13" i="6"/>
  <c r="AU13" i="6" s="1"/>
  <c r="BM47" i="6"/>
  <c r="BP47" i="6" s="1"/>
  <c r="BQ47" i="6" s="1"/>
  <c r="BM6" i="6"/>
  <c r="BP6" i="6" s="1"/>
  <c r="BQ6" i="6" s="1"/>
  <c r="AI42" i="6"/>
  <c r="AJ42" i="6" s="1"/>
  <c r="AK42" i="6" s="1"/>
  <c r="BL20" i="6"/>
  <c r="BF12" i="6"/>
  <c r="BG12" i="6" s="1"/>
  <c r="BD7" i="6"/>
  <c r="BE7" i="6" s="1"/>
  <c r="BF36" i="6"/>
  <c r="BG36" i="6" s="1"/>
  <c r="AV12" i="6"/>
  <c r="AW12" i="6" s="1"/>
  <c r="AL5" i="6"/>
  <c r="AM5" i="6" s="1"/>
  <c r="BP27" i="6"/>
  <c r="BQ27" i="6" s="1"/>
  <c r="BN7" i="6"/>
  <c r="BO7" i="6" s="1"/>
  <c r="BN12" i="6"/>
  <c r="BO12" i="6" s="1"/>
  <c r="BN35" i="6"/>
  <c r="BO35" i="6" s="1"/>
  <c r="BN24" i="6"/>
  <c r="BO24" i="6" s="1"/>
  <c r="BN26" i="6"/>
  <c r="BO26" i="6" s="1"/>
  <c r="BP26" i="6"/>
  <c r="BQ26" i="6" s="1"/>
  <c r="BN17" i="6"/>
  <c r="BO17" i="6" s="1"/>
  <c r="BP17" i="6"/>
  <c r="BQ17" i="6" s="1"/>
  <c r="BF24" i="6"/>
  <c r="BG24" i="6" s="1"/>
  <c r="AI43" i="6"/>
  <c r="AJ43" i="6" s="1"/>
  <c r="AK43" i="6" s="1"/>
  <c r="I21" i="10"/>
  <c r="BL17" i="6"/>
  <c r="BL26" i="6"/>
  <c r="Y14" i="6"/>
  <c r="AB14" i="6" s="1"/>
  <c r="AC14" i="6" s="1"/>
  <c r="AR20" i="6"/>
  <c r="BL25" i="6"/>
  <c r="AV20" i="6"/>
  <c r="AW20" i="6" s="1"/>
  <c r="AT20" i="6"/>
  <c r="AU20" i="6" s="1"/>
  <c r="BC49" i="6"/>
  <c r="BD49" i="6" s="1"/>
  <c r="BE49" i="6" s="1"/>
  <c r="BL23" i="6"/>
  <c r="BN23" i="6"/>
  <c r="BO23" i="6" s="1"/>
  <c r="BP23" i="6"/>
  <c r="BQ23" i="6" s="1"/>
  <c r="B20" i="10"/>
  <c r="BB33" i="6"/>
  <c r="C20" i="10"/>
  <c r="D26" i="10"/>
  <c r="BP34" i="6"/>
  <c r="BQ34" i="6" s="1"/>
  <c r="BN25" i="6"/>
  <c r="BO25" i="6" s="1"/>
  <c r="E26" i="10"/>
  <c r="BS35" i="6"/>
  <c r="BS36" i="6" s="1"/>
  <c r="BZ13" i="6"/>
  <c r="BZ12" i="6"/>
  <c r="E17" i="10" s="1"/>
  <c r="E19" i="10"/>
  <c r="AR3" i="6"/>
  <c r="BC41" i="6"/>
  <c r="BF41" i="6" s="1"/>
  <c r="BG41" i="6" s="1"/>
  <c r="BM19" i="6"/>
  <c r="AS14" i="6"/>
  <c r="BC47" i="6"/>
  <c r="BF47" i="6" s="1"/>
  <c r="BG47" i="6" s="1"/>
  <c r="BM28" i="6"/>
  <c r="AS21" i="6"/>
  <c r="BM40" i="6"/>
  <c r="BP40" i="6" s="1"/>
  <c r="BQ40" i="6" s="1"/>
  <c r="BM13" i="6"/>
  <c r="BP13" i="6" s="1"/>
  <c r="BQ13" i="6" s="1"/>
  <c r="BM16" i="6"/>
  <c r="BP16" i="6" s="1"/>
  <c r="BQ16" i="6" s="1"/>
  <c r="CG19" i="6"/>
  <c r="G18" i="10" s="1"/>
  <c r="AS9" i="6"/>
  <c r="AT9" i="6" s="1"/>
  <c r="BC29" i="6"/>
  <c r="BM31" i="6"/>
  <c r="AS3" i="6"/>
  <c r="AT3" i="6" s="1"/>
  <c r="BC5" i="6"/>
  <c r="BF5" i="6" s="1"/>
  <c r="BC26" i="6"/>
  <c r="BF26" i="6" s="1"/>
  <c r="BG26" i="6" s="1"/>
  <c r="BC42" i="6"/>
  <c r="BF42" i="6" s="1"/>
  <c r="BG42" i="6" s="1"/>
  <c r="AS30" i="6"/>
  <c r="F21" i="10"/>
  <c r="D19" i="10"/>
  <c r="CN45" i="6"/>
  <c r="H18" i="10" s="1"/>
  <c r="G21" i="10"/>
  <c r="D17" i="10"/>
  <c r="AT40" i="6"/>
  <c r="AU40" i="6" s="1"/>
  <c r="AV22" i="6"/>
  <c r="AW22" i="6" s="1"/>
  <c r="BN14" i="6"/>
  <c r="BO14" i="6" s="1"/>
  <c r="BP33" i="6"/>
  <c r="BQ33" i="6" s="1"/>
  <c r="BM8" i="6"/>
  <c r="BP8" i="6" s="1"/>
  <c r="BQ8" i="6" s="1"/>
  <c r="BD44" i="6"/>
  <c r="BE44" i="6" s="1"/>
  <c r="AI35" i="6"/>
  <c r="AL35" i="6" s="1"/>
  <c r="AM35" i="6" s="1"/>
  <c r="BC10" i="6"/>
  <c r="BF10" i="6" s="1"/>
  <c r="BG10" i="6" s="1"/>
  <c r="BB10" i="6"/>
  <c r="BD11" i="6"/>
  <c r="BE11" i="6" s="1"/>
  <c r="AT26" i="6"/>
  <c r="AU26" i="6" s="1"/>
  <c r="BM10" i="6"/>
  <c r="BP10" i="6" s="1"/>
  <c r="BQ10" i="6" s="1"/>
  <c r="BM41" i="6"/>
  <c r="BM44" i="6"/>
  <c r="BN44" i="6" s="1"/>
  <c r="BO44" i="6" s="1"/>
  <c r="AT15" i="6"/>
  <c r="AU15" i="6" s="1"/>
  <c r="AV39" i="6"/>
  <c r="AW39" i="6" s="1"/>
  <c r="BC16" i="6"/>
  <c r="BD16" i="6" s="1"/>
  <c r="BE16" i="6" s="1"/>
  <c r="AV7" i="6"/>
  <c r="AW7" i="6" s="1"/>
  <c r="AV25" i="6"/>
  <c r="AW25" i="6" s="1"/>
  <c r="Y29" i="6"/>
  <c r="AB29" i="6" s="1"/>
  <c r="AC29" i="6" s="1"/>
  <c r="X6" i="6"/>
  <c r="AS10" i="6"/>
  <c r="AR10" i="6"/>
  <c r="BM45" i="6"/>
  <c r="BP45" i="6" s="1"/>
  <c r="BQ45" i="6" s="1"/>
  <c r="BC6" i="6"/>
  <c r="G28" i="10"/>
  <c r="B24" i="10"/>
  <c r="BL8" i="6"/>
  <c r="BM9" i="6"/>
  <c r="BM43" i="6"/>
  <c r="AS6" i="6"/>
  <c r="AR6" i="6"/>
  <c r="G29" i="10"/>
  <c r="F29" i="10"/>
  <c r="C24" i="10"/>
  <c r="AS35" i="6"/>
  <c r="AT35" i="6" s="1"/>
  <c r="Y18" i="6"/>
  <c r="AB18" i="6" s="1"/>
  <c r="Y46" i="6"/>
  <c r="Z46" i="6" s="1"/>
  <c r="AA46" i="6" s="1"/>
  <c r="AS24" i="6"/>
  <c r="AV24" i="6" s="1"/>
  <c r="AW24" i="6" s="1"/>
  <c r="Y22" i="6"/>
  <c r="AB22" i="6" s="1"/>
  <c r="AC22" i="6" s="1"/>
  <c r="Y7" i="6"/>
  <c r="AB7" i="6" s="1"/>
  <c r="AC7" i="6" s="1"/>
  <c r="Y10" i="6"/>
  <c r="Z10" i="6" s="1"/>
  <c r="AA10" i="6" s="1"/>
  <c r="Y34" i="6"/>
  <c r="AB34" i="6" s="1"/>
  <c r="Y25" i="6"/>
  <c r="Z25" i="6" s="1"/>
  <c r="AS19" i="6"/>
  <c r="Y49" i="6"/>
  <c r="AB49" i="6" s="1"/>
  <c r="AC49" i="6" s="1"/>
  <c r="AS31" i="6"/>
  <c r="AV31" i="6" s="1"/>
  <c r="AW31" i="6" s="1"/>
  <c r="Z12" i="6"/>
  <c r="AA12" i="6" s="1"/>
  <c r="AJ12" i="6"/>
  <c r="AK12" i="6" s="1"/>
  <c r="AJ9" i="6"/>
  <c r="AK9" i="6" s="1"/>
  <c r="AB36" i="6"/>
  <c r="AV8" i="6"/>
  <c r="AW8" i="6" s="1"/>
  <c r="AI11" i="6"/>
  <c r="AI15" i="6"/>
  <c r="AL15" i="6" s="1"/>
  <c r="AM15" i="6" s="1"/>
  <c r="AI45" i="6"/>
  <c r="AI44" i="6"/>
  <c r="AL44" i="6" s="1"/>
  <c r="AI33" i="6"/>
  <c r="BC17" i="6"/>
  <c r="BF17" i="6" s="1"/>
  <c r="AL21" i="6"/>
  <c r="AM21" i="6" s="1"/>
  <c r="Y43" i="6"/>
  <c r="Y37" i="6"/>
  <c r="Z37" i="6" s="1"/>
  <c r="AS33" i="6"/>
  <c r="Y48" i="6"/>
  <c r="AB48" i="6" s="1"/>
  <c r="AC48" i="6" s="1"/>
  <c r="AS47" i="6"/>
  <c r="AI40" i="6"/>
  <c r="AJ40" i="6" s="1"/>
  <c r="AI28" i="6"/>
  <c r="AL28" i="6" s="1"/>
  <c r="AI3" i="6"/>
  <c r="AJ3" i="6" s="1"/>
  <c r="AI23" i="6"/>
  <c r="AJ23" i="6" s="1"/>
  <c r="BC38" i="6"/>
  <c r="BC34" i="6"/>
  <c r="BF34" i="6" s="1"/>
  <c r="BG34" i="6" s="1"/>
  <c r="BC46" i="6"/>
  <c r="AB24" i="6"/>
  <c r="AC24" i="6" s="1"/>
  <c r="BC21" i="6"/>
  <c r="BD21" i="6" s="1"/>
  <c r="BE21" i="6" s="1"/>
  <c r="BC18" i="6"/>
  <c r="BF18" i="6" s="1"/>
  <c r="BG18" i="6" s="1"/>
  <c r="Z28" i="6"/>
  <c r="AA28" i="6" s="1"/>
  <c r="BC20" i="6"/>
  <c r="BD20" i="6" s="1"/>
  <c r="BC39" i="6"/>
  <c r="BD39" i="6" s="1"/>
  <c r="BE39" i="6" s="1"/>
  <c r="BC15" i="6"/>
  <c r="BC22" i="6"/>
  <c r="BF22" i="6" s="1"/>
  <c r="BC28" i="6"/>
  <c r="BF28" i="6" s="1"/>
  <c r="BG28" i="6" s="1"/>
  <c r="BC48" i="6"/>
  <c r="AB38" i="6"/>
  <c r="AC38" i="6" s="1"/>
  <c r="AI6" i="6"/>
  <c r="Y6" i="6"/>
  <c r="Y2" i="6"/>
  <c r="Z20" i="6"/>
  <c r="AA20" i="6" s="1"/>
  <c r="AJ30" i="6"/>
  <c r="AK30" i="6" s="1"/>
  <c r="AL12" i="6"/>
  <c r="AM12" i="6" s="1"/>
  <c r="AJ2" i="6"/>
  <c r="AK2" i="6" s="1"/>
  <c r="Z42" i="6"/>
  <c r="AA42" i="6" s="1"/>
  <c r="AJ26" i="6"/>
  <c r="AK26" i="6" s="1"/>
  <c r="AB12" i="6"/>
  <c r="AC12" i="6" s="1"/>
  <c r="Z8" i="6"/>
  <c r="AA8" i="6" s="1"/>
  <c r="Z40" i="6"/>
  <c r="AA40" i="6" s="1"/>
  <c r="AL29" i="6"/>
  <c r="AM29" i="6" s="1"/>
  <c r="AL10" i="6"/>
  <c r="AM10" i="6" s="1"/>
  <c r="AW26" i="6"/>
  <c r="BE2" i="6"/>
  <c r="AB19" i="6"/>
  <c r="AC19" i="6" s="1"/>
  <c r="AL46" i="6"/>
  <c r="AM46" i="6" s="1"/>
  <c r="AT34" i="6"/>
  <c r="AU34" i="6" s="1"/>
  <c r="BF37" i="6"/>
  <c r="BG37" i="6" s="1"/>
  <c r="BP38" i="6"/>
  <c r="BQ38" i="6" s="1"/>
  <c r="AJ37" i="6"/>
  <c r="AK37" i="6" s="1"/>
  <c r="AV16" i="6"/>
  <c r="AW16" i="6" s="1"/>
  <c r="Z16" i="6"/>
  <c r="AA16" i="6" s="1"/>
  <c r="AJ34" i="6"/>
  <c r="AK34" i="6" s="1"/>
  <c r="AV42" i="6"/>
  <c r="AW42" i="6" s="1"/>
  <c r="AJ19" i="6"/>
  <c r="AK19" i="6" s="1"/>
  <c r="AV38" i="6"/>
  <c r="AW38" i="6" s="1"/>
  <c r="AL31" i="6"/>
  <c r="AM31" i="6" s="1"/>
  <c r="BN21" i="6"/>
  <c r="BO21" i="6" s="1"/>
  <c r="BF23" i="6"/>
  <c r="BG23" i="6" s="1"/>
  <c r="BD30" i="6"/>
  <c r="BE30" i="6" s="1"/>
  <c r="BP39" i="6"/>
  <c r="BQ39" i="6" s="1"/>
  <c r="BN37" i="6"/>
  <c r="BO37" i="6" s="1"/>
  <c r="AV46" i="6"/>
  <c r="AW46" i="6" s="1"/>
  <c r="AJ36" i="6"/>
  <c r="AK36" i="6" s="1"/>
  <c r="BN18" i="6"/>
  <c r="BO18" i="6" s="1"/>
  <c r="AV5" i="6"/>
  <c r="AW5" i="6" s="1"/>
  <c r="BP42" i="6"/>
  <c r="BQ42" i="6" s="1"/>
  <c r="AL20" i="6"/>
  <c r="AM20" i="6" s="1"/>
  <c r="BD33" i="6"/>
  <c r="BE33" i="6" s="1"/>
  <c r="AV32" i="6"/>
  <c r="AW32" i="6" s="1"/>
  <c r="BF9" i="6"/>
  <c r="BG9" i="6" s="1"/>
  <c r="BD9" i="6"/>
  <c r="BE9" i="6" s="1"/>
  <c r="AJ41" i="6"/>
  <c r="AK41" i="6" s="1"/>
  <c r="Z23" i="6"/>
  <c r="AA23" i="6" s="1"/>
  <c r="AJ22" i="6"/>
  <c r="AK22" i="6" s="1"/>
  <c r="Z31" i="6"/>
  <c r="AA31" i="6" s="1"/>
  <c r="BF13" i="6"/>
  <c r="BG13" i="6" s="1"/>
  <c r="BD14" i="6"/>
  <c r="BE14" i="6" s="1"/>
  <c r="BF25" i="6"/>
  <c r="BG25" i="6" s="1"/>
  <c r="Z5" i="6"/>
  <c r="AA5" i="6" s="1"/>
  <c r="Z32" i="6"/>
  <c r="Z39" i="6"/>
  <c r="AJ25" i="6"/>
  <c r="AK25" i="6" s="1"/>
  <c r="AV11" i="6"/>
  <c r="AW11" i="6" s="1"/>
  <c r="BN5" i="6"/>
  <c r="BO5" i="6" s="1"/>
  <c r="AL16" i="6"/>
  <c r="AM16" i="6" s="1"/>
  <c r="AJ38" i="6"/>
  <c r="AK38" i="6" s="1"/>
  <c r="BF45" i="6"/>
  <c r="BG45" i="6" s="1"/>
  <c r="BF8" i="6"/>
  <c r="BG8" i="6" s="1"/>
  <c r="Z27" i="6"/>
  <c r="AA27" i="6" s="1"/>
  <c r="BP20" i="6"/>
  <c r="BQ20" i="6" s="1"/>
  <c r="AB21" i="6"/>
  <c r="AC21" i="6" s="1"/>
  <c r="Z44" i="6"/>
  <c r="Z30" i="6"/>
  <c r="AA30" i="6" s="1"/>
  <c r="Z35" i="6"/>
  <c r="AA35" i="6" s="1"/>
  <c r="Z13" i="6"/>
  <c r="AA13" i="6" s="1"/>
  <c r="AV23" i="6"/>
  <c r="AW23" i="6" s="1"/>
  <c r="AT23" i="6"/>
  <c r="AU23" i="6" s="1"/>
  <c r="BF27" i="6"/>
  <c r="BG27" i="6" s="1"/>
  <c r="AV29" i="6"/>
  <c r="AW29" i="6" s="1"/>
  <c r="AT29" i="6"/>
  <c r="BF19" i="6"/>
  <c r="BG19" i="6" s="1"/>
  <c r="BD19" i="6"/>
  <c r="AL13" i="6"/>
  <c r="AM13" i="6" s="1"/>
  <c r="AJ13" i="6"/>
  <c r="AT48" i="6"/>
  <c r="AV48" i="6"/>
  <c r="AW48" i="6" s="1"/>
  <c r="AT37" i="6"/>
  <c r="AV37" i="6"/>
  <c r="AW37" i="6" s="1"/>
  <c r="AJ18" i="6"/>
  <c r="AK18" i="6" s="1"/>
  <c r="AL18" i="6"/>
  <c r="BP2" i="6"/>
  <c r="BQ2" i="6" s="1"/>
  <c r="BN2" i="6"/>
  <c r="Z17" i="6"/>
  <c r="AC17" i="6"/>
  <c r="AC9" i="6"/>
  <c r="Z45" i="6"/>
  <c r="AA45" i="6" s="1"/>
  <c r="AC45" i="6"/>
  <c r="AU2" i="6"/>
  <c r="BG2" i="6"/>
  <c r="AA19" i="6"/>
  <c r="AC40" i="6"/>
  <c r="AC42" i="6"/>
  <c r="AC13" i="6"/>
  <c r="AC39" i="6"/>
  <c r="AA24" i="6"/>
  <c r="AC32" i="6"/>
  <c r="AC44" i="6"/>
  <c r="AT41" i="6" l="1"/>
  <c r="AU41" i="6" s="1"/>
  <c r="BD43" i="6"/>
  <c r="BE43" i="6" s="1"/>
  <c r="AJ27" i="6"/>
  <c r="AK27" i="6" s="1"/>
  <c r="BN16" i="6"/>
  <c r="BO16" i="6" s="1"/>
  <c r="AL17" i="6"/>
  <c r="AM17" i="6" s="1"/>
  <c r="AJ4" i="6"/>
  <c r="AK4" i="6" s="1"/>
  <c r="AL4" i="6"/>
  <c r="AM4" i="6" s="1"/>
  <c r="Z41" i="6"/>
  <c r="AA41" i="6" s="1"/>
  <c r="AJ48" i="6"/>
  <c r="AK48" i="6" s="1"/>
  <c r="Z33" i="6"/>
  <c r="BN47" i="6"/>
  <c r="AJ47" i="6"/>
  <c r="AK47" i="6" s="1"/>
  <c r="AJ39" i="6"/>
  <c r="AK39" i="6" s="1"/>
  <c r="BP4" i="6"/>
  <c r="BQ4" i="6" s="1"/>
  <c r="BN4" i="6"/>
  <c r="BO4" i="6" s="1"/>
  <c r="BN6" i="6"/>
  <c r="BO6" i="6" s="1"/>
  <c r="Z15" i="6"/>
  <c r="AA15" i="6" s="1"/>
  <c r="Z47" i="6"/>
  <c r="AA47" i="6" s="1"/>
  <c r="Z9" i="6"/>
  <c r="AA9" i="6" s="1"/>
  <c r="AJ24" i="6"/>
  <c r="AK24" i="6" s="1"/>
  <c r="BN3" i="6"/>
  <c r="BO3" i="6" s="1"/>
  <c r="AB4" i="6"/>
  <c r="Z4" i="6"/>
  <c r="AA4" i="6" s="1"/>
  <c r="AT43" i="6"/>
  <c r="AU43" i="6" s="1"/>
  <c r="AV43" i="6"/>
  <c r="AW43" i="6" s="1"/>
  <c r="BP11" i="6"/>
  <c r="BQ11" i="6" s="1"/>
  <c r="AJ8" i="6"/>
  <c r="AL8" i="6"/>
  <c r="AM8" i="6" s="1"/>
  <c r="Z29" i="6"/>
  <c r="AA29" i="6" s="1"/>
  <c r="AL14" i="6"/>
  <c r="AM14" i="6" s="1"/>
  <c r="BN30" i="6"/>
  <c r="BO30" i="6" s="1"/>
  <c r="AL49" i="6"/>
  <c r="AM49" i="6" s="1"/>
  <c r="AL7" i="6"/>
  <c r="AM7" i="6" s="1"/>
  <c r="AL42" i="6"/>
  <c r="AM42" i="6" s="1"/>
  <c r="BD5" i="6"/>
  <c r="BE5" i="6" s="1"/>
  <c r="BN49" i="6"/>
  <c r="BO49" i="6" s="1"/>
  <c r="BP46" i="6"/>
  <c r="BQ46" i="6" s="1"/>
  <c r="Z11" i="6"/>
  <c r="AA11" i="6" s="1"/>
  <c r="BP44" i="6"/>
  <c r="BQ44" i="6" s="1"/>
  <c r="BF49" i="6"/>
  <c r="BG49" i="6" s="1"/>
  <c r="Z26" i="6"/>
  <c r="AA26" i="6" s="1"/>
  <c r="AJ32" i="6"/>
  <c r="AK32" i="6" s="1"/>
  <c r="AV9" i="6"/>
  <c r="AW9" i="6" s="1"/>
  <c r="AJ35" i="6"/>
  <c r="BD42" i="6"/>
  <c r="AL43" i="6"/>
  <c r="AM43" i="6" s="1"/>
  <c r="BD41" i="6"/>
  <c r="BD26" i="6"/>
  <c r="BD10" i="6"/>
  <c r="BE10" i="6" s="1"/>
  <c r="AL40" i="6"/>
  <c r="AM40" i="6" s="1"/>
  <c r="Z14" i="6"/>
  <c r="AA14" i="6" s="1"/>
  <c r="BN10" i="6"/>
  <c r="BO10" i="6" s="1"/>
  <c r="BN40" i="6"/>
  <c r="H20" i="3"/>
  <c r="AV3" i="6"/>
  <c r="AW3" i="6" s="1"/>
  <c r="BN8" i="6"/>
  <c r="BO8" i="6" s="1"/>
  <c r="BN13" i="6"/>
  <c r="BD47" i="6"/>
  <c r="E20" i="3"/>
  <c r="BS48" i="6"/>
  <c r="C30" i="10" s="1"/>
  <c r="BZ16" i="6"/>
  <c r="AT31" i="6"/>
  <c r="AU31" i="6" s="1"/>
  <c r="B17" i="10"/>
  <c r="C17" i="10"/>
  <c r="B22" i="10"/>
  <c r="BD18" i="6"/>
  <c r="C22" i="10"/>
  <c r="Z22" i="6"/>
  <c r="AJ28" i="6"/>
  <c r="AK28" i="6" s="1"/>
  <c r="BF21" i="6"/>
  <c r="BD17" i="6"/>
  <c r="AV35" i="6"/>
  <c r="AW35" i="6" s="1"/>
  <c r="BF39" i="6"/>
  <c r="I19" i="3"/>
  <c r="F18" i="10"/>
  <c r="I20" i="3"/>
  <c r="AL3" i="6"/>
  <c r="AM3" i="6" s="1"/>
  <c r="L19" i="3"/>
  <c r="AT24" i="6"/>
  <c r="Z34" i="6"/>
  <c r="AA34" i="6" s="1"/>
  <c r="AV30" i="6"/>
  <c r="AW30" i="6" s="1"/>
  <c r="AT30" i="6"/>
  <c r="I18" i="10"/>
  <c r="CG22" i="6"/>
  <c r="AR9" i="6"/>
  <c r="AR12" i="6" s="1"/>
  <c r="BN19" i="6"/>
  <c r="BO19" i="6" s="1"/>
  <c r="BP19" i="6"/>
  <c r="BQ19" i="6" s="1"/>
  <c r="AJ44" i="6"/>
  <c r="AK44" i="6" s="1"/>
  <c r="D18" i="3"/>
  <c r="F19" i="3"/>
  <c r="Z48" i="6"/>
  <c r="BD15" i="6"/>
  <c r="BE15" i="6" s="1"/>
  <c r="BP9" i="6"/>
  <c r="BQ9" i="6" s="1"/>
  <c r="D20" i="3"/>
  <c r="BN28" i="6"/>
  <c r="BO28" i="6" s="1"/>
  <c r="BP28" i="6"/>
  <c r="BD22" i="6"/>
  <c r="BE22" i="6" s="1"/>
  <c r="G19" i="3"/>
  <c r="E18" i="3"/>
  <c r="M20" i="3"/>
  <c r="J18" i="3"/>
  <c r="BZ18" i="6"/>
  <c r="D21" i="10"/>
  <c r="E21" i="10"/>
  <c r="BP31" i="6"/>
  <c r="BN31" i="6"/>
  <c r="BO31" i="6" s="1"/>
  <c r="CN49" i="6"/>
  <c r="BF29" i="6"/>
  <c r="BG29" i="6" s="1"/>
  <c r="BD29" i="6"/>
  <c r="AT21" i="6"/>
  <c r="AV21" i="6"/>
  <c r="AW21" i="6" s="1"/>
  <c r="AT14" i="6"/>
  <c r="AV14" i="6"/>
  <c r="AW14" i="6" s="1"/>
  <c r="BF20" i="6"/>
  <c r="BG20" i="6" s="1"/>
  <c r="BF16" i="6"/>
  <c r="BG16" i="6" s="1"/>
  <c r="BD28" i="6"/>
  <c r="AL23" i="6"/>
  <c r="AM23" i="6" s="1"/>
  <c r="J19" i="3"/>
  <c r="M18" i="3"/>
  <c r="Z7" i="6"/>
  <c r="AR19" i="6"/>
  <c r="Z49" i="6"/>
  <c r="BF15" i="6"/>
  <c r="BG15" i="6" s="1"/>
  <c r="BN9" i="6"/>
  <c r="BO9" i="6" s="1"/>
  <c r="D19" i="3"/>
  <c r="AV19" i="6"/>
  <c r="AW19" i="6" s="1"/>
  <c r="AB25" i="6"/>
  <c r="AC25" i="6" s="1"/>
  <c r="AB46" i="6"/>
  <c r="AB2" i="6"/>
  <c r="AC2" i="6" s="1"/>
  <c r="M19" i="3"/>
  <c r="K19" i="3"/>
  <c r="K20" i="3"/>
  <c r="AT19" i="6"/>
  <c r="AU19" i="6" s="1"/>
  <c r="F18" i="3"/>
  <c r="I18" i="3"/>
  <c r="H18" i="3"/>
  <c r="H19" i="3"/>
  <c r="G20" i="3"/>
  <c r="E19" i="3"/>
  <c r="BN43" i="6"/>
  <c r="BP43" i="6"/>
  <c r="BQ43" i="6" s="1"/>
  <c r="AB10" i="6"/>
  <c r="L20" i="3"/>
  <c r="L18" i="3"/>
  <c r="Z18" i="6"/>
  <c r="AA18" i="6" s="1"/>
  <c r="BN45" i="6"/>
  <c r="BL9" i="6"/>
  <c r="F20" i="3"/>
  <c r="G18" i="3"/>
  <c r="J20" i="3"/>
  <c r="AH15" i="6"/>
  <c r="BB15" i="6"/>
  <c r="BB16" i="6" s="1"/>
  <c r="AV10" i="6"/>
  <c r="AW10" i="6" s="1"/>
  <c r="AT10" i="6"/>
  <c r="AU10" i="6" s="1"/>
  <c r="BF6" i="6"/>
  <c r="BG6" i="6" s="1"/>
  <c r="BD6" i="6"/>
  <c r="X2" i="6"/>
  <c r="AV6" i="6"/>
  <c r="AW6" i="6" s="1"/>
  <c r="AT6" i="6"/>
  <c r="BN41" i="6"/>
  <c r="BO41" i="6" s="1"/>
  <c r="BP41" i="6"/>
  <c r="BQ41" i="6" s="1"/>
  <c r="K18" i="3"/>
  <c r="AB37" i="6"/>
  <c r="AC37" i="6" s="1"/>
  <c r="BF48" i="6"/>
  <c r="BG48" i="6" s="1"/>
  <c r="BD48" i="6"/>
  <c r="AL33" i="6"/>
  <c r="AJ33" i="6"/>
  <c r="AK33" i="6" s="1"/>
  <c r="Z2" i="6"/>
  <c r="BD34" i="6"/>
  <c r="AJ15" i="6"/>
  <c r="AJ45" i="6"/>
  <c r="AK45" i="6" s="1"/>
  <c r="AL45" i="6"/>
  <c r="AL11" i="6"/>
  <c r="AB43" i="6"/>
  <c r="AC43" i="6" s="1"/>
  <c r="Z43" i="6"/>
  <c r="AJ11" i="6"/>
  <c r="AK11" i="6" s="1"/>
  <c r="AV33" i="6"/>
  <c r="AW33" i="6" s="1"/>
  <c r="AT33" i="6"/>
  <c r="AV47" i="6"/>
  <c r="AW47" i="6" s="1"/>
  <c r="AT47" i="6"/>
  <c r="BF38" i="6"/>
  <c r="BG38" i="6" s="1"/>
  <c r="BD38" i="6"/>
  <c r="BD46" i="6"/>
  <c r="BF46" i="6"/>
  <c r="BG46" i="6" s="1"/>
  <c r="AB6" i="6"/>
  <c r="AC6" i="6" s="1"/>
  <c r="Z6" i="6"/>
  <c r="AL6" i="6"/>
  <c r="AM6" i="6" s="1"/>
  <c r="AJ6" i="6"/>
  <c r="AK6" i="6" s="1"/>
  <c r="AU29" i="6"/>
  <c r="AK40" i="6"/>
  <c r="AM28" i="6"/>
  <c r="AW41" i="6"/>
  <c r="AU37" i="6"/>
  <c r="BE27" i="6"/>
  <c r="AM18" i="6"/>
  <c r="BO47" i="6"/>
  <c r="AU48" i="6"/>
  <c r="BE19" i="6"/>
  <c r="BO2" i="6"/>
  <c r="AA17" i="6"/>
  <c r="AA33" i="6"/>
  <c r="AA32" i="6"/>
  <c r="AC47" i="6"/>
  <c r="AA44" i="6"/>
  <c r="AA39" i="6"/>
  <c r="B34" i="10" l="1"/>
  <c r="C23" i="10"/>
  <c r="C38" i="10"/>
  <c r="C40" i="10"/>
  <c r="B30" i="10"/>
  <c r="B35" i="10"/>
  <c r="C25" i="10"/>
  <c r="C33" i="10"/>
  <c r="C34" i="10"/>
  <c r="C28" i="10"/>
  <c r="C32" i="10"/>
  <c r="C31" i="10"/>
  <c r="B42" i="10"/>
  <c r="B31" i="10"/>
  <c r="C36" i="10"/>
  <c r="B38" i="10"/>
  <c r="B27" i="10"/>
  <c r="X4" i="6"/>
  <c r="AC4" i="6"/>
  <c r="AC36" i="6"/>
  <c r="AK8" i="6"/>
  <c r="AU6" i="6"/>
  <c r="AU12" i="6"/>
  <c r="AM11" i="6"/>
  <c r="BE6" i="6"/>
  <c r="AU39" i="6"/>
  <c r="AU27" i="6"/>
  <c r="AM32" i="6"/>
  <c r="AA2" i="6"/>
  <c r="BE42" i="6"/>
  <c r="AU30" i="6"/>
  <c r="AU14" i="6"/>
  <c r="AU9" i="6"/>
  <c r="AK15" i="6"/>
  <c r="AM44" i="6"/>
  <c r="AC10" i="6"/>
  <c r="AC34" i="6"/>
  <c r="BQ31" i="6"/>
  <c r="C35" i="10"/>
  <c r="C39" i="10"/>
  <c r="C41" i="10"/>
  <c r="C42" i="10"/>
  <c r="C26" i="10"/>
  <c r="B32" i="10"/>
  <c r="B23" i="10"/>
  <c r="C37" i="10"/>
  <c r="B28" i="10"/>
  <c r="B29" i="10"/>
  <c r="B39" i="10"/>
  <c r="B36" i="10"/>
  <c r="B41" i="10"/>
  <c r="B25" i="10"/>
  <c r="B33" i="10"/>
  <c r="B37" i="10"/>
  <c r="B26" i="10"/>
  <c r="B40" i="10"/>
  <c r="C27" i="10"/>
  <c r="C29" i="10"/>
  <c r="H35" i="10"/>
  <c r="I30" i="10"/>
  <c r="H25" i="10"/>
  <c r="I25" i="10"/>
  <c r="H39" i="10"/>
  <c r="H41" i="10"/>
  <c r="H24" i="10"/>
  <c r="H34" i="10"/>
  <c r="I28" i="10"/>
  <c r="I37" i="10"/>
  <c r="I42" i="10"/>
  <c r="I24" i="10"/>
  <c r="I27" i="10"/>
  <c r="I33" i="10"/>
  <c r="H29" i="10"/>
  <c r="H42" i="10"/>
  <c r="I35" i="10"/>
  <c r="I38" i="10"/>
  <c r="I36" i="10"/>
  <c r="H32" i="10"/>
  <c r="I29" i="10"/>
  <c r="H30" i="10"/>
  <c r="H33" i="10"/>
  <c r="H40" i="10"/>
  <c r="H28" i="10"/>
  <c r="BE17" i="6"/>
  <c r="I34" i="10"/>
  <c r="I26" i="10"/>
  <c r="H38" i="10"/>
  <c r="I39" i="10"/>
  <c r="I31" i="10"/>
  <c r="I32" i="10"/>
  <c r="H22" i="10"/>
  <c r="H37" i="10"/>
  <c r="H27" i="10"/>
  <c r="H36" i="10"/>
  <c r="I41" i="10"/>
  <c r="AU3" i="6"/>
  <c r="BE41" i="6"/>
  <c r="BE29" i="6"/>
  <c r="BE20" i="6"/>
  <c r="AU24" i="6"/>
  <c r="AU21" i="6"/>
  <c r="BG5" i="6"/>
  <c r="F26" i="3" s="1"/>
  <c r="BE47" i="6"/>
  <c r="BO13" i="6"/>
  <c r="BO40" i="6"/>
  <c r="CG23" i="6"/>
  <c r="F23" i="10" s="1"/>
  <c r="G22" i="10"/>
  <c r="F22" i="10"/>
  <c r="BL13" i="6"/>
  <c r="BL16" i="6" s="1"/>
  <c r="BL19" i="6" s="1"/>
  <c r="I40" i="10"/>
  <c r="I22" i="10"/>
  <c r="H26" i="10"/>
  <c r="H31" i="10"/>
  <c r="BQ28" i="6"/>
  <c r="BE26" i="6"/>
  <c r="AR14" i="6"/>
  <c r="AR21" i="6" s="1"/>
  <c r="BZ20" i="6"/>
  <c r="BO45" i="6"/>
  <c r="BO43" i="6"/>
  <c r="BL41" i="6"/>
  <c r="M32" i="3"/>
  <c r="L32" i="3"/>
  <c r="BB17" i="6"/>
  <c r="AH23" i="6"/>
  <c r="AH32" i="6" s="1"/>
  <c r="AA22" i="6"/>
  <c r="AA7" i="6"/>
  <c r="BG17" i="6"/>
  <c r="BE18" i="6"/>
  <c r="I26" i="3"/>
  <c r="AC18" i="6"/>
  <c r="AC46" i="6"/>
  <c r="AU35" i="6"/>
  <c r="AK23" i="6"/>
  <c r="BE28" i="6"/>
  <c r="AM45" i="6"/>
  <c r="AU47" i="6"/>
  <c r="AM33" i="6"/>
  <c r="AU33" i="6"/>
  <c r="AA6" i="6"/>
  <c r="AA25" i="6"/>
  <c r="BE46" i="6"/>
  <c r="AA43" i="6"/>
  <c r="BG39" i="6"/>
  <c r="AA37" i="6"/>
  <c r="BG22" i="6"/>
  <c r="BG21" i="6"/>
  <c r="AA49" i="6"/>
  <c r="AC33" i="6"/>
  <c r="BE34" i="6"/>
  <c r="BE48" i="6"/>
  <c r="BE38" i="6"/>
  <c r="AK13" i="6"/>
  <c r="AK3" i="6"/>
  <c r="AK35" i="6"/>
  <c r="AA48" i="6"/>
  <c r="H27" i="3"/>
  <c r="H26" i="3"/>
  <c r="H28" i="3"/>
  <c r="I28" i="3"/>
  <c r="I27" i="3"/>
  <c r="E26" i="3" l="1"/>
  <c r="D22" i="3"/>
  <c r="D24" i="3"/>
  <c r="E24" i="3"/>
  <c r="E22" i="3"/>
  <c r="E23" i="3"/>
  <c r="G26" i="3"/>
  <c r="L27" i="3"/>
  <c r="G22" i="3"/>
  <c r="E28" i="3"/>
  <c r="D23" i="3"/>
  <c r="L22" i="3"/>
  <c r="J26" i="3"/>
  <c r="E27" i="3"/>
  <c r="D27" i="3"/>
  <c r="CG24" i="6"/>
  <c r="CG25" i="6" s="1"/>
  <c r="F22" i="3"/>
  <c r="G27" i="3"/>
  <c r="K26" i="3"/>
  <c r="D28" i="3"/>
  <c r="D26" i="3"/>
  <c r="K28" i="3"/>
  <c r="G23" i="10"/>
  <c r="E32" i="3"/>
  <c r="AR24" i="6"/>
  <c r="BZ21" i="6"/>
  <c r="BZ22" i="6" s="1"/>
  <c r="E33" i="3"/>
  <c r="D25" i="10"/>
  <c r="E25" i="10"/>
  <c r="BL28" i="6"/>
  <c r="BL31" i="6" s="1"/>
  <c r="D33" i="3"/>
  <c r="D32" i="3"/>
  <c r="AR31" i="6"/>
  <c r="BL43" i="6"/>
  <c r="BL44" i="6" s="1"/>
  <c r="L23" i="3"/>
  <c r="K27" i="3"/>
  <c r="K22" i="3"/>
  <c r="J27" i="3"/>
  <c r="J28" i="3"/>
  <c r="BB18" i="6"/>
  <c r="G23" i="3"/>
  <c r="F23" i="3"/>
  <c r="J24" i="3"/>
  <c r="J23" i="3"/>
  <c r="H24" i="3"/>
  <c r="H22" i="3"/>
  <c r="I23" i="3"/>
  <c r="I24" i="3"/>
  <c r="H23" i="3"/>
  <c r="M26" i="3"/>
  <c r="M28" i="3"/>
  <c r="L28" i="3"/>
  <c r="L26" i="3"/>
  <c r="M27" i="3"/>
  <c r="I22" i="3"/>
  <c r="K24" i="3"/>
  <c r="M23" i="3"/>
  <c r="G24" i="3"/>
  <c r="F24" i="3"/>
  <c r="M22" i="3"/>
  <c r="F28" i="3"/>
  <c r="L24" i="3"/>
  <c r="M24" i="3"/>
  <c r="F27" i="3"/>
  <c r="G28" i="3"/>
  <c r="K23" i="3"/>
  <c r="J22" i="3"/>
  <c r="AR27" i="6" l="1"/>
  <c r="CG28" i="6"/>
  <c r="F26" i="10"/>
  <c r="G26" i="10"/>
  <c r="E32" i="10"/>
  <c r="D32" i="10"/>
  <c r="BL40" i="6"/>
  <c r="E34" i="3"/>
  <c r="D34" i="3"/>
  <c r="G30" i="10"/>
  <c r="F30" i="10"/>
  <c r="BB28" i="6"/>
  <c r="BB20" i="6"/>
  <c r="CG33" i="6"/>
  <c r="BZ25" i="6"/>
  <c r="AR33" i="6"/>
  <c r="E35" i="3"/>
  <c r="D35" i="3"/>
  <c r="BB34" i="6"/>
  <c r="BL45" i="6"/>
  <c r="E36" i="3"/>
  <c r="D36" i="3"/>
  <c r="BB26" i="6" l="1"/>
  <c r="AR30" i="6"/>
  <c r="G35" i="3"/>
  <c r="G36" i="3"/>
  <c r="F36" i="3"/>
  <c r="E47" i="3"/>
  <c r="F35" i="3"/>
  <c r="D44" i="3"/>
  <c r="BB29" i="6"/>
  <c r="BB38" i="6" s="1"/>
  <c r="F32" i="3" s="1"/>
  <c r="BZ26" i="6"/>
  <c r="BZ27" i="6" s="1"/>
  <c r="BZ28" i="6" s="1"/>
  <c r="D29" i="10"/>
  <c r="E29" i="10"/>
  <c r="G32" i="10"/>
  <c r="CG37" i="6"/>
  <c r="E44" i="3"/>
  <c r="F32" i="10"/>
  <c r="E56" i="3"/>
  <c r="E53" i="3"/>
  <c r="D53" i="3"/>
  <c r="D40" i="3"/>
  <c r="D45" i="3"/>
  <c r="E42" i="3"/>
  <c r="E49" i="3"/>
  <c r="D39" i="3"/>
  <c r="E46" i="3"/>
  <c r="D50" i="3"/>
  <c r="E45" i="3"/>
  <c r="E38" i="3"/>
  <c r="D43" i="3"/>
  <c r="AR35" i="6"/>
  <c r="AR39" i="6" s="1"/>
  <c r="H35" i="3"/>
  <c r="I35" i="3"/>
  <c r="D52" i="3"/>
  <c r="E41" i="3"/>
  <c r="E37" i="3"/>
  <c r="E40" i="3"/>
  <c r="D42" i="3"/>
  <c r="E54" i="3"/>
  <c r="E55" i="3"/>
  <c r="E43" i="3"/>
  <c r="E39" i="3"/>
  <c r="E51" i="3"/>
  <c r="D41" i="3"/>
  <c r="D51" i="3"/>
  <c r="D49" i="3"/>
  <c r="D46" i="3"/>
  <c r="D56" i="3"/>
  <c r="D38" i="3"/>
  <c r="D37" i="3"/>
  <c r="D48" i="3"/>
  <c r="E50" i="3"/>
  <c r="D55" i="3"/>
  <c r="E48" i="3"/>
  <c r="D54" i="3"/>
  <c r="D47" i="3"/>
  <c r="E52" i="3"/>
  <c r="I33" i="3" l="1"/>
  <c r="I32" i="3"/>
  <c r="H32" i="3"/>
  <c r="H34" i="3"/>
  <c r="I34" i="3"/>
  <c r="H33" i="3"/>
  <c r="G32" i="3"/>
  <c r="D28" i="10"/>
  <c r="E28" i="10"/>
  <c r="E23" i="10"/>
  <c r="BB46" i="6"/>
  <c r="BB41" i="6"/>
  <c r="G39" i="3" s="1"/>
  <c r="CG40" i="6"/>
  <c r="G31" i="10" s="1"/>
  <c r="F25" i="10"/>
  <c r="D23" i="10"/>
  <c r="BZ33" i="6"/>
  <c r="BZ32" i="6"/>
  <c r="G37" i="3"/>
  <c r="F37" i="3"/>
  <c r="H36" i="3"/>
  <c r="AR47" i="6"/>
  <c r="I36" i="3"/>
  <c r="I37" i="3"/>
  <c r="H37" i="3"/>
  <c r="F38" i="3" l="1"/>
  <c r="F39" i="3"/>
  <c r="I47" i="3"/>
  <c r="I42" i="3"/>
  <c r="I51" i="3"/>
  <c r="I53" i="3"/>
  <c r="H47" i="3"/>
  <c r="H55" i="3"/>
  <c r="H49" i="3"/>
  <c r="I45" i="3"/>
  <c r="H56" i="3"/>
  <c r="H50" i="3"/>
  <c r="I40" i="3"/>
  <c r="I50" i="3"/>
  <c r="H43" i="3"/>
  <c r="I41" i="3"/>
  <c r="H45" i="3"/>
  <c r="H39" i="3"/>
  <c r="G38" i="3"/>
  <c r="I54" i="3"/>
  <c r="BZ34" i="6"/>
  <c r="BZ38" i="6" s="1"/>
  <c r="D24" i="10" s="1"/>
  <c r="BB42" i="6"/>
  <c r="BB47" i="6" s="1"/>
  <c r="CG42" i="6"/>
  <c r="BB48" i="6"/>
  <c r="E20" i="10"/>
  <c r="D20" i="10"/>
  <c r="I38" i="3"/>
  <c r="I55" i="3"/>
  <c r="H38" i="3"/>
  <c r="H53" i="3"/>
  <c r="H48" i="3"/>
  <c r="I43" i="3"/>
  <c r="H44" i="3"/>
  <c r="H40" i="3"/>
  <c r="H42" i="3"/>
  <c r="I56" i="3"/>
  <c r="H41" i="3"/>
  <c r="H51" i="3"/>
  <c r="I46" i="3"/>
  <c r="I52" i="3"/>
  <c r="I48" i="3"/>
  <c r="I49" i="3"/>
  <c r="H46" i="3"/>
  <c r="H52" i="3"/>
  <c r="I39" i="3"/>
  <c r="I44" i="3"/>
  <c r="H54" i="3"/>
  <c r="G34" i="3" l="1"/>
  <c r="F34" i="3"/>
  <c r="D27" i="10"/>
  <c r="E27" i="10"/>
  <c r="E24" i="10"/>
  <c r="F43" i="3"/>
  <c r="F44" i="3"/>
  <c r="G45" i="3"/>
  <c r="G49" i="3"/>
  <c r="F48" i="3"/>
  <c r="G51" i="3"/>
  <c r="G47" i="3"/>
  <c r="G48" i="3"/>
  <c r="G44" i="3"/>
  <c r="F49" i="3"/>
  <c r="G52" i="3"/>
  <c r="G43" i="3"/>
  <c r="F46" i="3"/>
  <c r="F51" i="3"/>
  <c r="G54" i="3"/>
  <c r="F52" i="3"/>
  <c r="F56" i="3"/>
  <c r="G46" i="3"/>
  <c r="F50" i="3"/>
  <c r="F40" i="3"/>
  <c r="F55" i="3"/>
  <c r="G55" i="3"/>
  <c r="G40" i="3"/>
  <c r="G42" i="3"/>
  <c r="F54" i="3"/>
  <c r="G33" i="3"/>
  <c r="F41" i="3"/>
  <c r="F42" i="3"/>
  <c r="G56" i="3"/>
  <c r="F47" i="3"/>
  <c r="G50" i="3"/>
  <c r="F45" i="3"/>
  <c r="G53" i="3"/>
  <c r="G41" i="3"/>
  <c r="F33" i="3"/>
  <c r="BZ39" i="6"/>
  <c r="CG43" i="6"/>
  <c r="F53" i="3"/>
  <c r="CG44" i="6" l="1"/>
  <c r="CG45" i="6" s="1"/>
  <c r="CG49" i="6" s="1"/>
  <c r="G37" i="10" s="1"/>
  <c r="BZ46" i="6"/>
  <c r="BZ47" i="6" s="1"/>
  <c r="BZ48" i="6" s="1"/>
  <c r="E22" i="10"/>
  <c r="D22" i="10"/>
  <c r="X7" i="6"/>
  <c r="D31" i="10" l="1"/>
  <c r="D36" i="10"/>
  <c r="D35" i="10"/>
  <c r="D33" i="10"/>
  <c r="D41" i="10"/>
  <c r="D38" i="10"/>
  <c r="E31" i="10"/>
  <c r="E35" i="10"/>
  <c r="D37" i="10"/>
  <c r="E37" i="10"/>
  <c r="D40" i="10"/>
  <c r="D34" i="10"/>
  <c r="E33" i="10"/>
  <c r="E36" i="10"/>
  <c r="D42" i="10"/>
  <c r="E40" i="10"/>
  <c r="E41" i="10"/>
  <c r="E39" i="10"/>
  <c r="E34" i="10"/>
  <c r="E38" i="10"/>
  <c r="E42" i="10"/>
  <c r="D39" i="10"/>
  <c r="X10" i="6"/>
  <c r="G25" i="10"/>
  <c r="F20" i="10"/>
  <c r="G20" i="10"/>
  <c r="G19" i="10"/>
  <c r="F19" i="10"/>
  <c r="F40" i="10"/>
  <c r="F35" i="10"/>
  <c r="F41" i="10"/>
  <c r="F31" i="10"/>
  <c r="G35" i="10"/>
  <c r="F33" i="10"/>
  <c r="F27" i="10"/>
  <c r="G36" i="10"/>
  <c r="F38" i="10"/>
  <c r="G40" i="10"/>
  <c r="G34" i="10"/>
  <c r="G33" i="10"/>
  <c r="G41" i="10"/>
  <c r="G38" i="10"/>
  <c r="G27" i="10"/>
  <c r="F36" i="10"/>
  <c r="F39" i="10"/>
  <c r="F37" i="10"/>
  <c r="G42" i="10"/>
  <c r="F42" i="10"/>
  <c r="G39" i="10"/>
  <c r="F34" i="10"/>
  <c r="X18" i="6" l="1"/>
  <c r="X22" i="6" l="1"/>
  <c r="L35" i="3" s="1"/>
  <c r="M35" i="3" l="1"/>
  <c r="X25" i="6"/>
  <c r="X34" i="6" l="1"/>
  <c r="L36" i="3" l="1"/>
  <c r="M36" i="3"/>
  <c r="L34" i="3"/>
  <c r="X36" i="6"/>
  <c r="L33" i="3" s="1"/>
  <c r="M34" i="3"/>
  <c r="X37" i="6"/>
  <c r="L38" i="3" s="1"/>
  <c r="X43" i="6" l="1"/>
  <c r="M38" i="3"/>
  <c r="AH33" i="6"/>
  <c r="J13" i="6"/>
  <c r="J18" i="6" s="1"/>
  <c r="J20" i="6" s="1"/>
  <c r="N2" i="6"/>
  <c r="N3" i="6" s="1"/>
  <c r="U18" i="6"/>
  <c r="U37" i="6" s="1"/>
  <c r="U46" i="6" s="1"/>
  <c r="L3" i="6"/>
  <c r="L4" i="6" l="1"/>
  <c r="P9" i="3" s="1"/>
  <c r="AH35" i="6"/>
  <c r="AH44" i="6" s="1"/>
  <c r="K32" i="3" s="1"/>
  <c r="P38" i="3"/>
  <c r="M40" i="3"/>
  <c r="X46" i="6"/>
  <c r="M41" i="3" s="1"/>
  <c r="N24" i="4"/>
  <c r="P24" i="4" s="1"/>
  <c r="O38" i="3"/>
  <c r="M33" i="10"/>
  <c r="Q38" i="3"/>
  <c r="M4" i="10"/>
  <c r="L33" i="10"/>
  <c r="K33" i="10"/>
  <c r="N18" i="4"/>
  <c r="S19" i="4" s="1"/>
  <c r="L40" i="3"/>
  <c r="K4" i="10"/>
  <c r="L4" i="10"/>
  <c r="L5" i="6"/>
  <c r="P22" i="3" s="1"/>
  <c r="Q9" i="3"/>
  <c r="O9" i="3"/>
  <c r="J24" i="6"/>
  <c r="N9" i="4" s="1"/>
  <c r="N6" i="4"/>
  <c r="N4" i="6"/>
  <c r="K33" i="3" l="1"/>
  <c r="J33" i="3"/>
  <c r="L41" i="3"/>
  <c r="Q24" i="4"/>
  <c r="S20" i="4"/>
  <c r="L17" i="10"/>
  <c r="J27" i="6"/>
  <c r="J37" i="6" s="1"/>
  <c r="R20" i="4"/>
  <c r="P18" i="4"/>
  <c r="Q18" i="4"/>
  <c r="R18" i="4"/>
  <c r="O18" i="4"/>
  <c r="R19" i="4"/>
  <c r="S18" i="4"/>
  <c r="R26" i="4"/>
  <c r="R24" i="4"/>
  <c r="S24" i="4"/>
  <c r="R25" i="4"/>
  <c r="S25" i="4"/>
  <c r="O24" i="4"/>
  <c r="S26" i="4"/>
  <c r="J32" i="3"/>
  <c r="L6" i="6"/>
  <c r="L10" i="10" s="1"/>
  <c r="M17" i="10"/>
  <c r="O22" i="3"/>
  <c r="X48" i="6"/>
  <c r="S11" i="4"/>
  <c r="Q9" i="4"/>
  <c r="R10" i="4"/>
  <c r="S10" i="4"/>
  <c r="R9" i="4"/>
  <c r="P9" i="4"/>
  <c r="O9" i="4"/>
  <c r="S9" i="4"/>
  <c r="R11" i="4"/>
  <c r="AH45" i="6"/>
  <c r="C34" i="3"/>
  <c r="N5" i="6"/>
  <c r="N6" i="6" s="1"/>
  <c r="B34" i="3"/>
  <c r="R7" i="4"/>
  <c r="R6" i="4"/>
  <c r="R8" i="4"/>
  <c r="Q6" i="4"/>
  <c r="S7" i="4"/>
  <c r="O6" i="4"/>
  <c r="P6" i="4"/>
  <c r="S6" i="4"/>
  <c r="S8" i="4"/>
  <c r="J40" i="6"/>
  <c r="Q15" i="3"/>
  <c r="K10" i="10"/>
  <c r="P15" i="3"/>
  <c r="O15" i="3"/>
  <c r="K17" i="10"/>
  <c r="Q22" i="3"/>
  <c r="M10" i="10"/>
  <c r="K37" i="3" l="1"/>
  <c r="J37" i="3"/>
  <c r="J36" i="3"/>
  <c r="K36" i="3"/>
  <c r="K53" i="3"/>
  <c r="K47" i="3"/>
  <c r="K45" i="3"/>
  <c r="J56" i="3"/>
  <c r="K40" i="3"/>
  <c r="K50" i="3"/>
  <c r="K56" i="3"/>
  <c r="J54" i="3"/>
  <c r="J55" i="3"/>
  <c r="K44" i="3"/>
  <c r="K35" i="3"/>
  <c r="K46" i="3"/>
  <c r="J42" i="3"/>
  <c r="K49" i="3"/>
  <c r="J35" i="3"/>
  <c r="N33" i="4"/>
  <c r="R33" i="4" s="1"/>
  <c r="L7" i="6"/>
  <c r="N12" i="4"/>
  <c r="S12" i="4" s="1"/>
  <c r="L37" i="3"/>
  <c r="X49" i="6"/>
  <c r="M37" i="3"/>
  <c r="N7" i="6"/>
  <c r="C38" i="3"/>
  <c r="J46" i="3"/>
  <c r="K55" i="3"/>
  <c r="J43" i="3"/>
  <c r="J47" i="3"/>
  <c r="J51" i="3"/>
  <c r="J52" i="3"/>
  <c r="K38" i="3"/>
  <c r="J53" i="3"/>
  <c r="K48" i="3"/>
  <c r="J44" i="3"/>
  <c r="K52" i="3"/>
  <c r="K43" i="3"/>
  <c r="J34" i="3"/>
  <c r="J45" i="6"/>
  <c r="B38" i="3"/>
  <c r="J49" i="3"/>
  <c r="K34" i="3"/>
  <c r="J40" i="3"/>
  <c r="J45" i="3"/>
  <c r="K39" i="3"/>
  <c r="J50" i="3"/>
  <c r="K51" i="3"/>
  <c r="K41" i="3"/>
  <c r="N27" i="4"/>
  <c r="J39" i="3"/>
  <c r="J41" i="3"/>
  <c r="K42" i="3"/>
  <c r="K54" i="3"/>
  <c r="J38" i="3"/>
  <c r="Q45" i="3"/>
  <c r="J48" i="3"/>
  <c r="M46" i="3" l="1"/>
  <c r="L42" i="3"/>
  <c r="M33" i="3"/>
  <c r="M42" i="3"/>
  <c r="L39" i="3"/>
  <c r="M39" i="3"/>
  <c r="S13" i="4"/>
  <c r="S14" i="4"/>
  <c r="R35" i="4"/>
  <c r="P12" i="4"/>
  <c r="Q12" i="4"/>
  <c r="P33" i="4"/>
  <c r="R12" i="4"/>
  <c r="R14" i="4"/>
  <c r="O12" i="4"/>
  <c r="R34" i="4"/>
  <c r="S35" i="4"/>
  <c r="R13" i="4"/>
  <c r="Q33" i="4"/>
  <c r="S33" i="4"/>
  <c r="S34" i="4"/>
  <c r="O33" i="4"/>
  <c r="M40" i="10"/>
  <c r="O45" i="3"/>
  <c r="K40" i="10"/>
  <c r="P45" i="3"/>
  <c r="L8" i="6"/>
  <c r="L40" i="10"/>
  <c r="M56" i="3"/>
  <c r="L55" i="3"/>
  <c r="M53" i="3"/>
  <c r="M43" i="3"/>
  <c r="L44" i="3"/>
  <c r="L50" i="3"/>
  <c r="L49" i="3"/>
  <c r="L51" i="3"/>
  <c r="L46" i="3"/>
  <c r="L47" i="3"/>
  <c r="L52" i="3"/>
  <c r="L56" i="3"/>
  <c r="L53" i="3"/>
  <c r="M51" i="3"/>
  <c r="L43" i="3"/>
  <c r="M54" i="3"/>
  <c r="M52" i="3"/>
  <c r="M44" i="3"/>
  <c r="L48" i="3"/>
  <c r="M49" i="3"/>
  <c r="M47" i="3"/>
  <c r="M55" i="3"/>
  <c r="M45" i="3"/>
  <c r="L54" i="3"/>
  <c r="L45" i="3"/>
  <c r="M50" i="3"/>
  <c r="M48" i="3"/>
  <c r="S29" i="4"/>
  <c r="Q27" i="4"/>
  <c r="P27" i="4"/>
  <c r="R28" i="4"/>
  <c r="O27" i="4"/>
  <c r="R29" i="4"/>
  <c r="R27" i="4"/>
  <c r="S28" i="4"/>
  <c r="S27" i="4"/>
  <c r="N8" i="6"/>
  <c r="N9" i="6" s="1"/>
  <c r="J46" i="6"/>
  <c r="N21" i="4" s="1"/>
  <c r="P8" i="3" l="1"/>
  <c r="M3" i="10"/>
  <c r="L9" i="6"/>
  <c r="Q8" i="3"/>
  <c r="O8" i="3"/>
  <c r="L3" i="10"/>
  <c r="K3" i="10"/>
  <c r="S22" i="4"/>
  <c r="P21" i="4"/>
  <c r="S21" i="4"/>
  <c r="R22" i="4"/>
  <c r="S23" i="4"/>
  <c r="Q21" i="4"/>
  <c r="R23" i="4"/>
  <c r="R21" i="4"/>
  <c r="O21" i="4"/>
  <c r="J47" i="6"/>
  <c r="N69" i="4" s="1"/>
  <c r="N10" i="6"/>
  <c r="N11" i="6" s="1"/>
  <c r="C33" i="3"/>
  <c r="B33" i="3"/>
  <c r="K31" i="10" l="1"/>
  <c r="L10" i="6"/>
  <c r="M21" i="10" s="1"/>
  <c r="M31" i="10"/>
  <c r="P36" i="3"/>
  <c r="Q36" i="3"/>
  <c r="L31" i="10"/>
  <c r="O36" i="3"/>
  <c r="L11" i="6"/>
  <c r="Q11" i="3" s="1"/>
  <c r="N78" i="4"/>
  <c r="R79" i="4" s="1"/>
  <c r="N42" i="4"/>
  <c r="Q42" i="4" s="1"/>
  <c r="N111" i="4"/>
  <c r="N75" i="4"/>
  <c r="Q75" i="4" s="1"/>
  <c r="N108" i="4"/>
  <c r="O108" i="4" s="1"/>
  <c r="N114" i="4"/>
  <c r="N36" i="4"/>
  <c r="N105" i="4"/>
  <c r="O105" i="4" s="1"/>
  <c r="N54" i="4"/>
  <c r="R55" i="4" s="1"/>
  <c r="N48" i="4"/>
  <c r="Q48" i="4" s="1"/>
  <c r="N96" i="4"/>
  <c r="N90" i="4"/>
  <c r="S90" i="4" s="1"/>
  <c r="N99" i="4"/>
  <c r="R99" i="4" s="1"/>
  <c r="Q69" i="4"/>
  <c r="O69" i="4"/>
  <c r="R71" i="4"/>
  <c r="R69" i="4"/>
  <c r="S69" i="4"/>
  <c r="P69" i="4"/>
  <c r="R70" i="4"/>
  <c r="S71" i="4"/>
  <c r="S70" i="4"/>
  <c r="R44" i="4"/>
  <c r="R43" i="4"/>
  <c r="S42" i="4"/>
  <c r="S44" i="4"/>
  <c r="O42" i="4"/>
  <c r="P42" i="4"/>
  <c r="S43" i="4"/>
  <c r="R42" i="4"/>
  <c r="R48" i="4"/>
  <c r="R50" i="4"/>
  <c r="S48" i="4"/>
  <c r="R49" i="4"/>
  <c r="S50" i="4"/>
  <c r="P48" i="4"/>
  <c r="R96" i="4"/>
  <c r="O96" i="4"/>
  <c r="S97" i="4"/>
  <c r="S96" i="4"/>
  <c r="Q96" i="4"/>
  <c r="R97" i="4"/>
  <c r="P96" i="4"/>
  <c r="R98" i="4"/>
  <c r="S98" i="4"/>
  <c r="S91" i="4"/>
  <c r="R100" i="4"/>
  <c r="S80" i="4"/>
  <c r="S79" i="4"/>
  <c r="R36" i="4"/>
  <c r="P36" i="4"/>
  <c r="S36" i="4"/>
  <c r="O36" i="4"/>
  <c r="R38" i="4"/>
  <c r="S38" i="4"/>
  <c r="R37" i="4"/>
  <c r="Q36" i="4"/>
  <c r="S37" i="4"/>
  <c r="S116" i="4"/>
  <c r="R114" i="4"/>
  <c r="S114" i="4"/>
  <c r="R116" i="4"/>
  <c r="O114" i="4"/>
  <c r="S115" i="4"/>
  <c r="R115" i="4"/>
  <c r="Q114" i="4"/>
  <c r="P114" i="4"/>
  <c r="B36" i="3"/>
  <c r="C36" i="3"/>
  <c r="Q108" i="4"/>
  <c r="P108" i="4"/>
  <c r="Q111" i="4"/>
  <c r="R112" i="4"/>
  <c r="P111" i="4"/>
  <c r="S113" i="4"/>
  <c r="O111" i="4"/>
  <c r="R113" i="4"/>
  <c r="R111" i="4"/>
  <c r="S111" i="4"/>
  <c r="S112" i="4"/>
  <c r="N30" i="4"/>
  <c r="N51" i="4"/>
  <c r="N120" i="4"/>
  <c r="N60" i="4"/>
  <c r="N81" i="4"/>
  <c r="N87" i="4"/>
  <c r="N57" i="4"/>
  <c r="N93" i="4"/>
  <c r="N63" i="4"/>
  <c r="N102" i="4"/>
  <c r="N66" i="4"/>
  <c r="N39" i="4"/>
  <c r="N117" i="4"/>
  <c r="N45" i="4"/>
  <c r="N72" i="4"/>
  <c r="N12" i="6"/>
  <c r="N84" i="4"/>
  <c r="R77" i="4" l="1"/>
  <c r="R90" i="4"/>
  <c r="O75" i="4"/>
  <c r="R107" i="4"/>
  <c r="S56" i="4"/>
  <c r="S49" i="4"/>
  <c r="O48" i="4"/>
  <c r="S109" i="4"/>
  <c r="S110" i="4"/>
  <c r="S54" i="4"/>
  <c r="R101" i="4"/>
  <c r="R105" i="4"/>
  <c r="S76" i="4"/>
  <c r="S77" i="4"/>
  <c r="O90" i="4"/>
  <c r="Q90" i="4"/>
  <c r="R91" i="4"/>
  <c r="R106" i="4"/>
  <c r="S105" i="4"/>
  <c r="R75" i="4"/>
  <c r="R76" i="4"/>
  <c r="P75" i="4"/>
  <c r="R92" i="4"/>
  <c r="P90" i="4"/>
  <c r="Q105" i="4"/>
  <c r="S107" i="4"/>
  <c r="S106" i="4"/>
  <c r="S75" i="4"/>
  <c r="S92" i="4"/>
  <c r="P105" i="4"/>
  <c r="Q26" i="3"/>
  <c r="M6" i="10"/>
  <c r="O26" i="3"/>
  <c r="L12" i="6"/>
  <c r="P7" i="3" s="1"/>
  <c r="K6" i="10"/>
  <c r="L6" i="10"/>
  <c r="O11" i="3"/>
  <c r="L13" i="6"/>
  <c r="Q3" i="10" s="1"/>
  <c r="L21" i="10"/>
  <c r="K21" i="10"/>
  <c r="P26" i="3"/>
  <c r="P11" i="3"/>
  <c r="R108" i="4"/>
  <c r="R109" i="4"/>
  <c r="S108" i="4"/>
  <c r="R80" i="4"/>
  <c r="R78" i="4"/>
  <c r="P54" i="4"/>
  <c r="Q54" i="4"/>
  <c r="S101" i="4"/>
  <c r="Q99" i="4"/>
  <c r="O99" i="4"/>
  <c r="S78" i="4"/>
  <c r="O78" i="4"/>
  <c r="P78" i="4"/>
  <c r="R56" i="4"/>
  <c r="S55" i="4"/>
  <c r="S100" i="4"/>
  <c r="P99" i="4"/>
  <c r="R110" i="4"/>
  <c r="Q78" i="4"/>
  <c r="R54" i="4"/>
  <c r="O54" i="4"/>
  <c r="S99" i="4"/>
  <c r="P3" i="10"/>
  <c r="N14" i="6"/>
  <c r="N15" i="6" s="1"/>
  <c r="R95" i="4"/>
  <c r="R93" i="4"/>
  <c r="S95" i="4"/>
  <c r="R94" i="4"/>
  <c r="S93" i="4"/>
  <c r="S94" i="4"/>
  <c r="O93" i="4"/>
  <c r="Q93" i="4"/>
  <c r="P93" i="4"/>
  <c r="S60" i="4"/>
  <c r="R61" i="4"/>
  <c r="Q60" i="4"/>
  <c r="S62" i="4"/>
  <c r="R62" i="4"/>
  <c r="S61" i="4"/>
  <c r="R60" i="4"/>
  <c r="P60" i="4"/>
  <c r="O60" i="4"/>
  <c r="O84" i="4"/>
  <c r="S86" i="4"/>
  <c r="S85" i="4"/>
  <c r="R84" i="4"/>
  <c r="S84" i="4"/>
  <c r="R85" i="4"/>
  <c r="Q84" i="4"/>
  <c r="R86" i="4"/>
  <c r="P84" i="4"/>
  <c r="S74" i="4"/>
  <c r="P72" i="4"/>
  <c r="O72" i="4"/>
  <c r="R73" i="4"/>
  <c r="S73" i="4"/>
  <c r="R72" i="4"/>
  <c r="Q72" i="4"/>
  <c r="S72" i="4"/>
  <c r="R74" i="4"/>
  <c r="R68" i="4"/>
  <c r="P66" i="4"/>
  <c r="S66" i="4"/>
  <c r="S67" i="4"/>
  <c r="O66" i="4"/>
  <c r="Q66" i="4"/>
  <c r="S68" i="4"/>
  <c r="R67" i="4"/>
  <c r="R66" i="4"/>
  <c r="Q57" i="4"/>
  <c r="R59" i="4"/>
  <c r="S58" i="4"/>
  <c r="R58" i="4"/>
  <c r="S59" i="4"/>
  <c r="R57" i="4"/>
  <c r="O57" i="4"/>
  <c r="S57" i="4"/>
  <c r="P57" i="4"/>
  <c r="R122" i="4"/>
  <c r="P120" i="4"/>
  <c r="R121" i="4"/>
  <c r="Q120" i="4"/>
  <c r="S121" i="4"/>
  <c r="S122" i="4"/>
  <c r="O120" i="4"/>
  <c r="S120" i="4"/>
  <c r="R120" i="4"/>
  <c r="C32" i="3"/>
  <c r="S46" i="4"/>
  <c r="P45" i="4"/>
  <c r="O45" i="4"/>
  <c r="Q45" i="4"/>
  <c r="S45" i="4"/>
  <c r="S47" i="4"/>
  <c r="R45" i="4"/>
  <c r="R47" i="4"/>
  <c r="R46" i="4"/>
  <c r="S104" i="4"/>
  <c r="Q102" i="4"/>
  <c r="S103" i="4"/>
  <c r="P102" i="4"/>
  <c r="R103" i="4"/>
  <c r="S102" i="4"/>
  <c r="R102" i="4"/>
  <c r="O102" i="4"/>
  <c r="R104" i="4"/>
  <c r="R88" i="4"/>
  <c r="O87" i="4"/>
  <c r="S89" i="4"/>
  <c r="P87" i="4"/>
  <c r="R87" i="4"/>
  <c r="S87" i="4"/>
  <c r="Q87" i="4"/>
  <c r="S88" i="4"/>
  <c r="R89" i="4"/>
  <c r="O51" i="4"/>
  <c r="R53" i="4"/>
  <c r="S53" i="4"/>
  <c r="P51" i="4"/>
  <c r="Q51" i="4"/>
  <c r="R51" i="4"/>
  <c r="S51" i="4"/>
  <c r="R52" i="4"/>
  <c r="S52" i="4"/>
  <c r="B32" i="3"/>
  <c r="R118" i="4"/>
  <c r="R119" i="4"/>
  <c r="S117" i="4"/>
  <c r="S118" i="4"/>
  <c r="O117" i="4"/>
  <c r="Q117" i="4"/>
  <c r="S119" i="4"/>
  <c r="P117" i="4"/>
  <c r="R117" i="4"/>
  <c r="O63" i="4"/>
  <c r="R63" i="4"/>
  <c r="P63" i="4"/>
  <c r="S63" i="4"/>
  <c r="R65" i="4"/>
  <c r="S64" i="4"/>
  <c r="Q63" i="4"/>
  <c r="S65" i="4"/>
  <c r="R64" i="4"/>
  <c r="Q81" i="4"/>
  <c r="R83" i="4"/>
  <c r="P81" i="4"/>
  <c r="S83" i="4"/>
  <c r="R82" i="4"/>
  <c r="S82" i="4"/>
  <c r="O81" i="4"/>
  <c r="R81" i="4"/>
  <c r="S81" i="4"/>
  <c r="S31" i="4"/>
  <c r="S30" i="4"/>
  <c r="Q30" i="4"/>
  <c r="O30" i="4"/>
  <c r="R30" i="4"/>
  <c r="S32" i="4"/>
  <c r="R32" i="4"/>
  <c r="R31" i="4"/>
  <c r="P30" i="4"/>
  <c r="N17" i="6"/>
  <c r="N18" i="6" s="1"/>
  <c r="N20" i="6" s="1"/>
  <c r="N21" i="6" s="1"/>
  <c r="N22" i="6" s="1"/>
  <c r="N23" i="6" s="1"/>
  <c r="N24" i="6" s="1"/>
  <c r="N25" i="6" s="1"/>
  <c r="N26" i="6" s="1"/>
  <c r="N27" i="6" s="1"/>
  <c r="N29" i="6" s="1"/>
  <c r="N30" i="6" s="1"/>
  <c r="N32" i="6" s="1"/>
  <c r="N33" i="6" s="1"/>
  <c r="N34" i="6" s="1"/>
  <c r="N35" i="6" s="1"/>
  <c r="N36" i="6" s="1"/>
  <c r="N37" i="6" s="1"/>
  <c r="N38" i="6" s="1"/>
  <c r="N39" i="6" s="1"/>
  <c r="N41" i="6" s="1"/>
  <c r="N42" i="6" s="1"/>
  <c r="N43" i="6" s="1"/>
  <c r="N44" i="6" s="1"/>
  <c r="N45" i="6" s="1"/>
  <c r="N46" i="6" s="1"/>
  <c r="N47" i="6" s="1"/>
  <c r="N48" i="6" s="1"/>
  <c r="N49" i="6" s="1"/>
  <c r="S40" i="4"/>
  <c r="O39" i="4"/>
  <c r="R39" i="4"/>
  <c r="Q39" i="4"/>
  <c r="P39" i="4"/>
  <c r="R41" i="4"/>
  <c r="S39" i="4"/>
  <c r="S41" i="4"/>
  <c r="R40" i="4"/>
  <c r="Q48" i="3" l="1"/>
  <c r="O3" i="10"/>
  <c r="L14" i="6"/>
  <c r="L15" i="6" s="1"/>
  <c r="K20" i="10" s="1"/>
  <c r="O48" i="3"/>
  <c r="K2" i="10"/>
  <c r="O7" i="3"/>
  <c r="Q7" i="3"/>
  <c r="L2" i="10"/>
  <c r="M2" i="10"/>
  <c r="P48" i="3"/>
  <c r="B37" i="3"/>
  <c r="C40" i="3"/>
  <c r="B40" i="3"/>
  <c r="C37" i="3"/>
  <c r="C39" i="3"/>
  <c r="B39" i="3"/>
  <c r="B35" i="3"/>
  <c r="C35" i="3"/>
  <c r="O29" i="3" l="1"/>
  <c r="K24" i="10"/>
  <c r="M24" i="10"/>
  <c r="P29" i="3"/>
  <c r="L24" i="10"/>
  <c r="Q29" i="3"/>
  <c r="P25" i="3"/>
  <c r="L20" i="10"/>
  <c r="O25" i="3"/>
  <c r="M20" i="10"/>
  <c r="L16" i="6"/>
  <c r="Q25" i="3"/>
  <c r="L17" i="6" l="1"/>
  <c r="L18" i="6" s="1"/>
  <c r="L19" i="6" s="1"/>
  <c r="L20" i="6" s="1"/>
  <c r="L21" i="6" s="1"/>
  <c r="L22" i="6" s="1"/>
  <c r="L23" i="6" s="1"/>
  <c r="L24" i="6" s="1"/>
  <c r="L25" i="6" s="1"/>
  <c r="L26" i="6" s="1"/>
  <c r="L27" i="6" s="1"/>
  <c r="L28" i="6" s="1"/>
  <c r="L29" i="6" s="1"/>
  <c r="L30" i="6" s="1"/>
  <c r="L31" i="6" s="1"/>
  <c r="L32" i="6" s="1"/>
  <c r="L33" i="6" s="1"/>
  <c r="L34" i="6" s="1"/>
  <c r="L35" i="6" s="1"/>
  <c r="L36" i="6" s="1"/>
  <c r="L37" i="6" s="1"/>
  <c r="L38" i="6" s="1"/>
  <c r="L39" i="6" s="1"/>
  <c r="L40" i="6" s="1"/>
  <c r="L41" i="6" s="1"/>
  <c r="L42" i="6" s="1"/>
  <c r="L43" i="6" s="1"/>
  <c r="L44" i="6" s="1"/>
  <c r="L45" i="6" s="1"/>
  <c r="L46" i="6" s="1"/>
  <c r="L47" i="6" s="1"/>
  <c r="L48" i="6" s="1"/>
  <c r="L49" i="6" s="1"/>
  <c r="M9" i="10"/>
  <c r="O14" i="3"/>
  <c r="L9" i="10"/>
  <c r="K9" i="10"/>
  <c r="P14" i="3"/>
  <c r="Q14" i="3"/>
  <c r="Q55" i="3" l="1"/>
  <c r="P56" i="3"/>
  <c r="P55" i="3"/>
  <c r="O56" i="3"/>
  <c r="O55" i="3"/>
  <c r="Q56" i="3"/>
  <c r="O51" i="3"/>
  <c r="P6" i="10"/>
  <c r="O6" i="10"/>
  <c r="O41" i="3"/>
  <c r="O23" i="3"/>
  <c r="Q6" i="10"/>
  <c r="K36" i="10"/>
  <c r="M36" i="10"/>
  <c r="O13" i="3"/>
  <c r="L36" i="10"/>
  <c r="K27" i="10"/>
  <c r="K25" i="10"/>
  <c r="M8" i="10"/>
  <c r="M35" i="10"/>
  <c r="K8" i="10"/>
  <c r="M28" i="10"/>
  <c r="P13" i="3"/>
  <c r="K13" i="10"/>
  <c r="M25" i="10"/>
  <c r="Q7" i="10"/>
  <c r="L8" i="10"/>
  <c r="L18" i="10"/>
  <c r="P52" i="3"/>
  <c r="K34" i="10"/>
  <c r="L25" i="10"/>
  <c r="P32" i="3"/>
  <c r="P23" i="3"/>
  <c r="O52" i="3"/>
  <c r="P33" i="3"/>
  <c r="Q31" i="3"/>
  <c r="P7" i="10"/>
  <c r="Q41" i="3"/>
  <c r="Q51" i="3"/>
  <c r="T19" i="3"/>
  <c r="Q54" i="3"/>
  <c r="Q11" i="10"/>
  <c r="O10" i="3"/>
  <c r="L7" i="10"/>
  <c r="U32" i="3"/>
  <c r="U22" i="3"/>
  <c r="P53" i="3"/>
  <c r="Q24" i="10"/>
  <c r="S56" i="3"/>
  <c r="Q12" i="10"/>
  <c r="T22" i="3"/>
  <c r="Q41" i="10"/>
  <c r="S26" i="3"/>
  <c r="M26" i="10"/>
  <c r="P28" i="10"/>
  <c r="M29" i="10"/>
  <c r="Q10" i="3"/>
  <c r="P49" i="3"/>
  <c r="K28" i="10"/>
  <c r="O18" i="3"/>
  <c r="L38" i="10"/>
  <c r="Q24" i="3"/>
  <c r="Q32" i="3"/>
  <c r="S23" i="3"/>
  <c r="O40" i="3"/>
  <c r="O7" i="10"/>
  <c r="O9" i="10"/>
  <c r="O30" i="3"/>
  <c r="K15" i="10"/>
  <c r="L29" i="10"/>
  <c r="S33" i="3"/>
  <c r="K38" i="10"/>
  <c r="T12" i="3"/>
  <c r="L32" i="10"/>
  <c r="K19" i="10"/>
  <c r="P10" i="3"/>
  <c r="O47" i="3"/>
  <c r="T25" i="3"/>
  <c r="S43" i="3"/>
  <c r="U50" i="3"/>
  <c r="Q30" i="10"/>
  <c r="P31" i="10"/>
  <c r="S16" i="3"/>
  <c r="P50" i="3"/>
  <c r="P40" i="3"/>
  <c r="O31" i="3"/>
  <c r="O24" i="3"/>
  <c r="T17" i="3"/>
  <c r="L34" i="10"/>
  <c r="P5" i="10"/>
  <c r="Q28" i="3"/>
  <c r="M13" i="10"/>
  <c r="M7" i="10"/>
  <c r="L27" i="10"/>
  <c r="K18" i="10"/>
  <c r="T39" i="3"/>
  <c r="Q46" i="3"/>
  <c r="O12" i="3"/>
  <c r="P39" i="3"/>
  <c r="Q18" i="3"/>
  <c r="M41" i="10"/>
  <c r="L22" i="10"/>
  <c r="P51" i="3"/>
  <c r="P31" i="3"/>
  <c r="U41" i="3"/>
  <c r="P20" i="3"/>
  <c r="U42" i="3"/>
  <c r="O40" i="10"/>
  <c r="P10" i="10"/>
  <c r="P35" i="3"/>
  <c r="K7" i="10"/>
  <c r="T9" i="3"/>
  <c r="S29" i="3"/>
  <c r="S15" i="3"/>
  <c r="O16" i="3"/>
  <c r="S18" i="3"/>
  <c r="P4" i="10"/>
  <c r="Q9" i="10"/>
  <c r="Q12" i="3"/>
  <c r="M11" i="10"/>
  <c r="Q40" i="3"/>
  <c r="K32" i="10"/>
  <c r="P37" i="3"/>
  <c r="M34" i="10"/>
  <c r="Q13" i="10"/>
  <c r="M22" i="10"/>
  <c r="M27" i="10"/>
  <c r="Q52" i="3"/>
  <c r="Q4" i="10"/>
  <c r="Q49" i="3"/>
  <c r="K37" i="10"/>
  <c r="Q13" i="3"/>
  <c r="O32" i="3"/>
  <c r="P41" i="3"/>
  <c r="K5" i="10"/>
  <c r="P27" i="3"/>
  <c r="Q21" i="3"/>
  <c r="P24" i="3"/>
  <c r="P29" i="10"/>
  <c r="T31" i="3"/>
  <c r="P26" i="10"/>
  <c r="O25" i="10"/>
  <c r="O32" i="10"/>
  <c r="T33" i="3"/>
  <c r="O34" i="10"/>
  <c r="S48" i="3"/>
  <c r="P37" i="10"/>
  <c r="U16" i="3"/>
  <c r="T30" i="3"/>
  <c r="U17" i="3"/>
  <c r="T13" i="3"/>
  <c r="O12" i="10"/>
  <c r="U39" i="3"/>
  <c r="S39" i="3"/>
  <c r="T8" i="3"/>
  <c r="S27" i="3"/>
  <c r="Q16" i="10"/>
  <c r="O53" i="3"/>
  <c r="O44" i="3"/>
  <c r="Q35" i="10"/>
  <c r="U54" i="3"/>
  <c r="T52" i="3"/>
  <c r="T34" i="3"/>
  <c r="P27" i="10"/>
  <c r="T46" i="3"/>
  <c r="T29" i="3"/>
  <c r="O41" i="10"/>
  <c r="Q26" i="10"/>
  <c r="U21" i="3"/>
  <c r="T36" i="3"/>
  <c r="O17" i="10"/>
  <c r="P24" i="10"/>
  <c r="M30" i="10"/>
  <c r="S51" i="3"/>
  <c r="P39" i="10"/>
  <c r="P21" i="3"/>
  <c r="Q47" i="3"/>
  <c r="P17" i="3"/>
  <c r="O33" i="10"/>
  <c r="S13" i="3"/>
  <c r="O35" i="3"/>
  <c r="L16" i="10"/>
  <c r="P13" i="10"/>
  <c r="T50" i="3"/>
  <c r="Q18" i="10"/>
  <c r="O37" i="10"/>
  <c r="O21" i="10"/>
  <c r="T32" i="3"/>
  <c r="P9" i="10"/>
  <c r="T41" i="3"/>
  <c r="O27" i="3"/>
  <c r="U35" i="3"/>
  <c r="O37" i="3"/>
  <c r="P41" i="10"/>
  <c r="P23" i="10"/>
  <c r="P25" i="10"/>
  <c r="P42" i="3"/>
  <c r="Q35" i="3"/>
  <c r="U43" i="3"/>
  <c r="S35" i="3"/>
  <c r="S37" i="3"/>
  <c r="T42" i="3"/>
  <c r="P38" i="10"/>
  <c r="T49" i="3"/>
  <c r="T26" i="3"/>
  <c r="S55" i="3"/>
  <c r="S19" i="3"/>
  <c r="L5" i="10"/>
  <c r="Q34" i="3"/>
  <c r="P30" i="3"/>
  <c r="L28" i="10"/>
  <c r="U25" i="3"/>
  <c r="P14" i="10"/>
  <c r="U29" i="3"/>
  <c r="Q19" i="10"/>
  <c r="Q40" i="10"/>
  <c r="Q20" i="3"/>
  <c r="Q33" i="3"/>
  <c r="U51" i="3"/>
  <c r="M15" i="10"/>
  <c r="L35" i="10"/>
  <c r="O20" i="3"/>
  <c r="T11" i="3"/>
  <c r="S17" i="3"/>
  <c r="U40" i="3"/>
  <c r="S8" i="3"/>
  <c r="Q28" i="10"/>
  <c r="M37" i="10"/>
  <c r="U33" i="3"/>
  <c r="O8" i="10"/>
  <c r="P30" i="10"/>
  <c r="U37" i="3"/>
  <c r="T14" i="3"/>
  <c r="O50" i="3"/>
  <c r="Q50" i="3"/>
  <c r="T37" i="3"/>
  <c r="O21" i="3"/>
  <c r="P21" i="10"/>
  <c r="O28" i="3"/>
  <c r="S32" i="3"/>
  <c r="T10" i="3"/>
  <c r="T21" i="3"/>
  <c r="T43" i="3"/>
  <c r="U49" i="3"/>
  <c r="O14" i="10"/>
  <c r="O13" i="10"/>
  <c r="T54" i="3"/>
  <c r="Q21" i="10"/>
  <c r="S47" i="3"/>
  <c r="O36" i="10"/>
  <c r="Q39" i="10"/>
  <c r="P12" i="3"/>
  <c r="O16" i="10"/>
  <c r="M19" i="10"/>
  <c r="U15" i="3"/>
  <c r="S22" i="3"/>
  <c r="U56" i="3"/>
  <c r="Q27" i="3"/>
  <c r="P22" i="10"/>
  <c r="T28" i="3"/>
  <c r="O33" i="3"/>
  <c r="P54" i="3"/>
  <c r="O2" i="10"/>
  <c r="K22" i="10"/>
  <c r="L41" i="10"/>
  <c r="U10" i="3"/>
  <c r="O5" i="10"/>
  <c r="Q33" i="10"/>
  <c r="U13" i="3"/>
  <c r="S20" i="3"/>
  <c r="M12" i="10"/>
  <c r="U27" i="3"/>
  <c r="P28" i="3"/>
  <c r="L13" i="10"/>
  <c r="Q43" i="3"/>
  <c r="U19" i="3"/>
  <c r="S41" i="3"/>
  <c r="S25" i="3"/>
  <c r="U30" i="3"/>
  <c r="O11" i="10"/>
  <c r="O15" i="10"/>
  <c r="S40" i="3"/>
  <c r="S10" i="3"/>
  <c r="Q10" i="10"/>
  <c r="Q15" i="10"/>
  <c r="O28" i="10"/>
  <c r="T15" i="3"/>
  <c r="K16" i="10"/>
  <c r="Q42" i="3"/>
  <c r="O18" i="10"/>
  <c r="K12" i="10"/>
  <c r="O54" i="3"/>
  <c r="S9" i="3"/>
  <c r="O22" i="10"/>
  <c r="P18" i="10"/>
  <c r="Q44" i="3"/>
  <c r="Q32" i="10"/>
  <c r="T53" i="3"/>
  <c r="P34" i="3"/>
  <c r="U7" i="3"/>
  <c r="M5" i="10"/>
  <c r="U52" i="3"/>
  <c r="P11" i="10"/>
  <c r="K11" i="10"/>
  <c r="U23" i="3"/>
  <c r="Q37" i="3"/>
  <c r="O38" i="10"/>
  <c r="L15" i="10"/>
  <c r="O24" i="10"/>
  <c r="U34" i="3"/>
  <c r="O46" i="3"/>
  <c r="L12" i="10"/>
  <c r="K41" i="10"/>
  <c r="O39" i="3"/>
  <c r="Q16" i="3"/>
  <c r="O34" i="3"/>
  <c r="K26" i="10"/>
  <c r="L30" i="10"/>
  <c r="S31" i="3"/>
  <c r="Q30" i="3"/>
  <c r="M18" i="10"/>
  <c r="U47" i="3"/>
  <c r="K30" i="10"/>
  <c r="P18" i="3"/>
  <c r="S24" i="3"/>
  <c r="O39" i="10"/>
  <c r="P32" i="10"/>
  <c r="S34" i="3"/>
  <c r="U18" i="3"/>
  <c r="T51" i="3"/>
  <c r="P34" i="10"/>
  <c r="U24" i="3"/>
  <c r="O26" i="10"/>
  <c r="Q20" i="10"/>
  <c r="O42" i="3"/>
  <c r="Q17" i="3"/>
  <c r="O31" i="10"/>
  <c r="T27" i="3"/>
  <c r="Q37" i="10"/>
  <c r="O23" i="10"/>
  <c r="S46" i="3"/>
  <c r="T56" i="3"/>
  <c r="S52" i="3"/>
  <c r="P36" i="10"/>
  <c r="O20" i="10"/>
  <c r="T35" i="3"/>
  <c r="T18" i="3"/>
  <c r="Q17" i="10"/>
  <c r="T38" i="3"/>
  <c r="Q34" i="10"/>
  <c r="S54" i="3"/>
  <c r="Q53" i="3"/>
  <c r="L23" i="10"/>
  <c r="M23" i="10"/>
  <c r="P47" i="3"/>
  <c r="U12" i="3"/>
  <c r="P8" i="10"/>
  <c r="S14" i="3"/>
  <c r="L39" i="10"/>
  <c r="O10" i="10"/>
  <c r="O30" i="10"/>
  <c r="Q14" i="10"/>
  <c r="T20" i="3"/>
  <c r="S49" i="3"/>
  <c r="Q8" i="10"/>
  <c r="U53" i="3"/>
  <c r="P2" i="10"/>
  <c r="P20" i="10"/>
  <c r="T16" i="3"/>
  <c r="Q27" i="10"/>
  <c r="Q31" i="10"/>
  <c r="O27" i="10"/>
  <c r="Q5" i="10"/>
  <c r="M38" i="10"/>
  <c r="U20" i="3"/>
  <c r="U26" i="3"/>
  <c r="S30" i="3"/>
  <c r="P46" i="3"/>
  <c r="T48" i="3"/>
  <c r="S21" i="3"/>
  <c r="P15" i="10"/>
  <c r="Q39" i="3"/>
  <c r="U11" i="3"/>
  <c r="U8" i="3"/>
  <c r="K39" i="10"/>
  <c r="P44" i="3"/>
  <c r="T47" i="3"/>
  <c r="K23" i="10"/>
  <c r="O49" i="3"/>
  <c r="O4" i="10"/>
  <c r="M32" i="10"/>
  <c r="Q36" i="10"/>
  <c r="U38" i="3"/>
  <c r="Q23" i="3"/>
  <c r="U31" i="3"/>
  <c r="U36" i="3"/>
  <c r="S45" i="3"/>
  <c r="P33" i="10"/>
  <c r="M39" i="10"/>
  <c r="U28" i="3"/>
  <c r="Q22" i="10"/>
  <c r="L37" i="10"/>
  <c r="M16" i="10"/>
  <c r="T55" i="3"/>
  <c r="S53" i="3"/>
  <c r="O19" i="10"/>
  <c r="P40" i="10"/>
  <c r="T7" i="3"/>
  <c r="P19" i="10"/>
  <c r="U14" i="3"/>
  <c r="Q23" i="10"/>
  <c r="P43" i="3"/>
  <c r="S28" i="3"/>
  <c r="O29" i="10"/>
  <c r="P12" i="10"/>
  <c r="S50" i="3"/>
  <c r="L11" i="10"/>
  <c r="P17" i="10"/>
  <c r="Q2" i="10"/>
  <c r="U48" i="3"/>
  <c r="S42" i="3"/>
  <c r="T40" i="3"/>
  <c r="O17" i="3"/>
  <c r="O43" i="3"/>
  <c r="P16" i="10"/>
  <c r="S38" i="3"/>
  <c r="O35" i="10"/>
  <c r="Q29" i="10"/>
  <c r="U45" i="3"/>
  <c r="K35" i="10"/>
  <c r="S36" i="3"/>
  <c r="U9" i="3"/>
  <c r="T45" i="3"/>
  <c r="S7" i="3"/>
  <c r="Q38" i="10"/>
  <c r="U46" i="3"/>
  <c r="P16" i="3"/>
  <c r="P35" i="10"/>
  <c r="S44" i="3"/>
  <c r="L19" i="10"/>
  <c r="L26" i="10"/>
  <c r="S12" i="3"/>
  <c r="T23" i="3"/>
  <c r="K29" i="10"/>
  <c r="U44" i="3"/>
  <c r="Q25" i="10"/>
  <c r="T44" i="3"/>
  <c r="T24" i="3"/>
  <c r="U55" i="3"/>
  <c r="S11" i="3"/>
</calcChain>
</file>

<file path=xl/sharedStrings.xml><?xml version="1.0" encoding="utf-8"?>
<sst xmlns="http://schemas.openxmlformats.org/spreadsheetml/2006/main" count="3462" uniqueCount="789">
  <si>
    <t>Shooter ID</t>
  </si>
  <si>
    <t>Last Name</t>
  </si>
  <si>
    <t>First Name</t>
  </si>
  <si>
    <t>Birthdate</t>
  </si>
  <si>
    <t>Total Amount</t>
  </si>
  <si>
    <t>Paid</t>
  </si>
  <si>
    <t>Skeet Event</t>
  </si>
  <si>
    <t>Trap Event</t>
  </si>
  <si>
    <t>Sporting Event</t>
  </si>
  <si>
    <t>Round 1</t>
  </si>
  <si>
    <t>Round 2</t>
  </si>
  <si>
    <t>Round 3</t>
  </si>
  <si>
    <t>Round 4</t>
  </si>
  <si>
    <t>Trap Scores</t>
  </si>
  <si>
    <t>Station 1</t>
  </si>
  <si>
    <t>Station 2</t>
  </si>
  <si>
    <t>Station 3</t>
  </si>
  <si>
    <t>Station 4</t>
  </si>
  <si>
    <t>Station 5</t>
  </si>
  <si>
    <t>Station 6</t>
  </si>
  <si>
    <t>Station 7</t>
  </si>
  <si>
    <t>Station 8</t>
  </si>
  <si>
    <t>Station 9</t>
  </si>
  <si>
    <t>Station 10</t>
  </si>
  <si>
    <t>Station 11</t>
  </si>
  <si>
    <t>Station 12</t>
  </si>
  <si>
    <t>Station 13</t>
  </si>
  <si>
    <t>Station 14</t>
  </si>
  <si>
    <t>Station 15</t>
  </si>
  <si>
    <t>Station 16</t>
  </si>
  <si>
    <t>Station 17</t>
  </si>
  <si>
    <t>Station 18</t>
  </si>
  <si>
    <t>Station 19</t>
  </si>
  <si>
    <t>Station 20</t>
  </si>
  <si>
    <t>Total</t>
  </si>
  <si>
    <t>Total Score</t>
  </si>
  <si>
    <t>Team</t>
  </si>
  <si>
    <t>24-1000</t>
  </si>
  <si>
    <t>24-1001</t>
  </si>
  <si>
    <t>24-1002</t>
  </si>
  <si>
    <t>24-1003</t>
  </si>
  <si>
    <t>24-1004</t>
  </si>
  <si>
    <t>24-1005</t>
  </si>
  <si>
    <t>24-1006</t>
  </si>
  <si>
    <t>24-1007</t>
  </si>
  <si>
    <t>24-1008</t>
  </si>
  <si>
    <t>24-1009</t>
  </si>
  <si>
    <t>24-1010</t>
  </si>
  <si>
    <t>24-1011</t>
  </si>
  <si>
    <t>24-1012</t>
  </si>
  <si>
    <t>24-1013</t>
  </si>
  <si>
    <t>24-1014</t>
  </si>
  <si>
    <t>24-1015</t>
  </si>
  <si>
    <t>24-1016</t>
  </si>
  <si>
    <t>24-1017</t>
  </si>
  <si>
    <t>24-1018</t>
  </si>
  <si>
    <t>24-1019</t>
  </si>
  <si>
    <t>24-1020</t>
  </si>
  <si>
    <t>24-1021</t>
  </si>
  <si>
    <t>24-1022</t>
  </si>
  <si>
    <t>24-1023</t>
  </si>
  <si>
    <t>Jason</t>
  </si>
  <si>
    <t>John</t>
  </si>
  <si>
    <t>Cathy</t>
  </si>
  <si>
    <t>Susan</t>
  </si>
  <si>
    <t>Matt</t>
  </si>
  <si>
    <t>Ben</t>
  </si>
  <si>
    <t>Blake</t>
  </si>
  <si>
    <t>James</t>
  </si>
  <si>
    <t>Linda</t>
  </si>
  <si>
    <t>Christy</t>
  </si>
  <si>
    <t>Bill</t>
  </si>
  <si>
    <t>Bob</t>
  </si>
  <si>
    <t>Bruce</t>
  </si>
  <si>
    <t>Henry</t>
  </si>
  <si>
    <t>Daniel</t>
  </si>
  <si>
    <t>Paul</t>
  </si>
  <si>
    <t>Joan</t>
  </si>
  <si>
    <t>Jill</t>
  </si>
  <si>
    <t>Jack</t>
  </si>
  <si>
    <t>Chris</t>
  </si>
  <si>
    <t>Nathan</t>
  </si>
  <si>
    <t>Steve</t>
  </si>
  <si>
    <t>Tom</t>
  </si>
  <si>
    <t>Tim</t>
  </si>
  <si>
    <t>Last Name1</t>
  </si>
  <si>
    <t>Last Name2</t>
  </si>
  <si>
    <t>Last Name3</t>
  </si>
  <si>
    <t>Last Name4</t>
  </si>
  <si>
    <t>Last Name5</t>
  </si>
  <si>
    <t>Last Name6</t>
  </si>
  <si>
    <t>Last Name7</t>
  </si>
  <si>
    <t>Last Name8</t>
  </si>
  <si>
    <t>Last Name9</t>
  </si>
  <si>
    <t>Last Name10</t>
  </si>
  <si>
    <t>Last Name11</t>
  </si>
  <si>
    <t>Last Name12</t>
  </si>
  <si>
    <t>Last Name13</t>
  </si>
  <si>
    <t>Last Name14</t>
  </si>
  <si>
    <t>Last Name15</t>
  </si>
  <si>
    <t>Last Name16</t>
  </si>
  <si>
    <t>Last Name17</t>
  </si>
  <si>
    <t>Last Name18</t>
  </si>
  <si>
    <t>Last Name19</t>
  </si>
  <si>
    <t>Last Name20</t>
  </si>
  <si>
    <t>Last Name21</t>
  </si>
  <si>
    <t>Last Name22</t>
  </si>
  <si>
    <t>Last Name23</t>
  </si>
  <si>
    <t>Last Name24</t>
  </si>
  <si>
    <t>Individual Rank</t>
  </si>
  <si>
    <t>Age Concurrent</t>
  </si>
  <si>
    <t>Shooting Class</t>
  </si>
  <si>
    <t>Score</t>
  </si>
  <si>
    <t>Total Rank</t>
  </si>
  <si>
    <t>HOA</t>
  </si>
  <si>
    <t>Sex</t>
  </si>
  <si>
    <t>Novice</t>
  </si>
  <si>
    <t>Intermediate</t>
  </si>
  <si>
    <t>Junior Varsity</t>
  </si>
  <si>
    <t>Varsity</t>
  </si>
  <si>
    <t>Collegiate</t>
  </si>
  <si>
    <t>A</t>
  </si>
  <si>
    <t>B</t>
  </si>
  <si>
    <t>C</t>
  </si>
  <si>
    <t>D</t>
  </si>
  <si>
    <t>M</t>
  </si>
  <si>
    <t>F</t>
  </si>
  <si>
    <t>Places for HOA</t>
  </si>
  <si>
    <t>Places for HOA Men</t>
  </si>
  <si>
    <t>Places for HOA Lady</t>
  </si>
  <si>
    <t>Novice Score</t>
  </si>
  <si>
    <t>Novice Rank</t>
  </si>
  <si>
    <t>Novice Men's Score</t>
  </si>
  <si>
    <t>Novice Men's Rank</t>
  </si>
  <si>
    <t>Novice Lady's Score</t>
  </si>
  <si>
    <t>Novice Lady's Rank</t>
  </si>
  <si>
    <t>You can do HOA, HOA Men, and HOA Lady</t>
  </si>
  <si>
    <t># of Places</t>
  </si>
  <si>
    <t>Champion</t>
  </si>
  <si>
    <t>Runner Up</t>
  </si>
  <si>
    <t>3rd</t>
  </si>
  <si>
    <t>HOA Men's</t>
  </si>
  <si>
    <t>HOA Lady's</t>
  </si>
  <si>
    <t>Skeet</t>
  </si>
  <si>
    <t>Place</t>
  </si>
  <si>
    <t>Full Name</t>
  </si>
  <si>
    <t>Shooting Average</t>
  </si>
  <si>
    <t>Trap</t>
  </si>
  <si>
    <t>Sporting Clays</t>
  </si>
  <si>
    <t>Number of Awards</t>
  </si>
  <si>
    <t>HOA Men's Rank</t>
  </si>
  <si>
    <t>HOA Men's Score</t>
  </si>
  <si>
    <t>HOA Lady's Score</t>
  </si>
  <si>
    <t>HOA Lady's Rank</t>
  </si>
  <si>
    <t># of Men's Concurrent Places</t>
  </si>
  <si>
    <t># of Lady's Concurrent Places</t>
  </si>
  <si>
    <t>Int Score</t>
  </si>
  <si>
    <t>Int Rank</t>
  </si>
  <si>
    <t>Int Men's Score</t>
  </si>
  <si>
    <t>Int Men's Rank</t>
  </si>
  <si>
    <t>Int Lady's Score</t>
  </si>
  <si>
    <t>Int Lady's Rank</t>
  </si>
  <si>
    <t>Jr Varsity Score</t>
  </si>
  <si>
    <t>Jr Varsity Rank</t>
  </si>
  <si>
    <t>Jr Varsity Men's Score</t>
  </si>
  <si>
    <t>Jr Varsity Men's Rank</t>
  </si>
  <si>
    <t>Jr Varsity Lady's Score</t>
  </si>
  <si>
    <t>Jr Varsity Lady's Rank</t>
  </si>
  <si>
    <t>Varsity Score</t>
  </si>
  <si>
    <t>Varsity Rank</t>
  </si>
  <si>
    <t>Varsity Men's Score</t>
  </si>
  <si>
    <t>Varsity Men's Rank</t>
  </si>
  <si>
    <t>Varsity Lady's Score</t>
  </si>
  <si>
    <t>Varsity Lady's Rank</t>
  </si>
  <si>
    <t>Collegiate Score</t>
  </si>
  <si>
    <t>Collegiate Rank</t>
  </si>
  <si>
    <t>Collegiate Men's Score</t>
  </si>
  <si>
    <t>Collegiate Men's Rank</t>
  </si>
  <si>
    <t>Collegiate Lady's Score</t>
  </si>
  <si>
    <t>Collegiate Lady's Rank</t>
  </si>
  <si>
    <t>HOA Score</t>
  </si>
  <si>
    <t>24-1024</t>
  </si>
  <si>
    <t>24-1025</t>
  </si>
  <si>
    <t>24-1026</t>
  </si>
  <si>
    <t>24-1027</t>
  </si>
  <si>
    <t>24-1028</t>
  </si>
  <si>
    <t>24-1029</t>
  </si>
  <si>
    <t>24-1030</t>
  </si>
  <si>
    <t>24-1031</t>
  </si>
  <si>
    <t>24-1032</t>
  </si>
  <si>
    <t>24-1033</t>
  </si>
  <si>
    <t>24-1034</t>
  </si>
  <si>
    <t>24-1035</t>
  </si>
  <si>
    <t>24-1036</t>
  </si>
  <si>
    <t>24-1037</t>
  </si>
  <si>
    <t>24-1038</t>
  </si>
  <si>
    <t>24-1039</t>
  </si>
  <si>
    <t>24-1040</t>
  </si>
  <si>
    <t>24-1041</t>
  </si>
  <si>
    <t>24-1042</t>
  </si>
  <si>
    <t>24-1043</t>
  </si>
  <si>
    <t>24-1044</t>
  </si>
  <si>
    <t>24-1045</t>
  </si>
  <si>
    <t>24-1046</t>
  </si>
  <si>
    <t>Harry</t>
  </si>
  <si>
    <t>Gary</t>
  </si>
  <si>
    <t>Becky</t>
  </si>
  <si>
    <t>Brad</t>
  </si>
  <si>
    <t>Alan</t>
  </si>
  <si>
    <t>Judy</t>
  </si>
  <si>
    <t>Shelly</t>
  </si>
  <si>
    <t>Kelly</t>
  </si>
  <si>
    <t>Missy</t>
  </si>
  <si>
    <t>Marty</t>
  </si>
  <si>
    <t>Patricia</t>
  </si>
  <si>
    <t>Randy</t>
  </si>
  <si>
    <t>Will</t>
  </si>
  <si>
    <t>Stuart</t>
  </si>
  <si>
    <t>Chad</t>
  </si>
  <si>
    <t>Troy</t>
  </si>
  <si>
    <t>Trey</t>
  </si>
  <si>
    <t>Owen</t>
  </si>
  <si>
    <t>Terry</t>
  </si>
  <si>
    <t>Trisha</t>
  </si>
  <si>
    <t>Dee</t>
  </si>
  <si>
    <t>Sam</t>
  </si>
  <si>
    <t>Rick</t>
  </si>
  <si>
    <t>Last Name25</t>
  </si>
  <si>
    <t>Last Name26</t>
  </si>
  <si>
    <t>Last Name27</t>
  </si>
  <si>
    <t>Last Name28</t>
  </si>
  <si>
    <t>Last Name29</t>
  </si>
  <si>
    <t>Last Name30</t>
  </si>
  <si>
    <t>Last Name31</t>
  </si>
  <si>
    <t>Last Name32</t>
  </si>
  <si>
    <t>Last Name33</t>
  </si>
  <si>
    <t>Last Name34</t>
  </si>
  <si>
    <t>Last Name35</t>
  </si>
  <si>
    <t>Last Name36</t>
  </si>
  <si>
    <t>Last Name37</t>
  </si>
  <si>
    <t>Last Name38</t>
  </si>
  <si>
    <t>Last Name39</t>
  </si>
  <si>
    <t>Last Name40</t>
  </si>
  <si>
    <t>Last Name41</t>
  </si>
  <si>
    <t>Last Name42</t>
  </si>
  <si>
    <t>Last Name43</t>
  </si>
  <si>
    <t>Last Name44</t>
  </si>
  <si>
    <t>Last Name45</t>
  </si>
  <si>
    <t>Last Name46</t>
  </si>
  <si>
    <t>Last Name47</t>
  </si>
  <si>
    <t>24-1047</t>
  </si>
  <si>
    <t>Last Name48</t>
  </si>
  <si>
    <t>Jackson</t>
  </si>
  <si>
    <t>Novice Order</t>
  </si>
  <si>
    <t>Int Order</t>
  </si>
  <si>
    <t>Jr Varsity Order</t>
  </si>
  <si>
    <t>Varsity Order</t>
  </si>
  <si>
    <t>Collegiate Order</t>
  </si>
  <si>
    <t>All Entrants</t>
  </si>
  <si>
    <t>Total Order</t>
  </si>
  <si>
    <t>Total HOA Places</t>
  </si>
  <si>
    <t>HOA Order</t>
  </si>
  <si>
    <t>Names highlighted indicates possible shoot off</t>
  </si>
  <si>
    <t>x</t>
  </si>
  <si>
    <t>X</t>
  </si>
  <si>
    <t>Team Concurrent</t>
  </si>
  <si>
    <t>Open</t>
  </si>
  <si>
    <t>Total Places</t>
  </si>
  <si>
    <t>HOA Events</t>
  </si>
  <si>
    <t># of Skeet Places</t>
  </si>
  <si>
    <t># of Trap Places</t>
  </si>
  <si>
    <t># of Sporting Places</t>
  </si>
  <si>
    <t>A Class</t>
  </si>
  <si>
    <t>B Class</t>
  </si>
  <si>
    <t>C Class</t>
  </si>
  <si>
    <t>D Class</t>
  </si>
  <si>
    <t>A Class Score</t>
  </si>
  <si>
    <t>A Class Order</t>
  </si>
  <si>
    <t>A Class Rank</t>
  </si>
  <si>
    <t>A Class Men's Score</t>
  </si>
  <si>
    <t>A Class Men's Rank</t>
  </si>
  <si>
    <t>A Class Lady's Score</t>
  </si>
  <si>
    <t>A Class Lady's Rank</t>
  </si>
  <si>
    <t>B Class Score</t>
  </si>
  <si>
    <t>B Class Order</t>
  </si>
  <si>
    <t>B Class Rank</t>
  </si>
  <si>
    <t>B Class Men's Score</t>
  </si>
  <si>
    <t>B Class Men's Rank</t>
  </si>
  <si>
    <t>B Class Lady's Score</t>
  </si>
  <si>
    <t>B Class Lady's Rank</t>
  </si>
  <si>
    <t>C Class Score</t>
  </si>
  <si>
    <t>C Class Order</t>
  </si>
  <si>
    <t>C Class Rank</t>
  </si>
  <si>
    <t>C Class Men's Score</t>
  </si>
  <si>
    <t>C Class Men's Rank</t>
  </si>
  <si>
    <t>C Class Lady's Score</t>
  </si>
  <si>
    <t>C Class Lady's Rank</t>
  </si>
  <si>
    <t>D Class Score</t>
  </si>
  <si>
    <t>D Class Order</t>
  </si>
  <si>
    <t>D Class Rank</t>
  </si>
  <si>
    <t>D Class Men's Score</t>
  </si>
  <si>
    <t>D Class Men's Rank</t>
  </si>
  <si>
    <t>D Class Lady's Score</t>
  </si>
  <si>
    <t>D Class Lady's Rank</t>
  </si>
  <si>
    <t>Team Name</t>
  </si>
  <si>
    <t>Concurrent</t>
  </si>
  <si>
    <t>Discipline</t>
  </si>
  <si>
    <t>High Plains Drifters</t>
  </si>
  <si>
    <t>Participant #1 ID</t>
  </si>
  <si>
    <t>Participant #1 Name</t>
  </si>
  <si>
    <t>Participant #5 Name</t>
  </si>
  <si>
    <t>Participant #5 ID</t>
  </si>
  <si>
    <t>Participant #4 Name</t>
  </si>
  <si>
    <t>Participant #4 ID</t>
  </si>
  <si>
    <t>Participant #3 Name</t>
  </si>
  <si>
    <t>Participant #3 ID</t>
  </si>
  <si>
    <t>Participant #2 Name</t>
  </si>
  <si>
    <t>Participant #2 ID</t>
  </si>
  <si>
    <t>Shooting Team</t>
  </si>
  <si>
    <t>Squad Concurrent</t>
  </si>
  <si>
    <t>Rocky Mountain Clay Busters</t>
  </si>
  <si>
    <t>Wiggins Tigers Sporting Club</t>
  </si>
  <si>
    <t>Forge Christian Shooting Team</t>
  </si>
  <si>
    <t>Brighton Clay Crushers</t>
  </si>
  <si>
    <t>Littleton Target Masters</t>
  </si>
  <si>
    <t>Fees</t>
  </si>
  <si>
    <t>Y</t>
  </si>
  <si>
    <t>Skeet Squad</t>
  </si>
  <si>
    <t>Skeet Squad #</t>
  </si>
  <si>
    <t>Skeet Squad Assignment</t>
  </si>
  <si>
    <t>Trap Squad Assignment</t>
  </si>
  <si>
    <t>Trap Squad #</t>
  </si>
  <si>
    <t>Trap Squad</t>
  </si>
  <si>
    <t>Trap Concurrent</t>
  </si>
  <si>
    <t>Sporting Squad Assignment</t>
  </si>
  <si>
    <t>Sporting Squad #</t>
  </si>
  <si>
    <t>Sporting Squad</t>
  </si>
  <si>
    <t>Sporting Concurrent</t>
  </si>
  <si>
    <t>Squad Concurrents</t>
  </si>
  <si>
    <t>Novice 1</t>
  </si>
  <si>
    <t>Intermediate 1</t>
  </si>
  <si>
    <t>Junior Varsity 1</t>
  </si>
  <si>
    <t>Varsity 1</t>
  </si>
  <si>
    <t>Open 1</t>
  </si>
  <si>
    <t>Collegiate 1</t>
  </si>
  <si>
    <t>Novice 2</t>
  </si>
  <si>
    <t>Intermediate 2</t>
  </si>
  <si>
    <t>Junior Varsity 2</t>
  </si>
  <si>
    <t>Varsity 2</t>
  </si>
  <si>
    <t>Open 2</t>
  </si>
  <si>
    <t>Collegiate 2</t>
  </si>
  <si>
    <t>Novice 3</t>
  </si>
  <si>
    <t>Intermediate 3</t>
  </si>
  <si>
    <t>Junior Varsity 3</t>
  </si>
  <si>
    <t>Varsity 3</t>
  </si>
  <si>
    <t>Open 3</t>
  </si>
  <si>
    <t>Collegiate 3</t>
  </si>
  <si>
    <t>Squad #</t>
  </si>
  <si>
    <t>Squad Position</t>
  </si>
  <si>
    <t>Squad Position Skeet/SC</t>
  </si>
  <si>
    <t>Squad Pos Trap</t>
  </si>
  <si>
    <t>Skeet Squad Key</t>
  </si>
  <si>
    <t>Squad Key</t>
  </si>
  <si>
    <t>Trap Shooter Key</t>
  </si>
  <si>
    <t>Trap Squad Key</t>
  </si>
  <si>
    <t>Sporting Shooter Key</t>
  </si>
  <si>
    <t>Sporting Squad Key</t>
  </si>
  <si>
    <t>Team #</t>
  </si>
  <si>
    <t>Team Score</t>
  </si>
  <si>
    <t>Team Novice Score</t>
  </si>
  <si>
    <t>Team Novice Order</t>
  </si>
  <si>
    <t>Team Novice Rank</t>
  </si>
  <si>
    <t>Teams</t>
  </si>
  <si>
    <t>Team Int Score</t>
  </si>
  <si>
    <t>Team Int Order</t>
  </si>
  <si>
    <t>Team Int Rank</t>
  </si>
  <si>
    <t>Team JV Score</t>
  </si>
  <si>
    <t>Team JV Order</t>
  </si>
  <si>
    <t>Team JV Rank</t>
  </si>
  <si>
    <t>Team Collegiate Score</t>
  </si>
  <si>
    <t>Team Collegiate Order</t>
  </si>
  <si>
    <t>Team Collegiate Rank</t>
  </si>
  <si>
    <t>Team Varsity Order</t>
  </si>
  <si>
    <t>Team Varsity Rank</t>
  </si>
  <si>
    <t>Team Varsity Score</t>
  </si>
  <si>
    <t>Total Ind Score</t>
  </si>
  <si>
    <t>Ind Score</t>
  </si>
  <si>
    <t>Team Order</t>
  </si>
  <si>
    <t>Squad Pos</t>
  </si>
  <si>
    <t>Captain</t>
  </si>
  <si>
    <t>Team Members</t>
  </si>
  <si>
    <t>All Teams</t>
  </si>
  <si>
    <t>Shooter Key</t>
  </si>
  <si>
    <t>Team Tie Breaker</t>
  </si>
  <si>
    <t>Ind Tie Breaker</t>
  </si>
  <si>
    <t>Team ID</t>
  </si>
  <si>
    <t>Head Coach</t>
  </si>
  <si>
    <t>Email</t>
  </si>
  <si>
    <t>Address</t>
  </si>
  <si>
    <t>Phone</t>
  </si>
  <si>
    <t>City</t>
  </si>
  <si>
    <t>State</t>
  </si>
  <si>
    <t>ZIP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</si>
  <si>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</si>
  <si>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</si>
  <si>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</si>
  <si>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</si>
  <si>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</si>
  <si>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</si>
  <si>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</si>
  <si>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</si>
  <si>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</si>
  <si>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</si>
  <si>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</si>
  <si>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</si>
  <si>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</si>
  <si>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</si>
  <si>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</si>
  <si>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</si>
  <si>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</si>
  <si>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</si>
  <si>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</si>
  <si>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</si>
  <si>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</si>
  <si>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</si>
  <si>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</si>
  <si>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</si>
  <si>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</si>
  <si>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</si>
  <si>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</si>
  <si>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</si>
  <si>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</si>
  <si>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</si>
  <si>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</si>
  <si>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</si>
  <si>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</si>
  <si>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</si>
  <si>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</si>
  <si>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</si>
  <si>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</si>
  <si>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</si>
  <si>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</si>
  <si>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</si>
  <si>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</si>
  <si>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</si>
  <si>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</si>
  <si>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</si>
  <si>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</si>
  <si>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</si>
  <si>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</si>
  <si>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</si>
  <si>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</si>
  <si>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</si>
  <si>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Skeet Class</t>
  </si>
  <si>
    <t>Trap Class</t>
  </si>
  <si>
    <t>Sporting Class</t>
  </si>
  <si>
    <t>Contact Phone #</t>
  </si>
  <si>
    <t>Contact Email</t>
  </si>
  <si>
    <t>Date</t>
  </si>
  <si>
    <t>Gold</t>
  </si>
  <si>
    <t>Silver</t>
  </si>
  <si>
    <t>Bronze</t>
  </si>
  <si>
    <t>Individual Concurrent</t>
  </si>
  <si>
    <t>Individual Class</t>
  </si>
  <si>
    <t>Total Medals</t>
  </si>
  <si>
    <t>HAA</t>
  </si>
  <si>
    <t>Places for HAA</t>
  </si>
  <si>
    <t>Places for HAA Men</t>
  </si>
  <si>
    <t>Places for HAA Lady</t>
  </si>
  <si>
    <t>Total HAA Places</t>
  </si>
  <si>
    <t>Events</t>
  </si>
  <si>
    <t>Tournament Events</t>
  </si>
  <si>
    <t>26-1000</t>
  </si>
  <si>
    <t>26-1001</t>
  </si>
  <si>
    <t>26-1002</t>
  </si>
  <si>
    <t>26-1003</t>
  </si>
  <si>
    <t>26-1004</t>
  </si>
  <si>
    <t>26-1005</t>
  </si>
  <si>
    <t>26-1006</t>
  </si>
  <si>
    <t>26-1007</t>
  </si>
  <si>
    <t>26-1008</t>
  </si>
  <si>
    <t>26-1009</t>
  </si>
  <si>
    <t>26-1010</t>
  </si>
  <si>
    <t>26-1011</t>
  </si>
  <si>
    <t>26-1012</t>
  </si>
  <si>
    <t>26-1013</t>
  </si>
  <si>
    <t>26-1014</t>
  </si>
  <si>
    <t>26-1015</t>
  </si>
  <si>
    <t>26-1016</t>
  </si>
  <si>
    <t>26-1017</t>
  </si>
  <si>
    <t>26-1018</t>
  </si>
  <si>
    <t>26-1019</t>
  </si>
  <si>
    <t>26-1020</t>
  </si>
  <si>
    <t>26-1021</t>
  </si>
  <si>
    <t>26-1022</t>
  </si>
  <si>
    <t>26-1023</t>
  </si>
  <si>
    <t>26-1024</t>
  </si>
  <si>
    <t>26-1025</t>
  </si>
  <si>
    <t>26-1026</t>
  </si>
  <si>
    <t>26-1027</t>
  </si>
  <si>
    <t>26-1028</t>
  </si>
  <si>
    <t>26-1029</t>
  </si>
  <si>
    <t>26-1030</t>
  </si>
  <si>
    <t>26-1031</t>
  </si>
  <si>
    <t>26-1032</t>
  </si>
  <si>
    <t>26-1033</t>
  </si>
  <si>
    <t>26-1034</t>
  </si>
  <si>
    <t>26-1035</t>
  </si>
  <si>
    <t>26-1036</t>
  </si>
  <si>
    <t>26-1037</t>
  </si>
  <si>
    <t>26-1038</t>
  </si>
  <si>
    <t>26-1039</t>
  </si>
  <si>
    <t>26-1040</t>
  </si>
  <si>
    <t>26-1041</t>
  </si>
  <si>
    <t>26-1042</t>
  </si>
  <si>
    <t>26-1043</t>
  </si>
  <si>
    <t>26-1044</t>
  </si>
  <si>
    <t>26-1045</t>
  </si>
  <si>
    <t>26-1046</t>
  </si>
  <si>
    <t>26-1047</t>
  </si>
  <si>
    <t>26-1048</t>
  </si>
  <si>
    <t>26-1049</t>
  </si>
  <si>
    <t>26-1050</t>
  </si>
  <si>
    <t>26-1051</t>
  </si>
  <si>
    <t>26-1052</t>
  </si>
  <si>
    <t>26-1053</t>
  </si>
  <si>
    <t>26-1054</t>
  </si>
  <si>
    <t>26-1055</t>
  </si>
  <si>
    <t>26-1056</t>
  </si>
  <si>
    <t>26-1057</t>
  </si>
  <si>
    <t>26-1058</t>
  </si>
  <si>
    <t>26-1059</t>
  </si>
  <si>
    <t>26-1060</t>
  </si>
  <si>
    <t>26-1061</t>
  </si>
  <si>
    <t>26-1062</t>
  </si>
  <si>
    <t>26-1063</t>
  </si>
  <si>
    <t>26-1064</t>
  </si>
  <si>
    <t>26-1065</t>
  </si>
  <si>
    <t>26-1066</t>
  </si>
  <si>
    <t>26-1067</t>
  </si>
  <si>
    <t>26-1068</t>
  </si>
  <si>
    <t>26-1069</t>
  </si>
  <si>
    <t>26-1070</t>
  </si>
  <si>
    <t>26-1071</t>
  </si>
  <si>
    <t>26-1072</t>
  </si>
  <si>
    <t>26-1073</t>
  </si>
  <si>
    <t>26-1074</t>
  </si>
  <si>
    <t>26-1075</t>
  </si>
  <si>
    <t>26-1076</t>
  </si>
  <si>
    <t>26-1077</t>
  </si>
  <si>
    <t>26-1078</t>
  </si>
  <si>
    <t>26-1079</t>
  </si>
  <si>
    <t>26-1080</t>
  </si>
  <si>
    <t>26-1081</t>
  </si>
  <si>
    <t>26-1082</t>
  </si>
  <si>
    <t>26-1083</t>
  </si>
  <si>
    <t>26-1084</t>
  </si>
  <si>
    <t>26-1085</t>
  </si>
  <si>
    <t>26-1086</t>
  </si>
  <si>
    <t>26-1087</t>
  </si>
  <si>
    <t>26-1088</t>
  </si>
  <si>
    <t>26-1089</t>
  </si>
  <si>
    <t>26-1090</t>
  </si>
  <si>
    <t>26-1091</t>
  </si>
  <si>
    <t>26-1092</t>
  </si>
  <si>
    <t>26-1093</t>
  </si>
  <si>
    <t>26-1094</t>
  </si>
  <si>
    <t>26-1095</t>
  </si>
  <si>
    <t>26-1096</t>
  </si>
  <si>
    <t>26-1097</t>
  </si>
  <si>
    <t>26-1098</t>
  </si>
  <si>
    <t>26-1099</t>
  </si>
  <si>
    <t>26-1100</t>
  </si>
  <si>
    <t>26-1101</t>
  </si>
  <si>
    <t>26-1102</t>
  </si>
  <si>
    <t>26-1103</t>
  </si>
  <si>
    <t>26-1104</t>
  </si>
  <si>
    <t>26-1105</t>
  </si>
  <si>
    <t>26-1106</t>
  </si>
  <si>
    <t>26-1107</t>
  </si>
  <si>
    <t>26-1108</t>
  </si>
  <si>
    <t>26-1109</t>
  </si>
  <si>
    <t>26-1110</t>
  </si>
  <si>
    <t>26-1111</t>
  </si>
  <si>
    <t>26-1112</t>
  </si>
  <si>
    <t>26-1113</t>
  </si>
  <si>
    <t>26-1114</t>
  </si>
  <si>
    <t>26-1115</t>
  </si>
  <si>
    <t>26-1116</t>
  </si>
  <si>
    <t>26-1117</t>
  </si>
  <si>
    <t>26-1118</t>
  </si>
  <si>
    <t>26-1119</t>
  </si>
  <si>
    <t>26-1120</t>
  </si>
  <si>
    <t>26-1121</t>
  </si>
  <si>
    <t>26-1122</t>
  </si>
  <si>
    <t>26-1123</t>
  </si>
  <si>
    <t>26-1124</t>
  </si>
  <si>
    <t>26-1125</t>
  </si>
  <si>
    <t>26-1126</t>
  </si>
  <si>
    <t>26-1127</t>
  </si>
  <si>
    <t>26-1128</t>
  </si>
  <si>
    <t>26-1129</t>
  </si>
  <si>
    <t>26-1130</t>
  </si>
  <si>
    <t>26-1131</t>
  </si>
  <si>
    <t>26-1132</t>
  </si>
  <si>
    <t>26-1133</t>
  </si>
  <si>
    <t>26-1134</t>
  </si>
  <si>
    <t>26-1135</t>
  </si>
  <si>
    <t>26-1136</t>
  </si>
  <si>
    <t>26-1137</t>
  </si>
  <si>
    <t>26-1138</t>
  </si>
  <si>
    <t>26-1139</t>
  </si>
  <si>
    <t>26-1140</t>
  </si>
  <si>
    <t>26-1141</t>
  </si>
  <si>
    <t>26-1142</t>
  </si>
  <si>
    <t>26-1143</t>
  </si>
  <si>
    <t>26-1144</t>
  </si>
  <si>
    <t>26-1145</t>
  </si>
  <si>
    <t>26-1146</t>
  </si>
  <si>
    <t>26-1147</t>
  </si>
  <si>
    <t>26-1148</t>
  </si>
  <si>
    <t>26-1149</t>
  </si>
  <si>
    <t>26-1150</t>
  </si>
  <si>
    <t>26-1151</t>
  </si>
  <si>
    <t>26-1152</t>
  </si>
  <si>
    <t>26-1153</t>
  </si>
  <si>
    <t>26-1154</t>
  </si>
  <si>
    <t>26-1155</t>
  </si>
  <si>
    <t>26-1156</t>
  </si>
  <si>
    <t>26-1157</t>
  </si>
  <si>
    <t>26-1158</t>
  </si>
  <si>
    <t>26-1159</t>
  </si>
  <si>
    <t>26-1160</t>
  </si>
  <si>
    <t>26-1161</t>
  </si>
  <si>
    <t>26-1162</t>
  </si>
  <si>
    <t>26-1163</t>
  </si>
  <si>
    <t>26-1164</t>
  </si>
  <si>
    <t>26-1165</t>
  </si>
  <si>
    <t>26-1166</t>
  </si>
  <si>
    <t>26-1167</t>
  </si>
  <si>
    <t>26-1168</t>
  </si>
  <si>
    <t>26-1169</t>
  </si>
  <si>
    <t>26-1170</t>
  </si>
  <si>
    <t>26-1171</t>
  </si>
  <si>
    <t>26-1172</t>
  </si>
  <si>
    <t>26-1173</t>
  </si>
  <si>
    <t>26-1174</t>
  </si>
  <si>
    <t>26-1175</t>
  </si>
  <si>
    <t>26-1176</t>
  </si>
  <si>
    <t>26-1177</t>
  </si>
  <si>
    <t>26-1178</t>
  </si>
  <si>
    <t>26-1179</t>
  </si>
  <si>
    <t>26-1180</t>
  </si>
  <si>
    <t>26-1181</t>
  </si>
  <si>
    <t>26-1182</t>
  </si>
  <si>
    <t>26-1183</t>
  </si>
  <si>
    <t>26-1184</t>
  </si>
  <si>
    <t>26-1185</t>
  </si>
  <si>
    <t>26-1186</t>
  </si>
  <si>
    <t>26-1187</t>
  </si>
  <si>
    <t>26-1188</t>
  </si>
  <si>
    <t>26-1189</t>
  </si>
  <si>
    <t>26-1190</t>
  </si>
  <si>
    <t>26-1191</t>
  </si>
  <si>
    <t>26-1192</t>
  </si>
  <si>
    <t>26-1193</t>
  </si>
  <si>
    <t>26-1194</t>
  </si>
  <si>
    <t>26-1195</t>
  </si>
  <si>
    <t>26-1196</t>
  </si>
  <si>
    <t>26-1197</t>
  </si>
  <si>
    <t>26-1198</t>
  </si>
  <si>
    <t>26-1199</t>
  </si>
  <si>
    <t>26-1200</t>
  </si>
  <si>
    <t>26-1201</t>
  </si>
  <si>
    <t>26-1202</t>
  </si>
  <si>
    <t>26-1203</t>
  </si>
  <si>
    <t>26-1204</t>
  </si>
  <si>
    <t>26-1205</t>
  </si>
  <si>
    <t>26-1206</t>
  </si>
  <si>
    <t>26-1207</t>
  </si>
  <si>
    <t>26-1208</t>
  </si>
  <si>
    <t>26-1209</t>
  </si>
  <si>
    <t>26-1210</t>
  </si>
  <si>
    <t>26-1211</t>
  </si>
  <si>
    <t>26-1212</t>
  </si>
  <si>
    <t>26-1213</t>
  </si>
  <si>
    <t>26-1214</t>
  </si>
  <si>
    <t>26-1215</t>
  </si>
  <si>
    <t>26-1216</t>
  </si>
  <si>
    <t>26-1217</t>
  </si>
  <si>
    <t>26-1218</t>
  </si>
  <si>
    <t>26-1219</t>
  </si>
  <si>
    <t>26-1220</t>
  </si>
  <si>
    <t>26-1221</t>
  </si>
  <si>
    <t>26-1222</t>
  </si>
  <si>
    <t>26-1223</t>
  </si>
  <si>
    <t>26-1224</t>
  </si>
  <si>
    <t>26-1225</t>
  </si>
  <si>
    <t>26-1226</t>
  </si>
  <si>
    <t>26-1227</t>
  </si>
  <si>
    <t>26-1228</t>
  </si>
  <si>
    <t>26-1229</t>
  </si>
  <si>
    <t>26-1230</t>
  </si>
  <si>
    <t>26-1231</t>
  </si>
  <si>
    <t>26-1232</t>
  </si>
  <si>
    <t>Total Medals for all Events</t>
  </si>
  <si>
    <t>Shooting Time</t>
  </si>
  <si>
    <t>Skeet Times</t>
  </si>
  <si>
    <t>Trap Times</t>
  </si>
  <si>
    <t>Sporting Clays Time</t>
  </si>
  <si>
    <t>Men's</t>
  </si>
  <si>
    <t>Lady's</t>
  </si>
  <si>
    <t>Class</t>
  </si>
  <si>
    <t>LName1</t>
  </si>
  <si>
    <t>LName2</t>
  </si>
  <si>
    <t>LName3</t>
  </si>
  <si>
    <t>LName4</t>
  </si>
  <si>
    <t>LName5</t>
  </si>
  <si>
    <t>LName6</t>
  </si>
  <si>
    <t>LName7</t>
  </si>
  <si>
    <t>LName8</t>
  </si>
  <si>
    <t>LName9</t>
  </si>
  <si>
    <t>LName10</t>
  </si>
  <si>
    <t>LName11</t>
  </si>
  <si>
    <t>LName12</t>
  </si>
  <si>
    <t>LName13</t>
  </si>
  <si>
    <t>LName14</t>
  </si>
  <si>
    <t>LName15</t>
  </si>
  <si>
    <t>LName16</t>
  </si>
  <si>
    <t>LName17</t>
  </si>
  <si>
    <t>LName18</t>
  </si>
  <si>
    <t>LName19</t>
  </si>
  <si>
    <t>LName20</t>
  </si>
  <si>
    <t>LName21</t>
  </si>
  <si>
    <t>LName22</t>
  </si>
  <si>
    <t>LName23</t>
  </si>
  <si>
    <t>LName24</t>
  </si>
  <si>
    <t>LName25</t>
  </si>
  <si>
    <t>LName26</t>
  </si>
  <si>
    <t>LName27</t>
  </si>
  <si>
    <t>LName28</t>
  </si>
  <si>
    <t>LName29</t>
  </si>
  <si>
    <t>LName30</t>
  </si>
  <si>
    <t>LName31</t>
  </si>
  <si>
    <t>LName32</t>
  </si>
  <si>
    <t>LName33</t>
  </si>
  <si>
    <t>LName34</t>
  </si>
  <si>
    <t>LName35</t>
  </si>
  <si>
    <t>LName36</t>
  </si>
  <si>
    <t>LName37</t>
  </si>
  <si>
    <t>LName38</t>
  </si>
  <si>
    <t>LName39</t>
  </si>
  <si>
    <t>LName40</t>
  </si>
  <si>
    <t>LName41</t>
  </si>
  <si>
    <t>LName42</t>
  </si>
  <si>
    <t>LName43</t>
  </si>
  <si>
    <t>LName44</t>
  </si>
  <si>
    <t>LName45</t>
  </si>
  <si>
    <t>LName46</t>
  </si>
  <si>
    <t>LName47</t>
  </si>
  <si>
    <t>LName48</t>
  </si>
  <si>
    <t>HAA Place</t>
  </si>
  <si>
    <t>Concurrent Place</t>
  </si>
  <si>
    <t>Class Place</t>
  </si>
  <si>
    <t>Team Place</t>
  </si>
  <si>
    <t>Unassigned 1</t>
  </si>
  <si>
    <t>Unassigned 2</t>
  </si>
  <si>
    <t>Unassigned 3</t>
  </si>
  <si>
    <t>9:00</t>
  </si>
  <si>
    <t>10:15</t>
  </si>
  <si>
    <t>11:30</t>
  </si>
  <si>
    <t>12:45</t>
  </si>
  <si>
    <t>2:00</t>
  </si>
  <si>
    <t>10:00</t>
  </si>
  <si>
    <t>11:00</t>
  </si>
  <si>
    <t>12:00</t>
  </si>
  <si>
    <t>1:00</t>
  </si>
  <si>
    <t>3:00</t>
  </si>
  <si>
    <t>N</t>
  </si>
  <si>
    <t>Team Affiliation</t>
  </si>
  <si>
    <t>USAYESS</t>
  </si>
  <si>
    <t>303-999-1234</t>
  </si>
  <si>
    <t>CO</t>
  </si>
  <si>
    <t>Bennett</t>
  </si>
  <si>
    <t>1234 Rose Lane</t>
  </si>
  <si>
    <t>Tim@example.com</t>
  </si>
  <si>
    <t>Tim Wolfe</t>
  </si>
  <si>
    <t>303-425-2425</t>
  </si>
  <si>
    <t>Bill@example.com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</si>
</sst>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43" fontId="0" fillId="0" borderId="0" xfId="1" applyFo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9" xfId="0" applyFont="1" applyFill="1" applyBorder="1" applyAlignment="1">
      <alignment horizontal="center" vertical="top" wrapText="1"/>
    </xf>
    <xf numFmtId="0" fontId="0" fillId="0" borderId="6" xfId="0" applyBorder="1"/>
    <xf numFmtId="0" fontId="0" fillId="0" borderId="7" xfId="0" applyBorder="1"/>
    <xf numFmtId="0" fontId="2" fillId="2" borderId="8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9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2" fillId="6" borderId="8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9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7" borderId="2" xfId="0" applyFont="1" applyFill="1" applyBorder="1" applyAlignment="1">
      <alignment horizontal="center" vertical="top" wrapText="1"/>
    </xf>
    <xf numFmtId="43" fontId="0" fillId="0" borderId="6" xfId="1" applyFont="1" applyBorder="1"/>
    <xf numFmtId="43" fontId="0" fillId="0" borderId="0" xfId="1" applyFont="1" applyBorder="1"/>
    <xf numFmtId="0" fontId="2" fillId="3" borderId="3" xfId="0" applyFont="1" applyFill="1" applyBorder="1" applyAlignment="1">
      <alignment horizontal="center" vertical="top" wrapText="1"/>
    </xf>
    <xf numFmtId="0" fontId="0" fillId="8" borderId="0" xfId="0" applyFill="1"/>
    <xf numFmtId="0" fontId="0" fillId="8" borderId="0" xfId="0" applyFill="1" applyAlignment="1">
      <alignment horizontal="center"/>
    </xf>
    <xf numFmtId="43" fontId="0" fillId="8" borderId="0" xfId="1" applyFont="1" applyFill="1"/>
    <xf numFmtId="0" fontId="0" fillId="8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6" xfId="0" applyFill="1" applyBorder="1"/>
    <xf numFmtId="0" fontId="0" fillId="8" borderId="7" xfId="0" applyFill="1" applyBorder="1"/>
    <xf numFmtId="1" fontId="0" fillId="0" borderId="7" xfId="0" applyNumberFormat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9" borderId="7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0" fillId="2" borderId="7" xfId="0" applyFill="1" applyBorder="1"/>
    <xf numFmtId="0" fontId="2" fillId="4" borderId="3" xfId="0" applyFont="1" applyFill="1" applyBorder="1" applyAlignment="1">
      <alignment horizontal="center" vertical="top" wrapText="1"/>
    </xf>
    <xf numFmtId="164" fontId="0" fillId="0" borderId="0" xfId="1" applyNumberFormat="1" applyFont="1" applyBorder="1"/>
    <xf numFmtId="0" fontId="2" fillId="6" borderId="3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4" fillId="9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0" xfId="0" applyBorder="1"/>
    <xf numFmtId="0" fontId="0" fillId="11" borderId="0" xfId="0" applyFill="1" applyAlignment="1">
      <alignment horizontal="center"/>
    </xf>
    <xf numFmtId="0" fontId="0" fillId="11" borderId="10" xfId="0" applyFill="1" applyBorder="1" applyAlignment="1">
      <alignment horizontal="center"/>
    </xf>
    <xf numFmtId="0" fontId="2" fillId="11" borderId="8" xfId="0" applyFont="1" applyFill="1" applyBorder="1" applyAlignment="1">
      <alignment horizontal="center" vertical="top" wrapText="1"/>
    </xf>
    <xf numFmtId="164" fontId="0" fillId="0" borderId="7" xfId="1" applyNumberFormat="1" applyFont="1" applyBorder="1"/>
    <xf numFmtId="0" fontId="2" fillId="12" borderId="1" xfId="0" applyFont="1" applyFill="1" applyBorder="1" applyAlignment="1">
      <alignment horizontal="centerContinuous"/>
    </xf>
    <xf numFmtId="0" fontId="2" fillId="12" borderId="3" xfId="0" applyFont="1" applyFill="1" applyBorder="1" applyAlignment="1">
      <alignment horizontal="centerContinuous"/>
    </xf>
    <xf numFmtId="0" fontId="2" fillId="12" borderId="2" xfId="0" applyFont="1" applyFill="1" applyBorder="1" applyAlignment="1">
      <alignment horizontal="centerContinuous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1" xfId="0" applyBorder="1"/>
    <xf numFmtId="0" fontId="0" fillId="12" borderId="3" xfId="0" applyFill="1" applyBorder="1" applyAlignment="1">
      <alignment horizontal="centerContinuous"/>
    </xf>
    <xf numFmtId="0" fontId="0" fillId="10" borderId="0" xfId="0" applyFill="1" applyAlignment="1">
      <alignment horizontal="centerContinuous"/>
    </xf>
    <xf numFmtId="0" fontId="0" fillId="8" borderId="0" xfId="0" applyFill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/>
    <xf numFmtId="0" fontId="2" fillId="0" borderId="15" xfId="0" applyFont="1" applyBorder="1"/>
    <xf numFmtId="0" fontId="2" fillId="0" borderId="1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6" borderId="4" xfId="0" applyFill="1" applyBorder="1"/>
    <xf numFmtId="0" fontId="2" fillId="0" borderId="16" xfId="0" applyFont="1" applyBorder="1" applyAlignment="1">
      <alignment horizontal="center" wrapText="1"/>
    </xf>
    <xf numFmtId="0" fontId="2" fillId="0" borderId="17" xfId="0" applyFont="1" applyBorder="1"/>
    <xf numFmtId="0" fontId="0" fillId="6" borderId="19" xfId="0" applyFill="1" applyBorder="1" applyAlignment="1">
      <alignment horizontal="center"/>
    </xf>
    <xf numFmtId="0" fontId="0" fillId="6" borderId="20" xfId="0" applyFill="1" applyBorder="1"/>
    <xf numFmtId="0" fontId="0" fillId="6" borderId="21" xfId="0" applyFill="1" applyBorder="1"/>
    <xf numFmtId="0" fontId="0" fillId="6" borderId="22" xfId="0" applyFill="1" applyBorder="1" applyAlignment="1">
      <alignment horizontal="center"/>
    </xf>
    <xf numFmtId="0" fontId="0" fillId="6" borderId="23" xfId="0" applyFill="1" applyBorder="1"/>
    <xf numFmtId="0" fontId="0" fillId="6" borderId="24" xfId="0" applyFill="1" applyBorder="1" applyAlignment="1">
      <alignment horizontal="center"/>
    </xf>
    <xf numFmtId="0" fontId="0" fillId="6" borderId="25" xfId="0" applyFill="1" applyBorder="1"/>
    <xf numFmtId="0" fontId="0" fillId="6" borderId="26" xfId="0" applyFill="1" applyBorder="1"/>
    <xf numFmtId="0" fontId="2" fillId="0" borderId="17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2" fillId="13" borderId="4" xfId="0" applyFont="1" applyFill="1" applyBorder="1"/>
    <xf numFmtId="0" fontId="2" fillId="13" borderId="4" xfId="0" applyFont="1" applyFill="1" applyBorder="1" applyAlignment="1">
      <alignment horizontal="center" wrapText="1"/>
    </xf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 applyAlignment="1">
      <alignment horizontal="center"/>
    </xf>
    <xf numFmtId="0" fontId="0" fillId="0" borderId="4" xfId="0" applyBorder="1"/>
    <xf numFmtId="0" fontId="0" fillId="0" borderId="23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6" borderId="20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5" borderId="0" xfId="0" applyFill="1"/>
    <xf numFmtId="0" fontId="2" fillId="0" borderId="27" xfId="0" applyFont="1" applyBorder="1"/>
    <xf numFmtId="0" fontId="2" fillId="0" borderId="28" xfId="0" applyFont="1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2" fillId="4" borderId="28" xfId="0" applyFont="1" applyFill="1" applyBorder="1" applyAlignment="1">
      <alignment horizontal="center" wrapText="1"/>
    </xf>
    <xf numFmtId="0" fontId="2" fillId="14" borderId="28" xfId="0" applyFont="1" applyFill="1" applyBorder="1" applyAlignment="1">
      <alignment horizontal="center" wrapText="1"/>
    </xf>
    <xf numFmtId="0" fontId="2" fillId="15" borderId="28" xfId="0" applyFont="1" applyFill="1" applyBorder="1" applyAlignment="1">
      <alignment horizontal="center" wrapText="1"/>
    </xf>
    <xf numFmtId="0" fontId="2" fillId="4" borderId="28" xfId="0" applyFont="1" applyFill="1" applyBorder="1" applyAlignment="1">
      <alignment horizontal="center"/>
    </xf>
    <xf numFmtId="0" fontId="2" fillId="14" borderId="28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 vertical="top" wrapText="1"/>
    </xf>
    <xf numFmtId="0" fontId="2" fillId="16" borderId="2" xfId="0" applyFont="1" applyFill="1" applyBorder="1" applyAlignment="1">
      <alignment horizontal="center" vertical="top" wrapText="1"/>
    </xf>
    <xf numFmtId="0" fontId="2" fillId="15" borderId="28" xfId="0" applyFont="1" applyFill="1" applyBorder="1" applyAlignment="1">
      <alignment horizontal="center"/>
    </xf>
    <xf numFmtId="0" fontId="2" fillId="15" borderId="29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43" fontId="2" fillId="16" borderId="8" xfId="1" applyFont="1" applyFill="1" applyBorder="1" applyAlignment="1">
      <alignment horizontal="center" vertical="top" wrapText="1"/>
    </xf>
    <xf numFmtId="43" fontId="0" fillId="8" borderId="6" xfId="1" applyFont="1" applyFill="1" applyBorder="1"/>
    <xf numFmtId="43" fontId="2" fillId="17" borderId="8" xfId="1" applyFont="1" applyFill="1" applyBorder="1" applyAlignment="1">
      <alignment horizontal="center" vertical="top" wrapText="1"/>
    </xf>
    <xf numFmtId="0" fontId="2" fillId="17" borderId="3" xfId="0" applyFont="1" applyFill="1" applyBorder="1" applyAlignment="1">
      <alignment horizontal="center" vertical="top" wrapText="1"/>
    </xf>
    <xf numFmtId="0" fontId="2" fillId="17" borderId="2" xfId="0" applyFont="1" applyFill="1" applyBorder="1" applyAlignment="1">
      <alignment horizontal="center" vertical="top" wrapText="1"/>
    </xf>
    <xf numFmtId="43" fontId="2" fillId="18" borderId="8" xfId="1" applyFont="1" applyFill="1" applyBorder="1" applyAlignment="1">
      <alignment horizontal="center" vertical="top" wrapText="1"/>
    </xf>
    <xf numFmtId="0" fontId="2" fillId="18" borderId="3" xfId="0" applyFont="1" applyFill="1" applyBorder="1" applyAlignment="1">
      <alignment horizontal="center" vertical="top" wrapText="1"/>
    </xf>
    <xf numFmtId="0" fontId="2" fillId="18" borderId="2" xfId="0" applyFont="1" applyFill="1" applyBorder="1" applyAlignment="1">
      <alignment horizontal="center" vertical="top" wrapText="1"/>
    </xf>
    <xf numFmtId="165" fontId="0" fillId="0" borderId="0" xfId="1" applyNumberFormat="1" applyFont="1"/>
    <xf numFmtId="165" fontId="0" fillId="8" borderId="0" xfId="1" applyNumberFormat="1" applyFont="1" applyFill="1"/>
    <xf numFmtId="165" fontId="2" fillId="13" borderId="4" xfId="1" applyNumberFormat="1" applyFont="1" applyFill="1" applyBorder="1" applyAlignment="1">
      <alignment horizontal="center" wrapText="1"/>
    </xf>
    <xf numFmtId="0" fontId="0" fillId="0" borderId="37" xfId="0" applyBorder="1"/>
    <xf numFmtId="0" fontId="0" fillId="0" borderId="37" xfId="0" applyBorder="1" applyAlignment="1">
      <alignment horizontal="center"/>
    </xf>
    <xf numFmtId="0" fontId="0" fillId="2" borderId="34" xfId="0" applyFill="1" applyBorder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36" xfId="0" applyFill="1" applyBorder="1"/>
    <xf numFmtId="0" fontId="0" fillId="2" borderId="37" xfId="0" applyFill="1" applyBorder="1"/>
    <xf numFmtId="0" fontId="0" fillId="2" borderId="37" xfId="0" applyFill="1" applyBorder="1" applyAlignment="1">
      <alignment horizontal="center"/>
    </xf>
    <xf numFmtId="43" fontId="2" fillId="13" borderId="4" xfId="1" applyFont="1" applyFill="1" applyBorder="1" applyAlignment="1">
      <alignment horizontal="center" wrapText="1"/>
    </xf>
    <xf numFmtId="165" fontId="0" fillId="0" borderId="0" xfId="1" applyNumberFormat="1" applyFont="1" applyAlignment="1">
      <alignment horizontal="center" wrapText="1"/>
    </xf>
    <xf numFmtId="0" fontId="4" fillId="9" borderId="42" xfId="0" applyFont="1" applyFill="1" applyBorder="1" applyAlignment="1">
      <alignment horizontal="centerContinuous"/>
    </xf>
    <xf numFmtId="0" fontId="4" fillId="9" borderId="43" xfId="0" applyFont="1" applyFill="1" applyBorder="1" applyAlignment="1">
      <alignment horizontal="centerContinuous"/>
    </xf>
    <xf numFmtId="0" fontId="4" fillId="9" borderId="44" xfId="0" applyFont="1" applyFill="1" applyBorder="1" applyAlignment="1">
      <alignment horizontal="centerContinuous"/>
    </xf>
    <xf numFmtId="0" fontId="4" fillId="9" borderId="24" xfId="0" applyFont="1" applyFill="1" applyBorder="1" applyAlignment="1">
      <alignment horizontal="center" wrapText="1"/>
    </xf>
    <xf numFmtId="0" fontId="4" fillId="9" borderId="25" xfId="0" applyFont="1" applyFill="1" applyBorder="1" applyAlignment="1">
      <alignment horizontal="center"/>
    </xf>
    <xf numFmtId="0" fontId="4" fillId="9" borderId="26" xfId="0" applyFont="1" applyFill="1" applyBorder="1" applyAlignment="1">
      <alignment horizontal="center" wrapText="1"/>
    </xf>
    <xf numFmtId="0" fontId="4" fillId="9" borderId="25" xfId="0" applyFont="1" applyFill="1" applyBorder="1" applyAlignment="1">
      <alignment horizontal="center" wrapText="1"/>
    </xf>
    <xf numFmtId="0" fontId="4" fillId="9" borderId="24" xfId="0" applyFont="1" applyFill="1" applyBorder="1" applyAlignment="1">
      <alignment horizontal="center"/>
    </xf>
    <xf numFmtId="165" fontId="0" fillId="0" borderId="0" xfId="1" applyNumberFormat="1" applyFont="1" applyBorder="1"/>
    <xf numFmtId="165" fontId="0" fillId="0" borderId="0" xfId="1" applyNumberFormat="1" applyFont="1" applyAlignment="1">
      <alignment horizontal="center"/>
    </xf>
    <xf numFmtId="165" fontId="0" fillId="0" borderId="6" xfId="1" applyNumberFormat="1" applyFont="1" applyBorder="1"/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0" fillId="5" borderId="0" xfId="0" applyFill="1" applyAlignment="1">
      <alignment horizontal="centerContinuous"/>
    </xf>
    <xf numFmtId="165" fontId="0" fillId="5" borderId="0" xfId="1" applyNumberFormat="1" applyFont="1" applyFill="1" applyAlignment="1">
      <alignment horizontal="centerContinuous"/>
    </xf>
    <xf numFmtId="43" fontId="0" fillId="5" borderId="0" xfId="1" applyFont="1" applyFill="1" applyAlignment="1">
      <alignment horizontal="centerContinuous"/>
    </xf>
    <xf numFmtId="0" fontId="2" fillId="2" borderId="0" xfId="0" applyFont="1" applyFill="1"/>
    <xf numFmtId="0" fontId="2" fillId="2" borderId="4" xfId="0" applyFont="1" applyFill="1" applyBorder="1"/>
    <xf numFmtId="0" fontId="2" fillId="2" borderId="4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/>
    </xf>
    <xf numFmtId="9" fontId="0" fillId="0" borderId="4" xfId="0" applyNumberFormat="1" applyBorder="1"/>
    <xf numFmtId="43" fontId="0" fillId="0" borderId="4" xfId="1" applyFont="1" applyBorder="1"/>
    <xf numFmtId="0" fontId="0" fillId="2" borderId="4" xfId="0" applyFill="1" applyBorder="1"/>
    <xf numFmtId="0" fontId="0" fillId="2" borderId="0" xfId="0" applyFill="1" applyAlignment="1">
      <alignment horizontal="center" wrapText="1"/>
    </xf>
    <xf numFmtId="1" fontId="0" fillId="8" borderId="7" xfId="0" applyNumberFormat="1" applyFill="1" applyBorder="1" applyAlignment="1">
      <alignment horizontal="center"/>
    </xf>
    <xf numFmtId="0" fontId="0" fillId="19" borderId="0" xfId="0" applyFill="1" applyAlignment="1">
      <alignment horizontal="center"/>
    </xf>
    <xf numFmtId="0" fontId="0" fillId="19" borderId="36" xfId="0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1" fontId="0" fillId="19" borderId="36" xfId="0" applyNumberFormat="1" applyFill="1" applyBorder="1" applyAlignment="1">
      <alignment horizontal="center"/>
    </xf>
    <xf numFmtId="0" fontId="0" fillId="19" borderId="45" xfId="0" applyFill="1" applyBorder="1" applyAlignment="1">
      <alignment horizontal="center"/>
    </xf>
    <xf numFmtId="1" fontId="0" fillId="19" borderId="46" xfId="0" applyNumberFormat="1" applyFill="1" applyBorder="1" applyAlignment="1">
      <alignment horizontal="center"/>
    </xf>
    <xf numFmtId="0" fontId="0" fillId="19" borderId="0" xfId="0" applyFill="1"/>
    <xf numFmtId="0" fontId="0" fillId="19" borderId="40" xfId="0" applyFill="1" applyBorder="1" applyAlignment="1">
      <alignment horizontal="center"/>
    </xf>
    <xf numFmtId="0" fontId="0" fillId="19" borderId="35" xfId="0" applyFill="1" applyBorder="1" applyAlignment="1">
      <alignment horizontal="center"/>
    </xf>
    <xf numFmtId="0" fontId="0" fillId="19" borderId="41" xfId="0" applyFill="1" applyBorder="1" applyAlignment="1">
      <alignment horizontal="center"/>
    </xf>
    <xf numFmtId="0" fontId="0" fillId="19" borderId="38" xfId="0" applyFill="1" applyBorder="1" applyAlignment="1">
      <alignment horizontal="center"/>
    </xf>
    <xf numFmtId="0" fontId="0" fillId="20" borderId="34" xfId="0" applyFill="1" applyBorder="1"/>
    <xf numFmtId="0" fontId="0" fillId="20" borderId="0" xfId="0" applyFill="1"/>
    <xf numFmtId="0" fontId="0" fillId="20" borderId="0" xfId="0" applyFill="1" applyAlignment="1">
      <alignment horizontal="center"/>
    </xf>
    <xf numFmtId="0" fontId="0" fillId="20" borderId="36" xfId="0" applyFill="1" applyBorder="1"/>
    <xf numFmtId="0" fontId="0" fillId="20" borderId="37" xfId="0" applyFill="1" applyBorder="1"/>
    <xf numFmtId="0" fontId="0" fillId="20" borderId="37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0" fillId="21" borderId="36" xfId="0" applyFill="1" applyBorder="1" applyAlignment="1">
      <alignment horizontal="center"/>
    </xf>
    <xf numFmtId="0" fontId="0" fillId="21" borderId="37" xfId="0" applyFill="1" applyBorder="1" applyAlignment="1">
      <alignment horizontal="center"/>
    </xf>
    <xf numFmtId="1" fontId="0" fillId="21" borderId="1" xfId="0" applyNumberFormat="1" applyFill="1" applyBorder="1" applyAlignment="1">
      <alignment horizontal="center"/>
    </xf>
    <xf numFmtId="0" fontId="0" fillId="21" borderId="45" xfId="0" applyFill="1" applyBorder="1" applyAlignment="1">
      <alignment horizontal="center"/>
    </xf>
    <xf numFmtId="1" fontId="0" fillId="21" borderId="46" xfId="0" applyNumberFormat="1" applyFill="1" applyBorder="1" applyAlignment="1">
      <alignment horizontal="center"/>
    </xf>
    <xf numFmtId="0" fontId="0" fillId="21" borderId="40" xfId="0" applyFill="1" applyBorder="1" applyAlignment="1">
      <alignment horizontal="center"/>
    </xf>
    <xf numFmtId="0" fontId="0" fillId="21" borderId="35" xfId="0" applyFill="1" applyBorder="1" applyAlignment="1">
      <alignment horizontal="center"/>
    </xf>
    <xf numFmtId="0" fontId="0" fillId="21" borderId="41" xfId="0" applyFill="1" applyBorder="1" applyAlignment="1">
      <alignment horizontal="center"/>
    </xf>
    <xf numFmtId="0" fontId="0" fillId="21" borderId="38" xfId="0" applyFill="1" applyBorder="1" applyAlignment="1">
      <alignment horizontal="center"/>
    </xf>
    <xf numFmtId="0" fontId="4" fillId="22" borderId="42" xfId="0" applyFont="1" applyFill="1" applyBorder="1" applyAlignment="1">
      <alignment horizontal="centerContinuous"/>
    </xf>
    <xf numFmtId="0" fontId="4" fillId="22" borderId="43" xfId="0" applyFont="1" applyFill="1" applyBorder="1" applyAlignment="1">
      <alignment horizontal="centerContinuous"/>
    </xf>
    <xf numFmtId="0" fontId="4" fillId="22" borderId="44" xfId="0" applyFont="1" applyFill="1" applyBorder="1" applyAlignment="1">
      <alignment horizontal="centerContinuous"/>
    </xf>
    <xf numFmtId="0" fontId="4" fillId="22" borderId="24" xfId="0" applyFont="1" applyFill="1" applyBorder="1" applyAlignment="1">
      <alignment horizontal="center" wrapText="1"/>
    </xf>
    <xf numFmtId="0" fontId="4" fillId="22" borderId="25" xfId="0" applyFont="1" applyFill="1" applyBorder="1" applyAlignment="1">
      <alignment horizontal="center"/>
    </xf>
    <xf numFmtId="0" fontId="4" fillId="22" borderId="25" xfId="0" applyFont="1" applyFill="1" applyBorder="1" applyAlignment="1">
      <alignment horizontal="center" wrapText="1"/>
    </xf>
    <xf numFmtId="0" fontId="4" fillId="22" borderId="26" xfId="0" applyFont="1" applyFill="1" applyBorder="1" applyAlignment="1">
      <alignment horizontal="center" wrapText="1"/>
    </xf>
    <xf numFmtId="0" fontId="4" fillId="23" borderId="42" xfId="0" applyFont="1" applyFill="1" applyBorder="1" applyAlignment="1">
      <alignment horizontal="centerContinuous"/>
    </xf>
    <xf numFmtId="0" fontId="4" fillId="23" borderId="43" xfId="0" applyFont="1" applyFill="1" applyBorder="1" applyAlignment="1">
      <alignment horizontal="centerContinuous"/>
    </xf>
    <xf numFmtId="0" fontId="4" fillId="23" borderId="44" xfId="0" applyFont="1" applyFill="1" applyBorder="1" applyAlignment="1">
      <alignment horizontal="centerContinuous"/>
    </xf>
    <xf numFmtId="0" fontId="4" fillId="23" borderId="24" xfId="0" applyFont="1" applyFill="1" applyBorder="1" applyAlignment="1">
      <alignment horizontal="center" wrapText="1"/>
    </xf>
    <xf numFmtId="0" fontId="4" fillId="23" borderId="25" xfId="0" applyFont="1" applyFill="1" applyBorder="1" applyAlignment="1">
      <alignment horizontal="center"/>
    </xf>
    <xf numFmtId="0" fontId="4" fillId="23" borderId="25" xfId="0" applyFont="1" applyFill="1" applyBorder="1" applyAlignment="1">
      <alignment horizontal="center" wrapText="1"/>
    </xf>
    <xf numFmtId="0" fontId="4" fillId="23" borderId="26" xfId="0" applyFont="1" applyFill="1" applyBorder="1" applyAlignment="1">
      <alignment horizontal="center" wrapText="1"/>
    </xf>
    <xf numFmtId="0" fontId="4" fillId="24" borderId="42" xfId="0" applyFont="1" applyFill="1" applyBorder="1" applyAlignment="1">
      <alignment horizontal="centerContinuous"/>
    </xf>
    <xf numFmtId="0" fontId="4" fillId="24" borderId="43" xfId="0" applyFont="1" applyFill="1" applyBorder="1" applyAlignment="1">
      <alignment horizontal="centerContinuous"/>
    </xf>
    <xf numFmtId="0" fontId="4" fillId="24" borderId="44" xfId="0" applyFont="1" applyFill="1" applyBorder="1" applyAlignment="1">
      <alignment horizontal="centerContinuous"/>
    </xf>
    <xf numFmtId="0" fontId="4" fillId="24" borderId="24" xfId="0" applyFont="1" applyFill="1" applyBorder="1" applyAlignment="1">
      <alignment horizontal="center" wrapText="1"/>
    </xf>
    <xf numFmtId="0" fontId="4" fillId="24" borderId="25" xfId="0" applyFont="1" applyFill="1" applyBorder="1" applyAlignment="1">
      <alignment horizontal="center"/>
    </xf>
    <xf numFmtId="0" fontId="4" fillId="24" borderId="25" xfId="0" applyFont="1" applyFill="1" applyBorder="1" applyAlignment="1">
      <alignment horizontal="center" wrapText="1"/>
    </xf>
    <xf numFmtId="0" fontId="4" fillId="24" borderId="26" xfId="0" applyFont="1" applyFill="1" applyBorder="1" applyAlignment="1">
      <alignment horizontal="center" wrapText="1"/>
    </xf>
    <xf numFmtId="0" fontId="4" fillId="25" borderId="42" xfId="0" applyFont="1" applyFill="1" applyBorder="1" applyAlignment="1">
      <alignment horizontal="centerContinuous"/>
    </xf>
    <xf numFmtId="0" fontId="4" fillId="25" borderId="43" xfId="0" applyFont="1" applyFill="1" applyBorder="1" applyAlignment="1">
      <alignment horizontal="centerContinuous"/>
    </xf>
    <xf numFmtId="0" fontId="4" fillId="25" borderId="44" xfId="0" applyFont="1" applyFill="1" applyBorder="1" applyAlignment="1">
      <alignment horizontal="centerContinuous"/>
    </xf>
    <xf numFmtId="0" fontId="4" fillId="25" borderId="24" xfId="0" applyFont="1" applyFill="1" applyBorder="1" applyAlignment="1">
      <alignment horizontal="center" wrapText="1"/>
    </xf>
    <xf numFmtId="0" fontId="4" fillId="25" borderId="25" xfId="0" applyFont="1" applyFill="1" applyBorder="1" applyAlignment="1">
      <alignment horizontal="center"/>
    </xf>
    <xf numFmtId="0" fontId="4" fillId="25" borderId="25" xfId="0" applyFont="1" applyFill="1" applyBorder="1" applyAlignment="1">
      <alignment horizontal="center" wrapText="1"/>
    </xf>
    <xf numFmtId="0" fontId="4" fillId="25" borderId="26" xfId="0" applyFont="1" applyFill="1" applyBorder="1" applyAlignment="1">
      <alignment horizontal="center" wrapText="1"/>
    </xf>
    <xf numFmtId="0" fontId="0" fillId="21" borderId="0" xfId="0" applyFill="1"/>
    <xf numFmtId="0" fontId="0" fillId="26" borderId="0" xfId="0" applyFill="1" applyAlignment="1">
      <alignment horizontal="center"/>
    </xf>
    <xf numFmtId="0" fontId="0" fillId="26" borderId="1" xfId="0" applyFill="1" applyBorder="1" applyAlignment="1">
      <alignment horizontal="center"/>
    </xf>
    <xf numFmtId="0" fontId="0" fillId="26" borderId="3" xfId="0" applyFill="1" applyBorder="1" applyAlignment="1">
      <alignment horizontal="center"/>
    </xf>
    <xf numFmtId="1" fontId="0" fillId="26" borderId="3" xfId="0" applyNumberFormat="1" applyFill="1" applyBorder="1" applyAlignment="1">
      <alignment horizontal="center"/>
    </xf>
    <xf numFmtId="1" fontId="0" fillId="26" borderId="1" xfId="0" applyNumberFormat="1" applyFill="1" applyBorder="1" applyAlignment="1">
      <alignment horizontal="center"/>
    </xf>
    <xf numFmtId="0" fontId="0" fillId="26" borderId="39" xfId="0" applyFill="1" applyBorder="1" applyAlignment="1">
      <alignment horizontal="center"/>
    </xf>
    <xf numFmtId="1" fontId="0" fillId="26" borderId="33" xfId="0" applyNumberFormat="1" applyFill="1" applyBorder="1" applyAlignment="1">
      <alignment horizontal="center"/>
    </xf>
    <xf numFmtId="0" fontId="0" fillId="26" borderId="0" xfId="0" applyFill="1"/>
    <xf numFmtId="0" fontId="0" fillId="26" borderId="40" xfId="0" applyFill="1" applyBorder="1" applyAlignment="1">
      <alignment horizontal="center"/>
    </xf>
    <xf numFmtId="0" fontId="0" fillId="26" borderId="35" xfId="0" applyFill="1" applyBorder="1" applyAlignment="1">
      <alignment horizontal="center"/>
    </xf>
    <xf numFmtId="0" fontId="0" fillId="26" borderId="41" xfId="0" applyFill="1" applyBorder="1" applyAlignment="1">
      <alignment horizontal="center"/>
    </xf>
    <xf numFmtId="0" fontId="0" fillId="26" borderId="38" xfId="0" applyFill="1" applyBorder="1" applyAlignment="1">
      <alignment horizontal="center"/>
    </xf>
    <xf numFmtId="0" fontId="0" fillId="27" borderId="34" xfId="0" applyFill="1" applyBorder="1"/>
    <xf numFmtId="0" fontId="0" fillId="27" borderId="0" xfId="0" applyFill="1"/>
    <xf numFmtId="0" fontId="0" fillId="27" borderId="0" xfId="0" applyFill="1" applyAlignment="1">
      <alignment horizontal="center"/>
    </xf>
    <xf numFmtId="0" fontId="0" fillId="27" borderId="36" xfId="0" applyFill="1" applyBorder="1"/>
    <xf numFmtId="0" fontId="0" fillId="27" borderId="37" xfId="0" applyFill="1" applyBorder="1"/>
    <xf numFmtId="0" fontId="0" fillId="27" borderId="37" xfId="0" applyFill="1" applyBorder="1" applyAlignment="1">
      <alignment horizontal="center"/>
    </xf>
    <xf numFmtId="1" fontId="0" fillId="21" borderId="37" xfId="0" applyNumberFormat="1" applyFill="1" applyBorder="1" applyAlignment="1">
      <alignment horizontal="center"/>
    </xf>
    <xf numFmtId="1" fontId="0" fillId="21" borderId="36" xfId="0" applyNumberFormat="1" applyFill="1" applyBorder="1" applyAlignment="1">
      <alignment horizontal="center"/>
    </xf>
    <xf numFmtId="49" fontId="0" fillId="4" borderId="0" xfId="0" applyNumberFormat="1" applyFill="1" applyAlignment="1">
      <alignment horizontal="center"/>
    </xf>
    <xf numFmtId="49" fontId="0" fillId="0" borderId="31" xfId="0" applyNumberFormat="1" applyBorder="1"/>
    <xf numFmtId="49" fontId="0" fillId="0" borderId="32" xfId="0" applyNumberFormat="1" applyBorder="1"/>
    <xf numFmtId="14" fontId="0" fillId="0" borderId="4" xfId="0" applyNumberFormat="1" applyBorder="1"/>
    <xf numFmtId="0" fontId="5" fillId="0" borderId="4" xfId="2" applyBorder="1"/>
    <xf numFmtId="0" fontId="0" fillId="0" borderId="0" xfId="0" applyFill="1"/>
  </cellXfs>
  <cellStyles count="3">
    <cellStyle name="Comma" xfId="1" builtinId="3"/>
    <cellStyle name="Hyperlink" xfId="2" builtinId="8"/>
    <cellStyle name="Normal" xfId="0" builtinId="0"/>
  </cellStyles>
  <dxfs count="21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im@example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D7A86-F2DF-41D7-A07E-E16226448405}">
  <dimension ref="A1:H107"/>
  <sheetViews>
    <sheetView zoomScale="80" zoomScaleNormal="80" workbookViewId="0"/>
  </sheetViews>
  <sheetFormatPr defaultRowHeight="14.4" x14ac:dyDescent="0.3"/>
  <cols>
    <col min="1" max="1" width="27.44140625" bestFit="1" customWidth="1"/>
    <col min="2" max="2" width="11.5546875" bestFit="1" customWidth="1"/>
    <col min="3" max="3" width="17.88671875" bestFit="1" customWidth="1"/>
    <col min="4" max="4" width="13.6640625" customWidth="1"/>
    <col min="5" max="5" width="12.109375" customWidth="1"/>
    <col min="6" max="6" width="9.21875" customWidth="1"/>
    <col min="7" max="7" width="13.21875" bestFit="1" customWidth="1"/>
    <col min="8" max="8" width="9.21875" customWidth="1"/>
  </cols>
  <sheetData>
    <row r="1" spans="1:5" ht="28.8" x14ac:dyDescent="0.3">
      <c r="A1" s="159" t="s">
        <v>470</v>
      </c>
      <c r="B1" s="160" t="s">
        <v>471</v>
      </c>
      <c r="C1" s="160" t="s">
        <v>325</v>
      </c>
    </row>
    <row r="2" spans="1:5" x14ac:dyDescent="0.3">
      <c r="A2" s="92" t="s">
        <v>143</v>
      </c>
      <c r="B2" s="101" t="s">
        <v>264</v>
      </c>
      <c r="C2" s="163">
        <v>40</v>
      </c>
    </row>
    <row r="3" spans="1:5" x14ac:dyDescent="0.3">
      <c r="A3" s="92" t="s">
        <v>147</v>
      </c>
      <c r="B3" s="101" t="s">
        <v>264</v>
      </c>
      <c r="C3" s="163">
        <v>40</v>
      </c>
    </row>
    <row r="4" spans="1:5" x14ac:dyDescent="0.3">
      <c r="A4" s="92" t="s">
        <v>148</v>
      </c>
      <c r="B4" s="101" t="s">
        <v>264</v>
      </c>
      <c r="C4" s="163">
        <v>40</v>
      </c>
    </row>
    <row r="6" spans="1:5" x14ac:dyDescent="0.3">
      <c r="A6" s="164" t="s">
        <v>149</v>
      </c>
      <c r="B6" s="161" t="s">
        <v>459</v>
      </c>
      <c r="C6" s="161" t="s">
        <v>460</v>
      </c>
      <c r="D6" s="161" t="s">
        <v>461</v>
      </c>
      <c r="E6" s="161" t="s">
        <v>34</v>
      </c>
    </row>
    <row r="7" spans="1:5" x14ac:dyDescent="0.3">
      <c r="A7" t="s">
        <v>465</v>
      </c>
      <c r="B7" s="1">
        <f>COUNTIFS($B$17:$B$19,"&gt;=1")</f>
        <v>2</v>
      </c>
      <c r="C7" s="1">
        <f>COUNTIFS($B$17:$B$19,"&gt;=2")</f>
        <v>2</v>
      </c>
      <c r="D7" s="1">
        <f>COUNTIFS($B$17:$B$19,"&gt;=3")</f>
        <v>0</v>
      </c>
      <c r="E7" s="1">
        <f>SUM(B7:D7)</f>
        <v>4</v>
      </c>
    </row>
    <row r="8" spans="1:5" x14ac:dyDescent="0.3">
      <c r="A8" t="s">
        <v>114</v>
      </c>
      <c r="B8" s="1">
        <f>COUNTIFS($B$23:$D$25,"&gt;=1")</f>
        <v>6</v>
      </c>
      <c r="C8" s="1">
        <f>COUNTIFS($B$23:$D$25,"&gt;=2")</f>
        <v>6</v>
      </c>
      <c r="D8" s="1">
        <f>COUNTIFS($B$23:$D$25,"&gt;=3")</f>
        <v>0</v>
      </c>
      <c r="E8" s="1">
        <f t="shared" ref="E8:E13" si="0">SUM(B8:D8)</f>
        <v>12</v>
      </c>
    </row>
    <row r="9" spans="1:5" x14ac:dyDescent="0.3">
      <c r="A9" t="s">
        <v>462</v>
      </c>
      <c r="B9" s="1">
        <f>COUNTIFS($B$29:$D$32,"&gt;=1")*COUNTIFS($B$2:$B$4,"X")</f>
        <v>24</v>
      </c>
      <c r="C9" s="1">
        <f>COUNTIFS($B$29:$D$32,"&gt;=2")*COUNTIFS($B$2:$B$4,"X")</f>
        <v>24</v>
      </c>
      <c r="D9" s="1">
        <f>COUNTIFS($B$29:$D$32,"&gt;=3")*COUNTIFS($B$2:$B$4,"X")</f>
        <v>24</v>
      </c>
      <c r="E9" s="1">
        <f t="shared" si="0"/>
        <v>72</v>
      </c>
    </row>
    <row r="10" spans="1:5" x14ac:dyDescent="0.3">
      <c r="A10" t="s">
        <v>463</v>
      </c>
      <c r="B10" s="1">
        <f>COUNTIFS($B$38:$D$41,"&gt;=1")*COUNTIFS($B$2:$B$4,"X")</f>
        <v>24</v>
      </c>
      <c r="C10" s="1">
        <f>COUNTIFS($B$38:$D$41,"&gt;=2")*COUNTIFS($B$2:$B$4,"X")</f>
        <v>24</v>
      </c>
      <c r="D10" s="1">
        <f>COUNTIFS($B$38:$D$41,"&gt;=3")*COUNTIFS($B$2:$B$4,"X")</f>
        <v>0</v>
      </c>
      <c r="E10" s="1">
        <f>SUM(B10:D10)</f>
        <v>48</v>
      </c>
    </row>
    <row r="11" spans="1:5" x14ac:dyDescent="0.3">
      <c r="A11" t="s">
        <v>265</v>
      </c>
      <c r="B11" s="1">
        <f>COUNTIFS($B$46:$B$50,"&gt;=1")*3+COUNTIFS($C$46:$C$50,"&gt;=1")*5+COUNTIFS($D$46:$D$50,"&gt;=1")*3</f>
        <v>55</v>
      </c>
      <c r="C11" s="1">
        <f>COUNTIFS($B$46:$B$50,"&gt;=2")*3+COUNTIFS($C$46:$C$50,"&gt;=2")*5+COUNTIFS($D$46:$D$50,"&gt;=2")*3</f>
        <v>55</v>
      </c>
      <c r="D11" s="1">
        <f>COUNTIFS($B$46:$B$50,"&gt;=3")*3+COUNTIFS($C$46:$C$50,"&gt;=3")*5+COUNTIFS($D$46:$D$50,"&gt;=3")*3</f>
        <v>0</v>
      </c>
      <c r="E11" s="1">
        <f t="shared" si="0"/>
        <v>110</v>
      </c>
    </row>
    <row r="12" spans="1:5" ht="15" thickBot="1" x14ac:dyDescent="0.35">
      <c r="A12" s="132" t="s">
        <v>120</v>
      </c>
      <c r="B12" s="133">
        <f>COUNTIFS($B$33:$D$33,"&gt;=1")*COUNTIFS($B$2:$B$4,"X")</f>
        <v>3</v>
      </c>
      <c r="C12" s="133">
        <f>COUNTIFS($B$33:$D$33,"&gt;=2")*COUNTIFS($B$2:$B$4,"X")</f>
        <v>3</v>
      </c>
      <c r="D12" s="133">
        <f>COUNTIFS($B$33:$D$33,"&gt;=3")*COUNTIFS($B$2:$B$4,"X")</f>
        <v>3</v>
      </c>
      <c r="E12" s="133">
        <f t="shared" si="0"/>
        <v>9</v>
      </c>
    </row>
    <row r="13" spans="1:5" x14ac:dyDescent="0.3">
      <c r="A13" t="s">
        <v>464</v>
      </c>
      <c r="B13" s="1">
        <f>SUM(B8:B12)</f>
        <v>112</v>
      </c>
      <c r="C13" s="1">
        <f t="shared" ref="C13:D13" si="1">SUM(C8:C12)</f>
        <v>112</v>
      </c>
      <c r="D13" s="1">
        <f t="shared" si="1"/>
        <v>27</v>
      </c>
      <c r="E13" s="1">
        <f t="shared" si="0"/>
        <v>251</v>
      </c>
    </row>
    <row r="16" spans="1:5" x14ac:dyDescent="0.3">
      <c r="A16" s="159" t="s">
        <v>465</v>
      </c>
      <c r="B16" s="160" t="s">
        <v>137</v>
      </c>
    </row>
    <row r="17" spans="1:5" x14ac:dyDescent="0.3">
      <c r="A17" t="s">
        <v>466</v>
      </c>
      <c r="B17" s="53">
        <v>0</v>
      </c>
    </row>
    <row r="18" spans="1:5" x14ac:dyDescent="0.3">
      <c r="A18" t="s">
        <v>467</v>
      </c>
      <c r="B18" s="53">
        <v>2</v>
      </c>
    </row>
    <row r="19" spans="1:5" x14ac:dyDescent="0.3">
      <c r="A19" s="52" t="s">
        <v>468</v>
      </c>
      <c r="B19" s="54">
        <v>2</v>
      </c>
    </row>
    <row r="20" spans="1:5" x14ac:dyDescent="0.3">
      <c r="A20" s="69" t="s">
        <v>469</v>
      </c>
      <c r="B20" s="72">
        <f>SUM(B17:B19)</f>
        <v>4</v>
      </c>
    </row>
    <row r="22" spans="1:5" ht="28.8" x14ac:dyDescent="0.3">
      <c r="A22" s="159" t="s">
        <v>268</v>
      </c>
      <c r="B22" s="160" t="s">
        <v>269</v>
      </c>
      <c r="C22" s="160" t="s">
        <v>270</v>
      </c>
      <c r="D22" s="160" t="s">
        <v>271</v>
      </c>
    </row>
    <row r="23" spans="1:5" x14ac:dyDescent="0.3">
      <c r="A23" t="s">
        <v>127</v>
      </c>
      <c r="B23" s="53">
        <v>0</v>
      </c>
      <c r="C23" s="53">
        <v>0</v>
      </c>
      <c r="D23" s="53">
        <v>0</v>
      </c>
      <c r="E23" t="s">
        <v>136</v>
      </c>
    </row>
    <row r="24" spans="1:5" x14ac:dyDescent="0.3">
      <c r="A24" t="s">
        <v>128</v>
      </c>
      <c r="B24" s="53">
        <v>2</v>
      </c>
      <c r="C24" s="53">
        <v>2</v>
      </c>
      <c r="D24" s="53">
        <v>2</v>
      </c>
    </row>
    <row r="25" spans="1:5" x14ac:dyDescent="0.3">
      <c r="A25" s="52" t="s">
        <v>129</v>
      </c>
      <c r="B25" s="54">
        <v>2</v>
      </c>
      <c r="C25" s="54">
        <v>2</v>
      </c>
      <c r="D25" s="54">
        <v>2</v>
      </c>
    </row>
    <row r="26" spans="1:5" x14ac:dyDescent="0.3">
      <c r="A26" s="69" t="s">
        <v>260</v>
      </c>
      <c r="B26" s="72">
        <f>SUM(B23:B25)</f>
        <v>4</v>
      </c>
      <c r="C26" s="72">
        <f>SUM(C23:C25)</f>
        <v>4</v>
      </c>
      <c r="D26" s="72">
        <f>SUM(D23:D25)</f>
        <v>4</v>
      </c>
    </row>
    <row r="28" spans="1:5" ht="43.2" x14ac:dyDescent="0.3">
      <c r="A28" s="159" t="s">
        <v>110</v>
      </c>
      <c r="B28" s="160" t="s">
        <v>137</v>
      </c>
      <c r="C28" s="160" t="s">
        <v>154</v>
      </c>
      <c r="D28" s="160" t="s">
        <v>155</v>
      </c>
    </row>
    <row r="29" spans="1:5" x14ac:dyDescent="0.3">
      <c r="A29" t="s">
        <v>116</v>
      </c>
      <c r="B29" s="53">
        <v>0</v>
      </c>
      <c r="C29" s="53">
        <v>3</v>
      </c>
      <c r="D29" s="53">
        <v>3</v>
      </c>
    </row>
    <row r="30" spans="1:5" x14ac:dyDescent="0.3">
      <c r="A30" t="s">
        <v>117</v>
      </c>
      <c r="B30" s="53">
        <v>0</v>
      </c>
      <c r="C30" s="53">
        <v>3</v>
      </c>
      <c r="D30" s="53">
        <v>3</v>
      </c>
    </row>
    <row r="31" spans="1:5" x14ac:dyDescent="0.3">
      <c r="A31" t="s">
        <v>118</v>
      </c>
      <c r="B31" s="53">
        <v>0</v>
      </c>
      <c r="C31" s="53">
        <v>3</v>
      </c>
      <c r="D31" s="53">
        <v>3</v>
      </c>
    </row>
    <row r="32" spans="1:5" x14ac:dyDescent="0.3">
      <c r="A32" t="s">
        <v>119</v>
      </c>
      <c r="B32" s="53">
        <v>0</v>
      </c>
      <c r="C32" s="53">
        <v>3</v>
      </c>
      <c r="D32" s="53">
        <v>3</v>
      </c>
    </row>
    <row r="33" spans="1:8" x14ac:dyDescent="0.3">
      <c r="A33" t="s">
        <v>120</v>
      </c>
      <c r="B33" s="53">
        <v>3</v>
      </c>
      <c r="C33" s="53">
        <v>0</v>
      </c>
      <c r="D33" s="53">
        <v>0</v>
      </c>
    </row>
    <row r="34" spans="1:8" x14ac:dyDescent="0.3">
      <c r="A34" s="70" t="s">
        <v>267</v>
      </c>
      <c r="B34" s="71">
        <f t="shared" ref="B34" si="2">SUM(B29:B33)</f>
        <v>3</v>
      </c>
      <c r="C34" s="71">
        <f>SUM(C29:C33)</f>
        <v>12</v>
      </c>
      <c r="D34" s="71">
        <f t="shared" ref="D34" si="3">SUM(D29:D33)</f>
        <v>12</v>
      </c>
    </row>
    <row r="35" spans="1:8" x14ac:dyDescent="0.3">
      <c r="A35" s="69" t="s">
        <v>705</v>
      </c>
      <c r="B35" s="72">
        <f>COUNTIFS($B$2:$B$4,"=X")*B34</f>
        <v>9</v>
      </c>
      <c r="C35" s="72">
        <f t="shared" ref="C35:D35" si="4">COUNTIFS($B$2:$B$4,"=X")*C34</f>
        <v>36</v>
      </c>
      <c r="D35" s="72">
        <f t="shared" si="4"/>
        <v>36</v>
      </c>
    </row>
    <row r="36" spans="1:8" x14ac:dyDescent="0.3">
      <c r="B36" s="1"/>
    </row>
    <row r="37" spans="1:8" ht="43.2" x14ac:dyDescent="0.3">
      <c r="A37" s="159" t="s">
        <v>111</v>
      </c>
      <c r="B37" s="160" t="s">
        <v>137</v>
      </c>
      <c r="C37" s="160" t="s">
        <v>154</v>
      </c>
      <c r="D37" s="160" t="s">
        <v>155</v>
      </c>
      <c r="F37" s="160" t="s">
        <v>143</v>
      </c>
      <c r="G37" s="160" t="s">
        <v>147</v>
      </c>
      <c r="H37" s="160" t="s">
        <v>148</v>
      </c>
    </row>
    <row r="38" spans="1:8" x14ac:dyDescent="0.3">
      <c r="A38" t="s">
        <v>121</v>
      </c>
      <c r="B38" s="53">
        <v>0</v>
      </c>
      <c r="C38" s="53">
        <v>2</v>
      </c>
      <c r="D38" s="53">
        <v>2</v>
      </c>
      <c r="F38" s="162">
        <v>0.9</v>
      </c>
      <c r="G38" s="162">
        <v>0.9</v>
      </c>
      <c r="H38" s="162">
        <v>0.85</v>
      </c>
    </row>
    <row r="39" spans="1:8" x14ac:dyDescent="0.3">
      <c r="A39" t="s">
        <v>122</v>
      </c>
      <c r="B39" s="53">
        <v>0</v>
      </c>
      <c r="C39" s="53">
        <v>2</v>
      </c>
      <c r="D39" s="53">
        <v>2</v>
      </c>
      <c r="F39" s="162">
        <v>0.8</v>
      </c>
      <c r="G39" s="162">
        <v>0.8</v>
      </c>
      <c r="H39" s="162">
        <v>0.75</v>
      </c>
    </row>
    <row r="40" spans="1:8" x14ac:dyDescent="0.3">
      <c r="A40" t="s">
        <v>123</v>
      </c>
      <c r="B40" s="53">
        <v>0</v>
      </c>
      <c r="C40" s="53">
        <v>2</v>
      </c>
      <c r="D40" s="53">
        <v>2</v>
      </c>
      <c r="F40" s="162">
        <v>0.7</v>
      </c>
      <c r="G40" s="162">
        <v>0.7</v>
      </c>
      <c r="H40" s="162">
        <v>0.65</v>
      </c>
    </row>
    <row r="41" spans="1:8" x14ac:dyDescent="0.3">
      <c r="A41" t="s">
        <v>124</v>
      </c>
      <c r="B41" s="53">
        <v>0</v>
      </c>
      <c r="C41" s="53">
        <v>2</v>
      </c>
      <c r="D41" s="53">
        <v>2</v>
      </c>
      <c r="F41" s="162">
        <v>0</v>
      </c>
      <c r="G41" s="162">
        <v>0</v>
      </c>
      <c r="H41" s="162">
        <v>0</v>
      </c>
    </row>
    <row r="42" spans="1:8" x14ac:dyDescent="0.3">
      <c r="A42" s="70" t="s">
        <v>267</v>
      </c>
      <c r="B42" s="71">
        <f>SUM(B38:B41)</f>
        <v>0</v>
      </c>
      <c r="C42" s="71">
        <f t="shared" ref="C42:D42" si="5">SUM(C38:C41)</f>
        <v>8</v>
      </c>
      <c r="D42" s="71">
        <f t="shared" si="5"/>
        <v>8</v>
      </c>
    </row>
    <row r="43" spans="1:8" x14ac:dyDescent="0.3">
      <c r="A43" s="69" t="s">
        <v>705</v>
      </c>
      <c r="B43" s="72">
        <f>COUNTIFS($B$2:$B$4,"=X")*B42</f>
        <v>0</v>
      </c>
      <c r="C43" s="72">
        <f t="shared" ref="C43" si="6">COUNTIFS($B$2:$B$4,"=X")*C42</f>
        <v>24</v>
      </c>
      <c r="D43" s="72">
        <f t="shared" ref="D43" si="7">COUNTIFS($B$2:$B$4,"=X")*D42</f>
        <v>24</v>
      </c>
    </row>
    <row r="45" spans="1:8" ht="28.8" x14ac:dyDescent="0.3">
      <c r="A45" s="159" t="s">
        <v>265</v>
      </c>
      <c r="B45" s="160" t="s">
        <v>269</v>
      </c>
      <c r="C45" s="160" t="s">
        <v>270</v>
      </c>
      <c r="D45" s="160" t="s">
        <v>271</v>
      </c>
    </row>
    <row r="46" spans="1:8" x14ac:dyDescent="0.3">
      <c r="A46" t="s">
        <v>116</v>
      </c>
      <c r="B46" s="53">
        <v>2</v>
      </c>
      <c r="C46" s="53">
        <v>2</v>
      </c>
      <c r="D46" s="53">
        <v>2</v>
      </c>
    </row>
    <row r="47" spans="1:8" x14ac:dyDescent="0.3">
      <c r="A47" t="s">
        <v>117</v>
      </c>
      <c r="B47" s="53">
        <v>2</v>
      </c>
      <c r="C47" s="53">
        <v>2</v>
      </c>
      <c r="D47" s="53">
        <v>2</v>
      </c>
    </row>
    <row r="48" spans="1:8" x14ac:dyDescent="0.3">
      <c r="A48" t="s">
        <v>118</v>
      </c>
      <c r="B48" s="53">
        <v>2</v>
      </c>
      <c r="C48" s="53">
        <v>2</v>
      </c>
      <c r="D48" s="53">
        <v>2</v>
      </c>
    </row>
    <row r="49" spans="1:4" x14ac:dyDescent="0.3">
      <c r="A49" t="s">
        <v>119</v>
      </c>
      <c r="B49" s="53">
        <v>2</v>
      </c>
      <c r="C49" s="53">
        <v>2</v>
      </c>
      <c r="D49" s="53">
        <v>2</v>
      </c>
    </row>
    <row r="50" spans="1:4" x14ac:dyDescent="0.3">
      <c r="A50" t="s">
        <v>266</v>
      </c>
      <c r="B50" s="53">
        <v>2</v>
      </c>
      <c r="C50" s="53">
        <v>2</v>
      </c>
      <c r="D50" s="53">
        <v>2</v>
      </c>
    </row>
    <row r="51" spans="1:4" x14ac:dyDescent="0.3">
      <c r="A51" t="s">
        <v>120</v>
      </c>
      <c r="B51" s="53">
        <v>0</v>
      </c>
      <c r="C51" s="53">
        <v>0</v>
      </c>
      <c r="D51" s="53">
        <v>0</v>
      </c>
    </row>
    <row r="52" spans="1:4" x14ac:dyDescent="0.3">
      <c r="A52" s="70" t="s">
        <v>267</v>
      </c>
      <c r="B52" s="71">
        <f>SUM(B46:B51)</f>
        <v>10</v>
      </c>
      <c r="C52" s="71">
        <f t="shared" ref="C52:D52" si="8">SUM(C46:C51)</f>
        <v>10</v>
      </c>
      <c r="D52" s="71">
        <f t="shared" si="8"/>
        <v>10</v>
      </c>
    </row>
    <row r="53" spans="1:4" x14ac:dyDescent="0.3">
      <c r="A53" s="69" t="s">
        <v>705</v>
      </c>
      <c r="B53" s="72">
        <f>B52*3</f>
        <v>30</v>
      </c>
      <c r="C53" s="72">
        <f>C52*5</f>
        <v>50</v>
      </c>
      <c r="D53" s="72">
        <f t="shared" ref="D53" si="9">D52*3</f>
        <v>30</v>
      </c>
    </row>
    <row r="55" spans="1:4" ht="29.4" thickBot="1" x14ac:dyDescent="0.35">
      <c r="A55" s="158" t="s">
        <v>338</v>
      </c>
      <c r="C55" s="165" t="s">
        <v>359</v>
      </c>
      <c r="D55" s="165" t="s">
        <v>360</v>
      </c>
    </row>
    <row r="56" spans="1:4" x14ac:dyDescent="0.3">
      <c r="A56" s="106"/>
      <c r="C56" s="106"/>
      <c r="D56" s="106"/>
    </row>
    <row r="57" spans="1:4" x14ac:dyDescent="0.3">
      <c r="A57" s="107" t="s">
        <v>344</v>
      </c>
      <c r="C57" s="107">
        <v>1</v>
      </c>
      <c r="D57" s="107">
        <v>1</v>
      </c>
    </row>
    <row r="58" spans="1:4" x14ac:dyDescent="0.3">
      <c r="A58" s="107" t="s">
        <v>350</v>
      </c>
      <c r="C58" s="107">
        <v>2</v>
      </c>
      <c r="D58" s="107">
        <v>2</v>
      </c>
    </row>
    <row r="59" spans="1:4" ht="15" thickBot="1" x14ac:dyDescent="0.35">
      <c r="A59" s="107" t="s">
        <v>356</v>
      </c>
      <c r="C59" s="108">
        <v>3</v>
      </c>
      <c r="D59" s="107">
        <v>3</v>
      </c>
    </row>
    <row r="60" spans="1:4" x14ac:dyDescent="0.3">
      <c r="A60" s="107" t="s">
        <v>340</v>
      </c>
      <c r="D60" s="107">
        <v>4</v>
      </c>
    </row>
    <row r="61" spans="1:4" ht="15" thickBot="1" x14ac:dyDescent="0.35">
      <c r="A61" s="107" t="s">
        <v>346</v>
      </c>
      <c r="D61" s="108">
        <v>5</v>
      </c>
    </row>
    <row r="62" spans="1:4" x14ac:dyDescent="0.3">
      <c r="A62" s="107" t="s">
        <v>352</v>
      </c>
    </row>
    <row r="63" spans="1:4" x14ac:dyDescent="0.3">
      <c r="A63" s="107" t="s">
        <v>341</v>
      </c>
    </row>
    <row r="64" spans="1:4" x14ac:dyDescent="0.3">
      <c r="A64" s="107" t="s">
        <v>347</v>
      </c>
    </row>
    <row r="65" spans="1:1" x14ac:dyDescent="0.3">
      <c r="A65" s="107" t="s">
        <v>353</v>
      </c>
    </row>
    <row r="66" spans="1:1" x14ac:dyDescent="0.3">
      <c r="A66" s="107" t="s">
        <v>339</v>
      </c>
    </row>
    <row r="67" spans="1:1" x14ac:dyDescent="0.3">
      <c r="A67" s="107" t="s">
        <v>345</v>
      </c>
    </row>
    <row r="68" spans="1:1" x14ac:dyDescent="0.3">
      <c r="A68" s="107" t="s">
        <v>351</v>
      </c>
    </row>
    <row r="69" spans="1:1" x14ac:dyDescent="0.3">
      <c r="A69" s="107" t="s">
        <v>343</v>
      </c>
    </row>
    <row r="70" spans="1:1" x14ac:dyDescent="0.3">
      <c r="A70" s="107" t="s">
        <v>349</v>
      </c>
    </row>
    <row r="71" spans="1:1" x14ac:dyDescent="0.3">
      <c r="A71" s="107" t="s">
        <v>355</v>
      </c>
    </row>
    <row r="72" spans="1:1" x14ac:dyDescent="0.3">
      <c r="A72" s="107" t="s">
        <v>765</v>
      </c>
    </row>
    <row r="73" spans="1:1" x14ac:dyDescent="0.3">
      <c r="A73" s="107" t="s">
        <v>766</v>
      </c>
    </row>
    <row r="74" spans="1:1" x14ac:dyDescent="0.3">
      <c r="A74" s="107" t="s">
        <v>767</v>
      </c>
    </row>
    <row r="75" spans="1:1" x14ac:dyDescent="0.3">
      <c r="A75" s="107" t="s">
        <v>342</v>
      </c>
    </row>
    <row r="76" spans="1:1" x14ac:dyDescent="0.3">
      <c r="A76" s="107" t="s">
        <v>348</v>
      </c>
    </row>
    <row r="77" spans="1:1" ht="15" thickBot="1" x14ac:dyDescent="0.35">
      <c r="A77" s="108" t="s">
        <v>354</v>
      </c>
    </row>
    <row r="80" spans="1:1" ht="15" thickBot="1" x14ac:dyDescent="0.35">
      <c r="A80" s="69" t="s">
        <v>372</v>
      </c>
    </row>
    <row r="81" spans="1:1" x14ac:dyDescent="0.3">
      <c r="A81" s="106" t="s">
        <v>323</v>
      </c>
    </row>
    <row r="82" spans="1:1" x14ac:dyDescent="0.3">
      <c r="A82" s="107" t="s">
        <v>322</v>
      </c>
    </row>
    <row r="83" spans="1:1" x14ac:dyDescent="0.3">
      <c r="A83" s="107" t="s">
        <v>307</v>
      </c>
    </row>
    <row r="84" spans="1:1" x14ac:dyDescent="0.3">
      <c r="A84" s="107" t="s">
        <v>324</v>
      </c>
    </row>
    <row r="85" spans="1:1" x14ac:dyDescent="0.3">
      <c r="A85" s="107" t="s">
        <v>320</v>
      </c>
    </row>
    <row r="86" spans="1:1" x14ac:dyDescent="0.3">
      <c r="A86" s="107" t="s">
        <v>321</v>
      </c>
    </row>
    <row r="87" spans="1:1" x14ac:dyDescent="0.3">
      <c r="A87" s="107"/>
    </row>
    <row r="88" spans="1:1" x14ac:dyDescent="0.3">
      <c r="A88" s="107"/>
    </row>
    <row r="89" spans="1:1" x14ac:dyDescent="0.3">
      <c r="A89" s="107"/>
    </row>
    <row r="90" spans="1:1" x14ac:dyDescent="0.3">
      <c r="A90" s="107"/>
    </row>
    <row r="91" spans="1:1" x14ac:dyDescent="0.3">
      <c r="A91" s="107"/>
    </row>
    <row r="92" spans="1:1" x14ac:dyDescent="0.3">
      <c r="A92" s="107"/>
    </row>
    <row r="93" spans="1:1" x14ac:dyDescent="0.3">
      <c r="A93" s="107"/>
    </row>
    <row r="94" spans="1:1" ht="15" thickBot="1" x14ac:dyDescent="0.35">
      <c r="A94" s="108"/>
    </row>
    <row r="96" spans="1:1" ht="15" thickBot="1" x14ac:dyDescent="0.35"/>
    <row r="97" spans="1:3" x14ac:dyDescent="0.3">
      <c r="A97" s="106" t="s">
        <v>707</v>
      </c>
      <c r="B97" s="106" t="s">
        <v>708</v>
      </c>
      <c r="C97" s="106" t="s">
        <v>709</v>
      </c>
    </row>
    <row r="98" spans="1:3" x14ac:dyDescent="0.3">
      <c r="A98" s="244" t="s">
        <v>768</v>
      </c>
      <c r="B98" s="244" t="s">
        <v>768</v>
      </c>
      <c r="C98" s="244" t="s">
        <v>768</v>
      </c>
    </row>
    <row r="99" spans="1:3" x14ac:dyDescent="0.3">
      <c r="A99" s="244" t="s">
        <v>769</v>
      </c>
      <c r="B99" s="244" t="s">
        <v>773</v>
      </c>
      <c r="C99" s="244"/>
    </row>
    <row r="100" spans="1:3" x14ac:dyDescent="0.3">
      <c r="A100" s="244" t="s">
        <v>770</v>
      </c>
      <c r="B100" s="244" t="s">
        <v>774</v>
      </c>
      <c r="C100" s="244"/>
    </row>
    <row r="101" spans="1:3" x14ac:dyDescent="0.3">
      <c r="A101" s="244" t="s">
        <v>771</v>
      </c>
      <c r="B101" s="244" t="s">
        <v>775</v>
      </c>
      <c r="C101" s="244"/>
    </row>
    <row r="102" spans="1:3" x14ac:dyDescent="0.3">
      <c r="A102" s="244" t="s">
        <v>772</v>
      </c>
      <c r="B102" s="244" t="s">
        <v>776</v>
      </c>
      <c r="C102" s="244"/>
    </row>
    <row r="103" spans="1:3" x14ac:dyDescent="0.3">
      <c r="A103" s="244"/>
      <c r="B103" s="244" t="s">
        <v>772</v>
      </c>
      <c r="C103" s="244"/>
    </row>
    <row r="104" spans="1:3" x14ac:dyDescent="0.3">
      <c r="A104" s="244"/>
      <c r="B104" s="244" t="s">
        <v>777</v>
      </c>
      <c r="C104" s="244"/>
    </row>
    <row r="105" spans="1:3" x14ac:dyDescent="0.3">
      <c r="A105" s="244"/>
      <c r="B105" s="244"/>
      <c r="C105" s="244"/>
    </row>
    <row r="106" spans="1:3" x14ac:dyDescent="0.3">
      <c r="A106" s="244"/>
      <c r="B106" s="244"/>
      <c r="C106" s="244"/>
    </row>
    <row r="107" spans="1:3" ht="15" thickBot="1" x14ac:dyDescent="0.35">
      <c r="A107" s="245"/>
      <c r="B107" s="245"/>
      <c r="C107" s="245"/>
    </row>
  </sheetData>
  <sortState xmlns:xlrd2="http://schemas.microsoft.com/office/spreadsheetml/2017/richdata2" ref="A57:A77">
    <sortCondition ref="A57:A7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35F18-C946-469C-B0FB-9A0BFCD56825}">
  <dimension ref="A1:J5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7" sqref="C7"/>
    </sheetView>
  </sheetViews>
  <sheetFormatPr defaultRowHeight="14.4" x14ac:dyDescent="0.3"/>
  <cols>
    <col min="1" max="1" width="7.44140625" bestFit="1" customWidth="1"/>
    <col min="2" max="2" width="28.77734375" customWidth="1"/>
    <col min="3" max="3" width="29.6640625" customWidth="1"/>
    <col min="4" max="4" width="22.21875" customWidth="1"/>
    <col min="5" max="5" width="39.77734375" customWidth="1"/>
    <col min="6" max="6" width="16.33203125" customWidth="1"/>
    <col min="7" max="7" width="8.44140625" customWidth="1"/>
    <col min="8" max="8" width="9.109375" customWidth="1"/>
    <col min="9" max="9" width="14.77734375" customWidth="1"/>
    <col min="10" max="10" width="14.109375" customWidth="1"/>
  </cols>
  <sheetData>
    <row r="1" spans="1:10" ht="43.2" x14ac:dyDescent="0.3">
      <c r="A1" s="159" t="s">
        <v>395</v>
      </c>
      <c r="B1" s="159" t="s">
        <v>304</v>
      </c>
      <c r="C1" s="159" t="s">
        <v>396</v>
      </c>
      <c r="D1" s="159" t="s">
        <v>397</v>
      </c>
      <c r="E1" s="159" t="s">
        <v>398</v>
      </c>
      <c r="F1" s="159" t="s">
        <v>400</v>
      </c>
      <c r="G1" s="159" t="s">
        <v>401</v>
      </c>
      <c r="H1" s="159" t="s">
        <v>402</v>
      </c>
      <c r="I1" s="159" t="s">
        <v>399</v>
      </c>
      <c r="J1" s="160" t="s">
        <v>779</v>
      </c>
    </row>
    <row r="2" spans="1:10" x14ac:dyDescent="0.3">
      <c r="A2" s="92" t="s">
        <v>403</v>
      </c>
      <c r="B2" s="92" t="s">
        <v>307</v>
      </c>
      <c r="C2" s="92" t="s">
        <v>786</v>
      </c>
      <c r="D2" s="247" t="s">
        <v>785</v>
      </c>
      <c r="E2" s="92" t="s">
        <v>784</v>
      </c>
      <c r="F2" s="92" t="s">
        <v>783</v>
      </c>
      <c r="G2" s="92" t="s">
        <v>782</v>
      </c>
      <c r="H2" s="92">
        <v>80122</v>
      </c>
      <c r="I2" s="92" t="s">
        <v>781</v>
      </c>
      <c r="J2" s="92" t="s">
        <v>780</v>
      </c>
    </row>
    <row r="3" spans="1:10" x14ac:dyDescent="0.3">
      <c r="A3" s="92" t="s">
        <v>404</v>
      </c>
      <c r="B3" s="92" t="s">
        <v>320</v>
      </c>
      <c r="C3" s="92"/>
      <c r="D3" s="92"/>
      <c r="E3" s="92"/>
      <c r="F3" s="92"/>
      <c r="G3" s="92"/>
      <c r="H3" s="92"/>
      <c r="I3" s="92"/>
      <c r="J3" s="92"/>
    </row>
    <row r="4" spans="1:10" x14ac:dyDescent="0.3">
      <c r="A4" s="92" t="s">
        <v>405</v>
      </c>
      <c r="B4" s="92"/>
      <c r="C4" s="92"/>
      <c r="D4" s="92"/>
      <c r="E4" s="92"/>
      <c r="F4" s="92"/>
      <c r="G4" s="92"/>
      <c r="H4" s="92"/>
      <c r="I4" s="92"/>
      <c r="J4" s="92"/>
    </row>
    <row r="5" spans="1:10" x14ac:dyDescent="0.3">
      <c r="A5" s="92" t="s">
        <v>406</v>
      </c>
      <c r="B5" s="92"/>
      <c r="C5" s="92"/>
      <c r="D5" s="92"/>
      <c r="E5" s="92"/>
      <c r="F5" s="92"/>
      <c r="G5" s="92"/>
      <c r="H5" s="92"/>
      <c r="I5" s="92"/>
      <c r="J5" s="92"/>
    </row>
    <row r="6" spans="1:10" x14ac:dyDescent="0.3">
      <c r="A6" s="92" t="s">
        <v>407</v>
      </c>
      <c r="B6" s="92"/>
      <c r="C6" s="92"/>
      <c r="D6" s="92"/>
      <c r="E6" s="92"/>
      <c r="F6" s="92"/>
      <c r="G6" s="92"/>
      <c r="H6" s="92"/>
      <c r="I6" s="92"/>
      <c r="J6" s="92"/>
    </row>
    <row r="7" spans="1:10" x14ac:dyDescent="0.3">
      <c r="A7" s="92" t="s">
        <v>408</v>
      </c>
      <c r="B7" s="92"/>
      <c r="C7" s="92"/>
      <c r="D7" s="92"/>
      <c r="E7" s="92"/>
      <c r="F7" s="92"/>
      <c r="G7" s="92"/>
      <c r="H7" s="92"/>
      <c r="I7" s="92"/>
      <c r="J7" s="92"/>
    </row>
    <row r="8" spans="1:10" x14ac:dyDescent="0.3">
      <c r="A8" s="92" t="s">
        <v>409</v>
      </c>
      <c r="B8" s="92"/>
      <c r="C8" s="92"/>
      <c r="D8" s="92"/>
      <c r="E8" s="92"/>
      <c r="F8" s="92"/>
      <c r="G8" s="92"/>
      <c r="H8" s="92"/>
      <c r="I8" s="92"/>
      <c r="J8" s="92"/>
    </row>
    <row r="9" spans="1:10" x14ac:dyDescent="0.3">
      <c r="A9" s="92" t="s">
        <v>410</v>
      </c>
      <c r="B9" s="92"/>
      <c r="C9" s="92"/>
      <c r="D9" s="92"/>
      <c r="E9" s="92"/>
      <c r="F9" s="92"/>
      <c r="G9" s="92"/>
      <c r="H9" s="92"/>
      <c r="I9" s="92"/>
      <c r="J9" s="92"/>
    </row>
    <row r="10" spans="1:10" x14ac:dyDescent="0.3">
      <c r="A10" s="92" t="s">
        <v>411</v>
      </c>
      <c r="B10" s="92"/>
      <c r="C10" s="92"/>
      <c r="D10" s="92"/>
      <c r="E10" s="92"/>
      <c r="F10" s="92"/>
      <c r="G10" s="92"/>
      <c r="H10" s="92"/>
      <c r="I10" s="92"/>
      <c r="J10" s="92"/>
    </row>
    <row r="11" spans="1:10" x14ac:dyDescent="0.3">
      <c r="A11" s="92" t="s">
        <v>412</v>
      </c>
      <c r="B11" s="92"/>
      <c r="C11" s="92"/>
      <c r="D11" s="92"/>
      <c r="E11" s="92"/>
      <c r="F11" s="92"/>
      <c r="G11" s="92"/>
      <c r="H11" s="92"/>
      <c r="I11" s="92"/>
      <c r="J11" s="92"/>
    </row>
    <row r="12" spans="1:10" x14ac:dyDescent="0.3">
      <c r="A12" s="92" t="s">
        <v>413</v>
      </c>
      <c r="B12" s="92"/>
      <c r="C12" s="92"/>
      <c r="D12" s="92"/>
      <c r="E12" s="92"/>
      <c r="F12" s="92"/>
      <c r="G12" s="92"/>
      <c r="H12" s="92"/>
      <c r="I12" s="92"/>
      <c r="J12" s="92"/>
    </row>
    <row r="13" spans="1:10" x14ac:dyDescent="0.3">
      <c r="A13" s="92" t="s">
        <v>414</v>
      </c>
      <c r="B13" s="92"/>
      <c r="C13" s="92"/>
      <c r="D13" s="92"/>
      <c r="E13" s="92"/>
      <c r="F13" s="92"/>
      <c r="G13" s="92"/>
      <c r="H13" s="92"/>
      <c r="I13" s="92"/>
      <c r="J13" s="92"/>
    </row>
    <row r="14" spans="1:10" x14ac:dyDescent="0.3">
      <c r="A14" s="92" t="s">
        <v>415</v>
      </c>
      <c r="B14" s="92"/>
      <c r="C14" s="92"/>
      <c r="D14" s="92"/>
      <c r="E14" s="92"/>
      <c r="F14" s="92"/>
      <c r="G14" s="92"/>
      <c r="H14" s="92"/>
      <c r="I14" s="92"/>
      <c r="J14" s="92"/>
    </row>
    <row r="15" spans="1:10" x14ac:dyDescent="0.3">
      <c r="A15" s="92" t="s">
        <v>416</v>
      </c>
      <c r="B15" s="92"/>
      <c r="C15" s="92"/>
      <c r="D15" s="92"/>
      <c r="E15" s="92"/>
      <c r="F15" s="92"/>
      <c r="G15" s="92"/>
      <c r="H15" s="92"/>
      <c r="I15" s="92"/>
      <c r="J15" s="92"/>
    </row>
    <row r="16" spans="1:10" x14ac:dyDescent="0.3">
      <c r="A16" s="92" t="s">
        <v>417</v>
      </c>
      <c r="B16" s="92"/>
      <c r="C16" s="92"/>
      <c r="D16" s="92"/>
      <c r="E16" s="92"/>
      <c r="F16" s="92"/>
      <c r="G16" s="92"/>
      <c r="H16" s="92"/>
      <c r="I16" s="92"/>
      <c r="J16" s="92"/>
    </row>
    <row r="17" spans="1:10" x14ac:dyDescent="0.3">
      <c r="A17" s="92" t="s">
        <v>418</v>
      </c>
      <c r="B17" s="92"/>
      <c r="C17" s="92"/>
      <c r="D17" s="92"/>
      <c r="E17" s="92"/>
      <c r="F17" s="92"/>
      <c r="G17" s="92"/>
      <c r="H17" s="92"/>
      <c r="I17" s="92"/>
      <c r="J17" s="92"/>
    </row>
    <row r="18" spans="1:10" x14ac:dyDescent="0.3">
      <c r="A18" s="92" t="s">
        <v>419</v>
      </c>
      <c r="B18" s="92"/>
      <c r="C18" s="92"/>
      <c r="D18" s="92"/>
      <c r="E18" s="92"/>
      <c r="F18" s="92"/>
      <c r="G18" s="92"/>
      <c r="H18" s="92"/>
      <c r="I18" s="92"/>
      <c r="J18" s="92"/>
    </row>
    <row r="19" spans="1:10" x14ac:dyDescent="0.3">
      <c r="A19" s="92" t="s">
        <v>420</v>
      </c>
      <c r="B19" s="92"/>
      <c r="C19" s="92"/>
      <c r="D19" s="92"/>
      <c r="E19" s="92"/>
      <c r="F19" s="92"/>
      <c r="G19" s="92"/>
      <c r="H19" s="92"/>
      <c r="I19" s="92"/>
      <c r="J19" s="92"/>
    </row>
    <row r="20" spans="1:10" x14ac:dyDescent="0.3">
      <c r="A20" s="92" t="s">
        <v>421</v>
      </c>
      <c r="B20" s="92"/>
      <c r="C20" s="92"/>
      <c r="D20" s="92"/>
      <c r="E20" s="92"/>
      <c r="F20" s="92"/>
      <c r="G20" s="92"/>
      <c r="H20" s="92"/>
      <c r="I20" s="92"/>
      <c r="J20" s="92"/>
    </row>
    <row r="21" spans="1:10" x14ac:dyDescent="0.3">
      <c r="A21" s="92" t="s">
        <v>422</v>
      </c>
      <c r="B21" s="92"/>
      <c r="C21" s="92"/>
      <c r="D21" s="92"/>
      <c r="E21" s="92"/>
      <c r="F21" s="92"/>
      <c r="G21" s="92"/>
      <c r="H21" s="92"/>
      <c r="I21" s="92"/>
      <c r="J21" s="92"/>
    </row>
    <row r="22" spans="1:10" x14ac:dyDescent="0.3">
      <c r="A22" s="92" t="s">
        <v>423</v>
      </c>
      <c r="B22" s="92"/>
      <c r="C22" s="92"/>
      <c r="D22" s="92"/>
      <c r="E22" s="92"/>
      <c r="F22" s="92"/>
      <c r="G22" s="92"/>
      <c r="H22" s="92"/>
      <c r="I22" s="92"/>
      <c r="J22" s="92"/>
    </row>
    <row r="23" spans="1:10" x14ac:dyDescent="0.3">
      <c r="A23" s="92" t="s">
        <v>424</v>
      </c>
      <c r="B23" s="92"/>
      <c r="C23" s="92"/>
      <c r="D23" s="92"/>
      <c r="E23" s="92"/>
      <c r="F23" s="92"/>
      <c r="G23" s="92"/>
      <c r="H23" s="92"/>
      <c r="I23" s="92"/>
      <c r="J23" s="92"/>
    </row>
    <row r="24" spans="1:10" x14ac:dyDescent="0.3">
      <c r="A24" s="92" t="s">
        <v>425</v>
      </c>
      <c r="B24" s="92"/>
      <c r="C24" s="92"/>
      <c r="D24" s="92"/>
      <c r="E24" s="92"/>
      <c r="F24" s="92"/>
      <c r="G24" s="92"/>
      <c r="H24" s="92"/>
      <c r="I24" s="92"/>
      <c r="J24" s="92"/>
    </row>
    <row r="25" spans="1:10" x14ac:dyDescent="0.3">
      <c r="A25" s="92" t="s">
        <v>426</v>
      </c>
      <c r="B25" s="92"/>
      <c r="C25" s="92"/>
      <c r="D25" s="92"/>
      <c r="E25" s="92"/>
      <c r="F25" s="92"/>
      <c r="G25" s="92"/>
      <c r="H25" s="92"/>
      <c r="I25" s="92"/>
      <c r="J25" s="92"/>
    </row>
    <row r="26" spans="1:10" x14ac:dyDescent="0.3">
      <c r="A26" s="92" t="s">
        <v>427</v>
      </c>
      <c r="B26" s="92"/>
      <c r="C26" s="92"/>
      <c r="D26" s="92"/>
      <c r="E26" s="92"/>
      <c r="F26" s="92"/>
      <c r="G26" s="92"/>
      <c r="H26" s="92"/>
      <c r="I26" s="92"/>
      <c r="J26" s="92"/>
    </row>
    <row r="27" spans="1:10" x14ac:dyDescent="0.3">
      <c r="A27" s="92" t="s">
        <v>428</v>
      </c>
      <c r="B27" s="92"/>
      <c r="C27" s="92"/>
      <c r="D27" s="92"/>
      <c r="E27" s="92"/>
      <c r="F27" s="92"/>
      <c r="G27" s="92"/>
      <c r="H27" s="92"/>
      <c r="I27" s="92"/>
      <c r="J27" s="92"/>
    </row>
    <row r="28" spans="1:10" x14ac:dyDescent="0.3">
      <c r="A28" s="92" t="s">
        <v>429</v>
      </c>
      <c r="B28" s="92"/>
      <c r="C28" s="92"/>
      <c r="D28" s="92"/>
      <c r="E28" s="92"/>
      <c r="F28" s="92"/>
      <c r="G28" s="92"/>
      <c r="H28" s="92"/>
      <c r="I28" s="92"/>
      <c r="J28" s="92"/>
    </row>
    <row r="29" spans="1:10" x14ac:dyDescent="0.3">
      <c r="A29" s="92" t="s">
        <v>430</v>
      </c>
      <c r="B29" s="92"/>
      <c r="C29" s="92"/>
      <c r="D29" s="92"/>
      <c r="E29" s="92"/>
      <c r="F29" s="92"/>
      <c r="G29" s="92"/>
      <c r="H29" s="92"/>
      <c r="I29" s="92"/>
      <c r="J29" s="92"/>
    </row>
    <row r="30" spans="1:10" x14ac:dyDescent="0.3">
      <c r="A30" s="92" t="s">
        <v>431</v>
      </c>
      <c r="B30" s="92"/>
      <c r="C30" s="92"/>
      <c r="D30" s="92"/>
      <c r="E30" s="92"/>
      <c r="F30" s="92"/>
      <c r="G30" s="92"/>
      <c r="H30" s="92"/>
      <c r="I30" s="92"/>
      <c r="J30" s="92"/>
    </row>
    <row r="31" spans="1:10" x14ac:dyDescent="0.3">
      <c r="A31" s="92" t="s">
        <v>432</v>
      </c>
      <c r="B31" s="92"/>
      <c r="C31" s="92"/>
      <c r="D31" s="92"/>
      <c r="E31" s="92"/>
      <c r="F31" s="92"/>
      <c r="G31" s="92"/>
      <c r="H31" s="92"/>
      <c r="I31" s="92"/>
      <c r="J31" s="92"/>
    </row>
    <row r="32" spans="1:10" x14ac:dyDescent="0.3">
      <c r="A32" s="92" t="s">
        <v>433</v>
      </c>
      <c r="B32" s="92"/>
      <c r="C32" s="92"/>
      <c r="D32" s="92"/>
      <c r="E32" s="92"/>
      <c r="F32" s="92"/>
      <c r="G32" s="92"/>
      <c r="H32" s="92"/>
      <c r="I32" s="92"/>
      <c r="J32" s="92"/>
    </row>
    <row r="33" spans="1:10" x14ac:dyDescent="0.3">
      <c r="A33" s="92" t="s">
        <v>434</v>
      </c>
      <c r="B33" s="92"/>
      <c r="C33" s="92"/>
      <c r="D33" s="92"/>
      <c r="E33" s="92"/>
      <c r="F33" s="92"/>
      <c r="G33" s="92"/>
      <c r="H33" s="92"/>
      <c r="I33" s="92"/>
      <c r="J33" s="92"/>
    </row>
    <row r="34" spans="1:10" x14ac:dyDescent="0.3">
      <c r="A34" s="92" t="s">
        <v>435</v>
      </c>
      <c r="B34" s="92"/>
      <c r="C34" s="92"/>
      <c r="D34" s="92"/>
      <c r="E34" s="92"/>
      <c r="F34" s="92"/>
      <c r="G34" s="92"/>
      <c r="H34" s="92"/>
      <c r="I34" s="92"/>
      <c r="J34" s="92"/>
    </row>
    <row r="35" spans="1:10" x14ac:dyDescent="0.3">
      <c r="A35" s="92" t="s">
        <v>436</v>
      </c>
      <c r="B35" s="92"/>
      <c r="C35" s="92"/>
      <c r="D35" s="92"/>
      <c r="E35" s="92"/>
      <c r="F35" s="92"/>
      <c r="G35" s="92"/>
      <c r="H35" s="92"/>
      <c r="I35" s="92"/>
      <c r="J35" s="92"/>
    </row>
    <row r="36" spans="1:10" x14ac:dyDescent="0.3">
      <c r="A36" s="92" t="s">
        <v>437</v>
      </c>
      <c r="B36" s="92"/>
      <c r="C36" s="92"/>
      <c r="D36" s="92"/>
      <c r="E36" s="92"/>
      <c r="F36" s="92"/>
      <c r="G36" s="92"/>
      <c r="H36" s="92"/>
      <c r="I36" s="92"/>
      <c r="J36" s="92"/>
    </row>
    <row r="37" spans="1:10" x14ac:dyDescent="0.3">
      <c r="A37" s="92" t="s">
        <v>438</v>
      </c>
      <c r="B37" s="92"/>
      <c r="C37" s="92"/>
      <c r="D37" s="92"/>
      <c r="E37" s="92"/>
      <c r="F37" s="92"/>
      <c r="G37" s="92"/>
      <c r="H37" s="92"/>
      <c r="I37" s="92"/>
      <c r="J37" s="92"/>
    </row>
    <row r="38" spans="1:10" x14ac:dyDescent="0.3">
      <c r="A38" s="92" t="s">
        <v>439</v>
      </c>
      <c r="B38" s="92"/>
      <c r="C38" s="92"/>
      <c r="D38" s="92"/>
      <c r="E38" s="92"/>
      <c r="F38" s="92"/>
      <c r="G38" s="92"/>
      <c r="H38" s="92"/>
      <c r="I38" s="92"/>
      <c r="J38" s="92"/>
    </row>
    <row r="39" spans="1:10" x14ac:dyDescent="0.3">
      <c r="A39" s="92" t="s">
        <v>440</v>
      </c>
      <c r="B39" s="92"/>
      <c r="C39" s="92"/>
      <c r="D39" s="92"/>
      <c r="E39" s="92"/>
      <c r="F39" s="92"/>
      <c r="G39" s="92"/>
      <c r="H39" s="92"/>
      <c r="I39" s="92"/>
      <c r="J39" s="92"/>
    </row>
    <row r="40" spans="1:10" x14ac:dyDescent="0.3">
      <c r="A40" s="92" t="s">
        <v>441</v>
      </c>
      <c r="B40" s="92"/>
      <c r="C40" s="92"/>
      <c r="D40" s="92"/>
      <c r="E40" s="92"/>
      <c r="F40" s="92"/>
      <c r="G40" s="92"/>
      <c r="H40" s="92"/>
      <c r="I40" s="92"/>
      <c r="J40" s="92"/>
    </row>
    <row r="41" spans="1:10" x14ac:dyDescent="0.3">
      <c r="A41" s="92" t="s">
        <v>442</v>
      </c>
      <c r="B41" s="92"/>
      <c r="C41" s="92"/>
      <c r="D41" s="92"/>
      <c r="E41" s="92"/>
      <c r="F41" s="92"/>
      <c r="G41" s="92"/>
      <c r="H41" s="92"/>
      <c r="I41" s="92"/>
      <c r="J41" s="92"/>
    </row>
    <row r="42" spans="1:10" x14ac:dyDescent="0.3">
      <c r="A42" s="92" t="s">
        <v>443</v>
      </c>
      <c r="B42" s="92"/>
      <c r="C42" s="92"/>
      <c r="D42" s="92"/>
      <c r="E42" s="92"/>
      <c r="F42" s="92"/>
      <c r="G42" s="92"/>
      <c r="H42" s="92"/>
      <c r="I42" s="92"/>
      <c r="J42" s="92"/>
    </row>
    <row r="43" spans="1:10" x14ac:dyDescent="0.3">
      <c r="A43" s="92" t="s">
        <v>444</v>
      </c>
      <c r="B43" s="92"/>
      <c r="C43" s="92"/>
      <c r="D43" s="92"/>
      <c r="E43" s="92"/>
      <c r="F43" s="92"/>
      <c r="G43" s="92"/>
      <c r="H43" s="92"/>
      <c r="I43" s="92"/>
      <c r="J43" s="92"/>
    </row>
    <row r="44" spans="1:10" x14ac:dyDescent="0.3">
      <c r="A44" s="92" t="s">
        <v>445</v>
      </c>
      <c r="B44" s="92"/>
      <c r="C44" s="92"/>
      <c r="D44" s="92"/>
      <c r="E44" s="92"/>
      <c r="F44" s="92"/>
      <c r="G44" s="92"/>
      <c r="H44" s="92"/>
      <c r="I44" s="92"/>
      <c r="J44" s="92"/>
    </row>
    <row r="45" spans="1:10" x14ac:dyDescent="0.3">
      <c r="A45" s="92" t="s">
        <v>446</v>
      </c>
      <c r="B45" s="92"/>
      <c r="C45" s="92"/>
      <c r="D45" s="92"/>
      <c r="E45" s="92"/>
      <c r="F45" s="92"/>
      <c r="G45" s="92"/>
      <c r="H45" s="92"/>
      <c r="I45" s="92"/>
      <c r="J45" s="92"/>
    </row>
    <row r="46" spans="1:10" x14ac:dyDescent="0.3">
      <c r="A46" s="92" t="s">
        <v>447</v>
      </c>
      <c r="B46" s="92"/>
      <c r="C46" s="92"/>
      <c r="D46" s="92"/>
      <c r="E46" s="92"/>
      <c r="F46" s="92"/>
      <c r="G46" s="92"/>
      <c r="H46" s="92"/>
      <c r="I46" s="92"/>
      <c r="J46" s="92"/>
    </row>
    <row r="47" spans="1:10" x14ac:dyDescent="0.3">
      <c r="A47" s="92" t="s">
        <v>448</v>
      </c>
      <c r="B47" s="92"/>
      <c r="C47" s="92"/>
      <c r="D47" s="92"/>
      <c r="E47" s="92"/>
      <c r="F47" s="92"/>
      <c r="G47" s="92"/>
      <c r="H47" s="92"/>
      <c r="I47" s="92"/>
      <c r="J47" s="92"/>
    </row>
    <row r="48" spans="1:10" x14ac:dyDescent="0.3">
      <c r="A48" s="92" t="s">
        <v>449</v>
      </c>
      <c r="B48" s="92"/>
      <c r="C48" s="92"/>
      <c r="D48" s="92"/>
      <c r="E48" s="92"/>
      <c r="F48" s="92"/>
      <c r="G48" s="92"/>
      <c r="H48" s="92"/>
      <c r="I48" s="92"/>
      <c r="J48" s="92"/>
    </row>
    <row r="49" spans="1:10" x14ac:dyDescent="0.3">
      <c r="A49" s="92" t="s">
        <v>450</v>
      </c>
      <c r="B49" s="92"/>
      <c r="C49" s="92"/>
      <c r="D49" s="92"/>
      <c r="E49" s="92"/>
      <c r="F49" s="92"/>
      <c r="G49" s="92"/>
      <c r="H49" s="92"/>
      <c r="I49" s="92"/>
      <c r="J49" s="92"/>
    </row>
    <row r="50" spans="1:10" x14ac:dyDescent="0.3">
      <c r="A50" s="92" t="s">
        <v>451</v>
      </c>
      <c r="B50" s="92"/>
      <c r="C50" s="92"/>
      <c r="D50" s="92"/>
      <c r="E50" s="92"/>
      <c r="F50" s="92"/>
      <c r="G50" s="92"/>
      <c r="H50" s="92"/>
      <c r="I50" s="92"/>
      <c r="J50" s="92"/>
    </row>
    <row r="51" spans="1:10" x14ac:dyDescent="0.3">
      <c r="A51" s="92" t="s">
        <v>452</v>
      </c>
      <c r="B51" s="92"/>
      <c r="C51" s="92"/>
      <c r="D51" s="92"/>
      <c r="E51" s="92"/>
      <c r="F51" s="92"/>
      <c r="G51" s="92"/>
      <c r="H51" s="92"/>
      <c r="I51" s="92"/>
      <c r="J51" s="92"/>
    </row>
  </sheetData>
  <phoneticPr fontId="1" type="noConversion"/>
  <hyperlinks>
    <hyperlink ref="D2" r:id="rId1" xr:uid="{881B15CD-F6A2-41BD-BAB7-233B72B8021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20570-CC8C-46D0-86BB-1DDECF5DB1DF}">
  <dimension ref="A1:O234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8" sqref="F8"/>
    </sheetView>
  </sheetViews>
  <sheetFormatPr defaultRowHeight="14.4" x14ac:dyDescent="0.3"/>
  <cols>
    <col min="1" max="1" width="9.5546875" bestFit="1" customWidth="1"/>
    <col min="2" max="2" width="10.109375" bestFit="1" customWidth="1"/>
    <col min="3" max="3" width="11.5546875" bestFit="1" customWidth="1"/>
    <col min="4" max="4" width="9.33203125" bestFit="1" customWidth="1"/>
    <col min="5" max="5" width="4" style="1" bestFit="1" customWidth="1"/>
    <col min="6" max="6" width="14.44140625" bestFit="1" customWidth="1"/>
    <col min="7" max="7" width="16.109375" bestFit="1" customWidth="1"/>
    <col min="8" max="8" width="25.5546875" bestFit="1" customWidth="1"/>
    <col min="9" max="9" width="13.6640625" bestFit="1" customWidth="1"/>
    <col min="10" max="12" width="13.6640625" style="1" customWidth="1"/>
    <col min="13" max="13" width="10.6640625" bestFit="1" customWidth="1"/>
    <col min="14" max="14" width="9.5546875" bestFit="1" customWidth="1"/>
    <col min="15" max="15" width="12.88671875" bestFit="1" customWidth="1"/>
  </cols>
  <sheetData>
    <row r="1" spans="1:15" x14ac:dyDescent="0.3">
      <c r="A1" s="159" t="s">
        <v>0</v>
      </c>
      <c r="B1" s="159" t="s">
        <v>2</v>
      </c>
      <c r="C1" s="159" t="s">
        <v>1</v>
      </c>
      <c r="D1" s="159" t="s">
        <v>3</v>
      </c>
      <c r="E1" s="161" t="s">
        <v>115</v>
      </c>
      <c r="F1" s="159" t="s">
        <v>456</v>
      </c>
      <c r="G1" s="159" t="s">
        <v>457</v>
      </c>
      <c r="H1" s="159" t="s">
        <v>318</v>
      </c>
      <c r="I1" s="159" t="s">
        <v>110</v>
      </c>
      <c r="J1" s="161" t="s">
        <v>143</v>
      </c>
      <c r="K1" s="161" t="s">
        <v>147</v>
      </c>
      <c r="L1" s="161" t="s">
        <v>148</v>
      </c>
      <c r="M1" s="159" t="s">
        <v>453</v>
      </c>
      <c r="N1" s="159" t="s">
        <v>454</v>
      </c>
      <c r="O1" s="159" t="s">
        <v>455</v>
      </c>
    </row>
    <row r="2" spans="1:15" x14ac:dyDescent="0.3">
      <c r="A2" s="92" t="s">
        <v>472</v>
      </c>
      <c r="B2" s="92" t="s">
        <v>71</v>
      </c>
      <c r="C2" s="92" t="s">
        <v>713</v>
      </c>
      <c r="D2" s="246">
        <v>40308</v>
      </c>
      <c r="E2" s="101" t="s">
        <v>125</v>
      </c>
      <c r="F2" s="92" t="s">
        <v>787</v>
      </c>
      <c r="G2" s="248" t="s">
        <v>788</v>
      </c>
      <c r="H2" s="92" t="s">
        <v>323</v>
      </c>
      <c r="I2" s="92" t="s">
        <v>118</v>
      </c>
      <c r="J2" s="101" t="s">
        <v>326</v>
      </c>
      <c r="K2" s="101" t="s">
        <v>326</v>
      </c>
      <c r="L2" s="101" t="s">
        <v>778</v>
      </c>
      <c r="M2" s="92"/>
      <c r="N2" s="92"/>
      <c r="O2" s="92"/>
    </row>
    <row r="3" spans="1:15" x14ac:dyDescent="0.3">
      <c r="A3" s="92" t="s">
        <v>473</v>
      </c>
      <c r="B3" s="92" t="s">
        <v>83</v>
      </c>
      <c r="C3" s="92" t="s">
        <v>714</v>
      </c>
      <c r="D3" s="92"/>
      <c r="E3" s="101" t="s">
        <v>125</v>
      </c>
      <c r="F3" s="92"/>
      <c r="G3" s="92"/>
      <c r="H3" s="92" t="s">
        <v>323</v>
      </c>
      <c r="I3" s="92" t="s">
        <v>118</v>
      </c>
      <c r="J3" s="101"/>
      <c r="K3" s="101"/>
      <c r="L3" s="101"/>
      <c r="M3" s="92"/>
      <c r="N3" s="92"/>
      <c r="O3" s="92"/>
    </row>
    <row r="4" spans="1:15" x14ac:dyDescent="0.3">
      <c r="A4" s="92" t="s">
        <v>474</v>
      </c>
      <c r="B4" s="92" t="s">
        <v>208</v>
      </c>
      <c r="C4" s="92" t="s">
        <v>715</v>
      </c>
      <c r="D4" s="92"/>
      <c r="E4" s="101" t="s">
        <v>125</v>
      </c>
      <c r="F4" s="92"/>
      <c r="G4" s="92"/>
      <c r="H4" s="92" t="s">
        <v>323</v>
      </c>
      <c r="I4" s="92" t="s">
        <v>118</v>
      </c>
      <c r="J4" s="101"/>
      <c r="K4" s="101"/>
      <c r="L4" s="101"/>
      <c r="M4" s="92"/>
      <c r="N4" s="92"/>
      <c r="O4" s="92"/>
    </row>
    <row r="5" spans="1:15" x14ac:dyDescent="0.3">
      <c r="A5" s="92" t="s">
        <v>475</v>
      </c>
      <c r="B5" s="92" t="s">
        <v>77</v>
      </c>
      <c r="C5" s="92" t="s">
        <v>716</v>
      </c>
      <c r="D5" s="92"/>
      <c r="E5" s="101" t="s">
        <v>126</v>
      </c>
      <c r="F5" s="92"/>
      <c r="G5" s="92"/>
      <c r="H5" s="92" t="s">
        <v>323</v>
      </c>
      <c r="I5" s="92" t="s">
        <v>116</v>
      </c>
      <c r="J5" s="101"/>
      <c r="K5" s="101"/>
      <c r="L5" s="101"/>
      <c r="M5" s="92"/>
      <c r="N5" s="92"/>
      <c r="O5" s="92"/>
    </row>
    <row r="6" spans="1:15" x14ac:dyDescent="0.3">
      <c r="A6" s="92" t="s">
        <v>476</v>
      </c>
      <c r="B6" s="92" t="s">
        <v>214</v>
      </c>
      <c r="C6" s="92" t="s">
        <v>717</v>
      </c>
      <c r="D6" s="92"/>
      <c r="E6" s="101" t="s">
        <v>126</v>
      </c>
      <c r="F6" s="92"/>
      <c r="G6" s="92"/>
      <c r="H6" s="92" t="s">
        <v>323</v>
      </c>
      <c r="I6" s="92" t="s">
        <v>116</v>
      </c>
      <c r="J6" s="101"/>
      <c r="K6" s="101"/>
      <c r="L6" s="101"/>
      <c r="M6" s="92"/>
      <c r="N6" s="92"/>
      <c r="O6" s="92"/>
    </row>
    <row r="7" spans="1:15" x14ac:dyDescent="0.3">
      <c r="A7" s="92" t="s">
        <v>477</v>
      </c>
      <c r="B7" s="92" t="s">
        <v>226</v>
      </c>
      <c r="C7" s="92" t="s">
        <v>718</v>
      </c>
      <c r="D7" s="92"/>
      <c r="E7" s="101" t="s">
        <v>125</v>
      </c>
      <c r="F7" s="92"/>
      <c r="G7" s="92"/>
      <c r="H7" s="92" t="s">
        <v>323</v>
      </c>
      <c r="I7" s="92" t="s">
        <v>116</v>
      </c>
      <c r="J7" s="101"/>
      <c r="K7" s="101"/>
      <c r="L7" s="101"/>
      <c r="M7" s="92"/>
      <c r="N7" s="92"/>
      <c r="O7" s="92"/>
    </row>
    <row r="8" spans="1:15" x14ac:dyDescent="0.3">
      <c r="A8" s="92" t="s">
        <v>478</v>
      </c>
      <c r="B8" s="92" t="s">
        <v>65</v>
      </c>
      <c r="C8" s="92" t="s">
        <v>719</v>
      </c>
      <c r="D8" s="92"/>
      <c r="E8" s="101" t="s">
        <v>125</v>
      </c>
      <c r="F8" s="92"/>
      <c r="G8" s="92"/>
      <c r="H8" s="92" t="s">
        <v>323</v>
      </c>
      <c r="I8" s="92" t="s">
        <v>119</v>
      </c>
      <c r="J8" s="101"/>
      <c r="K8" s="101"/>
      <c r="L8" s="101"/>
      <c r="M8" s="92"/>
      <c r="N8" s="92"/>
      <c r="O8" s="92"/>
    </row>
    <row r="9" spans="1:15" x14ac:dyDescent="0.3">
      <c r="A9" s="92" t="s">
        <v>479</v>
      </c>
      <c r="B9" s="92" t="s">
        <v>220</v>
      </c>
      <c r="C9" s="92" t="s">
        <v>720</v>
      </c>
      <c r="D9" s="92"/>
      <c r="E9" s="101" t="s">
        <v>125</v>
      </c>
      <c r="F9" s="92"/>
      <c r="G9" s="92"/>
      <c r="H9" s="92" t="s">
        <v>323</v>
      </c>
      <c r="I9" s="92" t="s">
        <v>119</v>
      </c>
      <c r="J9" s="101"/>
      <c r="K9" s="101"/>
      <c r="L9" s="101"/>
      <c r="M9" s="92"/>
      <c r="N9" s="92"/>
      <c r="O9" s="92"/>
    </row>
    <row r="10" spans="1:15" x14ac:dyDescent="0.3">
      <c r="A10" s="92" t="s">
        <v>480</v>
      </c>
      <c r="B10" s="92" t="s">
        <v>70</v>
      </c>
      <c r="C10" s="92" t="s">
        <v>721</v>
      </c>
      <c r="D10" s="92"/>
      <c r="E10" s="101" t="s">
        <v>126</v>
      </c>
      <c r="F10" s="92"/>
      <c r="G10" s="92"/>
      <c r="H10" s="92" t="s">
        <v>322</v>
      </c>
      <c r="I10" s="92" t="s">
        <v>117</v>
      </c>
      <c r="J10" s="101"/>
      <c r="K10" s="101"/>
      <c r="L10" s="101"/>
      <c r="M10" s="92"/>
      <c r="N10" s="92"/>
      <c r="O10" s="92"/>
    </row>
    <row r="11" spans="1:15" x14ac:dyDescent="0.3">
      <c r="A11" s="92" t="s">
        <v>481</v>
      </c>
      <c r="B11" s="92" t="s">
        <v>82</v>
      </c>
      <c r="C11" s="92" t="s">
        <v>722</v>
      </c>
      <c r="D11" s="92"/>
      <c r="E11" s="101" t="s">
        <v>125</v>
      </c>
      <c r="F11" s="92"/>
      <c r="G11" s="92"/>
      <c r="H11" s="92" t="s">
        <v>322</v>
      </c>
      <c r="I11" s="92" t="s">
        <v>117</v>
      </c>
      <c r="J11" s="101"/>
      <c r="K11" s="101"/>
      <c r="L11" s="101"/>
      <c r="M11" s="92"/>
      <c r="N11" s="92"/>
      <c r="O11" s="92"/>
    </row>
    <row r="12" spans="1:15" x14ac:dyDescent="0.3">
      <c r="A12" s="92" t="s">
        <v>482</v>
      </c>
      <c r="B12" s="92" t="s">
        <v>213</v>
      </c>
      <c r="C12" s="92" t="s">
        <v>723</v>
      </c>
      <c r="D12" s="92"/>
      <c r="E12" s="101" t="s">
        <v>125</v>
      </c>
      <c r="F12" s="92"/>
      <c r="G12" s="92"/>
      <c r="H12" s="92" t="s">
        <v>322</v>
      </c>
      <c r="I12" s="92" t="s">
        <v>117</v>
      </c>
      <c r="J12" s="101"/>
      <c r="K12" s="101"/>
      <c r="L12" s="101"/>
      <c r="M12" s="92"/>
      <c r="N12" s="92"/>
      <c r="O12" s="92"/>
    </row>
    <row r="13" spans="1:15" x14ac:dyDescent="0.3">
      <c r="A13" s="92" t="s">
        <v>483</v>
      </c>
      <c r="B13" s="92" t="s">
        <v>64</v>
      </c>
      <c r="C13" s="92" t="s">
        <v>724</v>
      </c>
      <c r="D13" s="92"/>
      <c r="E13" s="101" t="s">
        <v>126</v>
      </c>
      <c r="F13" s="92"/>
      <c r="G13" s="92"/>
      <c r="H13" s="92" t="s">
        <v>322</v>
      </c>
      <c r="I13" s="92" t="s">
        <v>119</v>
      </c>
      <c r="J13" s="101"/>
      <c r="K13" s="101"/>
      <c r="L13" s="101"/>
      <c r="M13" s="92"/>
      <c r="N13" s="92"/>
      <c r="O13" s="92"/>
    </row>
    <row r="14" spans="1:15" x14ac:dyDescent="0.3">
      <c r="A14" s="92" t="s">
        <v>484</v>
      </c>
      <c r="B14" s="92" t="s">
        <v>76</v>
      </c>
      <c r="C14" s="92" t="s">
        <v>725</v>
      </c>
      <c r="D14" s="92"/>
      <c r="E14" s="101" t="s">
        <v>125</v>
      </c>
      <c r="F14" s="92"/>
      <c r="G14" s="92"/>
      <c r="H14" s="92" t="s">
        <v>322</v>
      </c>
      <c r="I14" s="92" t="s">
        <v>119</v>
      </c>
      <c r="J14" s="101"/>
      <c r="K14" s="101"/>
      <c r="L14" s="101"/>
      <c r="M14" s="92"/>
      <c r="N14" s="92"/>
      <c r="O14" s="92"/>
    </row>
    <row r="15" spans="1:15" x14ac:dyDescent="0.3">
      <c r="A15" s="92" t="s">
        <v>485</v>
      </c>
      <c r="B15" s="92" t="s">
        <v>207</v>
      </c>
      <c r="C15" s="92" t="s">
        <v>726</v>
      </c>
      <c r="D15" s="92"/>
      <c r="E15" s="101" t="s">
        <v>125</v>
      </c>
      <c r="F15" s="92"/>
      <c r="G15" s="92"/>
      <c r="H15" s="92" t="s">
        <v>322</v>
      </c>
      <c r="I15" s="92" t="s">
        <v>119</v>
      </c>
      <c r="J15" s="101"/>
      <c r="K15" s="101"/>
      <c r="L15" s="101"/>
      <c r="M15" s="92"/>
      <c r="N15" s="92"/>
      <c r="O15" s="92"/>
    </row>
    <row r="16" spans="1:15" x14ac:dyDescent="0.3">
      <c r="A16" s="92" t="s">
        <v>486</v>
      </c>
      <c r="B16" s="92" t="s">
        <v>219</v>
      </c>
      <c r="C16" s="92" t="s">
        <v>727</v>
      </c>
      <c r="D16" s="92"/>
      <c r="E16" s="101" t="s">
        <v>125</v>
      </c>
      <c r="F16" s="92"/>
      <c r="G16" s="92"/>
      <c r="H16" s="92" t="s">
        <v>322</v>
      </c>
      <c r="I16" s="92" t="s">
        <v>119</v>
      </c>
      <c r="J16" s="101"/>
      <c r="K16" s="101"/>
      <c r="L16" s="101"/>
      <c r="M16" s="92"/>
      <c r="N16" s="92"/>
      <c r="O16" s="92"/>
    </row>
    <row r="17" spans="1:15" x14ac:dyDescent="0.3">
      <c r="A17" s="92" t="s">
        <v>487</v>
      </c>
      <c r="B17" s="92" t="s">
        <v>225</v>
      </c>
      <c r="C17" s="92" t="s">
        <v>728</v>
      </c>
      <c r="D17" s="92"/>
      <c r="E17" s="101" t="s">
        <v>125</v>
      </c>
      <c r="F17" s="92"/>
      <c r="G17" s="92"/>
      <c r="H17" s="92" t="s">
        <v>322</v>
      </c>
      <c r="I17" s="92" t="s">
        <v>119</v>
      </c>
      <c r="J17" s="101"/>
      <c r="K17" s="101"/>
      <c r="L17" s="101"/>
      <c r="M17" s="92"/>
      <c r="N17" s="92"/>
      <c r="O17" s="92"/>
    </row>
    <row r="18" spans="1:15" x14ac:dyDescent="0.3">
      <c r="A18" s="92" t="s">
        <v>488</v>
      </c>
      <c r="B18" s="92" t="s">
        <v>67</v>
      </c>
      <c r="C18" s="92" t="s">
        <v>729</v>
      </c>
      <c r="D18" s="92"/>
      <c r="E18" s="101" t="s">
        <v>125</v>
      </c>
      <c r="F18" s="92"/>
      <c r="G18" s="92"/>
      <c r="H18" s="92" t="s">
        <v>307</v>
      </c>
      <c r="I18" s="92" t="s">
        <v>117</v>
      </c>
      <c r="J18" s="101"/>
      <c r="K18" s="101"/>
      <c r="L18" s="101"/>
      <c r="M18" s="92"/>
      <c r="N18" s="92"/>
      <c r="O18" s="92"/>
    </row>
    <row r="19" spans="1:15" x14ac:dyDescent="0.3">
      <c r="A19" s="92" t="s">
        <v>489</v>
      </c>
      <c r="B19" s="92" t="s">
        <v>210</v>
      </c>
      <c r="C19" s="92" t="s">
        <v>730</v>
      </c>
      <c r="D19" s="92"/>
      <c r="E19" s="101" t="s">
        <v>126</v>
      </c>
      <c r="F19" s="92"/>
      <c r="G19" s="92"/>
      <c r="H19" s="92" t="s">
        <v>307</v>
      </c>
      <c r="I19" s="92" t="s">
        <v>117</v>
      </c>
      <c r="J19" s="101"/>
      <c r="K19" s="101"/>
      <c r="L19" s="101"/>
      <c r="M19" s="92"/>
      <c r="N19" s="92"/>
      <c r="O19" s="92"/>
    </row>
    <row r="20" spans="1:15" x14ac:dyDescent="0.3">
      <c r="A20" s="92" t="s">
        <v>490</v>
      </c>
      <c r="B20" s="92" t="s">
        <v>222</v>
      </c>
      <c r="C20" s="92" t="s">
        <v>731</v>
      </c>
      <c r="D20" s="92"/>
      <c r="E20" s="101" t="s">
        <v>126</v>
      </c>
      <c r="F20" s="92"/>
      <c r="G20" s="92"/>
      <c r="H20" s="92" t="s">
        <v>307</v>
      </c>
      <c r="I20" s="92" t="s">
        <v>117</v>
      </c>
      <c r="J20" s="101"/>
      <c r="K20" s="101"/>
      <c r="L20" s="101"/>
      <c r="M20" s="92"/>
      <c r="N20" s="92"/>
      <c r="O20" s="92"/>
    </row>
    <row r="21" spans="1:15" x14ac:dyDescent="0.3">
      <c r="A21" s="92" t="s">
        <v>491</v>
      </c>
      <c r="B21" s="92" t="s">
        <v>73</v>
      </c>
      <c r="C21" s="92" t="s">
        <v>732</v>
      </c>
      <c r="D21" s="92"/>
      <c r="E21" s="101" t="s">
        <v>125</v>
      </c>
      <c r="F21" s="92"/>
      <c r="G21" s="92"/>
      <c r="H21" s="92" t="s">
        <v>307</v>
      </c>
      <c r="I21" s="92" t="s">
        <v>118</v>
      </c>
      <c r="J21" s="101"/>
      <c r="K21" s="101"/>
      <c r="L21" s="101"/>
      <c r="M21" s="92"/>
      <c r="N21" s="92"/>
      <c r="O21" s="92"/>
    </row>
    <row r="22" spans="1:15" x14ac:dyDescent="0.3">
      <c r="A22" s="92" t="s">
        <v>492</v>
      </c>
      <c r="B22" s="92" t="s">
        <v>61</v>
      </c>
      <c r="C22" s="92" t="s">
        <v>733</v>
      </c>
      <c r="D22" s="92"/>
      <c r="E22" s="101" t="s">
        <v>125</v>
      </c>
      <c r="F22" s="92"/>
      <c r="G22" s="92"/>
      <c r="H22" s="92" t="s">
        <v>307</v>
      </c>
      <c r="I22" s="92" t="s">
        <v>116</v>
      </c>
      <c r="J22" s="101"/>
      <c r="K22" s="101"/>
      <c r="L22" s="101"/>
      <c r="M22" s="92"/>
      <c r="N22" s="92"/>
      <c r="O22" s="92"/>
    </row>
    <row r="23" spans="1:15" x14ac:dyDescent="0.3">
      <c r="A23" s="92" t="s">
        <v>493</v>
      </c>
      <c r="B23" s="92" t="s">
        <v>79</v>
      </c>
      <c r="C23" s="92" t="s">
        <v>734</v>
      </c>
      <c r="D23" s="92"/>
      <c r="E23" s="101" t="s">
        <v>125</v>
      </c>
      <c r="F23" s="92"/>
      <c r="G23" s="92"/>
      <c r="H23" s="92" t="s">
        <v>307</v>
      </c>
      <c r="I23" s="92" t="s">
        <v>119</v>
      </c>
      <c r="J23" s="101"/>
      <c r="K23" s="101"/>
      <c r="L23" s="101"/>
      <c r="M23" s="92"/>
      <c r="N23" s="92"/>
      <c r="O23" s="92"/>
    </row>
    <row r="24" spans="1:15" x14ac:dyDescent="0.3">
      <c r="A24" s="92" t="s">
        <v>494</v>
      </c>
      <c r="B24" s="92" t="s">
        <v>204</v>
      </c>
      <c r="C24" s="92" t="s">
        <v>735</v>
      </c>
      <c r="D24" s="92"/>
      <c r="E24" s="101" t="s">
        <v>125</v>
      </c>
      <c r="F24" s="92"/>
      <c r="G24" s="92"/>
      <c r="H24" s="92" t="s">
        <v>307</v>
      </c>
      <c r="I24" s="92" t="s">
        <v>119</v>
      </c>
      <c r="J24" s="101"/>
      <c r="K24" s="101"/>
      <c r="L24" s="101"/>
      <c r="M24" s="92"/>
      <c r="N24" s="92"/>
      <c r="O24" s="92"/>
    </row>
    <row r="25" spans="1:15" x14ac:dyDescent="0.3">
      <c r="A25" s="92" t="s">
        <v>495</v>
      </c>
      <c r="B25" s="92" t="s">
        <v>216</v>
      </c>
      <c r="C25" s="92" t="s">
        <v>736</v>
      </c>
      <c r="D25" s="92"/>
      <c r="E25" s="101" t="s">
        <v>125</v>
      </c>
      <c r="F25" s="92"/>
      <c r="G25" s="92"/>
      <c r="H25" s="92" t="s">
        <v>307</v>
      </c>
      <c r="I25" s="92" t="s">
        <v>119</v>
      </c>
      <c r="J25" s="101"/>
      <c r="K25" s="101"/>
      <c r="L25" s="101"/>
      <c r="M25" s="92"/>
      <c r="N25" s="92"/>
      <c r="O25" s="92"/>
    </row>
    <row r="26" spans="1:15" x14ac:dyDescent="0.3">
      <c r="A26" s="92" t="s">
        <v>496</v>
      </c>
      <c r="B26" s="92" t="s">
        <v>72</v>
      </c>
      <c r="C26" s="92" t="s">
        <v>737</v>
      </c>
      <c r="D26" s="92"/>
      <c r="E26" s="101" t="s">
        <v>125</v>
      </c>
      <c r="F26" s="92"/>
      <c r="G26" s="92"/>
      <c r="H26" s="92" t="s">
        <v>324</v>
      </c>
      <c r="I26" s="92" t="s">
        <v>120</v>
      </c>
      <c r="J26" s="101"/>
      <c r="K26" s="101"/>
      <c r="L26" s="101"/>
      <c r="M26" s="92"/>
      <c r="N26" s="92"/>
      <c r="O26" s="92"/>
    </row>
    <row r="27" spans="1:15" x14ac:dyDescent="0.3">
      <c r="A27" s="92" t="s">
        <v>497</v>
      </c>
      <c r="B27" s="92" t="s">
        <v>78</v>
      </c>
      <c r="C27" s="92" t="s">
        <v>738</v>
      </c>
      <c r="D27" s="92"/>
      <c r="E27" s="101" t="s">
        <v>126</v>
      </c>
      <c r="F27" s="92"/>
      <c r="G27" s="92"/>
      <c r="H27" s="92" t="s">
        <v>324</v>
      </c>
      <c r="I27" s="92" t="s">
        <v>120</v>
      </c>
      <c r="J27" s="101"/>
      <c r="K27" s="101"/>
      <c r="L27" s="101"/>
      <c r="M27" s="92"/>
      <c r="N27" s="92"/>
      <c r="O27" s="92"/>
    </row>
    <row r="28" spans="1:15" x14ac:dyDescent="0.3">
      <c r="A28" s="92" t="s">
        <v>498</v>
      </c>
      <c r="B28" s="92" t="s">
        <v>209</v>
      </c>
      <c r="C28" s="92" t="s">
        <v>739</v>
      </c>
      <c r="D28" s="92"/>
      <c r="E28" s="101" t="s">
        <v>126</v>
      </c>
      <c r="F28" s="92"/>
      <c r="G28" s="92"/>
      <c r="H28" s="92" t="s">
        <v>324</v>
      </c>
      <c r="I28" s="92" t="s">
        <v>120</v>
      </c>
      <c r="J28" s="101"/>
      <c r="K28" s="101"/>
      <c r="L28" s="101"/>
      <c r="M28" s="92"/>
      <c r="N28" s="92"/>
      <c r="O28" s="92"/>
    </row>
    <row r="29" spans="1:15" x14ac:dyDescent="0.3">
      <c r="A29" s="92" t="s">
        <v>499</v>
      </c>
      <c r="B29" s="92" t="s">
        <v>66</v>
      </c>
      <c r="C29" s="92" t="s">
        <v>740</v>
      </c>
      <c r="D29" s="92"/>
      <c r="E29" s="101" t="s">
        <v>125</v>
      </c>
      <c r="F29" s="92"/>
      <c r="G29" s="92"/>
      <c r="H29" s="92" t="s">
        <v>324</v>
      </c>
      <c r="I29" s="92" t="s">
        <v>116</v>
      </c>
      <c r="J29" s="101"/>
      <c r="K29" s="101"/>
      <c r="L29" s="101"/>
      <c r="M29" s="92"/>
      <c r="N29" s="92"/>
      <c r="O29" s="92"/>
    </row>
    <row r="30" spans="1:15" x14ac:dyDescent="0.3">
      <c r="A30" s="92" t="s">
        <v>500</v>
      </c>
      <c r="B30" s="92" t="s">
        <v>84</v>
      </c>
      <c r="C30" s="92" t="s">
        <v>741</v>
      </c>
      <c r="D30" s="92"/>
      <c r="E30" s="101" t="s">
        <v>125</v>
      </c>
      <c r="F30" s="92"/>
      <c r="G30" s="92"/>
      <c r="H30" s="92" t="s">
        <v>324</v>
      </c>
      <c r="I30" s="92" t="s">
        <v>116</v>
      </c>
      <c r="J30" s="101"/>
      <c r="K30" s="101"/>
      <c r="L30" s="101"/>
      <c r="M30" s="92"/>
      <c r="N30" s="92"/>
      <c r="O30" s="92"/>
    </row>
    <row r="31" spans="1:15" x14ac:dyDescent="0.3">
      <c r="A31" s="92" t="s">
        <v>501</v>
      </c>
      <c r="B31" s="92" t="s">
        <v>215</v>
      </c>
      <c r="C31" s="92" t="s">
        <v>742</v>
      </c>
      <c r="D31" s="92"/>
      <c r="E31" s="101" t="s">
        <v>125</v>
      </c>
      <c r="F31" s="92"/>
      <c r="G31" s="92"/>
      <c r="H31" s="92" t="s">
        <v>324</v>
      </c>
      <c r="I31" s="92" t="s">
        <v>116</v>
      </c>
      <c r="J31" s="101"/>
      <c r="K31" s="101"/>
      <c r="L31" s="101"/>
      <c r="M31" s="92"/>
      <c r="N31" s="92"/>
      <c r="O31" s="92"/>
    </row>
    <row r="32" spans="1:15" x14ac:dyDescent="0.3">
      <c r="A32" s="92" t="s">
        <v>502</v>
      </c>
      <c r="B32" s="92" t="s">
        <v>221</v>
      </c>
      <c r="C32" s="92" t="s">
        <v>743</v>
      </c>
      <c r="D32" s="92"/>
      <c r="E32" s="101" t="s">
        <v>125</v>
      </c>
      <c r="F32" s="92"/>
      <c r="G32" s="92"/>
      <c r="H32" s="92" t="s">
        <v>324</v>
      </c>
      <c r="I32" s="92" t="s">
        <v>116</v>
      </c>
      <c r="J32" s="101"/>
      <c r="K32" s="101"/>
      <c r="L32" s="101"/>
      <c r="M32" s="92"/>
      <c r="N32" s="92"/>
      <c r="O32" s="92"/>
    </row>
    <row r="33" spans="1:15" x14ac:dyDescent="0.3">
      <c r="A33" s="92" t="s">
        <v>503</v>
      </c>
      <c r="B33" s="92" t="s">
        <v>252</v>
      </c>
      <c r="C33" s="92" t="s">
        <v>744</v>
      </c>
      <c r="D33" s="92"/>
      <c r="E33" s="101" t="s">
        <v>125</v>
      </c>
      <c r="F33" s="92"/>
      <c r="G33" s="92"/>
      <c r="H33" s="92" t="s">
        <v>324</v>
      </c>
      <c r="I33" s="92" t="s">
        <v>116</v>
      </c>
      <c r="J33" s="101"/>
      <c r="K33" s="101"/>
      <c r="L33" s="101"/>
      <c r="M33" s="92"/>
      <c r="N33" s="92"/>
      <c r="O33" s="92"/>
    </row>
    <row r="34" spans="1:15" x14ac:dyDescent="0.3">
      <c r="A34" s="92" t="s">
        <v>504</v>
      </c>
      <c r="B34" s="92" t="s">
        <v>74</v>
      </c>
      <c r="C34" s="92" t="s">
        <v>745</v>
      </c>
      <c r="D34" s="92"/>
      <c r="E34" s="101" t="s">
        <v>125</v>
      </c>
      <c r="F34" s="92"/>
      <c r="G34" s="92"/>
      <c r="H34" s="92" t="s">
        <v>320</v>
      </c>
      <c r="I34" s="92" t="s">
        <v>117</v>
      </c>
      <c r="J34" s="101"/>
      <c r="K34" s="101"/>
      <c r="L34" s="101"/>
      <c r="M34" s="92"/>
      <c r="N34" s="92"/>
      <c r="O34" s="92"/>
    </row>
    <row r="35" spans="1:15" x14ac:dyDescent="0.3">
      <c r="A35" s="92" t="s">
        <v>505</v>
      </c>
      <c r="B35" s="92" t="s">
        <v>211</v>
      </c>
      <c r="C35" s="92" t="s">
        <v>746</v>
      </c>
      <c r="D35" s="92"/>
      <c r="E35" s="101" t="s">
        <v>126</v>
      </c>
      <c r="F35" s="92"/>
      <c r="G35" s="92"/>
      <c r="H35" s="92" t="s">
        <v>320</v>
      </c>
      <c r="I35" s="92" t="s">
        <v>117</v>
      </c>
      <c r="J35" s="101"/>
      <c r="K35" s="101"/>
      <c r="L35" s="101"/>
      <c r="M35" s="92"/>
      <c r="N35" s="92"/>
      <c r="O35" s="92"/>
    </row>
    <row r="36" spans="1:15" x14ac:dyDescent="0.3">
      <c r="A36" s="92" t="s">
        <v>506</v>
      </c>
      <c r="B36" s="92" t="s">
        <v>223</v>
      </c>
      <c r="C36" s="92" t="s">
        <v>747</v>
      </c>
      <c r="D36" s="92"/>
      <c r="E36" s="101" t="s">
        <v>126</v>
      </c>
      <c r="F36" s="92"/>
      <c r="G36" s="92"/>
      <c r="H36" s="92" t="s">
        <v>320</v>
      </c>
      <c r="I36" s="92" t="s">
        <v>117</v>
      </c>
      <c r="J36" s="101"/>
      <c r="K36" s="101"/>
      <c r="L36" s="101"/>
      <c r="M36" s="92"/>
      <c r="N36" s="92"/>
      <c r="O36" s="92"/>
    </row>
    <row r="37" spans="1:15" x14ac:dyDescent="0.3">
      <c r="A37" s="92" t="s">
        <v>507</v>
      </c>
      <c r="B37" s="92" t="s">
        <v>62</v>
      </c>
      <c r="C37" s="92" t="s">
        <v>748</v>
      </c>
      <c r="D37" s="92"/>
      <c r="E37" s="101" t="s">
        <v>125</v>
      </c>
      <c r="F37" s="92"/>
      <c r="G37" s="92"/>
      <c r="H37" s="92" t="s">
        <v>320</v>
      </c>
      <c r="I37" s="92" t="s">
        <v>118</v>
      </c>
      <c r="J37" s="101"/>
      <c r="K37" s="101"/>
      <c r="L37" s="101"/>
      <c r="M37" s="92"/>
      <c r="N37" s="92"/>
      <c r="O37" s="92"/>
    </row>
    <row r="38" spans="1:15" x14ac:dyDescent="0.3">
      <c r="A38" s="92" t="s">
        <v>508</v>
      </c>
      <c r="B38" s="92" t="s">
        <v>68</v>
      </c>
      <c r="C38" s="92" t="s">
        <v>749</v>
      </c>
      <c r="D38" s="92"/>
      <c r="E38" s="101" t="s">
        <v>125</v>
      </c>
      <c r="F38" s="92"/>
      <c r="G38" s="92"/>
      <c r="H38" s="92" t="s">
        <v>320</v>
      </c>
      <c r="I38" s="92" t="s">
        <v>118</v>
      </c>
      <c r="J38" s="101"/>
      <c r="K38" s="101"/>
      <c r="L38" s="101"/>
      <c r="M38" s="92"/>
      <c r="N38" s="92"/>
      <c r="O38" s="92"/>
    </row>
    <row r="39" spans="1:15" x14ac:dyDescent="0.3">
      <c r="A39" s="92" t="s">
        <v>509</v>
      </c>
      <c r="B39" s="92" t="s">
        <v>80</v>
      </c>
      <c r="C39" s="92" t="s">
        <v>750</v>
      </c>
      <c r="D39" s="92"/>
      <c r="E39" s="101" t="s">
        <v>125</v>
      </c>
      <c r="F39" s="92"/>
      <c r="G39" s="92"/>
      <c r="H39" s="92" t="s">
        <v>320</v>
      </c>
      <c r="I39" s="92" t="s">
        <v>118</v>
      </c>
      <c r="J39" s="101"/>
      <c r="K39" s="101"/>
      <c r="L39" s="101"/>
      <c r="M39" s="92"/>
      <c r="N39" s="92"/>
      <c r="O39" s="92"/>
    </row>
    <row r="40" spans="1:15" x14ac:dyDescent="0.3">
      <c r="A40" s="92" t="s">
        <v>510</v>
      </c>
      <c r="B40" s="92" t="s">
        <v>205</v>
      </c>
      <c r="C40" s="92" t="s">
        <v>751</v>
      </c>
      <c r="D40" s="92"/>
      <c r="E40" s="101" t="s">
        <v>125</v>
      </c>
      <c r="F40" s="92"/>
      <c r="G40" s="92"/>
      <c r="H40" s="92" t="s">
        <v>320</v>
      </c>
      <c r="I40" s="92" t="s">
        <v>118</v>
      </c>
      <c r="J40" s="101"/>
      <c r="K40" s="101"/>
      <c r="L40" s="101"/>
      <c r="M40" s="92"/>
      <c r="N40" s="92"/>
      <c r="O40" s="92"/>
    </row>
    <row r="41" spans="1:15" x14ac:dyDescent="0.3">
      <c r="A41" s="92" t="s">
        <v>511</v>
      </c>
      <c r="B41" s="92" t="s">
        <v>217</v>
      </c>
      <c r="C41" s="92" t="s">
        <v>752</v>
      </c>
      <c r="D41" s="92"/>
      <c r="E41" s="101" t="s">
        <v>125</v>
      </c>
      <c r="F41" s="92"/>
      <c r="G41" s="92"/>
      <c r="H41" s="92" t="s">
        <v>320</v>
      </c>
      <c r="I41" s="92" t="s">
        <v>118</v>
      </c>
      <c r="J41" s="101"/>
      <c r="K41" s="101"/>
      <c r="L41" s="101"/>
      <c r="M41" s="92"/>
      <c r="N41" s="92"/>
      <c r="O41" s="92"/>
    </row>
    <row r="42" spans="1:15" x14ac:dyDescent="0.3">
      <c r="A42" s="92" t="s">
        <v>512</v>
      </c>
      <c r="B42" s="92" t="s">
        <v>75</v>
      </c>
      <c r="C42" s="92" t="s">
        <v>753</v>
      </c>
      <c r="D42" s="92"/>
      <c r="E42" s="101" t="s">
        <v>125</v>
      </c>
      <c r="F42" s="92"/>
      <c r="G42" s="92"/>
      <c r="H42" s="92" t="s">
        <v>321</v>
      </c>
      <c r="I42" s="92" t="s">
        <v>120</v>
      </c>
      <c r="J42" s="101"/>
      <c r="K42" s="101"/>
      <c r="L42" s="101"/>
      <c r="M42" s="92"/>
      <c r="N42" s="92"/>
      <c r="O42" s="92"/>
    </row>
    <row r="43" spans="1:15" x14ac:dyDescent="0.3">
      <c r="A43" s="92" t="s">
        <v>513</v>
      </c>
      <c r="B43" s="92" t="s">
        <v>206</v>
      </c>
      <c r="C43" s="92" t="s">
        <v>754</v>
      </c>
      <c r="D43" s="92"/>
      <c r="E43" s="101" t="s">
        <v>126</v>
      </c>
      <c r="F43" s="92"/>
      <c r="G43" s="92"/>
      <c r="H43" s="92" t="s">
        <v>321</v>
      </c>
      <c r="I43" s="92" t="s">
        <v>120</v>
      </c>
      <c r="J43" s="101"/>
      <c r="K43" s="101"/>
      <c r="L43" s="101"/>
      <c r="M43" s="92"/>
      <c r="N43" s="92"/>
      <c r="O43" s="92"/>
    </row>
    <row r="44" spans="1:15" x14ac:dyDescent="0.3">
      <c r="A44" s="92" t="s">
        <v>514</v>
      </c>
      <c r="B44" s="92" t="s">
        <v>218</v>
      </c>
      <c r="C44" s="92" t="s">
        <v>755</v>
      </c>
      <c r="D44" s="92"/>
      <c r="E44" s="101" t="s">
        <v>125</v>
      </c>
      <c r="F44" s="92"/>
      <c r="G44" s="92"/>
      <c r="H44" s="92" t="s">
        <v>321</v>
      </c>
      <c r="I44" s="92" t="s">
        <v>120</v>
      </c>
      <c r="J44" s="101"/>
      <c r="K44" s="101"/>
      <c r="L44" s="101"/>
      <c r="M44" s="92"/>
      <c r="N44" s="92"/>
      <c r="O44" s="92"/>
    </row>
    <row r="45" spans="1:15" x14ac:dyDescent="0.3">
      <c r="A45" s="92" t="s">
        <v>515</v>
      </c>
      <c r="B45" s="92" t="s">
        <v>63</v>
      </c>
      <c r="C45" s="92" t="s">
        <v>756</v>
      </c>
      <c r="D45" s="92"/>
      <c r="E45" s="101" t="s">
        <v>126</v>
      </c>
      <c r="F45" s="92"/>
      <c r="G45" s="92"/>
      <c r="H45" s="92" t="s">
        <v>321</v>
      </c>
      <c r="I45" s="92" t="s">
        <v>116</v>
      </c>
      <c r="J45" s="101"/>
      <c r="K45" s="101"/>
      <c r="L45" s="101"/>
      <c r="M45" s="92"/>
      <c r="N45" s="92"/>
      <c r="O45" s="92"/>
    </row>
    <row r="46" spans="1:15" x14ac:dyDescent="0.3">
      <c r="A46" s="92" t="s">
        <v>516</v>
      </c>
      <c r="B46" s="92" t="s">
        <v>69</v>
      </c>
      <c r="C46" s="92" t="s">
        <v>757</v>
      </c>
      <c r="D46" s="92"/>
      <c r="E46" s="101" t="s">
        <v>126</v>
      </c>
      <c r="F46" s="92"/>
      <c r="G46" s="92"/>
      <c r="H46" s="92" t="s">
        <v>321</v>
      </c>
      <c r="I46" s="92" t="s">
        <v>116</v>
      </c>
      <c r="J46" s="101"/>
      <c r="K46" s="101"/>
      <c r="L46" s="101"/>
      <c r="M46" s="92"/>
      <c r="N46" s="92"/>
      <c r="O46" s="92"/>
    </row>
    <row r="47" spans="1:15" x14ac:dyDescent="0.3">
      <c r="A47" s="92" t="s">
        <v>517</v>
      </c>
      <c r="B47" s="92" t="s">
        <v>81</v>
      </c>
      <c r="C47" s="92" t="s">
        <v>758</v>
      </c>
      <c r="D47" s="92"/>
      <c r="E47" s="101" t="s">
        <v>125</v>
      </c>
      <c r="F47" s="92"/>
      <c r="G47" s="92"/>
      <c r="H47" s="92" t="s">
        <v>321</v>
      </c>
      <c r="I47" s="92" t="s">
        <v>116</v>
      </c>
      <c r="J47" s="101"/>
      <c r="K47" s="101"/>
      <c r="L47" s="101"/>
      <c r="M47" s="92"/>
      <c r="N47" s="92"/>
      <c r="O47" s="92"/>
    </row>
    <row r="48" spans="1:15" x14ac:dyDescent="0.3">
      <c r="A48" s="92" t="s">
        <v>518</v>
      </c>
      <c r="B48" s="92" t="s">
        <v>212</v>
      </c>
      <c r="C48" s="92" t="s">
        <v>759</v>
      </c>
      <c r="D48" s="92"/>
      <c r="E48" s="101" t="s">
        <v>126</v>
      </c>
      <c r="F48" s="92"/>
      <c r="G48" s="92"/>
      <c r="H48" s="92" t="s">
        <v>321</v>
      </c>
      <c r="I48" s="92" t="s">
        <v>116</v>
      </c>
      <c r="J48" s="101"/>
      <c r="K48" s="101"/>
      <c r="L48" s="101"/>
      <c r="M48" s="92"/>
      <c r="N48" s="92"/>
      <c r="O48" s="92"/>
    </row>
    <row r="49" spans="1:15" x14ac:dyDescent="0.3">
      <c r="A49" s="92" t="s">
        <v>519</v>
      </c>
      <c r="B49" s="92" t="s">
        <v>224</v>
      </c>
      <c r="C49" s="92" t="s">
        <v>760</v>
      </c>
      <c r="D49" s="92"/>
      <c r="E49" s="101" t="s">
        <v>126</v>
      </c>
      <c r="F49" s="92"/>
      <c r="G49" s="92"/>
      <c r="H49" s="92" t="s">
        <v>321</v>
      </c>
      <c r="I49" s="92" t="s">
        <v>116</v>
      </c>
      <c r="J49" s="101"/>
      <c r="K49" s="101"/>
      <c r="L49" s="101"/>
      <c r="M49" s="92"/>
      <c r="N49" s="92"/>
      <c r="O49" s="92"/>
    </row>
    <row r="50" spans="1:15" x14ac:dyDescent="0.3">
      <c r="A50" s="92" t="s">
        <v>520</v>
      </c>
      <c r="B50" s="92"/>
      <c r="C50" s="92"/>
      <c r="D50" s="92"/>
      <c r="E50" s="101"/>
      <c r="F50" s="92"/>
      <c r="G50" s="92"/>
      <c r="H50" s="92"/>
      <c r="I50" s="92"/>
      <c r="J50" s="101"/>
      <c r="K50" s="101"/>
      <c r="L50" s="101"/>
      <c r="M50" s="92"/>
      <c r="N50" s="92"/>
      <c r="O50" s="92"/>
    </row>
    <row r="51" spans="1:15" x14ac:dyDescent="0.3">
      <c r="A51" s="92" t="s">
        <v>521</v>
      </c>
      <c r="B51" s="92"/>
      <c r="C51" s="92"/>
      <c r="D51" s="92"/>
      <c r="E51" s="101"/>
      <c r="F51" s="92"/>
      <c r="G51" s="92"/>
      <c r="H51" s="92"/>
      <c r="I51" s="92"/>
      <c r="J51" s="101"/>
      <c r="K51" s="101"/>
      <c r="L51" s="101"/>
      <c r="M51" s="92"/>
      <c r="N51" s="92"/>
      <c r="O51" s="92"/>
    </row>
    <row r="52" spans="1:15" x14ac:dyDescent="0.3">
      <c r="A52" s="92" t="s">
        <v>522</v>
      </c>
      <c r="B52" s="92"/>
      <c r="C52" s="92"/>
      <c r="D52" s="92"/>
      <c r="E52" s="101"/>
      <c r="F52" s="92"/>
      <c r="G52" s="92"/>
      <c r="H52" s="92"/>
      <c r="I52" s="92"/>
      <c r="J52" s="101"/>
      <c r="K52" s="101"/>
      <c r="L52" s="101"/>
      <c r="M52" s="92"/>
      <c r="N52" s="92"/>
      <c r="O52" s="92"/>
    </row>
    <row r="53" spans="1:15" x14ac:dyDescent="0.3">
      <c r="A53" s="92" t="s">
        <v>523</v>
      </c>
      <c r="B53" s="92"/>
      <c r="C53" s="92"/>
      <c r="D53" s="92"/>
      <c r="E53" s="101"/>
      <c r="F53" s="92"/>
      <c r="G53" s="92"/>
      <c r="H53" s="92"/>
      <c r="I53" s="92"/>
      <c r="J53" s="101"/>
      <c r="K53" s="101"/>
      <c r="L53" s="101"/>
      <c r="M53" s="92"/>
      <c r="N53" s="92"/>
      <c r="O53" s="92"/>
    </row>
    <row r="54" spans="1:15" x14ac:dyDescent="0.3">
      <c r="A54" s="92" t="s">
        <v>524</v>
      </c>
      <c r="B54" s="92"/>
      <c r="C54" s="92"/>
      <c r="D54" s="92"/>
      <c r="E54" s="101"/>
      <c r="F54" s="92"/>
      <c r="G54" s="92"/>
      <c r="H54" s="92"/>
      <c r="I54" s="92"/>
      <c r="J54" s="101"/>
      <c r="K54" s="101"/>
      <c r="L54" s="101"/>
      <c r="M54" s="92"/>
      <c r="N54" s="92"/>
      <c r="O54" s="92"/>
    </row>
    <row r="55" spans="1:15" x14ac:dyDescent="0.3">
      <c r="A55" s="92" t="s">
        <v>525</v>
      </c>
      <c r="B55" s="92"/>
      <c r="C55" s="92"/>
      <c r="D55" s="92"/>
      <c r="E55" s="101"/>
      <c r="F55" s="92"/>
      <c r="G55" s="92"/>
      <c r="H55" s="92"/>
      <c r="I55" s="92"/>
      <c r="J55" s="101"/>
      <c r="K55" s="101"/>
      <c r="L55" s="101"/>
      <c r="M55" s="92"/>
      <c r="N55" s="92"/>
      <c r="O55" s="92"/>
    </row>
    <row r="56" spans="1:15" x14ac:dyDescent="0.3">
      <c r="A56" s="92" t="s">
        <v>526</v>
      </c>
      <c r="B56" s="92"/>
      <c r="C56" s="92"/>
      <c r="D56" s="92"/>
      <c r="E56" s="101"/>
      <c r="F56" s="92"/>
      <c r="G56" s="92"/>
      <c r="H56" s="92"/>
      <c r="I56" s="92"/>
      <c r="J56" s="101"/>
      <c r="K56" s="101"/>
      <c r="L56" s="101"/>
      <c r="M56" s="92"/>
      <c r="N56" s="92"/>
      <c r="O56" s="92"/>
    </row>
    <row r="57" spans="1:15" x14ac:dyDescent="0.3">
      <c r="A57" s="92" t="s">
        <v>527</v>
      </c>
      <c r="B57" s="92"/>
      <c r="C57" s="92"/>
      <c r="D57" s="92"/>
      <c r="E57" s="101"/>
      <c r="F57" s="92"/>
      <c r="G57" s="92"/>
      <c r="H57" s="92"/>
      <c r="I57" s="92"/>
      <c r="J57" s="101"/>
      <c r="K57" s="101"/>
      <c r="L57" s="101"/>
      <c r="M57" s="92"/>
      <c r="N57" s="92"/>
      <c r="O57" s="92"/>
    </row>
    <row r="58" spans="1:15" x14ac:dyDescent="0.3">
      <c r="A58" s="92" t="s">
        <v>528</v>
      </c>
      <c r="B58" s="92"/>
      <c r="C58" s="92"/>
      <c r="D58" s="92"/>
      <c r="E58" s="101"/>
      <c r="F58" s="92"/>
      <c r="G58" s="92"/>
      <c r="H58" s="92"/>
      <c r="I58" s="92"/>
      <c r="J58" s="101"/>
      <c r="K58" s="101"/>
      <c r="L58" s="101"/>
      <c r="M58" s="92"/>
      <c r="N58" s="92"/>
      <c r="O58" s="92"/>
    </row>
    <row r="59" spans="1:15" x14ac:dyDescent="0.3">
      <c r="A59" s="92" t="s">
        <v>529</v>
      </c>
      <c r="B59" s="92"/>
      <c r="C59" s="92"/>
      <c r="D59" s="92"/>
      <c r="E59" s="101"/>
      <c r="F59" s="92"/>
      <c r="G59" s="92"/>
      <c r="H59" s="92"/>
      <c r="I59" s="92"/>
      <c r="J59" s="101"/>
      <c r="K59" s="101"/>
      <c r="L59" s="101"/>
      <c r="M59" s="92"/>
      <c r="N59" s="92"/>
      <c r="O59" s="92"/>
    </row>
    <row r="60" spans="1:15" x14ac:dyDescent="0.3">
      <c r="A60" s="92" t="s">
        <v>530</v>
      </c>
      <c r="B60" s="92"/>
      <c r="C60" s="92"/>
      <c r="D60" s="92"/>
      <c r="E60" s="101"/>
      <c r="F60" s="92"/>
      <c r="G60" s="92"/>
      <c r="H60" s="92"/>
      <c r="I60" s="92"/>
      <c r="J60" s="101"/>
      <c r="K60" s="101"/>
      <c r="L60" s="101"/>
      <c r="M60" s="92"/>
      <c r="N60" s="92"/>
      <c r="O60" s="92"/>
    </row>
    <row r="61" spans="1:15" x14ac:dyDescent="0.3">
      <c r="A61" s="92" t="s">
        <v>531</v>
      </c>
      <c r="B61" s="92"/>
      <c r="C61" s="92"/>
      <c r="D61" s="92"/>
      <c r="E61" s="101"/>
      <c r="F61" s="92"/>
      <c r="G61" s="92"/>
      <c r="H61" s="92"/>
      <c r="I61" s="92"/>
      <c r="J61" s="101"/>
      <c r="K61" s="101"/>
      <c r="L61" s="101"/>
      <c r="M61" s="92"/>
      <c r="N61" s="92"/>
      <c r="O61" s="92"/>
    </row>
    <row r="62" spans="1:15" x14ac:dyDescent="0.3">
      <c r="A62" s="92" t="s">
        <v>532</v>
      </c>
      <c r="B62" s="92"/>
      <c r="C62" s="92"/>
      <c r="D62" s="92"/>
      <c r="E62" s="101"/>
      <c r="F62" s="92"/>
      <c r="G62" s="92"/>
      <c r="H62" s="92"/>
      <c r="I62" s="92"/>
      <c r="J62" s="101"/>
      <c r="K62" s="101"/>
      <c r="L62" s="101"/>
      <c r="M62" s="92"/>
      <c r="N62" s="92"/>
      <c r="O62" s="92"/>
    </row>
    <row r="63" spans="1:15" x14ac:dyDescent="0.3">
      <c r="A63" s="92" t="s">
        <v>533</v>
      </c>
      <c r="B63" s="92"/>
      <c r="C63" s="92"/>
      <c r="D63" s="92"/>
      <c r="E63" s="101"/>
      <c r="F63" s="92"/>
      <c r="G63" s="92"/>
      <c r="H63" s="92"/>
      <c r="I63" s="92"/>
      <c r="J63" s="101"/>
      <c r="K63" s="101"/>
      <c r="L63" s="101"/>
      <c r="M63" s="92"/>
      <c r="N63" s="92"/>
      <c r="O63" s="92"/>
    </row>
    <row r="64" spans="1:15" x14ac:dyDescent="0.3">
      <c r="A64" s="92" t="s">
        <v>534</v>
      </c>
      <c r="B64" s="92"/>
      <c r="C64" s="92"/>
      <c r="D64" s="92"/>
      <c r="E64" s="101"/>
      <c r="F64" s="92"/>
      <c r="G64" s="92"/>
      <c r="H64" s="92"/>
      <c r="I64" s="92"/>
      <c r="J64" s="101"/>
      <c r="K64" s="101"/>
      <c r="L64" s="101"/>
      <c r="M64" s="92"/>
      <c r="N64" s="92"/>
      <c r="O64" s="92"/>
    </row>
    <row r="65" spans="1:15" x14ac:dyDescent="0.3">
      <c r="A65" s="92" t="s">
        <v>535</v>
      </c>
      <c r="B65" s="92"/>
      <c r="C65" s="92"/>
      <c r="D65" s="92"/>
      <c r="E65" s="101"/>
      <c r="F65" s="92"/>
      <c r="G65" s="92"/>
      <c r="H65" s="92"/>
      <c r="I65" s="92"/>
      <c r="J65" s="101"/>
      <c r="K65" s="101"/>
      <c r="L65" s="101"/>
      <c r="M65" s="92"/>
      <c r="N65" s="92"/>
      <c r="O65" s="92"/>
    </row>
    <row r="66" spans="1:15" x14ac:dyDescent="0.3">
      <c r="A66" s="92" t="s">
        <v>536</v>
      </c>
      <c r="B66" s="92"/>
      <c r="C66" s="92"/>
      <c r="D66" s="92"/>
      <c r="E66" s="101"/>
      <c r="F66" s="92"/>
      <c r="G66" s="92"/>
      <c r="H66" s="92"/>
      <c r="I66" s="92"/>
      <c r="J66" s="101"/>
      <c r="K66" s="101"/>
      <c r="L66" s="101"/>
      <c r="M66" s="92"/>
      <c r="N66" s="92"/>
      <c r="O66" s="92"/>
    </row>
    <row r="67" spans="1:15" x14ac:dyDescent="0.3">
      <c r="A67" s="92" t="s">
        <v>537</v>
      </c>
      <c r="B67" s="92"/>
      <c r="C67" s="92"/>
      <c r="D67" s="92"/>
      <c r="E67" s="101"/>
      <c r="F67" s="92"/>
      <c r="G67" s="92"/>
      <c r="H67" s="92"/>
      <c r="I67" s="92"/>
      <c r="J67" s="101"/>
      <c r="K67" s="101"/>
      <c r="L67" s="101"/>
      <c r="M67" s="92"/>
      <c r="N67" s="92"/>
      <c r="O67" s="92"/>
    </row>
    <row r="68" spans="1:15" x14ac:dyDescent="0.3">
      <c r="A68" s="92" t="s">
        <v>538</v>
      </c>
      <c r="B68" s="92"/>
      <c r="C68" s="92"/>
      <c r="D68" s="92"/>
      <c r="E68" s="101"/>
      <c r="F68" s="92"/>
      <c r="G68" s="92"/>
      <c r="H68" s="92"/>
      <c r="I68" s="92"/>
      <c r="J68" s="101"/>
      <c r="K68" s="101"/>
      <c r="L68" s="101"/>
      <c r="M68" s="92"/>
      <c r="N68" s="92"/>
      <c r="O68" s="92"/>
    </row>
    <row r="69" spans="1:15" x14ac:dyDescent="0.3">
      <c r="A69" s="92" t="s">
        <v>539</v>
      </c>
      <c r="B69" s="92"/>
      <c r="C69" s="92"/>
      <c r="D69" s="92"/>
      <c r="E69" s="101"/>
      <c r="F69" s="92"/>
      <c r="G69" s="92"/>
      <c r="H69" s="92"/>
      <c r="I69" s="92"/>
      <c r="J69" s="101"/>
      <c r="K69" s="101"/>
      <c r="L69" s="101"/>
      <c r="M69" s="92"/>
      <c r="N69" s="92"/>
      <c r="O69" s="92"/>
    </row>
    <row r="70" spans="1:15" x14ac:dyDescent="0.3">
      <c r="A70" s="92" t="s">
        <v>540</v>
      </c>
      <c r="B70" s="92"/>
      <c r="C70" s="92"/>
      <c r="D70" s="92"/>
      <c r="E70" s="101"/>
      <c r="F70" s="92"/>
      <c r="G70" s="92"/>
      <c r="H70" s="92"/>
      <c r="I70" s="92"/>
      <c r="J70" s="101"/>
      <c r="K70" s="101"/>
      <c r="L70" s="101"/>
      <c r="M70" s="92"/>
      <c r="N70" s="92"/>
      <c r="O70" s="92"/>
    </row>
    <row r="71" spans="1:15" x14ac:dyDescent="0.3">
      <c r="A71" s="92" t="s">
        <v>541</v>
      </c>
      <c r="B71" s="92"/>
      <c r="C71" s="92"/>
      <c r="D71" s="92"/>
      <c r="E71" s="101"/>
      <c r="F71" s="92"/>
      <c r="G71" s="92"/>
      <c r="H71" s="92"/>
      <c r="I71" s="92"/>
      <c r="J71" s="101"/>
      <c r="K71" s="101"/>
      <c r="L71" s="101"/>
      <c r="M71" s="92"/>
      <c r="N71" s="92"/>
      <c r="O71" s="92"/>
    </row>
    <row r="72" spans="1:15" x14ac:dyDescent="0.3">
      <c r="A72" s="92" t="s">
        <v>542</v>
      </c>
      <c r="B72" s="92"/>
      <c r="C72" s="92"/>
      <c r="D72" s="92"/>
      <c r="E72" s="101"/>
      <c r="F72" s="92"/>
      <c r="G72" s="92"/>
      <c r="H72" s="92"/>
      <c r="I72" s="92"/>
      <c r="J72" s="101"/>
      <c r="K72" s="101"/>
      <c r="L72" s="101"/>
      <c r="M72" s="92"/>
      <c r="N72" s="92"/>
      <c r="O72" s="92"/>
    </row>
    <row r="73" spans="1:15" x14ac:dyDescent="0.3">
      <c r="A73" s="92" t="s">
        <v>543</v>
      </c>
      <c r="B73" s="92"/>
      <c r="C73" s="92"/>
      <c r="D73" s="92"/>
      <c r="E73" s="101"/>
      <c r="F73" s="92"/>
      <c r="G73" s="92"/>
      <c r="H73" s="92"/>
      <c r="I73" s="92"/>
      <c r="J73" s="101"/>
      <c r="K73" s="101"/>
      <c r="L73" s="101"/>
      <c r="M73" s="92"/>
      <c r="N73" s="92"/>
      <c r="O73" s="92"/>
    </row>
    <row r="74" spans="1:15" x14ac:dyDescent="0.3">
      <c r="A74" s="92" t="s">
        <v>544</v>
      </c>
      <c r="B74" s="92"/>
      <c r="C74" s="92"/>
      <c r="D74" s="92"/>
      <c r="E74" s="101"/>
      <c r="F74" s="92"/>
      <c r="G74" s="92"/>
      <c r="H74" s="92"/>
      <c r="I74" s="92"/>
      <c r="J74" s="101"/>
      <c r="K74" s="101"/>
      <c r="L74" s="101"/>
      <c r="M74" s="92"/>
      <c r="N74" s="92"/>
      <c r="O74" s="92"/>
    </row>
    <row r="75" spans="1:15" x14ac:dyDescent="0.3">
      <c r="A75" s="92" t="s">
        <v>545</v>
      </c>
      <c r="B75" s="92"/>
      <c r="C75" s="92"/>
      <c r="D75" s="92"/>
      <c r="E75" s="101"/>
      <c r="F75" s="92"/>
      <c r="G75" s="92"/>
      <c r="H75" s="92"/>
      <c r="I75" s="92"/>
      <c r="J75" s="101"/>
      <c r="K75" s="101"/>
      <c r="L75" s="101"/>
      <c r="M75" s="92"/>
      <c r="N75" s="92"/>
      <c r="O75" s="92"/>
    </row>
    <row r="76" spans="1:15" x14ac:dyDescent="0.3">
      <c r="A76" s="92" t="s">
        <v>546</v>
      </c>
      <c r="B76" s="92"/>
      <c r="C76" s="92"/>
      <c r="D76" s="92"/>
      <c r="E76" s="101"/>
      <c r="F76" s="92"/>
      <c r="G76" s="92"/>
      <c r="H76" s="92"/>
      <c r="I76" s="92"/>
      <c r="J76" s="101"/>
      <c r="K76" s="101"/>
      <c r="L76" s="101"/>
      <c r="M76" s="92"/>
      <c r="N76" s="92"/>
      <c r="O76" s="92"/>
    </row>
    <row r="77" spans="1:15" x14ac:dyDescent="0.3">
      <c r="A77" s="92" t="s">
        <v>547</v>
      </c>
      <c r="B77" s="92"/>
      <c r="C77" s="92"/>
      <c r="D77" s="92"/>
      <c r="E77" s="101"/>
      <c r="F77" s="92"/>
      <c r="G77" s="92"/>
      <c r="H77" s="92"/>
      <c r="I77" s="92"/>
      <c r="J77" s="101"/>
      <c r="K77" s="101"/>
      <c r="L77" s="101"/>
      <c r="M77" s="92"/>
      <c r="N77" s="92"/>
      <c r="O77" s="92"/>
    </row>
    <row r="78" spans="1:15" x14ac:dyDescent="0.3">
      <c r="A78" s="92" t="s">
        <v>548</v>
      </c>
      <c r="B78" s="92"/>
      <c r="C78" s="92"/>
      <c r="D78" s="92"/>
      <c r="E78" s="101"/>
      <c r="F78" s="92"/>
      <c r="G78" s="92"/>
      <c r="H78" s="92"/>
      <c r="I78" s="92"/>
      <c r="J78" s="101"/>
      <c r="K78" s="101"/>
      <c r="L78" s="101"/>
      <c r="M78" s="92"/>
      <c r="N78" s="92"/>
      <c r="O78" s="92"/>
    </row>
    <row r="79" spans="1:15" x14ac:dyDescent="0.3">
      <c r="A79" s="92" t="s">
        <v>549</v>
      </c>
      <c r="B79" s="92"/>
      <c r="C79" s="92"/>
      <c r="D79" s="92"/>
      <c r="E79" s="101"/>
      <c r="F79" s="92"/>
      <c r="G79" s="92"/>
      <c r="H79" s="92"/>
      <c r="I79" s="92"/>
      <c r="J79" s="101"/>
      <c r="K79" s="101"/>
      <c r="L79" s="101"/>
      <c r="M79" s="92"/>
      <c r="N79" s="92"/>
      <c r="O79" s="92"/>
    </row>
    <row r="80" spans="1:15" x14ac:dyDescent="0.3">
      <c r="A80" s="92" t="s">
        <v>550</v>
      </c>
      <c r="B80" s="92"/>
      <c r="C80" s="92"/>
      <c r="D80" s="92"/>
      <c r="E80" s="101"/>
      <c r="F80" s="92"/>
      <c r="G80" s="92"/>
      <c r="H80" s="92"/>
      <c r="I80" s="92"/>
      <c r="J80" s="101"/>
      <c r="K80" s="101"/>
      <c r="L80" s="101"/>
      <c r="M80" s="92"/>
      <c r="N80" s="92"/>
      <c r="O80" s="92"/>
    </row>
    <row r="81" spans="1:15" x14ac:dyDescent="0.3">
      <c r="A81" s="92" t="s">
        <v>551</v>
      </c>
      <c r="B81" s="92"/>
      <c r="C81" s="92"/>
      <c r="D81" s="92"/>
      <c r="E81" s="101"/>
      <c r="F81" s="92"/>
      <c r="G81" s="92"/>
      <c r="H81" s="92"/>
      <c r="I81" s="92"/>
      <c r="J81" s="101"/>
      <c r="K81" s="101"/>
      <c r="L81" s="101"/>
      <c r="M81" s="92"/>
      <c r="N81" s="92"/>
      <c r="O81" s="92"/>
    </row>
    <row r="82" spans="1:15" x14ac:dyDescent="0.3">
      <c r="A82" s="92" t="s">
        <v>552</v>
      </c>
      <c r="B82" s="92"/>
      <c r="C82" s="92"/>
      <c r="D82" s="92"/>
      <c r="E82" s="101"/>
      <c r="F82" s="92"/>
      <c r="G82" s="92"/>
      <c r="H82" s="92"/>
      <c r="I82" s="92"/>
      <c r="J82" s="101"/>
      <c r="K82" s="101"/>
      <c r="L82" s="101"/>
      <c r="M82" s="92"/>
      <c r="N82" s="92"/>
      <c r="O82" s="92"/>
    </row>
    <row r="83" spans="1:15" x14ac:dyDescent="0.3">
      <c r="A83" s="92" t="s">
        <v>553</v>
      </c>
      <c r="B83" s="92"/>
      <c r="C83" s="92"/>
      <c r="D83" s="92"/>
      <c r="E83" s="101"/>
      <c r="F83" s="92"/>
      <c r="G83" s="92"/>
      <c r="H83" s="92"/>
      <c r="I83" s="92"/>
      <c r="J83" s="101"/>
      <c r="K83" s="101"/>
      <c r="L83" s="101"/>
      <c r="M83" s="92"/>
      <c r="N83" s="92"/>
      <c r="O83" s="92"/>
    </row>
    <row r="84" spans="1:15" x14ac:dyDescent="0.3">
      <c r="A84" s="92" t="s">
        <v>554</v>
      </c>
      <c r="B84" s="92"/>
      <c r="C84" s="92"/>
      <c r="D84" s="92"/>
      <c r="E84" s="101"/>
      <c r="F84" s="92"/>
      <c r="G84" s="92"/>
      <c r="H84" s="92"/>
      <c r="I84" s="92"/>
      <c r="J84" s="101"/>
      <c r="K84" s="101"/>
      <c r="L84" s="101"/>
      <c r="M84" s="92"/>
      <c r="N84" s="92"/>
      <c r="O84" s="92"/>
    </row>
    <row r="85" spans="1:15" x14ac:dyDescent="0.3">
      <c r="A85" s="92" t="s">
        <v>555</v>
      </c>
      <c r="B85" s="92"/>
      <c r="C85" s="92"/>
      <c r="D85" s="92"/>
      <c r="E85" s="101"/>
      <c r="F85" s="92"/>
      <c r="G85" s="92"/>
      <c r="H85" s="92"/>
      <c r="I85" s="92"/>
      <c r="J85" s="101"/>
      <c r="K85" s="101"/>
      <c r="L85" s="101"/>
      <c r="M85" s="92"/>
      <c r="N85" s="92"/>
      <c r="O85" s="92"/>
    </row>
    <row r="86" spans="1:15" x14ac:dyDescent="0.3">
      <c r="A86" s="92" t="s">
        <v>556</v>
      </c>
      <c r="B86" s="92"/>
      <c r="C86" s="92"/>
      <c r="D86" s="92"/>
      <c r="E86" s="101"/>
      <c r="F86" s="92"/>
      <c r="G86" s="92"/>
      <c r="H86" s="92"/>
      <c r="I86" s="92"/>
      <c r="J86" s="101"/>
      <c r="K86" s="101"/>
      <c r="L86" s="101"/>
      <c r="M86" s="92"/>
      <c r="N86" s="92"/>
      <c r="O86" s="92"/>
    </row>
    <row r="87" spans="1:15" x14ac:dyDescent="0.3">
      <c r="A87" s="92" t="s">
        <v>557</v>
      </c>
      <c r="B87" s="92"/>
      <c r="C87" s="92"/>
      <c r="D87" s="92"/>
      <c r="E87" s="101"/>
      <c r="F87" s="92"/>
      <c r="G87" s="92"/>
      <c r="H87" s="92"/>
      <c r="I87" s="92"/>
      <c r="J87" s="101"/>
      <c r="K87" s="101"/>
      <c r="L87" s="101"/>
      <c r="M87" s="92"/>
      <c r="N87" s="92"/>
      <c r="O87" s="92"/>
    </row>
    <row r="88" spans="1:15" x14ac:dyDescent="0.3">
      <c r="A88" s="92" t="s">
        <v>558</v>
      </c>
      <c r="B88" s="92"/>
      <c r="C88" s="92"/>
      <c r="D88" s="92"/>
      <c r="E88" s="101"/>
      <c r="F88" s="92"/>
      <c r="G88" s="92"/>
      <c r="H88" s="92"/>
      <c r="I88" s="92"/>
      <c r="J88" s="101"/>
      <c r="K88" s="101"/>
      <c r="L88" s="101"/>
      <c r="M88" s="92"/>
      <c r="N88" s="92"/>
      <c r="O88" s="92"/>
    </row>
    <row r="89" spans="1:15" x14ac:dyDescent="0.3">
      <c r="A89" s="92" t="s">
        <v>559</v>
      </c>
      <c r="B89" s="92"/>
      <c r="C89" s="92"/>
      <c r="D89" s="92"/>
      <c r="E89" s="101"/>
      <c r="F89" s="92"/>
      <c r="G89" s="92"/>
      <c r="H89" s="92"/>
      <c r="I89" s="92"/>
      <c r="J89" s="101"/>
      <c r="K89" s="101"/>
      <c r="L89" s="101"/>
      <c r="M89" s="92"/>
      <c r="N89" s="92"/>
      <c r="O89" s="92"/>
    </row>
    <row r="90" spans="1:15" x14ac:dyDescent="0.3">
      <c r="A90" s="92" t="s">
        <v>560</v>
      </c>
      <c r="B90" s="92"/>
      <c r="C90" s="92"/>
      <c r="D90" s="92"/>
      <c r="E90" s="101"/>
      <c r="F90" s="92"/>
      <c r="G90" s="92"/>
      <c r="H90" s="92"/>
      <c r="I90" s="92"/>
      <c r="J90" s="101"/>
      <c r="K90" s="101"/>
      <c r="L90" s="101"/>
      <c r="M90" s="92"/>
      <c r="N90" s="92"/>
      <c r="O90" s="92"/>
    </row>
    <row r="91" spans="1:15" x14ac:dyDescent="0.3">
      <c r="A91" s="92" t="s">
        <v>561</v>
      </c>
      <c r="B91" s="92"/>
      <c r="C91" s="92"/>
      <c r="D91" s="92"/>
      <c r="E91" s="101"/>
      <c r="F91" s="92"/>
      <c r="G91" s="92"/>
      <c r="H91" s="92"/>
      <c r="I91" s="92"/>
      <c r="J91" s="101"/>
      <c r="K91" s="101"/>
      <c r="L91" s="101"/>
      <c r="M91" s="92"/>
      <c r="N91" s="92"/>
      <c r="O91" s="92"/>
    </row>
    <row r="92" spans="1:15" x14ac:dyDescent="0.3">
      <c r="A92" s="92" t="s">
        <v>562</v>
      </c>
      <c r="B92" s="92"/>
      <c r="C92" s="92"/>
      <c r="D92" s="92"/>
      <c r="E92" s="101"/>
      <c r="F92" s="92"/>
      <c r="G92" s="92"/>
      <c r="H92" s="92"/>
      <c r="I92" s="92"/>
      <c r="J92" s="101"/>
      <c r="K92" s="101"/>
      <c r="L92" s="101"/>
      <c r="M92" s="92"/>
      <c r="N92" s="92"/>
      <c r="O92" s="92"/>
    </row>
    <row r="93" spans="1:15" x14ac:dyDescent="0.3">
      <c r="A93" s="92" t="s">
        <v>563</v>
      </c>
      <c r="B93" s="92"/>
      <c r="C93" s="92"/>
      <c r="D93" s="92"/>
      <c r="E93" s="101"/>
      <c r="F93" s="92"/>
      <c r="G93" s="92"/>
      <c r="H93" s="92"/>
      <c r="I93" s="92"/>
      <c r="J93" s="101"/>
      <c r="K93" s="101"/>
      <c r="L93" s="101"/>
      <c r="M93" s="92"/>
      <c r="N93" s="92"/>
      <c r="O93" s="92"/>
    </row>
    <row r="94" spans="1:15" x14ac:dyDescent="0.3">
      <c r="A94" s="92" t="s">
        <v>564</v>
      </c>
      <c r="B94" s="92"/>
      <c r="C94" s="92"/>
      <c r="D94" s="92"/>
      <c r="E94" s="101"/>
      <c r="F94" s="92"/>
      <c r="G94" s="92"/>
      <c r="H94" s="92"/>
      <c r="I94" s="92"/>
      <c r="J94" s="101"/>
      <c r="K94" s="101"/>
      <c r="L94" s="101"/>
      <c r="M94" s="92"/>
      <c r="N94" s="92"/>
      <c r="O94" s="92"/>
    </row>
    <row r="95" spans="1:15" x14ac:dyDescent="0.3">
      <c r="A95" s="92" t="s">
        <v>565</v>
      </c>
      <c r="B95" s="92"/>
      <c r="C95" s="92"/>
      <c r="D95" s="92"/>
      <c r="E95" s="101"/>
      <c r="F95" s="92"/>
      <c r="G95" s="92"/>
      <c r="H95" s="92"/>
      <c r="I95" s="92"/>
      <c r="J95" s="101"/>
      <c r="K95" s="101"/>
      <c r="L95" s="101"/>
      <c r="M95" s="92"/>
      <c r="N95" s="92"/>
      <c r="O95" s="92"/>
    </row>
    <row r="96" spans="1:15" x14ac:dyDescent="0.3">
      <c r="A96" s="92" t="s">
        <v>566</v>
      </c>
      <c r="B96" s="92"/>
      <c r="C96" s="92"/>
      <c r="D96" s="92"/>
      <c r="E96" s="101"/>
      <c r="F96" s="92"/>
      <c r="G96" s="92"/>
      <c r="H96" s="92"/>
      <c r="I96" s="92"/>
      <c r="J96" s="101"/>
      <c r="K96" s="101"/>
      <c r="L96" s="101"/>
      <c r="M96" s="92"/>
      <c r="N96" s="92"/>
      <c r="O96" s="92"/>
    </row>
    <row r="97" spans="1:15" x14ac:dyDescent="0.3">
      <c r="A97" s="92" t="s">
        <v>567</v>
      </c>
      <c r="B97" s="92"/>
      <c r="C97" s="92"/>
      <c r="D97" s="92"/>
      <c r="E97" s="101"/>
      <c r="F97" s="92"/>
      <c r="G97" s="92"/>
      <c r="H97" s="92"/>
      <c r="I97" s="92"/>
      <c r="J97" s="101"/>
      <c r="K97" s="101"/>
      <c r="L97" s="101"/>
      <c r="M97" s="92"/>
      <c r="N97" s="92"/>
      <c r="O97" s="92"/>
    </row>
    <row r="98" spans="1:15" x14ac:dyDescent="0.3">
      <c r="A98" s="92" t="s">
        <v>568</v>
      </c>
      <c r="B98" s="92"/>
      <c r="C98" s="92"/>
      <c r="D98" s="92"/>
      <c r="E98" s="101"/>
      <c r="F98" s="92"/>
      <c r="G98" s="92"/>
      <c r="H98" s="92"/>
      <c r="I98" s="92"/>
      <c r="J98" s="101"/>
      <c r="K98" s="101"/>
      <c r="L98" s="101"/>
      <c r="M98" s="92"/>
      <c r="N98" s="92"/>
      <c r="O98" s="92"/>
    </row>
    <row r="99" spans="1:15" x14ac:dyDescent="0.3">
      <c r="A99" s="92" t="s">
        <v>569</v>
      </c>
      <c r="B99" s="92"/>
      <c r="C99" s="92"/>
      <c r="D99" s="92"/>
      <c r="E99" s="101"/>
      <c r="F99" s="92"/>
      <c r="G99" s="92"/>
      <c r="H99" s="92"/>
      <c r="I99" s="92"/>
      <c r="J99" s="101"/>
      <c r="K99" s="101"/>
      <c r="L99" s="101"/>
      <c r="M99" s="92"/>
      <c r="N99" s="92"/>
      <c r="O99" s="92"/>
    </row>
    <row r="100" spans="1:15" x14ac:dyDescent="0.3">
      <c r="A100" s="92" t="s">
        <v>570</v>
      </c>
      <c r="B100" s="92"/>
      <c r="C100" s="92"/>
      <c r="D100" s="92"/>
      <c r="E100" s="101"/>
      <c r="F100" s="92"/>
      <c r="G100" s="92"/>
      <c r="H100" s="92"/>
      <c r="I100" s="92"/>
      <c r="J100" s="101"/>
      <c r="K100" s="101"/>
      <c r="L100" s="101"/>
      <c r="M100" s="92"/>
      <c r="N100" s="92"/>
      <c r="O100" s="92"/>
    </row>
    <row r="101" spans="1:15" x14ac:dyDescent="0.3">
      <c r="A101" s="92" t="s">
        <v>571</v>
      </c>
      <c r="B101" s="92"/>
      <c r="C101" s="92"/>
      <c r="D101" s="92"/>
      <c r="E101" s="101"/>
      <c r="F101" s="92"/>
      <c r="G101" s="92"/>
      <c r="H101" s="92"/>
      <c r="I101" s="92"/>
      <c r="J101" s="101"/>
      <c r="K101" s="101"/>
      <c r="L101" s="101"/>
      <c r="M101" s="92"/>
      <c r="N101" s="92"/>
      <c r="O101" s="92"/>
    </row>
    <row r="102" spans="1:15" x14ac:dyDescent="0.3">
      <c r="A102" s="92" t="s">
        <v>572</v>
      </c>
      <c r="B102" s="92"/>
      <c r="C102" s="92"/>
      <c r="D102" s="92"/>
      <c r="E102" s="101"/>
      <c r="F102" s="92"/>
      <c r="G102" s="92"/>
      <c r="H102" s="92"/>
      <c r="I102" s="92"/>
      <c r="J102" s="101"/>
      <c r="K102" s="101"/>
      <c r="L102" s="101"/>
      <c r="M102" s="92"/>
      <c r="N102" s="92"/>
      <c r="O102" s="92"/>
    </row>
    <row r="103" spans="1:15" x14ac:dyDescent="0.3">
      <c r="A103" s="92" t="s">
        <v>573</v>
      </c>
      <c r="B103" s="92"/>
      <c r="C103" s="92"/>
      <c r="D103" s="92"/>
      <c r="E103" s="101"/>
      <c r="F103" s="92"/>
      <c r="G103" s="92"/>
      <c r="H103" s="92"/>
      <c r="I103" s="92"/>
      <c r="J103" s="101"/>
      <c r="K103" s="101"/>
      <c r="L103" s="101"/>
      <c r="M103" s="92"/>
      <c r="N103" s="92"/>
      <c r="O103" s="92"/>
    </row>
    <row r="104" spans="1:15" x14ac:dyDescent="0.3">
      <c r="A104" s="92" t="s">
        <v>574</v>
      </c>
      <c r="B104" s="92"/>
      <c r="C104" s="92"/>
      <c r="D104" s="92"/>
      <c r="E104" s="101"/>
      <c r="F104" s="92"/>
      <c r="G104" s="92"/>
      <c r="H104" s="92"/>
      <c r="I104" s="92"/>
      <c r="J104" s="101"/>
      <c r="K104" s="101"/>
      <c r="L104" s="101"/>
      <c r="M104" s="92"/>
      <c r="N104" s="92"/>
      <c r="O104" s="92"/>
    </row>
    <row r="105" spans="1:15" x14ac:dyDescent="0.3">
      <c r="A105" s="92" t="s">
        <v>575</v>
      </c>
      <c r="B105" s="92"/>
      <c r="C105" s="92"/>
      <c r="D105" s="92"/>
      <c r="E105" s="101"/>
      <c r="F105" s="92"/>
      <c r="G105" s="92"/>
      <c r="H105" s="92"/>
      <c r="I105" s="92"/>
      <c r="J105" s="101"/>
      <c r="K105" s="101"/>
      <c r="L105" s="101"/>
      <c r="M105" s="92"/>
      <c r="N105" s="92"/>
      <c r="O105" s="92"/>
    </row>
    <row r="106" spans="1:15" x14ac:dyDescent="0.3">
      <c r="A106" s="92" t="s">
        <v>576</v>
      </c>
      <c r="B106" s="92"/>
      <c r="C106" s="92"/>
      <c r="D106" s="92"/>
      <c r="E106" s="101"/>
      <c r="F106" s="92"/>
      <c r="G106" s="92"/>
      <c r="H106" s="92"/>
      <c r="I106" s="92"/>
      <c r="J106" s="101"/>
      <c r="K106" s="101"/>
      <c r="L106" s="101"/>
      <c r="M106" s="92"/>
      <c r="N106" s="92"/>
      <c r="O106" s="92"/>
    </row>
    <row r="107" spans="1:15" x14ac:dyDescent="0.3">
      <c r="A107" s="92" t="s">
        <v>577</v>
      </c>
      <c r="B107" s="92"/>
      <c r="C107" s="92"/>
      <c r="D107" s="92"/>
      <c r="E107" s="101"/>
      <c r="F107" s="92"/>
      <c r="G107" s="92"/>
      <c r="H107" s="92"/>
      <c r="I107" s="92"/>
      <c r="J107" s="101"/>
      <c r="K107" s="101"/>
      <c r="L107" s="101"/>
      <c r="M107" s="92"/>
      <c r="N107" s="92"/>
      <c r="O107" s="92"/>
    </row>
    <row r="108" spans="1:15" x14ac:dyDescent="0.3">
      <c r="A108" s="92" t="s">
        <v>578</v>
      </c>
      <c r="B108" s="92"/>
      <c r="C108" s="92"/>
      <c r="D108" s="92"/>
      <c r="E108" s="101"/>
      <c r="F108" s="92"/>
      <c r="G108" s="92"/>
      <c r="H108" s="92"/>
      <c r="I108" s="92"/>
      <c r="J108" s="101"/>
      <c r="K108" s="101"/>
      <c r="L108" s="101"/>
      <c r="M108" s="92"/>
      <c r="N108" s="92"/>
      <c r="O108" s="92"/>
    </row>
    <row r="109" spans="1:15" x14ac:dyDescent="0.3">
      <c r="A109" s="92" t="s">
        <v>579</v>
      </c>
      <c r="B109" s="92"/>
      <c r="C109" s="92"/>
      <c r="D109" s="92"/>
      <c r="E109" s="101"/>
      <c r="F109" s="92"/>
      <c r="G109" s="92"/>
      <c r="H109" s="92"/>
      <c r="I109" s="92"/>
      <c r="J109" s="101"/>
      <c r="K109" s="101"/>
      <c r="L109" s="101"/>
      <c r="M109" s="92"/>
      <c r="N109" s="92"/>
      <c r="O109" s="92"/>
    </row>
    <row r="110" spans="1:15" x14ac:dyDescent="0.3">
      <c r="A110" s="92" t="s">
        <v>580</v>
      </c>
      <c r="B110" s="92"/>
      <c r="C110" s="92"/>
      <c r="D110" s="92"/>
      <c r="E110" s="101"/>
      <c r="F110" s="92"/>
      <c r="G110" s="92"/>
      <c r="H110" s="92"/>
      <c r="I110" s="92"/>
      <c r="J110" s="101"/>
      <c r="K110" s="101"/>
      <c r="L110" s="101"/>
      <c r="M110" s="92"/>
      <c r="N110" s="92"/>
      <c r="O110" s="92"/>
    </row>
    <row r="111" spans="1:15" x14ac:dyDescent="0.3">
      <c r="A111" s="92" t="s">
        <v>581</v>
      </c>
      <c r="B111" s="92"/>
      <c r="C111" s="92"/>
      <c r="D111" s="92"/>
      <c r="E111" s="101"/>
      <c r="F111" s="92"/>
      <c r="G111" s="92"/>
      <c r="H111" s="92"/>
      <c r="I111" s="92"/>
      <c r="J111" s="101"/>
      <c r="K111" s="101"/>
      <c r="L111" s="101"/>
      <c r="M111" s="92"/>
      <c r="N111" s="92"/>
      <c r="O111" s="92"/>
    </row>
    <row r="112" spans="1:15" x14ac:dyDescent="0.3">
      <c r="A112" s="92" t="s">
        <v>582</v>
      </c>
      <c r="B112" s="92"/>
      <c r="C112" s="92"/>
      <c r="D112" s="92"/>
      <c r="E112" s="101"/>
      <c r="F112" s="92"/>
      <c r="G112" s="92"/>
      <c r="H112" s="92"/>
      <c r="I112" s="92"/>
      <c r="J112" s="101"/>
      <c r="K112" s="101"/>
      <c r="L112" s="101"/>
      <c r="M112" s="92"/>
      <c r="N112" s="92"/>
      <c r="O112" s="92"/>
    </row>
    <row r="113" spans="1:15" x14ac:dyDescent="0.3">
      <c r="A113" s="92" t="s">
        <v>583</v>
      </c>
      <c r="B113" s="92"/>
      <c r="C113" s="92"/>
      <c r="D113" s="92"/>
      <c r="E113" s="101"/>
      <c r="F113" s="92"/>
      <c r="G113" s="92"/>
      <c r="H113" s="92"/>
      <c r="I113" s="92"/>
      <c r="J113" s="101"/>
      <c r="K113" s="101"/>
      <c r="L113" s="101"/>
      <c r="M113" s="92"/>
      <c r="N113" s="92"/>
      <c r="O113" s="92"/>
    </row>
    <row r="114" spans="1:15" x14ac:dyDescent="0.3">
      <c r="A114" s="92" t="s">
        <v>584</v>
      </c>
      <c r="B114" s="92"/>
      <c r="C114" s="92"/>
      <c r="D114" s="92"/>
      <c r="E114" s="101"/>
      <c r="F114" s="92"/>
      <c r="G114" s="92"/>
      <c r="H114" s="92"/>
      <c r="I114" s="92"/>
      <c r="J114" s="101"/>
      <c r="K114" s="101"/>
      <c r="L114" s="101"/>
      <c r="M114" s="92"/>
      <c r="N114" s="92"/>
      <c r="O114" s="92"/>
    </row>
    <row r="115" spans="1:15" x14ac:dyDescent="0.3">
      <c r="A115" s="92" t="s">
        <v>585</v>
      </c>
      <c r="B115" s="92"/>
      <c r="C115" s="92"/>
      <c r="D115" s="92"/>
      <c r="E115" s="101"/>
      <c r="F115" s="92"/>
      <c r="G115" s="92"/>
      <c r="H115" s="92"/>
      <c r="I115" s="92"/>
      <c r="J115" s="101"/>
      <c r="K115" s="101"/>
      <c r="L115" s="101"/>
      <c r="M115" s="92"/>
      <c r="N115" s="92"/>
      <c r="O115" s="92"/>
    </row>
    <row r="116" spans="1:15" x14ac:dyDescent="0.3">
      <c r="A116" s="92" t="s">
        <v>586</v>
      </c>
      <c r="B116" s="92"/>
      <c r="C116" s="92"/>
      <c r="D116" s="92"/>
      <c r="E116" s="101"/>
      <c r="F116" s="92"/>
      <c r="G116" s="92"/>
      <c r="H116" s="92"/>
      <c r="I116" s="92"/>
      <c r="J116" s="101"/>
      <c r="K116" s="101"/>
      <c r="L116" s="101"/>
      <c r="M116" s="92"/>
      <c r="N116" s="92"/>
      <c r="O116" s="92"/>
    </row>
    <row r="117" spans="1:15" x14ac:dyDescent="0.3">
      <c r="A117" s="92" t="s">
        <v>587</v>
      </c>
      <c r="B117" s="92"/>
      <c r="C117" s="92"/>
      <c r="D117" s="92"/>
      <c r="E117" s="101"/>
      <c r="F117" s="92"/>
      <c r="G117" s="92"/>
      <c r="H117" s="92"/>
      <c r="I117" s="92"/>
      <c r="J117" s="101"/>
      <c r="K117" s="101"/>
      <c r="L117" s="101"/>
      <c r="M117" s="92"/>
      <c r="N117" s="92"/>
      <c r="O117" s="92"/>
    </row>
    <row r="118" spans="1:15" x14ac:dyDescent="0.3">
      <c r="A118" s="92" t="s">
        <v>588</v>
      </c>
      <c r="B118" s="92"/>
      <c r="C118" s="92"/>
      <c r="D118" s="92"/>
      <c r="E118" s="101"/>
      <c r="F118" s="92"/>
      <c r="G118" s="92"/>
      <c r="H118" s="92"/>
      <c r="I118" s="92"/>
      <c r="J118" s="101"/>
      <c r="K118" s="101"/>
      <c r="L118" s="101"/>
      <c r="M118" s="92"/>
      <c r="N118" s="92"/>
      <c r="O118" s="92"/>
    </row>
    <row r="119" spans="1:15" x14ac:dyDescent="0.3">
      <c r="A119" s="92" t="s">
        <v>589</v>
      </c>
      <c r="B119" s="92"/>
      <c r="C119" s="92"/>
      <c r="D119" s="92"/>
      <c r="E119" s="101"/>
      <c r="F119" s="92"/>
      <c r="G119" s="92"/>
      <c r="H119" s="92"/>
      <c r="I119" s="92"/>
      <c r="J119" s="101"/>
      <c r="K119" s="101"/>
      <c r="L119" s="101"/>
      <c r="M119" s="92"/>
      <c r="N119" s="92"/>
      <c r="O119" s="92"/>
    </row>
    <row r="120" spans="1:15" x14ac:dyDescent="0.3">
      <c r="A120" s="92" t="s">
        <v>590</v>
      </c>
      <c r="B120" s="92"/>
      <c r="C120" s="92"/>
      <c r="D120" s="92"/>
      <c r="E120" s="101"/>
      <c r="F120" s="92"/>
      <c r="G120" s="92"/>
      <c r="H120" s="92"/>
      <c r="I120" s="92"/>
      <c r="J120" s="101"/>
      <c r="K120" s="101"/>
      <c r="L120" s="101"/>
      <c r="M120" s="92"/>
      <c r="N120" s="92"/>
      <c r="O120" s="92"/>
    </row>
    <row r="121" spans="1:15" x14ac:dyDescent="0.3">
      <c r="A121" s="92" t="s">
        <v>591</v>
      </c>
      <c r="B121" s="92"/>
      <c r="C121" s="92"/>
      <c r="D121" s="92"/>
      <c r="E121" s="101"/>
      <c r="F121" s="92"/>
      <c r="G121" s="92"/>
      <c r="H121" s="92"/>
      <c r="I121" s="92"/>
      <c r="J121" s="101"/>
      <c r="K121" s="101"/>
      <c r="L121" s="101"/>
      <c r="M121" s="92"/>
      <c r="N121" s="92"/>
      <c r="O121" s="92"/>
    </row>
    <row r="122" spans="1:15" x14ac:dyDescent="0.3">
      <c r="A122" s="92" t="s">
        <v>592</v>
      </c>
      <c r="B122" s="92"/>
      <c r="C122" s="92"/>
      <c r="D122" s="92"/>
      <c r="E122" s="101"/>
      <c r="F122" s="92"/>
      <c r="G122" s="92"/>
      <c r="H122" s="92"/>
      <c r="I122" s="92"/>
      <c r="J122" s="101"/>
      <c r="K122" s="101"/>
      <c r="L122" s="101"/>
      <c r="M122" s="92"/>
      <c r="N122" s="92"/>
      <c r="O122" s="92"/>
    </row>
    <row r="123" spans="1:15" x14ac:dyDescent="0.3">
      <c r="A123" s="92" t="s">
        <v>593</v>
      </c>
      <c r="B123" s="92"/>
      <c r="C123" s="92"/>
      <c r="D123" s="92"/>
      <c r="E123" s="101"/>
      <c r="F123" s="92"/>
      <c r="G123" s="92"/>
      <c r="H123" s="92"/>
      <c r="I123" s="92"/>
      <c r="J123" s="101"/>
      <c r="K123" s="101"/>
      <c r="L123" s="101"/>
      <c r="M123" s="92"/>
      <c r="N123" s="92"/>
      <c r="O123" s="92"/>
    </row>
    <row r="124" spans="1:15" x14ac:dyDescent="0.3">
      <c r="A124" s="92" t="s">
        <v>594</v>
      </c>
      <c r="B124" s="92"/>
      <c r="C124" s="92"/>
      <c r="D124" s="92"/>
      <c r="E124" s="101"/>
      <c r="F124" s="92"/>
      <c r="G124" s="92"/>
      <c r="H124" s="92"/>
      <c r="I124" s="92"/>
      <c r="J124" s="101"/>
      <c r="K124" s="101"/>
      <c r="L124" s="101"/>
      <c r="M124" s="92"/>
      <c r="N124" s="92"/>
      <c r="O124" s="92"/>
    </row>
    <row r="125" spans="1:15" x14ac:dyDescent="0.3">
      <c r="A125" s="92" t="s">
        <v>595</v>
      </c>
      <c r="B125" s="92"/>
      <c r="C125" s="92"/>
      <c r="D125" s="92"/>
      <c r="E125" s="101"/>
      <c r="F125" s="92"/>
      <c r="G125" s="92"/>
      <c r="H125" s="92"/>
      <c r="I125" s="92"/>
      <c r="J125" s="101"/>
      <c r="K125" s="101"/>
      <c r="L125" s="101"/>
      <c r="M125" s="92"/>
      <c r="N125" s="92"/>
      <c r="O125" s="92"/>
    </row>
    <row r="126" spans="1:15" x14ac:dyDescent="0.3">
      <c r="A126" s="92" t="s">
        <v>596</v>
      </c>
      <c r="B126" s="92"/>
      <c r="C126" s="92"/>
      <c r="D126" s="92"/>
      <c r="E126" s="101"/>
      <c r="F126" s="92"/>
      <c r="G126" s="92"/>
      <c r="H126" s="92"/>
      <c r="I126" s="92"/>
      <c r="J126" s="101"/>
      <c r="K126" s="101"/>
      <c r="L126" s="101"/>
      <c r="M126" s="92"/>
      <c r="N126" s="92"/>
      <c r="O126" s="92"/>
    </row>
    <row r="127" spans="1:15" x14ac:dyDescent="0.3">
      <c r="A127" s="92" t="s">
        <v>597</v>
      </c>
      <c r="B127" s="92"/>
      <c r="C127" s="92"/>
      <c r="D127" s="92"/>
      <c r="E127" s="101"/>
      <c r="F127" s="92"/>
      <c r="G127" s="92"/>
      <c r="H127" s="92"/>
      <c r="I127" s="92"/>
      <c r="J127" s="101"/>
      <c r="K127" s="101"/>
      <c r="L127" s="101"/>
      <c r="M127" s="92"/>
      <c r="N127" s="92"/>
      <c r="O127" s="92"/>
    </row>
    <row r="128" spans="1:15" x14ac:dyDescent="0.3">
      <c r="A128" s="92" t="s">
        <v>598</v>
      </c>
      <c r="B128" s="92"/>
      <c r="C128" s="92"/>
      <c r="D128" s="92"/>
      <c r="E128" s="101"/>
      <c r="F128" s="92"/>
      <c r="G128" s="92"/>
      <c r="H128" s="92"/>
      <c r="I128" s="92"/>
      <c r="J128" s="101"/>
      <c r="K128" s="101"/>
      <c r="L128" s="101"/>
      <c r="M128" s="92"/>
      <c r="N128" s="92"/>
      <c r="O128" s="92"/>
    </row>
    <row r="129" spans="1:15" x14ac:dyDescent="0.3">
      <c r="A129" s="92" t="s">
        <v>599</v>
      </c>
      <c r="B129" s="92"/>
      <c r="C129" s="92"/>
      <c r="D129" s="92"/>
      <c r="E129" s="101"/>
      <c r="F129" s="92"/>
      <c r="G129" s="92"/>
      <c r="H129" s="92"/>
      <c r="I129" s="92"/>
      <c r="J129" s="101"/>
      <c r="K129" s="101"/>
      <c r="L129" s="101"/>
      <c r="M129" s="92"/>
      <c r="N129" s="92"/>
      <c r="O129" s="92"/>
    </row>
    <row r="130" spans="1:15" x14ac:dyDescent="0.3">
      <c r="A130" s="92" t="s">
        <v>600</v>
      </c>
      <c r="B130" s="92"/>
      <c r="C130" s="92"/>
      <c r="D130" s="92"/>
      <c r="E130" s="101"/>
      <c r="F130" s="92"/>
      <c r="G130" s="92"/>
      <c r="H130" s="92"/>
      <c r="I130" s="92"/>
      <c r="J130" s="101"/>
      <c r="K130" s="101"/>
      <c r="L130" s="101"/>
      <c r="M130" s="92"/>
      <c r="N130" s="92"/>
      <c r="O130" s="92"/>
    </row>
    <row r="131" spans="1:15" x14ac:dyDescent="0.3">
      <c r="A131" s="92" t="s">
        <v>601</v>
      </c>
      <c r="B131" s="92"/>
      <c r="C131" s="92"/>
      <c r="D131" s="92"/>
      <c r="E131" s="101"/>
      <c r="F131" s="92"/>
      <c r="G131" s="92"/>
      <c r="H131" s="92"/>
      <c r="I131" s="92"/>
      <c r="J131" s="101"/>
      <c r="K131" s="101"/>
      <c r="L131" s="101"/>
      <c r="M131" s="92"/>
      <c r="N131" s="92"/>
      <c r="O131" s="92"/>
    </row>
    <row r="132" spans="1:15" x14ac:dyDescent="0.3">
      <c r="A132" s="92" t="s">
        <v>602</v>
      </c>
      <c r="B132" s="92"/>
      <c r="C132" s="92"/>
      <c r="D132" s="92"/>
      <c r="E132" s="101"/>
      <c r="F132" s="92"/>
      <c r="G132" s="92"/>
      <c r="H132" s="92"/>
      <c r="I132" s="92"/>
      <c r="J132" s="101"/>
      <c r="K132" s="101"/>
      <c r="L132" s="101"/>
      <c r="M132" s="92"/>
      <c r="N132" s="92"/>
      <c r="O132" s="92"/>
    </row>
    <row r="133" spans="1:15" x14ac:dyDescent="0.3">
      <c r="A133" s="92" t="s">
        <v>603</v>
      </c>
      <c r="B133" s="92"/>
      <c r="C133" s="92"/>
      <c r="D133" s="92"/>
      <c r="E133" s="101"/>
      <c r="F133" s="92"/>
      <c r="G133" s="92"/>
      <c r="H133" s="92"/>
      <c r="I133" s="92"/>
      <c r="J133" s="101"/>
      <c r="K133" s="101"/>
      <c r="L133" s="101"/>
      <c r="M133" s="92"/>
      <c r="N133" s="92"/>
      <c r="O133" s="92"/>
    </row>
    <row r="134" spans="1:15" x14ac:dyDescent="0.3">
      <c r="A134" s="92" t="s">
        <v>604</v>
      </c>
      <c r="B134" s="92"/>
      <c r="C134" s="92"/>
      <c r="D134" s="92"/>
      <c r="E134" s="101"/>
      <c r="F134" s="92"/>
      <c r="G134" s="92"/>
      <c r="H134" s="92"/>
      <c r="I134" s="92"/>
      <c r="J134" s="101"/>
      <c r="K134" s="101"/>
      <c r="L134" s="101"/>
      <c r="M134" s="92"/>
      <c r="N134" s="92"/>
      <c r="O134" s="92"/>
    </row>
    <row r="135" spans="1:15" x14ac:dyDescent="0.3">
      <c r="A135" s="92" t="s">
        <v>605</v>
      </c>
      <c r="B135" s="92"/>
      <c r="C135" s="92"/>
      <c r="D135" s="92"/>
      <c r="E135" s="101"/>
      <c r="F135" s="92"/>
      <c r="G135" s="92"/>
      <c r="H135" s="92"/>
      <c r="I135" s="92"/>
      <c r="J135" s="101"/>
      <c r="K135" s="101"/>
      <c r="L135" s="101"/>
      <c r="M135" s="92"/>
      <c r="N135" s="92"/>
      <c r="O135" s="92"/>
    </row>
    <row r="136" spans="1:15" x14ac:dyDescent="0.3">
      <c r="A136" s="92" t="s">
        <v>606</v>
      </c>
      <c r="B136" s="92"/>
      <c r="C136" s="92"/>
      <c r="D136" s="92"/>
      <c r="E136" s="101"/>
      <c r="F136" s="92"/>
      <c r="G136" s="92"/>
      <c r="H136" s="92"/>
      <c r="I136" s="92"/>
      <c r="J136" s="101"/>
      <c r="K136" s="101"/>
      <c r="L136" s="101"/>
      <c r="M136" s="92"/>
      <c r="N136" s="92"/>
      <c r="O136" s="92"/>
    </row>
    <row r="137" spans="1:15" x14ac:dyDescent="0.3">
      <c r="A137" s="92" t="s">
        <v>607</v>
      </c>
      <c r="B137" s="92"/>
      <c r="C137" s="92"/>
      <c r="D137" s="92"/>
      <c r="E137" s="101"/>
      <c r="F137" s="92"/>
      <c r="G137" s="92"/>
      <c r="H137" s="92"/>
      <c r="I137" s="92"/>
      <c r="J137" s="101"/>
      <c r="K137" s="101"/>
      <c r="L137" s="101"/>
      <c r="M137" s="92"/>
      <c r="N137" s="92"/>
      <c r="O137" s="92"/>
    </row>
    <row r="138" spans="1:15" x14ac:dyDescent="0.3">
      <c r="A138" s="92" t="s">
        <v>608</v>
      </c>
      <c r="B138" s="92"/>
      <c r="C138" s="92"/>
      <c r="D138" s="92"/>
      <c r="E138" s="101"/>
      <c r="F138" s="92"/>
      <c r="G138" s="92"/>
      <c r="H138" s="92"/>
      <c r="I138" s="92"/>
      <c r="J138" s="101"/>
      <c r="K138" s="101"/>
      <c r="L138" s="101"/>
      <c r="M138" s="92"/>
      <c r="N138" s="92"/>
      <c r="O138" s="92"/>
    </row>
    <row r="139" spans="1:15" x14ac:dyDescent="0.3">
      <c r="A139" s="92" t="s">
        <v>609</v>
      </c>
      <c r="B139" s="92"/>
      <c r="C139" s="92"/>
      <c r="D139" s="92"/>
      <c r="E139" s="101"/>
      <c r="F139" s="92"/>
      <c r="G139" s="92"/>
      <c r="H139" s="92"/>
      <c r="I139" s="92"/>
      <c r="J139" s="101"/>
      <c r="K139" s="101"/>
      <c r="L139" s="101"/>
      <c r="M139" s="92"/>
      <c r="N139" s="92"/>
      <c r="O139" s="92"/>
    </row>
    <row r="140" spans="1:15" x14ac:dyDescent="0.3">
      <c r="A140" s="92" t="s">
        <v>610</v>
      </c>
      <c r="B140" s="92"/>
      <c r="C140" s="92"/>
      <c r="D140" s="92"/>
      <c r="E140" s="101"/>
      <c r="F140" s="92"/>
      <c r="G140" s="92"/>
      <c r="H140" s="92"/>
      <c r="I140" s="92"/>
      <c r="J140" s="101"/>
      <c r="K140" s="101"/>
      <c r="L140" s="101"/>
      <c r="M140" s="92"/>
      <c r="N140" s="92"/>
      <c r="O140" s="92"/>
    </row>
    <row r="141" spans="1:15" x14ac:dyDescent="0.3">
      <c r="A141" s="92" t="s">
        <v>611</v>
      </c>
      <c r="B141" s="92"/>
      <c r="C141" s="92"/>
      <c r="D141" s="92"/>
      <c r="E141" s="101"/>
      <c r="F141" s="92"/>
      <c r="G141" s="92"/>
      <c r="H141" s="92"/>
      <c r="I141" s="92"/>
      <c r="J141" s="101"/>
      <c r="K141" s="101"/>
      <c r="L141" s="101"/>
      <c r="M141" s="92"/>
      <c r="N141" s="92"/>
      <c r="O141" s="92"/>
    </row>
    <row r="142" spans="1:15" x14ac:dyDescent="0.3">
      <c r="A142" s="92" t="s">
        <v>612</v>
      </c>
      <c r="B142" s="92"/>
      <c r="C142" s="92"/>
      <c r="D142" s="92"/>
      <c r="E142" s="101"/>
      <c r="F142" s="92"/>
      <c r="G142" s="92"/>
      <c r="H142" s="92"/>
      <c r="I142" s="92"/>
      <c r="J142" s="101"/>
      <c r="K142" s="101"/>
      <c r="L142" s="101"/>
      <c r="M142" s="92"/>
      <c r="N142" s="92"/>
      <c r="O142" s="92"/>
    </row>
    <row r="143" spans="1:15" x14ac:dyDescent="0.3">
      <c r="A143" s="92" t="s">
        <v>613</v>
      </c>
      <c r="B143" s="92"/>
      <c r="C143" s="92"/>
      <c r="D143" s="92"/>
      <c r="E143" s="101"/>
      <c r="F143" s="92"/>
      <c r="G143" s="92"/>
      <c r="H143" s="92"/>
      <c r="I143" s="92"/>
      <c r="J143" s="101"/>
      <c r="K143" s="101"/>
      <c r="L143" s="101"/>
      <c r="M143" s="92"/>
      <c r="N143" s="92"/>
      <c r="O143" s="92"/>
    </row>
    <row r="144" spans="1:15" x14ac:dyDescent="0.3">
      <c r="A144" s="92" t="s">
        <v>614</v>
      </c>
      <c r="B144" s="92"/>
      <c r="C144" s="92"/>
      <c r="D144" s="92"/>
      <c r="E144" s="101"/>
      <c r="F144" s="92"/>
      <c r="G144" s="92"/>
      <c r="H144" s="92"/>
      <c r="I144" s="92"/>
      <c r="J144" s="101"/>
      <c r="K144" s="101"/>
      <c r="L144" s="101"/>
      <c r="M144" s="92"/>
      <c r="N144" s="92"/>
      <c r="O144" s="92"/>
    </row>
    <row r="145" spans="1:15" x14ac:dyDescent="0.3">
      <c r="A145" s="92" t="s">
        <v>615</v>
      </c>
      <c r="B145" s="92"/>
      <c r="C145" s="92"/>
      <c r="D145" s="92"/>
      <c r="E145" s="101"/>
      <c r="F145" s="92"/>
      <c r="G145" s="92"/>
      <c r="H145" s="92"/>
      <c r="I145" s="92"/>
      <c r="J145" s="101"/>
      <c r="K145" s="101"/>
      <c r="L145" s="101"/>
      <c r="M145" s="92"/>
      <c r="N145" s="92"/>
      <c r="O145" s="92"/>
    </row>
    <row r="146" spans="1:15" x14ac:dyDescent="0.3">
      <c r="A146" s="92" t="s">
        <v>616</v>
      </c>
      <c r="B146" s="92"/>
      <c r="C146" s="92"/>
      <c r="D146" s="92"/>
      <c r="E146" s="101"/>
      <c r="F146" s="92"/>
      <c r="G146" s="92"/>
      <c r="H146" s="92"/>
      <c r="I146" s="92"/>
      <c r="J146" s="101"/>
      <c r="K146" s="101"/>
      <c r="L146" s="101"/>
      <c r="M146" s="92"/>
      <c r="N146" s="92"/>
      <c r="O146" s="92"/>
    </row>
    <row r="147" spans="1:15" x14ac:dyDescent="0.3">
      <c r="A147" s="92" t="s">
        <v>617</v>
      </c>
      <c r="B147" s="92"/>
      <c r="C147" s="92"/>
      <c r="D147" s="92"/>
      <c r="E147" s="101"/>
      <c r="F147" s="92"/>
      <c r="G147" s="92"/>
      <c r="H147" s="92"/>
      <c r="I147" s="92"/>
      <c r="J147" s="101"/>
      <c r="K147" s="101"/>
      <c r="L147" s="101"/>
      <c r="M147" s="92"/>
      <c r="N147" s="92"/>
      <c r="O147" s="92"/>
    </row>
    <row r="148" spans="1:15" x14ac:dyDescent="0.3">
      <c r="A148" s="92" t="s">
        <v>618</v>
      </c>
      <c r="B148" s="92"/>
      <c r="C148" s="92"/>
      <c r="D148" s="92"/>
      <c r="E148" s="101"/>
      <c r="F148" s="92"/>
      <c r="G148" s="92"/>
      <c r="H148" s="92"/>
      <c r="I148" s="92"/>
      <c r="J148" s="101"/>
      <c r="K148" s="101"/>
      <c r="L148" s="101"/>
      <c r="M148" s="92"/>
      <c r="N148" s="92"/>
      <c r="O148" s="92"/>
    </row>
    <row r="149" spans="1:15" x14ac:dyDescent="0.3">
      <c r="A149" s="92" t="s">
        <v>619</v>
      </c>
      <c r="B149" s="92"/>
      <c r="C149" s="92"/>
      <c r="D149" s="92"/>
      <c r="E149" s="101"/>
      <c r="F149" s="92"/>
      <c r="G149" s="92"/>
      <c r="H149" s="92"/>
      <c r="I149" s="92"/>
      <c r="J149" s="101"/>
      <c r="K149" s="101"/>
      <c r="L149" s="101"/>
      <c r="M149" s="92"/>
      <c r="N149" s="92"/>
      <c r="O149" s="92"/>
    </row>
    <row r="150" spans="1:15" x14ac:dyDescent="0.3">
      <c r="A150" s="92" t="s">
        <v>620</v>
      </c>
      <c r="B150" s="92"/>
      <c r="C150" s="92"/>
      <c r="D150" s="92"/>
      <c r="E150" s="101"/>
      <c r="F150" s="92"/>
      <c r="G150" s="92"/>
      <c r="H150" s="92"/>
      <c r="I150" s="92"/>
      <c r="J150" s="101"/>
      <c r="K150" s="101"/>
      <c r="L150" s="101"/>
      <c r="M150" s="92"/>
      <c r="N150" s="92"/>
      <c r="O150" s="92"/>
    </row>
    <row r="151" spans="1:15" x14ac:dyDescent="0.3">
      <c r="A151" s="92" t="s">
        <v>621</v>
      </c>
      <c r="B151" s="92"/>
      <c r="C151" s="92"/>
      <c r="D151" s="92"/>
      <c r="E151" s="101"/>
      <c r="F151" s="92"/>
      <c r="G151" s="92"/>
      <c r="H151" s="92"/>
      <c r="I151" s="92"/>
      <c r="J151" s="101"/>
      <c r="K151" s="101"/>
      <c r="L151" s="101"/>
      <c r="M151" s="92"/>
      <c r="N151" s="92"/>
      <c r="O151" s="92"/>
    </row>
    <row r="152" spans="1:15" x14ac:dyDescent="0.3">
      <c r="A152" s="92" t="s">
        <v>622</v>
      </c>
      <c r="B152" s="92"/>
      <c r="C152" s="92"/>
      <c r="D152" s="92"/>
      <c r="E152" s="101"/>
      <c r="F152" s="92"/>
      <c r="G152" s="92"/>
      <c r="H152" s="92"/>
      <c r="I152" s="92"/>
      <c r="J152" s="101"/>
      <c r="K152" s="101"/>
      <c r="L152" s="101"/>
      <c r="M152" s="92"/>
      <c r="N152" s="92"/>
      <c r="O152" s="92"/>
    </row>
    <row r="153" spans="1:15" x14ac:dyDescent="0.3">
      <c r="A153" s="92" t="s">
        <v>623</v>
      </c>
      <c r="B153" s="92"/>
      <c r="C153" s="92"/>
      <c r="D153" s="92"/>
      <c r="E153" s="101"/>
      <c r="F153" s="92"/>
      <c r="G153" s="92"/>
      <c r="H153" s="92"/>
      <c r="I153" s="92"/>
      <c r="J153" s="101"/>
      <c r="K153" s="101"/>
      <c r="L153" s="101"/>
      <c r="M153" s="92"/>
      <c r="N153" s="92"/>
      <c r="O153" s="92"/>
    </row>
    <row r="154" spans="1:15" x14ac:dyDescent="0.3">
      <c r="A154" s="92" t="s">
        <v>624</v>
      </c>
      <c r="B154" s="92"/>
      <c r="C154" s="92"/>
      <c r="D154" s="92"/>
      <c r="E154" s="101"/>
      <c r="F154" s="92"/>
      <c r="G154" s="92"/>
      <c r="H154" s="92"/>
      <c r="I154" s="92"/>
      <c r="J154" s="101"/>
      <c r="K154" s="101"/>
      <c r="L154" s="101"/>
      <c r="M154" s="92"/>
      <c r="N154" s="92"/>
      <c r="O154" s="92"/>
    </row>
    <row r="155" spans="1:15" x14ac:dyDescent="0.3">
      <c r="A155" s="92" t="s">
        <v>625</v>
      </c>
      <c r="B155" s="92"/>
      <c r="C155" s="92"/>
      <c r="D155" s="92"/>
      <c r="E155" s="101"/>
      <c r="F155" s="92"/>
      <c r="G155" s="92"/>
      <c r="H155" s="92"/>
      <c r="I155" s="92"/>
      <c r="J155" s="101"/>
      <c r="K155" s="101"/>
      <c r="L155" s="101"/>
      <c r="M155" s="92"/>
      <c r="N155" s="92"/>
      <c r="O155" s="92"/>
    </row>
    <row r="156" spans="1:15" x14ac:dyDescent="0.3">
      <c r="A156" s="92" t="s">
        <v>626</v>
      </c>
      <c r="B156" s="92"/>
      <c r="C156" s="92"/>
      <c r="D156" s="92"/>
      <c r="E156" s="101"/>
      <c r="F156" s="92"/>
      <c r="G156" s="92"/>
      <c r="H156" s="92"/>
      <c r="I156" s="92"/>
      <c r="J156" s="101"/>
      <c r="K156" s="101"/>
      <c r="L156" s="101"/>
      <c r="M156" s="92"/>
      <c r="N156" s="92"/>
      <c r="O156" s="92"/>
    </row>
    <row r="157" spans="1:15" x14ac:dyDescent="0.3">
      <c r="A157" s="92" t="s">
        <v>627</v>
      </c>
      <c r="B157" s="92"/>
      <c r="C157" s="92"/>
      <c r="D157" s="92"/>
      <c r="E157" s="101"/>
      <c r="F157" s="92"/>
      <c r="G157" s="92"/>
      <c r="H157" s="92"/>
      <c r="I157" s="92"/>
      <c r="J157" s="101"/>
      <c r="K157" s="101"/>
      <c r="L157" s="101"/>
      <c r="M157" s="92"/>
      <c r="N157" s="92"/>
      <c r="O157" s="92"/>
    </row>
    <row r="158" spans="1:15" x14ac:dyDescent="0.3">
      <c r="A158" s="92" t="s">
        <v>628</v>
      </c>
      <c r="B158" s="92"/>
      <c r="C158" s="92"/>
      <c r="D158" s="92"/>
      <c r="E158" s="101"/>
      <c r="F158" s="92"/>
      <c r="G158" s="92"/>
      <c r="H158" s="92"/>
      <c r="I158" s="92"/>
      <c r="J158" s="101"/>
      <c r="K158" s="101"/>
      <c r="L158" s="101"/>
      <c r="M158" s="92"/>
      <c r="N158" s="92"/>
      <c r="O158" s="92"/>
    </row>
    <row r="159" spans="1:15" x14ac:dyDescent="0.3">
      <c r="A159" s="92" t="s">
        <v>629</v>
      </c>
      <c r="B159" s="92"/>
      <c r="C159" s="92"/>
      <c r="D159" s="92"/>
      <c r="E159" s="101"/>
      <c r="F159" s="92"/>
      <c r="G159" s="92"/>
      <c r="H159" s="92"/>
      <c r="I159" s="92"/>
      <c r="J159" s="101"/>
      <c r="K159" s="101"/>
      <c r="L159" s="101"/>
      <c r="M159" s="92"/>
      <c r="N159" s="92"/>
      <c r="O159" s="92"/>
    </row>
    <row r="160" spans="1:15" x14ac:dyDescent="0.3">
      <c r="A160" s="92" t="s">
        <v>630</v>
      </c>
      <c r="B160" s="92"/>
      <c r="C160" s="92"/>
      <c r="D160" s="92"/>
      <c r="E160" s="101"/>
      <c r="F160" s="92"/>
      <c r="G160" s="92"/>
      <c r="H160" s="92"/>
      <c r="I160" s="92"/>
      <c r="J160" s="101"/>
      <c r="K160" s="101"/>
      <c r="L160" s="101"/>
      <c r="M160" s="92"/>
      <c r="N160" s="92"/>
      <c r="O160" s="92"/>
    </row>
    <row r="161" spans="1:15" x14ac:dyDescent="0.3">
      <c r="A161" s="92" t="s">
        <v>631</v>
      </c>
      <c r="B161" s="92"/>
      <c r="C161" s="92"/>
      <c r="D161" s="92"/>
      <c r="E161" s="101"/>
      <c r="F161" s="92"/>
      <c r="G161" s="92"/>
      <c r="H161" s="92"/>
      <c r="I161" s="92"/>
      <c r="J161" s="101"/>
      <c r="K161" s="101"/>
      <c r="L161" s="101"/>
      <c r="M161" s="92"/>
      <c r="N161" s="92"/>
      <c r="O161" s="92"/>
    </row>
    <row r="162" spans="1:15" x14ac:dyDescent="0.3">
      <c r="A162" s="92" t="s">
        <v>632</v>
      </c>
      <c r="B162" s="92"/>
      <c r="C162" s="92"/>
      <c r="D162" s="92"/>
      <c r="E162" s="101"/>
      <c r="F162" s="92"/>
      <c r="G162" s="92"/>
      <c r="H162" s="92"/>
      <c r="I162" s="92"/>
      <c r="J162" s="101"/>
      <c r="K162" s="101"/>
      <c r="L162" s="101"/>
      <c r="M162" s="92"/>
      <c r="N162" s="92"/>
      <c r="O162" s="92"/>
    </row>
    <row r="163" spans="1:15" x14ac:dyDescent="0.3">
      <c r="A163" s="92" t="s">
        <v>633</v>
      </c>
      <c r="B163" s="92"/>
      <c r="C163" s="92"/>
      <c r="D163" s="92"/>
      <c r="E163" s="101"/>
      <c r="F163" s="92"/>
      <c r="G163" s="92"/>
      <c r="H163" s="92"/>
      <c r="I163" s="92"/>
      <c r="J163" s="101"/>
      <c r="K163" s="101"/>
      <c r="L163" s="101"/>
      <c r="M163" s="92"/>
      <c r="N163" s="92"/>
      <c r="O163" s="92"/>
    </row>
    <row r="164" spans="1:15" x14ac:dyDescent="0.3">
      <c r="A164" s="92" t="s">
        <v>634</v>
      </c>
      <c r="B164" s="92"/>
      <c r="C164" s="92"/>
      <c r="D164" s="92"/>
      <c r="E164" s="101"/>
      <c r="F164" s="92"/>
      <c r="G164" s="92"/>
      <c r="H164" s="92"/>
      <c r="I164" s="92"/>
      <c r="J164" s="101"/>
      <c r="K164" s="101"/>
      <c r="L164" s="101"/>
      <c r="M164" s="92"/>
      <c r="N164" s="92"/>
      <c r="O164" s="92"/>
    </row>
    <row r="165" spans="1:15" x14ac:dyDescent="0.3">
      <c r="A165" s="92" t="s">
        <v>635</v>
      </c>
      <c r="B165" s="92"/>
      <c r="C165" s="92"/>
      <c r="D165" s="92"/>
      <c r="E165" s="101"/>
      <c r="F165" s="92"/>
      <c r="G165" s="92"/>
      <c r="H165" s="92"/>
      <c r="I165" s="92"/>
      <c r="J165" s="101"/>
      <c r="K165" s="101"/>
      <c r="L165" s="101"/>
      <c r="M165" s="92"/>
      <c r="N165" s="92"/>
      <c r="O165" s="92"/>
    </row>
    <row r="166" spans="1:15" x14ac:dyDescent="0.3">
      <c r="A166" s="92" t="s">
        <v>636</v>
      </c>
      <c r="B166" s="92"/>
      <c r="C166" s="92"/>
      <c r="D166" s="92"/>
      <c r="E166" s="101"/>
      <c r="F166" s="92"/>
      <c r="G166" s="92"/>
      <c r="H166" s="92"/>
      <c r="I166" s="92"/>
      <c r="J166" s="101"/>
      <c r="K166" s="101"/>
      <c r="L166" s="101"/>
      <c r="M166" s="92"/>
      <c r="N166" s="92"/>
      <c r="O166" s="92"/>
    </row>
    <row r="167" spans="1:15" x14ac:dyDescent="0.3">
      <c r="A167" s="92" t="s">
        <v>637</v>
      </c>
      <c r="B167" s="92"/>
      <c r="C167" s="92"/>
      <c r="D167" s="92"/>
      <c r="E167" s="101"/>
      <c r="F167" s="92"/>
      <c r="G167" s="92"/>
      <c r="H167" s="92"/>
      <c r="I167" s="92"/>
      <c r="J167" s="101"/>
      <c r="K167" s="101"/>
      <c r="L167" s="101"/>
      <c r="M167" s="92"/>
      <c r="N167" s="92"/>
      <c r="O167" s="92"/>
    </row>
    <row r="168" spans="1:15" x14ac:dyDescent="0.3">
      <c r="A168" s="92" t="s">
        <v>638</v>
      </c>
      <c r="B168" s="92"/>
      <c r="C168" s="92"/>
      <c r="D168" s="92"/>
      <c r="E168" s="101"/>
      <c r="F168" s="92"/>
      <c r="G168" s="92"/>
      <c r="H168" s="92"/>
      <c r="I168" s="92"/>
      <c r="J168" s="101"/>
      <c r="K168" s="101"/>
      <c r="L168" s="101"/>
      <c r="M168" s="92"/>
      <c r="N168" s="92"/>
      <c r="O168" s="92"/>
    </row>
    <row r="169" spans="1:15" x14ac:dyDescent="0.3">
      <c r="A169" s="92" t="s">
        <v>639</v>
      </c>
      <c r="B169" s="92"/>
      <c r="C169" s="92"/>
      <c r="D169" s="92"/>
      <c r="E169" s="101"/>
      <c r="F169" s="92"/>
      <c r="G169" s="92"/>
      <c r="H169" s="92"/>
      <c r="I169" s="92"/>
      <c r="J169" s="101"/>
      <c r="K169" s="101"/>
      <c r="L169" s="101"/>
      <c r="M169" s="92"/>
      <c r="N169" s="92"/>
      <c r="O169" s="92"/>
    </row>
    <row r="170" spans="1:15" x14ac:dyDescent="0.3">
      <c r="A170" s="92" t="s">
        <v>640</v>
      </c>
      <c r="B170" s="92"/>
      <c r="C170" s="92"/>
      <c r="D170" s="92"/>
      <c r="E170" s="101"/>
      <c r="F170" s="92"/>
      <c r="G170" s="92"/>
      <c r="H170" s="92"/>
      <c r="I170" s="92"/>
      <c r="J170" s="101"/>
      <c r="K170" s="101"/>
      <c r="L170" s="101"/>
      <c r="M170" s="92"/>
      <c r="N170" s="92"/>
      <c r="O170" s="92"/>
    </row>
    <row r="171" spans="1:15" x14ac:dyDescent="0.3">
      <c r="A171" s="92" t="s">
        <v>641</v>
      </c>
      <c r="B171" s="92"/>
      <c r="C171" s="92"/>
      <c r="D171" s="92"/>
      <c r="E171" s="101"/>
      <c r="F171" s="92"/>
      <c r="G171" s="92"/>
      <c r="H171" s="92"/>
      <c r="I171" s="92"/>
      <c r="J171" s="101"/>
      <c r="K171" s="101"/>
      <c r="L171" s="101"/>
      <c r="M171" s="92"/>
      <c r="N171" s="92"/>
      <c r="O171" s="92"/>
    </row>
    <row r="172" spans="1:15" x14ac:dyDescent="0.3">
      <c r="A172" s="92" t="s">
        <v>642</v>
      </c>
      <c r="B172" s="92"/>
      <c r="C172" s="92"/>
      <c r="D172" s="92"/>
      <c r="E172" s="101"/>
      <c r="F172" s="92"/>
      <c r="G172" s="92"/>
      <c r="H172" s="92"/>
      <c r="I172" s="92"/>
      <c r="J172" s="101"/>
      <c r="K172" s="101"/>
      <c r="L172" s="101"/>
      <c r="M172" s="92"/>
      <c r="N172" s="92"/>
      <c r="O172" s="92"/>
    </row>
    <row r="173" spans="1:15" x14ac:dyDescent="0.3">
      <c r="A173" s="92" t="s">
        <v>643</v>
      </c>
      <c r="B173" s="92"/>
      <c r="C173" s="92"/>
      <c r="D173" s="92"/>
      <c r="E173" s="101"/>
      <c r="F173" s="92"/>
      <c r="G173" s="92"/>
      <c r="H173" s="92"/>
      <c r="I173" s="92"/>
      <c r="J173" s="101"/>
      <c r="K173" s="101"/>
      <c r="L173" s="101"/>
      <c r="M173" s="92"/>
      <c r="N173" s="92"/>
      <c r="O173" s="92"/>
    </row>
    <row r="174" spans="1:15" x14ac:dyDescent="0.3">
      <c r="A174" s="92" t="s">
        <v>644</v>
      </c>
      <c r="B174" s="92"/>
      <c r="C174" s="92"/>
      <c r="D174" s="92"/>
      <c r="E174" s="101"/>
      <c r="F174" s="92"/>
      <c r="G174" s="92"/>
      <c r="H174" s="92"/>
      <c r="I174" s="92"/>
      <c r="J174" s="101"/>
      <c r="K174" s="101"/>
      <c r="L174" s="101"/>
      <c r="M174" s="92"/>
      <c r="N174" s="92"/>
      <c r="O174" s="92"/>
    </row>
    <row r="175" spans="1:15" x14ac:dyDescent="0.3">
      <c r="A175" s="92" t="s">
        <v>645</v>
      </c>
      <c r="B175" s="92"/>
      <c r="C175" s="92"/>
      <c r="D175" s="92"/>
      <c r="E175" s="101"/>
      <c r="F175" s="92"/>
      <c r="G175" s="92"/>
      <c r="H175" s="92"/>
      <c r="I175" s="92"/>
      <c r="J175" s="101"/>
      <c r="K175" s="101"/>
      <c r="L175" s="101"/>
      <c r="M175" s="92"/>
      <c r="N175" s="92"/>
      <c r="O175" s="92"/>
    </row>
    <row r="176" spans="1:15" x14ac:dyDescent="0.3">
      <c r="A176" s="92" t="s">
        <v>646</v>
      </c>
      <c r="B176" s="92"/>
      <c r="C176" s="92"/>
      <c r="D176" s="92"/>
      <c r="E176" s="101"/>
      <c r="F176" s="92"/>
      <c r="G176" s="92"/>
      <c r="H176" s="92"/>
      <c r="I176" s="92"/>
      <c r="J176" s="101"/>
      <c r="K176" s="101"/>
      <c r="L176" s="101"/>
      <c r="M176" s="92"/>
      <c r="N176" s="92"/>
      <c r="O176" s="92"/>
    </row>
    <row r="177" spans="1:15" x14ac:dyDescent="0.3">
      <c r="A177" s="92" t="s">
        <v>647</v>
      </c>
      <c r="B177" s="92"/>
      <c r="C177" s="92"/>
      <c r="D177" s="92"/>
      <c r="E177" s="101"/>
      <c r="F177" s="92"/>
      <c r="G177" s="92"/>
      <c r="H177" s="92"/>
      <c r="I177" s="92"/>
      <c r="J177" s="101"/>
      <c r="K177" s="101"/>
      <c r="L177" s="101"/>
      <c r="M177" s="92"/>
      <c r="N177" s="92"/>
      <c r="O177" s="92"/>
    </row>
    <row r="178" spans="1:15" x14ac:dyDescent="0.3">
      <c r="A178" s="92" t="s">
        <v>648</v>
      </c>
      <c r="B178" s="92"/>
      <c r="C178" s="92"/>
      <c r="D178" s="92"/>
      <c r="E178" s="101"/>
      <c r="F178" s="92"/>
      <c r="G178" s="92"/>
      <c r="H178" s="92"/>
      <c r="I178" s="92"/>
      <c r="J178" s="101"/>
      <c r="K178" s="101"/>
      <c r="L178" s="101"/>
      <c r="M178" s="92"/>
      <c r="N178" s="92"/>
      <c r="O178" s="92"/>
    </row>
    <row r="179" spans="1:15" x14ac:dyDescent="0.3">
      <c r="A179" s="92" t="s">
        <v>649</v>
      </c>
      <c r="B179" s="92"/>
      <c r="C179" s="92"/>
      <c r="D179" s="92"/>
      <c r="E179" s="101"/>
      <c r="F179" s="92"/>
      <c r="G179" s="92"/>
      <c r="H179" s="92"/>
      <c r="I179" s="92"/>
      <c r="J179" s="101"/>
      <c r="K179" s="101"/>
      <c r="L179" s="101"/>
      <c r="M179" s="92"/>
      <c r="N179" s="92"/>
      <c r="O179" s="92"/>
    </row>
    <row r="180" spans="1:15" x14ac:dyDescent="0.3">
      <c r="A180" s="92" t="s">
        <v>650</v>
      </c>
      <c r="B180" s="92"/>
      <c r="C180" s="92"/>
      <c r="D180" s="92"/>
      <c r="E180" s="101"/>
      <c r="F180" s="92"/>
      <c r="G180" s="92"/>
      <c r="H180" s="92"/>
      <c r="I180" s="92"/>
      <c r="J180" s="101"/>
      <c r="K180" s="101"/>
      <c r="L180" s="101"/>
      <c r="M180" s="92"/>
      <c r="N180" s="92"/>
      <c r="O180" s="92"/>
    </row>
    <row r="181" spans="1:15" x14ac:dyDescent="0.3">
      <c r="A181" s="92" t="s">
        <v>651</v>
      </c>
      <c r="B181" s="92"/>
      <c r="C181" s="92"/>
      <c r="D181" s="92"/>
      <c r="E181" s="101"/>
      <c r="F181" s="92"/>
      <c r="G181" s="92"/>
      <c r="H181" s="92"/>
      <c r="I181" s="92"/>
      <c r="J181" s="101"/>
      <c r="K181" s="101"/>
      <c r="L181" s="101"/>
      <c r="M181" s="92"/>
      <c r="N181" s="92"/>
      <c r="O181" s="92"/>
    </row>
    <row r="182" spans="1:15" x14ac:dyDescent="0.3">
      <c r="A182" s="92" t="s">
        <v>652</v>
      </c>
      <c r="B182" s="92"/>
      <c r="C182" s="92"/>
      <c r="D182" s="92"/>
      <c r="E182" s="101"/>
      <c r="F182" s="92"/>
      <c r="G182" s="92"/>
      <c r="H182" s="92"/>
      <c r="I182" s="92"/>
      <c r="J182" s="101"/>
      <c r="K182" s="101"/>
      <c r="L182" s="101"/>
      <c r="M182" s="92"/>
      <c r="N182" s="92"/>
      <c r="O182" s="92"/>
    </row>
    <row r="183" spans="1:15" x14ac:dyDescent="0.3">
      <c r="A183" s="92" t="s">
        <v>653</v>
      </c>
      <c r="B183" s="92"/>
      <c r="C183" s="92"/>
      <c r="D183" s="92"/>
      <c r="E183" s="101"/>
      <c r="F183" s="92"/>
      <c r="G183" s="92"/>
      <c r="H183" s="92"/>
      <c r="I183" s="92"/>
      <c r="J183" s="101"/>
      <c r="K183" s="101"/>
      <c r="L183" s="101"/>
      <c r="M183" s="92"/>
      <c r="N183" s="92"/>
      <c r="O183" s="92"/>
    </row>
    <row r="184" spans="1:15" x14ac:dyDescent="0.3">
      <c r="A184" s="92" t="s">
        <v>654</v>
      </c>
      <c r="B184" s="92"/>
      <c r="C184" s="92"/>
      <c r="D184" s="92"/>
      <c r="E184" s="101"/>
      <c r="F184" s="92"/>
      <c r="G184" s="92"/>
      <c r="H184" s="92"/>
      <c r="I184" s="92"/>
      <c r="J184" s="101"/>
      <c r="K184" s="101"/>
      <c r="L184" s="101"/>
      <c r="M184" s="92"/>
      <c r="N184" s="92"/>
      <c r="O184" s="92"/>
    </row>
    <row r="185" spans="1:15" x14ac:dyDescent="0.3">
      <c r="A185" s="92" t="s">
        <v>655</v>
      </c>
      <c r="B185" s="92"/>
      <c r="C185" s="92"/>
      <c r="D185" s="92"/>
      <c r="E185" s="101"/>
      <c r="F185" s="92"/>
      <c r="G185" s="92"/>
      <c r="H185" s="92"/>
      <c r="I185" s="92"/>
      <c r="J185" s="101"/>
      <c r="K185" s="101"/>
      <c r="L185" s="101"/>
      <c r="M185" s="92"/>
      <c r="N185" s="92"/>
      <c r="O185" s="92"/>
    </row>
    <row r="186" spans="1:15" x14ac:dyDescent="0.3">
      <c r="A186" s="92" t="s">
        <v>656</v>
      </c>
      <c r="B186" s="92"/>
      <c r="C186" s="92"/>
      <c r="D186" s="92"/>
      <c r="E186" s="101"/>
      <c r="F186" s="92"/>
      <c r="G186" s="92"/>
      <c r="H186" s="92"/>
      <c r="I186" s="92"/>
      <c r="J186" s="101"/>
      <c r="K186" s="101"/>
      <c r="L186" s="101"/>
      <c r="M186" s="92"/>
      <c r="N186" s="92"/>
      <c r="O186" s="92"/>
    </row>
    <row r="187" spans="1:15" x14ac:dyDescent="0.3">
      <c r="A187" s="92" t="s">
        <v>657</v>
      </c>
      <c r="B187" s="92"/>
      <c r="C187" s="92"/>
      <c r="D187" s="92"/>
      <c r="E187" s="101"/>
      <c r="F187" s="92"/>
      <c r="G187" s="92"/>
      <c r="H187" s="92"/>
      <c r="I187" s="92"/>
      <c r="J187" s="101"/>
      <c r="K187" s="101"/>
      <c r="L187" s="101"/>
      <c r="M187" s="92"/>
      <c r="N187" s="92"/>
      <c r="O187" s="92"/>
    </row>
    <row r="188" spans="1:15" x14ac:dyDescent="0.3">
      <c r="A188" s="92" t="s">
        <v>658</v>
      </c>
      <c r="B188" s="92"/>
      <c r="C188" s="92"/>
      <c r="D188" s="92"/>
      <c r="E188" s="101"/>
      <c r="F188" s="92"/>
      <c r="G188" s="92"/>
      <c r="H188" s="92"/>
      <c r="I188" s="92"/>
      <c r="J188" s="101"/>
      <c r="K188" s="101"/>
      <c r="L188" s="101"/>
      <c r="M188" s="92"/>
      <c r="N188" s="92"/>
      <c r="O188" s="92"/>
    </row>
    <row r="189" spans="1:15" x14ac:dyDescent="0.3">
      <c r="A189" s="92" t="s">
        <v>659</v>
      </c>
      <c r="B189" s="92"/>
      <c r="C189" s="92"/>
      <c r="D189" s="92"/>
      <c r="E189" s="101"/>
      <c r="F189" s="92"/>
      <c r="G189" s="92"/>
      <c r="H189" s="92"/>
      <c r="I189" s="92"/>
      <c r="J189" s="101"/>
      <c r="K189" s="101"/>
      <c r="L189" s="101"/>
      <c r="M189" s="92"/>
      <c r="N189" s="92"/>
      <c r="O189" s="92"/>
    </row>
    <row r="190" spans="1:15" x14ac:dyDescent="0.3">
      <c r="A190" s="92" t="s">
        <v>660</v>
      </c>
      <c r="B190" s="92"/>
      <c r="C190" s="92"/>
      <c r="D190" s="92"/>
      <c r="E190" s="101"/>
      <c r="F190" s="92"/>
      <c r="G190" s="92"/>
      <c r="H190" s="92"/>
      <c r="I190" s="92"/>
      <c r="J190" s="101"/>
      <c r="K190" s="101"/>
      <c r="L190" s="101"/>
      <c r="M190" s="92"/>
      <c r="N190" s="92"/>
      <c r="O190" s="92"/>
    </row>
    <row r="191" spans="1:15" x14ac:dyDescent="0.3">
      <c r="A191" s="92" t="s">
        <v>661</v>
      </c>
      <c r="B191" s="92"/>
      <c r="C191" s="92"/>
      <c r="D191" s="92"/>
      <c r="E191" s="101"/>
      <c r="F191" s="92"/>
      <c r="G191" s="92"/>
      <c r="H191" s="92"/>
      <c r="I191" s="92"/>
      <c r="J191" s="101"/>
      <c r="K191" s="101"/>
      <c r="L191" s="101"/>
      <c r="M191" s="92"/>
      <c r="N191" s="92"/>
      <c r="O191" s="92"/>
    </row>
    <row r="192" spans="1:15" x14ac:dyDescent="0.3">
      <c r="A192" s="92" t="s">
        <v>662</v>
      </c>
      <c r="B192" s="92"/>
      <c r="C192" s="92"/>
      <c r="D192" s="92"/>
      <c r="E192" s="101"/>
      <c r="F192" s="92"/>
      <c r="G192" s="92"/>
      <c r="H192" s="92"/>
      <c r="I192" s="92"/>
      <c r="J192" s="101"/>
      <c r="K192" s="101"/>
      <c r="L192" s="101"/>
      <c r="M192" s="92"/>
      <c r="N192" s="92"/>
      <c r="O192" s="92"/>
    </row>
    <row r="193" spans="1:15" x14ac:dyDescent="0.3">
      <c r="A193" s="92" t="s">
        <v>663</v>
      </c>
      <c r="B193" s="92"/>
      <c r="C193" s="92"/>
      <c r="D193" s="92"/>
      <c r="E193" s="101"/>
      <c r="F193" s="92"/>
      <c r="G193" s="92"/>
      <c r="H193" s="92"/>
      <c r="I193" s="92"/>
      <c r="J193" s="101"/>
      <c r="K193" s="101"/>
      <c r="L193" s="101"/>
      <c r="M193" s="92"/>
      <c r="N193" s="92"/>
      <c r="O193" s="92"/>
    </row>
    <row r="194" spans="1:15" x14ac:dyDescent="0.3">
      <c r="A194" s="92" t="s">
        <v>664</v>
      </c>
      <c r="B194" s="92"/>
      <c r="C194" s="92"/>
      <c r="D194" s="92"/>
      <c r="E194" s="101"/>
      <c r="F194" s="92"/>
      <c r="G194" s="92"/>
      <c r="H194" s="92"/>
      <c r="I194" s="92"/>
      <c r="J194" s="101"/>
      <c r="K194" s="101"/>
      <c r="L194" s="101"/>
      <c r="M194" s="92"/>
      <c r="N194" s="92"/>
      <c r="O194" s="92"/>
    </row>
    <row r="195" spans="1:15" x14ac:dyDescent="0.3">
      <c r="A195" s="92" t="s">
        <v>665</v>
      </c>
      <c r="B195" s="92"/>
      <c r="C195" s="92"/>
      <c r="D195" s="92"/>
      <c r="E195" s="101"/>
      <c r="F195" s="92"/>
      <c r="G195" s="92"/>
      <c r="H195" s="92"/>
      <c r="I195" s="92"/>
      <c r="J195" s="101"/>
      <c r="K195" s="101"/>
      <c r="L195" s="101"/>
      <c r="M195" s="92"/>
      <c r="N195" s="92"/>
      <c r="O195" s="92"/>
    </row>
    <row r="196" spans="1:15" x14ac:dyDescent="0.3">
      <c r="A196" s="92" t="s">
        <v>666</v>
      </c>
      <c r="B196" s="92"/>
      <c r="C196" s="92"/>
      <c r="D196" s="92"/>
      <c r="E196" s="101"/>
      <c r="F196" s="92"/>
      <c r="G196" s="92"/>
      <c r="H196" s="92"/>
      <c r="I196" s="92"/>
      <c r="J196" s="101"/>
      <c r="K196" s="101"/>
      <c r="L196" s="101"/>
      <c r="M196" s="92"/>
      <c r="N196" s="92"/>
      <c r="O196" s="92"/>
    </row>
    <row r="197" spans="1:15" x14ac:dyDescent="0.3">
      <c r="A197" s="92" t="s">
        <v>667</v>
      </c>
      <c r="B197" s="92"/>
      <c r="C197" s="92"/>
      <c r="D197" s="92"/>
      <c r="E197" s="101"/>
      <c r="F197" s="92"/>
      <c r="G197" s="92"/>
      <c r="H197" s="92"/>
      <c r="I197" s="92"/>
      <c r="J197" s="101"/>
      <c r="K197" s="101"/>
      <c r="L197" s="101"/>
      <c r="M197" s="92"/>
      <c r="N197" s="92"/>
      <c r="O197" s="92"/>
    </row>
    <row r="198" spans="1:15" x14ac:dyDescent="0.3">
      <c r="A198" s="92" t="s">
        <v>668</v>
      </c>
      <c r="B198" s="92"/>
      <c r="C198" s="92"/>
      <c r="D198" s="92"/>
      <c r="E198" s="101"/>
      <c r="F198" s="92"/>
      <c r="G198" s="92"/>
      <c r="H198" s="92"/>
      <c r="I198" s="92"/>
      <c r="J198" s="101"/>
      <c r="K198" s="101"/>
      <c r="L198" s="101"/>
      <c r="M198" s="92"/>
      <c r="N198" s="92"/>
      <c r="O198" s="92"/>
    </row>
    <row r="199" spans="1:15" x14ac:dyDescent="0.3">
      <c r="A199" s="92" t="s">
        <v>669</v>
      </c>
      <c r="B199" s="92"/>
      <c r="C199" s="92"/>
      <c r="D199" s="92"/>
      <c r="E199" s="101"/>
      <c r="F199" s="92"/>
      <c r="G199" s="92"/>
      <c r="H199" s="92"/>
      <c r="I199" s="92"/>
      <c r="J199" s="101"/>
      <c r="K199" s="101"/>
      <c r="L199" s="101"/>
      <c r="M199" s="92"/>
      <c r="N199" s="92"/>
      <c r="O199" s="92"/>
    </row>
    <row r="200" spans="1:15" x14ac:dyDescent="0.3">
      <c r="A200" s="92" t="s">
        <v>670</v>
      </c>
      <c r="B200" s="92"/>
      <c r="C200" s="92"/>
      <c r="D200" s="92"/>
      <c r="E200" s="101"/>
      <c r="F200" s="92"/>
      <c r="G200" s="92"/>
      <c r="H200" s="92"/>
      <c r="I200" s="92"/>
      <c r="J200" s="101"/>
      <c r="K200" s="101"/>
      <c r="L200" s="101"/>
      <c r="M200" s="92"/>
      <c r="N200" s="92"/>
      <c r="O200" s="92"/>
    </row>
    <row r="201" spans="1:15" x14ac:dyDescent="0.3">
      <c r="A201" s="92" t="s">
        <v>671</v>
      </c>
      <c r="B201" s="92"/>
      <c r="C201" s="92"/>
      <c r="D201" s="92"/>
      <c r="E201" s="101"/>
      <c r="F201" s="92"/>
      <c r="G201" s="92"/>
      <c r="H201" s="92"/>
      <c r="I201" s="92"/>
      <c r="J201" s="101"/>
      <c r="K201" s="101"/>
      <c r="L201" s="101"/>
      <c r="M201" s="92"/>
      <c r="N201" s="92"/>
      <c r="O201" s="92"/>
    </row>
    <row r="202" spans="1:15" x14ac:dyDescent="0.3">
      <c r="A202" s="92" t="s">
        <v>672</v>
      </c>
      <c r="B202" s="92"/>
      <c r="C202" s="92"/>
      <c r="D202" s="92"/>
      <c r="E202" s="101"/>
      <c r="F202" s="92"/>
      <c r="G202" s="92"/>
      <c r="H202" s="92"/>
      <c r="I202" s="92"/>
      <c r="J202" s="101"/>
      <c r="K202" s="101"/>
      <c r="L202" s="101"/>
      <c r="M202" s="92"/>
      <c r="N202" s="92"/>
      <c r="O202" s="92"/>
    </row>
    <row r="203" spans="1:15" x14ac:dyDescent="0.3">
      <c r="A203" s="92" t="s">
        <v>673</v>
      </c>
      <c r="B203" s="92"/>
      <c r="C203" s="92"/>
      <c r="D203" s="92"/>
      <c r="E203" s="101"/>
      <c r="F203" s="92"/>
      <c r="G203" s="92"/>
      <c r="H203" s="92"/>
      <c r="I203" s="92"/>
      <c r="J203" s="101"/>
      <c r="K203" s="101"/>
      <c r="L203" s="101"/>
      <c r="M203" s="92"/>
      <c r="N203" s="92"/>
      <c r="O203" s="92"/>
    </row>
    <row r="204" spans="1:15" x14ac:dyDescent="0.3">
      <c r="A204" s="92" t="s">
        <v>674</v>
      </c>
      <c r="B204" s="92"/>
      <c r="C204" s="92"/>
      <c r="D204" s="92"/>
      <c r="E204" s="101"/>
      <c r="F204" s="92"/>
      <c r="G204" s="92"/>
      <c r="H204" s="92"/>
      <c r="I204" s="92"/>
      <c r="J204" s="101"/>
      <c r="K204" s="101"/>
      <c r="L204" s="101"/>
      <c r="M204" s="92"/>
      <c r="N204" s="92"/>
      <c r="O204" s="92"/>
    </row>
    <row r="205" spans="1:15" x14ac:dyDescent="0.3">
      <c r="A205" s="92" t="s">
        <v>675</v>
      </c>
      <c r="B205" s="92"/>
      <c r="C205" s="92"/>
      <c r="D205" s="92"/>
      <c r="E205" s="101"/>
      <c r="F205" s="92"/>
      <c r="G205" s="92"/>
      <c r="H205" s="92"/>
      <c r="I205" s="92"/>
      <c r="J205" s="101"/>
      <c r="K205" s="101"/>
      <c r="L205" s="101"/>
      <c r="M205" s="92"/>
      <c r="N205" s="92"/>
      <c r="O205" s="92"/>
    </row>
    <row r="206" spans="1:15" x14ac:dyDescent="0.3">
      <c r="A206" s="92" t="s">
        <v>676</v>
      </c>
      <c r="B206" s="92"/>
      <c r="C206" s="92"/>
      <c r="D206" s="92"/>
      <c r="E206" s="101"/>
      <c r="F206" s="92"/>
      <c r="G206" s="92"/>
      <c r="H206" s="92"/>
      <c r="I206" s="92"/>
      <c r="J206" s="101"/>
      <c r="K206" s="101"/>
      <c r="L206" s="101"/>
      <c r="M206" s="92"/>
      <c r="N206" s="92"/>
      <c r="O206" s="92"/>
    </row>
    <row r="207" spans="1:15" x14ac:dyDescent="0.3">
      <c r="A207" s="92" t="s">
        <v>677</v>
      </c>
      <c r="B207" s="92"/>
      <c r="C207" s="92"/>
      <c r="D207" s="92"/>
      <c r="E207" s="101"/>
      <c r="F207" s="92"/>
      <c r="G207" s="92"/>
      <c r="H207" s="92"/>
      <c r="I207" s="92"/>
      <c r="J207" s="101"/>
      <c r="K207" s="101"/>
      <c r="L207" s="101"/>
      <c r="M207" s="92"/>
      <c r="N207" s="92"/>
      <c r="O207" s="92"/>
    </row>
    <row r="208" spans="1:15" x14ac:dyDescent="0.3">
      <c r="A208" s="92" t="s">
        <v>678</v>
      </c>
      <c r="B208" s="92"/>
      <c r="C208" s="92"/>
      <c r="D208" s="92"/>
      <c r="E208" s="101"/>
      <c r="F208" s="92"/>
      <c r="G208" s="92"/>
      <c r="H208" s="92"/>
      <c r="I208" s="92"/>
      <c r="J208" s="101"/>
      <c r="K208" s="101"/>
      <c r="L208" s="101"/>
      <c r="M208" s="92"/>
      <c r="N208" s="92"/>
      <c r="O208" s="92"/>
    </row>
    <row r="209" spans="1:15" x14ac:dyDescent="0.3">
      <c r="A209" s="92" t="s">
        <v>679</v>
      </c>
      <c r="B209" s="92"/>
      <c r="C209" s="92"/>
      <c r="D209" s="92"/>
      <c r="E209" s="101"/>
      <c r="F209" s="92"/>
      <c r="G209" s="92"/>
      <c r="H209" s="92"/>
      <c r="I209" s="92"/>
      <c r="J209" s="101"/>
      <c r="K209" s="101"/>
      <c r="L209" s="101"/>
      <c r="M209" s="92"/>
      <c r="N209" s="92"/>
      <c r="O209" s="92"/>
    </row>
    <row r="210" spans="1:15" x14ac:dyDescent="0.3">
      <c r="A210" s="92" t="s">
        <v>680</v>
      </c>
      <c r="B210" s="92"/>
      <c r="C210" s="92"/>
      <c r="D210" s="92"/>
      <c r="E210" s="101"/>
      <c r="F210" s="92"/>
      <c r="G210" s="92"/>
      <c r="H210" s="92"/>
      <c r="I210" s="92"/>
      <c r="J210" s="101"/>
      <c r="K210" s="101"/>
      <c r="L210" s="101"/>
      <c r="M210" s="92"/>
      <c r="N210" s="92"/>
      <c r="O210" s="92"/>
    </row>
    <row r="211" spans="1:15" x14ac:dyDescent="0.3">
      <c r="A211" s="92" t="s">
        <v>681</v>
      </c>
      <c r="B211" s="92"/>
      <c r="C211" s="92"/>
      <c r="D211" s="92"/>
      <c r="E211" s="101"/>
      <c r="F211" s="92"/>
      <c r="G211" s="92"/>
      <c r="H211" s="92"/>
      <c r="I211" s="92"/>
      <c r="J211" s="101"/>
      <c r="K211" s="101"/>
      <c r="L211" s="101"/>
      <c r="M211" s="92"/>
      <c r="N211" s="92"/>
      <c r="O211" s="92"/>
    </row>
    <row r="212" spans="1:15" x14ac:dyDescent="0.3">
      <c r="A212" s="92" t="s">
        <v>682</v>
      </c>
      <c r="B212" s="92"/>
      <c r="C212" s="92"/>
      <c r="D212" s="92"/>
      <c r="E212" s="101"/>
      <c r="F212" s="92"/>
      <c r="G212" s="92"/>
      <c r="H212" s="92"/>
      <c r="I212" s="92"/>
      <c r="J212" s="101"/>
      <c r="K212" s="101"/>
      <c r="L212" s="101"/>
      <c r="M212" s="92"/>
      <c r="N212" s="92"/>
      <c r="O212" s="92"/>
    </row>
    <row r="213" spans="1:15" x14ac:dyDescent="0.3">
      <c r="A213" s="92" t="s">
        <v>683</v>
      </c>
      <c r="B213" s="92"/>
      <c r="C213" s="92"/>
      <c r="D213" s="92"/>
      <c r="E213" s="101"/>
      <c r="F213" s="92"/>
      <c r="G213" s="92"/>
      <c r="H213" s="92"/>
      <c r="I213" s="92"/>
      <c r="J213" s="101"/>
      <c r="K213" s="101"/>
      <c r="L213" s="101"/>
      <c r="M213" s="92"/>
      <c r="N213" s="92"/>
      <c r="O213" s="92"/>
    </row>
    <row r="214" spans="1:15" x14ac:dyDescent="0.3">
      <c r="A214" s="92" t="s">
        <v>684</v>
      </c>
      <c r="B214" s="92"/>
      <c r="C214" s="92"/>
      <c r="D214" s="92"/>
      <c r="E214" s="101"/>
      <c r="F214" s="92"/>
      <c r="G214" s="92"/>
      <c r="H214" s="92"/>
      <c r="I214" s="92"/>
      <c r="J214" s="101"/>
      <c r="K214" s="101"/>
      <c r="L214" s="101"/>
      <c r="M214" s="92"/>
      <c r="N214" s="92"/>
      <c r="O214" s="92"/>
    </row>
    <row r="215" spans="1:15" x14ac:dyDescent="0.3">
      <c r="A215" s="92" t="s">
        <v>685</v>
      </c>
      <c r="B215" s="92"/>
      <c r="C215" s="92"/>
      <c r="D215" s="92"/>
      <c r="E215" s="101"/>
      <c r="F215" s="92"/>
      <c r="G215" s="92"/>
      <c r="H215" s="92"/>
      <c r="I215" s="92"/>
      <c r="J215" s="101"/>
      <c r="K215" s="101"/>
      <c r="L215" s="101"/>
      <c r="M215" s="92"/>
      <c r="N215" s="92"/>
      <c r="O215" s="92"/>
    </row>
    <row r="216" spans="1:15" x14ac:dyDescent="0.3">
      <c r="A216" s="92" t="s">
        <v>686</v>
      </c>
      <c r="B216" s="92"/>
      <c r="C216" s="92"/>
      <c r="D216" s="92"/>
      <c r="E216" s="101"/>
      <c r="F216" s="92"/>
      <c r="G216" s="92"/>
      <c r="H216" s="92"/>
      <c r="I216" s="92"/>
      <c r="J216" s="101"/>
      <c r="K216" s="101"/>
      <c r="L216" s="101"/>
      <c r="M216" s="92"/>
      <c r="N216" s="92"/>
      <c r="O216" s="92"/>
    </row>
    <row r="217" spans="1:15" x14ac:dyDescent="0.3">
      <c r="A217" s="92" t="s">
        <v>687</v>
      </c>
      <c r="B217" s="92"/>
      <c r="C217" s="92"/>
      <c r="D217" s="92"/>
      <c r="E217" s="101"/>
      <c r="F217" s="92"/>
      <c r="G217" s="92"/>
      <c r="H217" s="92"/>
      <c r="I217" s="92"/>
      <c r="J217" s="101"/>
      <c r="K217" s="101"/>
      <c r="L217" s="101"/>
      <c r="M217" s="92"/>
      <c r="N217" s="92"/>
      <c r="O217" s="92"/>
    </row>
    <row r="218" spans="1:15" x14ac:dyDescent="0.3">
      <c r="A218" s="92" t="s">
        <v>688</v>
      </c>
      <c r="B218" s="92"/>
      <c r="C218" s="92"/>
      <c r="D218" s="92"/>
      <c r="E218" s="101"/>
      <c r="F218" s="92"/>
      <c r="G218" s="92"/>
      <c r="H218" s="92"/>
      <c r="I218" s="92"/>
      <c r="J218" s="101"/>
      <c r="K218" s="101"/>
      <c r="L218" s="101"/>
      <c r="M218" s="92"/>
      <c r="N218" s="92"/>
      <c r="O218" s="92"/>
    </row>
    <row r="219" spans="1:15" x14ac:dyDescent="0.3">
      <c r="A219" s="92" t="s">
        <v>689</v>
      </c>
      <c r="B219" s="92"/>
      <c r="C219" s="92"/>
      <c r="D219" s="92"/>
      <c r="E219" s="101"/>
      <c r="F219" s="92"/>
      <c r="G219" s="92"/>
      <c r="H219" s="92"/>
      <c r="I219" s="92"/>
      <c r="J219" s="101"/>
      <c r="K219" s="101"/>
      <c r="L219" s="101"/>
      <c r="M219" s="92"/>
      <c r="N219" s="92"/>
      <c r="O219" s="92"/>
    </row>
    <row r="220" spans="1:15" x14ac:dyDescent="0.3">
      <c r="A220" s="92" t="s">
        <v>690</v>
      </c>
      <c r="B220" s="92"/>
      <c r="C220" s="92"/>
      <c r="D220" s="92"/>
      <c r="E220" s="101"/>
      <c r="F220" s="92"/>
      <c r="G220" s="92"/>
      <c r="H220" s="92"/>
      <c r="I220" s="92"/>
      <c r="J220" s="101"/>
      <c r="K220" s="101"/>
      <c r="L220" s="101"/>
      <c r="M220" s="92"/>
      <c r="N220" s="92"/>
      <c r="O220" s="92"/>
    </row>
    <row r="221" spans="1:15" x14ac:dyDescent="0.3">
      <c r="A221" s="92" t="s">
        <v>691</v>
      </c>
      <c r="B221" s="92"/>
      <c r="C221" s="92"/>
      <c r="D221" s="92"/>
      <c r="E221" s="101"/>
      <c r="F221" s="92"/>
      <c r="G221" s="92"/>
      <c r="H221" s="92"/>
      <c r="I221" s="92"/>
      <c r="J221" s="101"/>
      <c r="K221" s="101"/>
      <c r="L221" s="101"/>
      <c r="M221" s="92"/>
      <c r="N221" s="92"/>
      <c r="O221" s="92"/>
    </row>
    <row r="222" spans="1:15" x14ac:dyDescent="0.3">
      <c r="A222" s="92" t="s">
        <v>692</v>
      </c>
      <c r="B222" s="92"/>
      <c r="C222" s="92"/>
      <c r="D222" s="92"/>
      <c r="E222" s="101"/>
      <c r="F222" s="92"/>
      <c r="G222" s="92"/>
      <c r="H222" s="92"/>
      <c r="I222" s="92"/>
      <c r="J222" s="101"/>
      <c r="K222" s="101"/>
      <c r="L222" s="101"/>
      <c r="M222" s="92"/>
      <c r="N222" s="92"/>
      <c r="O222" s="92"/>
    </row>
    <row r="223" spans="1:15" x14ac:dyDescent="0.3">
      <c r="A223" s="92" t="s">
        <v>693</v>
      </c>
      <c r="B223" s="92"/>
      <c r="C223" s="92"/>
      <c r="D223" s="92"/>
      <c r="E223" s="101"/>
      <c r="F223" s="92"/>
      <c r="G223" s="92"/>
      <c r="H223" s="92"/>
      <c r="I223" s="92"/>
      <c r="J223" s="101"/>
      <c r="K223" s="101"/>
      <c r="L223" s="101"/>
      <c r="M223" s="92"/>
      <c r="N223" s="92"/>
      <c r="O223" s="92"/>
    </row>
    <row r="224" spans="1:15" x14ac:dyDescent="0.3">
      <c r="A224" s="92" t="s">
        <v>694</v>
      </c>
      <c r="B224" s="92"/>
      <c r="C224" s="92"/>
      <c r="D224" s="92"/>
      <c r="E224" s="101"/>
      <c r="F224" s="92"/>
      <c r="G224" s="92"/>
      <c r="H224" s="92"/>
      <c r="I224" s="92"/>
      <c r="J224" s="101"/>
      <c r="K224" s="101"/>
      <c r="L224" s="101"/>
      <c r="M224" s="92"/>
      <c r="N224" s="92"/>
      <c r="O224" s="92"/>
    </row>
    <row r="225" spans="1:15" x14ac:dyDescent="0.3">
      <c r="A225" s="92" t="s">
        <v>695</v>
      </c>
      <c r="B225" s="92"/>
      <c r="C225" s="92"/>
      <c r="D225" s="92"/>
      <c r="E225" s="101"/>
      <c r="F225" s="92"/>
      <c r="G225" s="92"/>
      <c r="H225" s="92"/>
      <c r="I225" s="92"/>
      <c r="J225" s="101"/>
      <c r="K225" s="101"/>
      <c r="L225" s="101"/>
      <c r="M225" s="92"/>
      <c r="N225" s="92"/>
      <c r="O225" s="92"/>
    </row>
    <row r="226" spans="1:15" x14ac:dyDescent="0.3">
      <c r="A226" s="92" t="s">
        <v>696</v>
      </c>
      <c r="B226" s="92"/>
      <c r="C226" s="92"/>
      <c r="D226" s="92"/>
      <c r="E226" s="101"/>
      <c r="F226" s="92"/>
      <c r="G226" s="92"/>
      <c r="H226" s="92"/>
      <c r="I226" s="92"/>
      <c r="J226" s="101"/>
      <c r="K226" s="101"/>
      <c r="L226" s="101"/>
      <c r="M226" s="92"/>
      <c r="N226" s="92"/>
      <c r="O226" s="92"/>
    </row>
    <row r="227" spans="1:15" x14ac:dyDescent="0.3">
      <c r="A227" s="92" t="s">
        <v>697</v>
      </c>
      <c r="B227" s="92"/>
      <c r="C227" s="92"/>
      <c r="D227" s="92"/>
      <c r="E227" s="101"/>
      <c r="F227" s="92"/>
      <c r="G227" s="92"/>
      <c r="H227" s="92"/>
      <c r="I227" s="92"/>
      <c r="J227" s="101"/>
      <c r="K227" s="101"/>
      <c r="L227" s="101"/>
      <c r="M227" s="92"/>
      <c r="N227" s="92"/>
      <c r="O227" s="92"/>
    </row>
    <row r="228" spans="1:15" x14ac:dyDescent="0.3">
      <c r="A228" s="92" t="s">
        <v>698</v>
      </c>
      <c r="B228" s="92"/>
      <c r="C228" s="92"/>
      <c r="D228" s="92"/>
      <c r="E228" s="101"/>
      <c r="F228" s="92"/>
      <c r="G228" s="92"/>
      <c r="H228" s="92"/>
      <c r="I228" s="92"/>
      <c r="J228" s="101"/>
      <c r="K228" s="101"/>
      <c r="L228" s="101"/>
      <c r="M228" s="92"/>
      <c r="N228" s="92"/>
      <c r="O228" s="92"/>
    </row>
    <row r="229" spans="1:15" x14ac:dyDescent="0.3">
      <c r="A229" s="92" t="s">
        <v>699</v>
      </c>
      <c r="B229" s="92"/>
      <c r="C229" s="92"/>
      <c r="D229" s="92"/>
      <c r="E229" s="101"/>
      <c r="F229" s="92"/>
      <c r="G229" s="92"/>
      <c r="H229" s="92"/>
      <c r="I229" s="92"/>
      <c r="J229" s="101"/>
      <c r="K229" s="101"/>
      <c r="L229" s="101"/>
      <c r="M229" s="92"/>
      <c r="N229" s="92"/>
      <c r="O229" s="92"/>
    </row>
    <row r="230" spans="1:15" x14ac:dyDescent="0.3">
      <c r="A230" s="92" t="s">
        <v>700</v>
      </c>
      <c r="B230" s="92"/>
      <c r="C230" s="92"/>
      <c r="D230" s="92"/>
      <c r="E230" s="101"/>
      <c r="F230" s="92"/>
      <c r="G230" s="92"/>
      <c r="H230" s="92"/>
      <c r="I230" s="92"/>
      <c r="J230" s="101"/>
      <c r="K230" s="101"/>
      <c r="L230" s="101"/>
      <c r="M230" s="92"/>
      <c r="N230" s="92"/>
      <c r="O230" s="92"/>
    </row>
    <row r="231" spans="1:15" x14ac:dyDescent="0.3">
      <c r="A231" s="92" t="s">
        <v>701</v>
      </c>
      <c r="B231" s="92"/>
      <c r="C231" s="92"/>
      <c r="D231" s="92"/>
      <c r="E231" s="101"/>
      <c r="F231" s="92"/>
      <c r="G231" s="92"/>
      <c r="H231" s="92"/>
      <c r="I231" s="92"/>
      <c r="J231" s="101"/>
      <c r="K231" s="101"/>
      <c r="L231" s="101"/>
      <c r="M231" s="92"/>
      <c r="N231" s="92"/>
      <c r="O231" s="92"/>
    </row>
    <row r="232" spans="1:15" x14ac:dyDescent="0.3">
      <c r="A232" s="92" t="s">
        <v>702</v>
      </c>
      <c r="B232" s="92"/>
      <c r="C232" s="92"/>
      <c r="D232" s="92"/>
      <c r="E232" s="101"/>
      <c r="F232" s="92"/>
      <c r="G232" s="92"/>
      <c r="H232" s="92"/>
      <c r="I232" s="92"/>
      <c r="J232" s="101"/>
      <c r="K232" s="101"/>
      <c r="L232" s="101"/>
      <c r="M232" s="92"/>
      <c r="N232" s="92"/>
      <c r="O232" s="92"/>
    </row>
    <row r="233" spans="1:15" x14ac:dyDescent="0.3">
      <c r="A233" s="92" t="s">
        <v>703</v>
      </c>
      <c r="B233" s="92"/>
      <c r="C233" s="92"/>
      <c r="D233" s="92"/>
      <c r="E233" s="101"/>
      <c r="F233" s="92"/>
      <c r="G233" s="92"/>
      <c r="H233" s="92"/>
      <c r="I233" s="92"/>
      <c r="J233" s="101"/>
      <c r="K233" s="101"/>
      <c r="L233" s="101"/>
      <c r="M233" s="92"/>
      <c r="N233" s="92"/>
      <c r="O233" s="92"/>
    </row>
    <row r="234" spans="1:15" x14ac:dyDescent="0.3">
      <c r="A234" s="92" t="s">
        <v>704</v>
      </c>
      <c r="B234" s="92"/>
      <c r="C234" s="92"/>
      <c r="D234" s="92"/>
      <c r="E234" s="101"/>
      <c r="F234" s="92"/>
      <c r="G234" s="92"/>
      <c r="H234" s="92"/>
      <c r="I234" s="92"/>
      <c r="J234" s="101"/>
      <c r="K234" s="101"/>
      <c r="L234" s="101"/>
      <c r="M234" s="92"/>
      <c r="N234" s="92"/>
      <c r="O234" s="9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9A4C-0A40-4274-85EF-EE2A281B078B}">
  <dimension ref="A1:AB201"/>
  <sheetViews>
    <sheetView zoomScale="80" zoomScaleNormal="80" workbookViewId="0">
      <pane xSplit="6" ySplit="1" topLeftCell="G2" activePane="bottomRight" state="frozen"/>
      <selection activeCell="B40" sqref="B40"/>
      <selection pane="topRight" activeCell="B40" sqref="B40"/>
      <selection pane="bottomLeft" activeCell="B40" sqref="B40"/>
      <selection pane="bottomRight" activeCell="E29" sqref="E29"/>
    </sheetView>
  </sheetViews>
  <sheetFormatPr defaultRowHeight="14.4" x14ac:dyDescent="0.3"/>
  <cols>
    <col min="1" max="1" width="10.21875" bestFit="1" customWidth="1"/>
    <col min="2" max="2" width="27.44140625" bestFit="1" customWidth="1"/>
    <col min="3" max="3" width="10.44140625" bestFit="1" customWidth="1"/>
    <col min="4" max="4" width="11.88671875" bestFit="1" customWidth="1"/>
    <col min="5" max="5" width="19.5546875" bestFit="1" customWidth="1"/>
    <col min="6" max="6" width="12.44140625" bestFit="1" customWidth="1"/>
    <col min="7" max="7" width="6" style="1" bestFit="1" customWidth="1"/>
    <col min="8" max="8" width="13.33203125" style="1" bestFit="1" customWidth="1"/>
    <col min="9" max="9" width="8.21875" style="1" bestFit="1" customWidth="1"/>
    <col min="10" max="10" width="10.77734375" style="1" customWidth="1"/>
    <col min="11" max="11" width="4.88671875" style="1" bestFit="1" customWidth="1"/>
    <col min="12" max="12" width="11" style="1" bestFit="1" customWidth="1"/>
    <col min="13" max="13" width="8.21875" style="1" bestFit="1" customWidth="1"/>
    <col min="14" max="14" width="8.88671875" style="1" customWidth="1"/>
    <col min="15" max="15" width="13.77734375" style="1" bestFit="1" customWidth="1"/>
    <col min="16" max="16" width="11" style="1" bestFit="1" customWidth="1"/>
    <col min="17" max="17" width="8.21875" style="1" bestFit="1" customWidth="1"/>
    <col min="18" max="18" width="10.33203125" style="1" customWidth="1"/>
    <col min="19" max="19" width="46.21875" bestFit="1" customWidth="1"/>
    <col min="20" max="20" width="7.77734375" style="1" bestFit="1" customWidth="1"/>
    <col min="21" max="21" width="7.88671875" style="1" bestFit="1" customWidth="1"/>
    <col min="22" max="22" width="34.33203125" bestFit="1" customWidth="1"/>
    <col min="23" max="23" width="29.33203125" bestFit="1" customWidth="1"/>
    <col min="24" max="24" width="7.77734375" bestFit="1" customWidth="1"/>
    <col min="25" max="25" width="26.109375" bestFit="1" customWidth="1"/>
    <col min="26" max="26" width="22.109375" bestFit="1" customWidth="1"/>
    <col min="27" max="27" width="9.77734375" customWidth="1"/>
  </cols>
  <sheetData>
    <row r="1" spans="1:27" ht="29.4" thickBot="1" x14ac:dyDescent="0.35">
      <c r="A1" s="105" t="s">
        <v>0</v>
      </c>
      <c r="B1" s="104" t="s">
        <v>36</v>
      </c>
      <c r="C1" s="105" t="s">
        <v>2</v>
      </c>
      <c r="D1" s="105" t="s">
        <v>1</v>
      </c>
      <c r="E1" s="105" t="s">
        <v>145</v>
      </c>
      <c r="F1" s="105" t="s">
        <v>305</v>
      </c>
      <c r="G1" s="112" t="s">
        <v>143</v>
      </c>
      <c r="H1" s="112" t="s">
        <v>305</v>
      </c>
      <c r="I1" s="109" t="s">
        <v>358</v>
      </c>
      <c r="J1" s="109" t="s">
        <v>706</v>
      </c>
      <c r="K1" s="113" t="s">
        <v>147</v>
      </c>
      <c r="L1" s="113" t="s">
        <v>305</v>
      </c>
      <c r="M1" s="110" t="s">
        <v>358</v>
      </c>
      <c r="N1" s="110" t="s">
        <v>706</v>
      </c>
      <c r="O1" s="116" t="s">
        <v>148</v>
      </c>
      <c r="P1" s="117" t="s">
        <v>305</v>
      </c>
      <c r="Q1" s="111" t="s">
        <v>358</v>
      </c>
      <c r="R1" s="111" t="s">
        <v>706</v>
      </c>
      <c r="S1" s="112" t="s">
        <v>361</v>
      </c>
      <c r="T1" s="109" t="s">
        <v>328</v>
      </c>
      <c r="U1" s="109" t="s">
        <v>392</v>
      </c>
      <c r="V1" s="110" t="s">
        <v>363</v>
      </c>
      <c r="W1" s="110" t="s">
        <v>364</v>
      </c>
      <c r="X1" s="110" t="s">
        <v>331</v>
      </c>
      <c r="Y1" s="111" t="s">
        <v>365</v>
      </c>
      <c r="Z1" s="111" t="s">
        <v>366</v>
      </c>
      <c r="AA1" s="111" t="s">
        <v>335</v>
      </c>
    </row>
    <row r="2" spans="1:27" x14ac:dyDescent="0.3">
      <c r="A2" t="s">
        <v>41</v>
      </c>
      <c r="B2" t="str">
        <f>INDEX('Tournament List'!$L:$L,MATCH($A2,'Tournament List'!$A:$A,0))</f>
        <v>Brighton Clay Crushers</v>
      </c>
      <c r="C2" t="str">
        <f>INDEX('Tournament List'!$B:$B,MATCH($A2,'Tournament List'!$A:$A,0))</f>
        <v>Matt</v>
      </c>
      <c r="D2" t="str">
        <f>INDEX('Tournament List'!$C:$C,MATCH($A2,'Tournament List'!$A:$A,0))</f>
        <v>Last Name5</v>
      </c>
      <c r="E2" t="str">
        <f>IF(C2&lt;&gt;"",C2&amp;" "&amp;D2,"")</f>
        <v>Matt Last Name5</v>
      </c>
      <c r="F2" t="str">
        <f>INDEX('Tournament List'!$M:$M,MATCH($A2,'Tournament List'!$A:$A,0))</f>
        <v>Varsity</v>
      </c>
      <c r="G2" s="118" t="s">
        <v>143</v>
      </c>
      <c r="H2" s="118"/>
      <c r="I2" s="118"/>
      <c r="J2" s="243"/>
      <c r="K2" s="119" t="s">
        <v>147</v>
      </c>
      <c r="L2" s="119"/>
      <c r="M2" s="119"/>
      <c r="N2" s="119"/>
      <c r="O2" s="120" t="s">
        <v>148</v>
      </c>
      <c r="P2" s="120"/>
      <c r="Q2" s="120"/>
      <c r="R2" s="120"/>
      <c r="S2" t="str">
        <f t="shared" ref="S2:S49" si="0">IF(H2&lt;&gt;"",B2&amp;"-"&amp;H2&amp;"-"&amp;G2,"")</f>
        <v/>
      </c>
      <c r="T2" s="1" t="str">
        <f>IFERROR(INDEX('Squad Listing'!$A:$A,MATCH(S2,'Squad Listing'!$B:$B,0)),"")</f>
        <v/>
      </c>
      <c r="U2" s="1" t="str">
        <f t="shared" ref="U2:U33" si="1">IF(H2&lt;&gt;"",T2&amp;"-"&amp;I2,"")</f>
        <v/>
      </c>
      <c r="V2" t="str">
        <f t="shared" ref="V2:V49" si="2">IF(L2&lt;&gt;"",B2&amp;"-"&amp;L2&amp;"-"&amp;K2&amp;"-Pos"&amp;M2,"")</f>
        <v/>
      </c>
      <c r="W2" t="str">
        <f t="shared" ref="W2:W49" si="3">IF(L2&lt;&gt;"",B2&amp;"-"&amp;L2&amp;"-"&amp;K2,"")</f>
        <v/>
      </c>
      <c r="X2" t="str">
        <f>IFERROR(INDEX('Squad Listing'!$A:$A,MATCH(W2,'Squad Listing'!$B:$B,0)),"")</f>
        <v/>
      </c>
      <c r="Y2" t="str">
        <f t="shared" ref="Y2:Y49" si="4">IF(P2&lt;&gt;"",B2&amp;"-"&amp;P2&amp;"-"&amp;O2&amp;"-Pos"&amp;Q2,"")</f>
        <v/>
      </c>
      <c r="Z2" t="str">
        <f t="shared" ref="Z2:Z49" si="5">IF(P2&lt;&gt;"",B2&amp;"-"&amp;P2&amp;"-"&amp;O2,"")</f>
        <v/>
      </c>
      <c r="AA2" t="str">
        <f>IFERROR(INDEX('Squad Listing'!$A:$A,MATCH(Z2,'Squad Listing'!$B:$B,0)),"")</f>
        <v/>
      </c>
    </row>
    <row r="3" spans="1:27" x14ac:dyDescent="0.3">
      <c r="A3" t="s">
        <v>53</v>
      </c>
      <c r="B3" t="str">
        <f>INDEX('Tournament List'!$L:$L,MATCH($A3,'Tournament List'!$A:$A,0))</f>
        <v>Brighton Clay Crushers</v>
      </c>
      <c r="C3" t="str">
        <f>INDEX('Tournament List'!$B:$B,MATCH($A3,'Tournament List'!$A:$A,0))</f>
        <v>Joan</v>
      </c>
      <c r="D3" t="str">
        <f>INDEX('Tournament List'!$C:$C,MATCH($A3,'Tournament List'!$A:$A,0))</f>
        <v>Last Name17</v>
      </c>
      <c r="E3" t="str">
        <f t="shared" ref="E3:E66" si="6">IF(C3&lt;&gt;"",C3&amp;" "&amp;D3,"")</f>
        <v>Joan Last Name17</v>
      </c>
      <c r="F3" t="str">
        <f>INDEX('Tournament List'!$M:$M,MATCH($A3,'Tournament List'!$A:$A,0))</f>
        <v>Novice</v>
      </c>
      <c r="G3" s="118" t="s">
        <v>143</v>
      </c>
      <c r="H3" s="118" t="s">
        <v>339</v>
      </c>
      <c r="I3" s="118">
        <v>1</v>
      </c>
      <c r="J3" s="243" t="s">
        <v>768</v>
      </c>
      <c r="K3" s="119" t="s">
        <v>147</v>
      </c>
      <c r="L3" s="119"/>
      <c r="M3" s="119"/>
      <c r="N3" s="119"/>
      <c r="O3" s="120" t="s">
        <v>148</v>
      </c>
      <c r="P3" s="120"/>
      <c r="Q3" s="120"/>
      <c r="R3" s="120"/>
      <c r="S3" t="str">
        <f t="shared" si="0"/>
        <v>Brighton Clay Crushers-Novice 1-Skeet</v>
      </c>
      <c r="T3" s="1">
        <f>IFERROR(INDEX('Squad Listing'!$A:$A,MATCH(S3,'Squad Listing'!$B:$B,0)),"")</f>
        <v>235</v>
      </c>
      <c r="U3" s="1" t="str">
        <f t="shared" si="1"/>
        <v>235-1</v>
      </c>
      <c r="V3" t="str">
        <f t="shared" si="2"/>
        <v/>
      </c>
      <c r="W3" t="str">
        <f t="shared" si="3"/>
        <v/>
      </c>
      <c r="X3" t="str">
        <f>IFERROR(INDEX('Squad Listing'!$A:$A,MATCH(W3,'Squad Listing'!$B:$B,0)),"")</f>
        <v/>
      </c>
      <c r="Y3" t="str">
        <f t="shared" si="4"/>
        <v/>
      </c>
      <c r="Z3" t="str">
        <f t="shared" si="5"/>
        <v/>
      </c>
      <c r="AA3" t="str">
        <f>IFERROR(INDEX('Squad Listing'!$A:$A,MATCH(Z3,'Squad Listing'!$B:$B,0)),"")</f>
        <v/>
      </c>
    </row>
    <row r="4" spans="1:27" x14ac:dyDescent="0.3">
      <c r="A4" t="s">
        <v>191</v>
      </c>
      <c r="B4" t="str">
        <f>INDEX('Tournament List'!$L:$L,MATCH($A4,'Tournament List'!$A:$A,0))</f>
        <v>Brighton Clay Crushers</v>
      </c>
      <c r="C4" t="str">
        <f>INDEX('Tournament List'!$B:$B,MATCH($A4,'Tournament List'!$A:$A,0))</f>
        <v>Patricia</v>
      </c>
      <c r="D4" t="str">
        <f>INDEX('Tournament List'!$C:$C,MATCH($A4,'Tournament List'!$A:$A,0))</f>
        <v>Last Name35</v>
      </c>
      <c r="E4" t="str">
        <f t="shared" si="6"/>
        <v>Patricia Last Name35</v>
      </c>
      <c r="F4" t="str">
        <f>INDEX('Tournament List'!$M:$M,MATCH($A4,'Tournament List'!$A:$A,0))</f>
        <v>Novice</v>
      </c>
      <c r="G4" s="118" t="s">
        <v>143</v>
      </c>
      <c r="H4" s="118" t="s">
        <v>339</v>
      </c>
      <c r="I4" s="118">
        <v>2</v>
      </c>
      <c r="J4" s="243" t="s">
        <v>768</v>
      </c>
      <c r="K4" s="119" t="s">
        <v>147</v>
      </c>
      <c r="L4" s="119"/>
      <c r="M4" s="119"/>
      <c r="N4" s="119"/>
      <c r="O4" s="120" t="s">
        <v>148</v>
      </c>
      <c r="P4" s="120"/>
      <c r="Q4" s="120"/>
      <c r="R4" s="120"/>
      <c r="S4" t="str">
        <f t="shared" si="0"/>
        <v>Brighton Clay Crushers-Novice 1-Skeet</v>
      </c>
      <c r="T4" s="1">
        <f>IFERROR(INDEX('Squad Listing'!$A:$A,MATCH(S4,'Squad Listing'!$B:$B,0)),"")</f>
        <v>235</v>
      </c>
      <c r="U4" s="1" t="str">
        <f t="shared" si="1"/>
        <v>235-2</v>
      </c>
      <c r="V4" t="str">
        <f t="shared" si="2"/>
        <v/>
      </c>
      <c r="W4" t="str">
        <f t="shared" si="3"/>
        <v/>
      </c>
      <c r="X4" t="str">
        <f>IFERROR(INDEX('Squad Listing'!$A:$A,MATCH(W4,'Squad Listing'!$B:$B,0)),"")</f>
        <v/>
      </c>
      <c r="Y4" t="str">
        <f t="shared" si="4"/>
        <v/>
      </c>
      <c r="Z4" t="str">
        <f t="shared" si="5"/>
        <v/>
      </c>
      <c r="AA4" t="str">
        <f>IFERROR(INDEX('Squad Listing'!$A:$A,MATCH(Z4,'Squad Listing'!$B:$B,0)),"")</f>
        <v/>
      </c>
    </row>
    <row r="5" spans="1:27" x14ac:dyDescent="0.3">
      <c r="A5" t="s">
        <v>203</v>
      </c>
      <c r="B5" t="str">
        <f>INDEX('Tournament List'!$L:$L,MATCH($A5,'Tournament List'!$A:$A,0))</f>
        <v>Brighton Clay Crushers</v>
      </c>
      <c r="C5" t="str">
        <f>INDEX('Tournament List'!$B:$B,MATCH($A5,'Tournament List'!$A:$A,0))</f>
        <v>Rick</v>
      </c>
      <c r="D5" t="str">
        <f>INDEX('Tournament List'!$C:$C,MATCH($A5,'Tournament List'!$A:$A,0))</f>
        <v>Last Name47</v>
      </c>
      <c r="E5" t="str">
        <f t="shared" si="6"/>
        <v>Rick Last Name47</v>
      </c>
      <c r="F5" t="str">
        <f>INDEX('Tournament List'!$M:$M,MATCH($A5,'Tournament List'!$A:$A,0))</f>
        <v>Novice</v>
      </c>
      <c r="G5" s="118" t="s">
        <v>143</v>
      </c>
      <c r="H5" s="118" t="s">
        <v>339</v>
      </c>
      <c r="I5" s="118">
        <v>3</v>
      </c>
      <c r="J5" s="243" t="s">
        <v>768</v>
      </c>
      <c r="K5" s="119" t="s">
        <v>147</v>
      </c>
      <c r="L5" s="119"/>
      <c r="M5" s="119"/>
      <c r="N5" s="119"/>
      <c r="O5" s="120" t="s">
        <v>148</v>
      </c>
      <c r="P5" s="120"/>
      <c r="Q5" s="120"/>
      <c r="R5" s="120"/>
      <c r="S5" t="str">
        <f t="shared" si="0"/>
        <v>Brighton Clay Crushers-Novice 1-Skeet</v>
      </c>
      <c r="T5" s="1">
        <f>IFERROR(INDEX('Squad Listing'!$A:$A,MATCH(S5,'Squad Listing'!$B:$B,0)),"")</f>
        <v>235</v>
      </c>
      <c r="U5" s="1" t="str">
        <f t="shared" si="1"/>
        <v>235-3</v>
      </c>
      <c r="V5" t="str">
        <f t="shared" si="2"/>
        <v/>
      </c>
      <c r="W5" t="str">
        <f t="shared" si="3"/>
        <v/>
      </c>
      <c r="X5" t="str">
        <f>IFERROR(INDEX('Squad Listing'!$A:$A,MATCH(W5,'Squad Listing'!$B:$B,0)),"")</f>
        <v/>
      </c>
      <c r="Y5" t="str">
        <f t="shared" si="4"/>
        <v/>
      </c>
      <c r="Z5" t="str">
        <f t="shared" si="5"/>
        <v/>
      </c>
      <c r="AA5" t="str">
        <f>IFERROR(INDEX('Squad Listing'!$A:$A,MATCH(Z5,'Squad Listing'!$B:$B,0)),"")</f>
        <v/>
      </c>
    </row>
    <row r="6" spans="1:27" x14ac:dyDescent="0.3">
      <c r="A6" t="s">
        <v>59</v>
      </c>
      <c r="B6" t="str">
        <f>INDEX('Tournament List'!$L:$L,MATCH($A6,'Tournament List'!$A:$A,0))</f>
        <v>Brighton Clay Crushers</v>
      </c>
      <c r="C6" t="str">
        <f>INDEX('Tournament List'!$B:$B,MATCH($A6,'Tournament List'!$A:$A,0))</f>
        <v>Tom</v>
      </c>
      <c r="D6" t="str">
        <f>INDEX('Tournament List'!$C:$C,MATCH($A6,'Tournament List'!$A:$A,0))</f>
        <v>Last Name23</v>
      </c>
      <c r="E6" t="str">
        <f t="shared" si="6"/>
        <v>Tom Last Name23</v>
      </c>
      <c r="F6" t="str">
        <f>INDEX('Tournament List'!$M:$M,MATCH($A6,'Tournament List'!$A:$A,0))</f>
        <v>Junior Varsity</v>
      </c>
      <c r="G6" s="118" t="s">
        <v>143</v>
      </c>
      <c r="H6" s="118" t="s">
        <v>341</v>
      </c>
      <c r="I6" s="118">
        <v>1</v>
      </c>
      <c r="J6" s="243"/>
      <c r="K6" s="119" t="s">
        <v>147</v>
      </c>
      <c r="L6" s="119"/>
      <c r="M6" s="119"/>
      <c r="N6" s="119"/>
      <c r="O6" s="120" t="s">
        <v>148</v>
      </c>
      <c r="P6" s="120"/>
      <c r="Q6" s="120"/>
      <c r="R6" s="120"/>
      <c r="S6" t="str">
        <f t="shared" si="0"/>
        <v>Brighton Clay Crushers-Junior Varsity 1-Skeet</v>
      </c>
      <c r="T6" s="1">
        <f>IFERROR(INDEX('Squad Listing'!$A:$A,MATCH(S6,'Squad Listing'!$B:$B,0)),"")</f>
        <v>232</v>
      </c>
      <c r="U6" s="1" t="str">
        <f t="shared" si="1"/>
        <v>232-1</v>
      </c>
      <c r="V6" t="str">
        <f t="shared" si="2"/>
        <v/>
      </c>
      <c r="W6" t="str">
        <f t="shared" si="3"/>
        <v/>
      </c>
      <c r="X6" t="str">
        <f>IFERROR(INDEX('Squad Listing'!$A:$A,MATCH(W6,'Squad Listing'!$B:$B,0)),"")</f>
        <v/>
      </c>
      <c r="Y6" t="str">
        <f t="shared" si="4"/>
        <v/>
      </c>
      <c r="Z6" t="str">
        <f t="shared" si="5"/>
        <v/>
      </c>
      <c r="AA6" t="str">
        <f>IFERROR(INDEX('Squad Listing'!$A:$A,MATCH(Z6,'Squad Listing'!$B:$B,0)),"")</f>
        <v/>
      </c>
    </row>
    <row r="7" spans="1:27" x14ac:dyDescent="0.3">
      <c r="A7" t="s">
        <v>47</v>
      </c>
      <c r="B7" t="str">
        <f>INDEX('Tournament List'!$L:$L,MATCH($A7,'Tournament List'!$A:$A,0))</f>
        <v>Brighton Clay Crushers</v>
      </c>
      <c r="C7" t="str">
        <f>INDEX('Tournament List'!$B:$B,MATCH($A7,'Tournament List'!$A:$A,0))</f>
        <v>Bill</v>
      </c>
      <c r="D7" t="str">
        <f>INDEX('Tournament List'!$C:$C,MATCH($A7,'Tournament List'!$A:$A,0))</f>
        <v>Last Name11</v>
      </c>
      <c r="E7" t="str">
        <f t="shared" si="6"/>
        <v>Bill Last Name11</v>
      </c>
      <c r="F7" t="str">
        <f>INDEX('Tournament List'!$M:$M,MATCH($A7,'Tournament List'!$A:$A,0))</f>
        <v>Junior Varsity</v>
      </c>
      <c r="G7" s="118" t="s">
        <v>143</v>
      </c>
      <c r="H7" s="118" t="s">
        <v>341</v>
      </c>
      <c r="I7" s="118">
        <v>2</v>
      </c>
      <c r="J7" s="243"/>
      <c r="K7" s="119" t="s">
        <v>147</v>
      </c>
      <c r="L7" s="119"/>
      <c r="M7" s="119"/>
      <c r="N7" s="119"/>
      <c r="O7" s="120" t="s">
        <v>148</v>
      </c>
      <c r="P7" s="120"/>
      <c r="Q7" s="120"/>
      <c r="R7" s="120"/>
      <c r="S7" t="str">
        <f t="shared" si="0"/>
        <v>Brighton Clay Crushers-Junior Varsity 1-Skeet</v>
      </c>
      <c r="T7" s="1">
        <f>IFERROR(INDEX('Squad Listing'!$A:$A,MATCH(S7,'Squad Listing'!$B:$B,0)),"")</f>
        <v>232</v>
      </c>
      <c r="U7" s="1" t="str">
        <f t="shared" si="1"/>
        <v>232-2</v>
      </c>
      <c r="V7" t="str">
        <f t="shared" si="2"/>
        <v/>
      </c>
      <c r="W7" t="str">
        <f t="shared" si="3"/>
        <v/>
      </c>
      <c r="X7" t="str">
        <f>IFERROR(INDEX('Squad Listing'!$A:$A,MATCH(W7,'Squad Listing'!$B:$B,0)),"")</f>
        <v/>
      </c>
      <c r="Y7" t="str">
        <f t="shared" si="4"/>
        <v/>
      </c>
      <c r="Z7" t="str">
        <f t="shared" si="5"/>
        <v/>
      </c>
      <c r="AA7" t="str">
        <f>IFERROR(INDEX('Squad Listing'!$A:$A,MATCH(Z7,'Squad Listing'!$B:$B,0)),"")</f>
        <v/>
      </c>
    </row>
    <row r="8" spans="1:27" x14ac:dyDescent="0.3">
      <c r="A8" t="s">
        <v>185</v>
      </c>
      <c r="B8" t="str">
        <f>INDEX('Tournament List'!$L:$L,MATCH($A8,'Tournament List'!$A:$A,0))</f>
        <v>Brighton Clay Crushers</v>
      </c>
      <c r="C8" t="str">
        <f>INDEX('Tournament List'!$B:$B,MATCH($A8,'Tournament List'!$A:$A,0))</f>
        <v>Alan</v>
      </c>
      <c r="D8" t="str">
        <f>INDEX('Tournament List'!$C:$C,MATCH($A8,'Tournament List'!$A:$A,0))</f>
        <v>Last Name29</v>
      </c>
      <c r="E8" t="str">
        <f t="shared" si="6"/>
        <v>Alan Last Name29</v>
      </c>
      <c r="F8" t="str">
        <f>INDEX('Tournament List'!$M:$M,MATCH($A8,'Tournament List'!$A:$A,0))</f>
        <v>Junior Varsity</v>
      </c>
      <c r="G8" s="118" t="s">
        <v>143</v>
      </c>
      <c r="H8" s="118" t="s">
        <v>341</v>
      </c>
      <c r="I8" s="118">
        <v>3</v>
      </c>
      <c r="J8" s="243"/>
      <c r="K8" s="119" t="s">
        <v>147</v>
      </c>
      <c r="L8" s="119"/>
      <c r="M8" s="119"/>
      <c r="N8" s="119"/>
      <c r="O8" s="120" t="s">
        <v>148</v>
      </c>
      <c r="P8" s="120"/>
      <c r="Q8" s="120"/>
      <c r="R8" s="120"/>
      <c r="S8" t="str">
        <f t="shared" si="0"/>
        <v>Brighton Clay Crushers-Junior Varsity 1-Skeet</v>
      </c>
      <c r="T8" s="1">
        <f>IFERROR(INDEX('Squad Listing'!$A:$A,MATCH(S8,'Squad Listing'!$B:$B,0)),"")</f>
        <v>232</v>
      </c>
      <c r="U8" s="1" t="str">
        <f t="shared" si="1"/>
        <v>232-3</v>
      </c>
      <c r="V8" t="str">
        <f t="shared" si="2"/>
        <v/>
      </c>
      <c r="W8" t="str">
        <f t="shared" si="3"/>
        <v/>
      </c>
      <c r="X8" t="str">
        <f>IFERROR(INDEX('Squad Listing'!$A:$A,MATCH(W8,'Squad Listing'!$B:$B,0)),"")</f>
        <v/>
      </c>
      <c r="Y8" t="str">
        <f t="shared" si="4"/>
        <v/>
      </c>
      <c r="Z8" t="str">
        <f t="shared" si="5"/>
        <v/>
      </c>
      <c r="AA8" t="str">
        <f>IFERROR(INDEX('Squad Listing'!$A:$A,MATCH(Z8,'Squad Listing'!$B:$B,0)),"")</f>
        <v/>
      </c>
    </row>
    <row r="9" spans="1:27" x14ac:dyDescent="0.3">
      <c r="A9" t="s">
        <v>197</v>
      </c>
      <c r="B9" t="str">
        <f>INDEX('Tournament List'!$L:$L,MATCH($A9,'Tournament List'!$A:$A,0))</f>
        <v>Brighton Clay Crushers</v>
      </c>
      <c r="C9" t="str">
        <f>INDEX('Tournament List'!$B:$B,MATCH($A9,'Tournament List'!$A:$A,0))</f>
        <v>Trey</v>
      </c>
      <c r="D9" t="str">
        <f>INDEX('Tournament List'!$C:$C,MATCH($A9,'Tournament List'!$A:$A,0))</f>
        <v>Last Name41</v>
      </c>
      <c r="E9" t="str">
        <f t="shared" si="6"/>
        <v>Trey Last Name41</v>
      </c>
      <c r="F9" t="str">
        <f>INDEX('Tournament List'!$M:$M,MATCH($A9,'Tournament List'!$A:$A,0))</f>
        <v>Varsity</v>
      </c>
      <c r="G9" s="118" t="s">
        <v>143</v>
      </c>
      <c r="H9" s="118"/>
      <c r="I9" s="118"/>
      <c r="J9" s="243"/>
      <c r="K9" s="119" t="s">
        <v>147</v>
      </c>
      <c r="L9" s="119"/>
      <c r="M9" s="119"/>
      <c r="N9" s="119"/>
      <c r="O9" s="120" t="s">
        <v>148</v>
      </c>
      <c r="P9" s="120"/>
      <c r="Q9" s="120"/>
      <c r="R9" s="120"/>
      <c r="S9" t="str">
        <f t="shared" si="0"/>
        <v/>
      </c>
      <c r="T9" s="1" t="str">
        <f>IFERROR(INDEX('Squad Listing'!$A:$A,MATCH(S9,'Squad Listing'!$B:$B,0)),"")</f>
        <v/>
      </c>
      <c r="U9" s="1" t="str">
        <f t="shared" si="1"/>
        <v/>
      </c>
      <c r="V9" t="str">
        <f t="shared" si="2"/>
        <v/>
      </c>
      <c r="W9" t="str">
        <f t="shared" si="3"/>
        <v/>
      </c>
      <c r="X9" t="str">
        <f>IFERROR(INDEX('Squad Listing'!$A:$A,MATCH(W9,'Squad Listing'!$B:$B,0)),"")</f>
        <v/>
      </c>
      <c r="Y9" t="str">
        <f t="shared" si="4"/>
        <v/>
      </c>
      <c r="Z9" t="str">
        <f t="shared" si="5"/>
        <v/>
      </c>
      <c r="AA9" t="str">
        <f>IFERROR(INDEX('Squad Listing'!$A:$A,MATCH(Z9,'Squad Listing'!$B:$B,0)),"")</f>
        <v/>
      </c>
    </row>
    <row r="10" spans="1:27" x14ac:dyDescent="0.3">
      <c r="A10" t="s">
        <v>46</v>
      </c>
      <c r="B10" t="str">
        <f>INDEX('Tournament List'!$L:$L,MATCH($A10,'Tournament List'!$A:$A,0))</f>
        <v>Forge Christian Shooting Team</v>
      </c>
      <c r="C10" t="str">
        <f>INDEX('Tournament List'!$B:$B,MATCH($A10,'Tournament List'!$A:$A,0))</f>
        <v>Christy</v>
      </c>
      <c r="D10" t="str">
        <f>INDEX('Tournament List'!$C:$C,MATCH($A10,'Tournament List'!$A:$A,0))</f>
        <v>Last Name10</v>
      </c>
      <c r="E10" t="str">
        <f t="shared" si="6"/>
        <v>Christy Last Name10</v>
      </c>
      <c r="F10" t="str">
        <f>INDEX('Tournament List'!$M:$M,MATCH($A10,'Tournament List'!$A:$A,0))</f>
        <v>Intermediate</v>
      </c>
      <c r="G10" s="118" t="s">
        <v>143</v>
      </c>
      <c r="H10" s="118" t="s">
        <v>340</v>
      </c>
      <c r="I10" s="118">
        <v>1</v>
      </c>
      <c r="J10" s="243"/>
      <c r="K10" s="119" t="s">
        <v>147</v>
      </c>
      <c r="L10" s="119"/>
      <c r="M10" s="119"/>
      <c r="N10" s="119"/>
      <c r="O10" s="120" t="s">
        <v>148</v>
      </c>
      <c r="P10" s="120"/>
      <c r="Q10" s="120"/>
      <c r="R10" s="120"/>
      <c r="S10" t="str">
        <f t="shared" si="0"/>
        <v>Forge Christian Shooting Team-Intermediate 1-Skeet</v>
      </c>
      <c r="T10" s="1">
        <f>IFERROR(INDEX('Squad Listing'!$A:$A,MATCH(S10,'Squad Listing'!$B:$B,0)),"")</f>
        <v>175</v>
      </c>
      <c r="U10" s="1" t="str">
        <f t="shared" si="1"/>
        <v>175-1</v>
      </c>
      <c r="V10" t="str">
        <f t="shared" si="2"/>
        <v/>
      </c>
      <c r="W10" t="str">
        <f t="shared" si="3"/>
        <v/>
      </c>
      <c r="X10" t="str">
        <f>IFERROR(INDEX('Squad Listing'!$A:$A,MATCH(W10,'Squad Listing'!$B:$B,0)),"")</f>
        <v/>
      </c>
      <c r="Y10" t="str">
        <f t="shared" si="4"/>
        <v/>
      </c>
      <c r="Z10" t="str">
        <f t="shared" si="5"/>
        <v/>
      </c>
      <c r="AA10" t="str">
        <f>IFERROR(INDEX('Squad Listing'!$A:$A,MATCH(Z10,'Squad Listing'!$B:$B,0)),"")</f>
        <v/>
      </c>
    </row>
    <row r="11" spans="1:27" x14ac:dyDescent="0.3">
      <c r="A11" t="s">
        <v>58</v>
      </c>
      <c r="B11" t="str">
        <f>INDEX('Tournament List'!$L:$L,MATCH($A11,'Tournament List'!$A:$A,0))</f>
        <v>Forge Christian Shooting Team</v>
      </c>
      <c r="C11" t="str">
        <f>INDEX('Tournament List'!$B:$B,MATCH($A11,'Tournament List'!$A:$A,0))</f>
        <v>Steve</v>
      </c>
      <c r="D11" t="str">
        <f>INDEX('Tournament List'!$C:$C,MATCH($A11,'Tournament List'!$A:$A,0))</f>
        <v>Last Name22</v>
      </c>
      <c r="E11" t="str">
        <f t="shared" si="6"/>
        <v>Steve Last Name22</v>
      </c>
      <c r="F11" t="str">
        <f>INDEX('Tournament List'!$M:$M,MATCH($A11,'Tournament List'!$A:$A,0))</f>
        <v>Intermediate</v>
      </c>
      <c r="G11" s="118" t="s">
        <v>143</v>
      </c>
      <c r="H11" s="118" t="s">
        <v>340</v>
      </c>
      <c r="I11" s="118">
        <v>2</v>
      </c>
      <c r="J11" s="243"/>
      <c r="K11" s="119" t="s">
        <v>147</v>
      </c>
      <c r="L11" s="119"/>
      <c r="M11" s="119"/>
      <c r="N11" s="119"/>
      <c r="O11" s="120" t="s">
        <v>148</v>
      </c>
      <c r="P11" s="120"/>
      <c r="Q11" s="120"/>
      <c r="R11" s="120"/>
      <c r="S11" t="str">
        <f t="shared" si="0"/>
        <v>Forge Christian Shooting Team-Intermediate 1-Skeet</v>
      </c>
      <c r="T11" s="1">
        <f>IFERROR(INDEX('Squad Listing'!$A:$A,MATCH(S11,'Squad Listing'!$B:$B,0)),"")</f>
        <v>175</v>
      </c>
      <c r="U11" s="1" t="str">
        <f t="shared" si="1"/>
        <v>175-2</v>
      </c>
      <c r="V11" t="str">
        <f t="shared" si="2"/>
        <v/>
      </c>
      <c r="W11" t="str">
        <f t="shared" si="3"/>
        <v/>
      </c>
      <c r="X11" t="str">
        <f>IFERROR(INDEX('Squad Listing'!$A:$A,MATCH(W11,'Squad Listing'!$B:$B,0)),"")</f>
        <v/>
      </c>
      <c r="Y11" t="str">
        <f t="shared" si="4"/>
        <v/>
      </c>
      <c r="Z11" t="str">
        <f t="shared" si="5"/>
        <v/>
      </c>
      <c r="AA11" t="str">
        <f>IFERROR(INDEX('Squad Listing'!$A:$A,MATCH(Z11,'Squad Listing'!$B:$B,0)),"")</f>
        <v/>
      </c>
    </row>
    <row r="12" spans="1:27" x14ac:dyDescent="0.3">
      <c r="A12" t="s">
        <v>190</v>
      </c>
      <c r="B12" t="str">
        <f>INDEX('Tournament List'!$L:$L,MATCH($A12,'Tournament List'!$A:$A,0))</f>
        <v>Forge Christian Shooting Team</v>
      </c>
      <c r="C12" t="str">
        <f>INDEX('Tournament List'!$B:$B,MATCH($A12,'Tournament List'!$A:$A,0))</f>
        <v>Marty</v>
      </c>
      <c r="D12" t="str">
        <f>INDEX('Tournament List'!$C:$C,MATCH($A12,'Tournament List'!$A:$A,0))</f>
        <v>Last Name34</v>
      </c>
      <c r="E12" t="str">
        <f t="shared" si="6"/>
        <v>Marty Last Name34</v>
      </c>
      <c r="F12" t="str">
        <f>INDEX('Tournament List'!$M:$M,MATCH($A12,'Tournament List'!$A:$A,0))</f>
        <v>Intermediate</v>
      </c>
      <c r="G12" s="118" t="s">
        <v>143</v>
      </c>
      <c r="H12" s="118" t="s">
        <v>340</v>
      </c>
      <c r="I12" s="118">
        <v>3</v>
      </c>
      <c r="J12" s="243"/>
      <c r="K12" s="119" t="s">
        <v>147</v>
      </c>
      <c r="L12" s="119"/>
      <c r="M12" s="119"/>
      <c r="N12" s="119"/>
      <c r="O12" s="120" t="s">
        <v>148</v>
      </c>
      <c r="P12" s="120"/>
      <c r="Q12" s="120"/>
      <c r="R12" s="120"/>
      <c r="S12" t="str">
        <f t="shared" si="0"/>
        <v>Forge Christian Shooting Team-Intermediate 1-Skeet</v>
      </c>
      <c r="T12" s="1">
        <f>IFERROR(INDEX('Squad Listing'!$A:$A,MATCH(S12,'Squad Listing'!$B:$B,0)),"")</f>
        <v>175</v>
      </c>
      <c r="U12" s="1" t="str">
        <f t="shared" si="1"/>
        <v>175-3</v>
      </c>
      <c r="V12" t="str">
        <f t="shared" si="2"/>
        <v/>
      </c>
      <c r="W12" t="str">
        <f t="shared" si="3"/>
        <v/>
      </c>
      <c r="X12" t="str">
        <f>IFERROR(INDEX('Squad Listing'!$A:$A,MATCH(W12,'Squad Listing'!$B:$B,0)),"")</f>
        <v/>
      </c>
      <c r="Y12" t="str">
        <f t="shared" si="4"/>
        <v/>
      </c>
      <c r="Z12" t="str">
        <f t="shared" si="5"/>
        <v/>
      </c>
      <c r="AA12" t="str">
        <f>IFERROR(INDEX('Squad Listing'!$A:$A,MATCH(Z12,'Squad Listing'!$B:$B,0)),"")</f>
        <v/>
      </c>
    </row>
    <row r="13" spans="1:27" x14ac:dyDescent="0.3">
      <c r="A13" t="s">
        <v>202</v>
      </c>
      <c r="B13" t="str">
        <f>INDEX('Tournament List'!$L:$L,MATCH($A13,'Tournament List'!$A:$A,0))</f>
        <v>Forge Christian Shooting Team</v>
      </c>
      <c r="C13" t="str">
        <f>INDEX('Tournament List'!$B:$B,MATCH($A13,'Tournament List'!$A:$A,0))</f>
        <v>Sam</v>
      </c>
      <c r="D13" t="str">
        <f>INDEX('Tournament List'!$C:$C,MATCH($A13,'Tournament List'!$A:$A,0))</f>
        <v>Last Name46</v>
      </c>
      <c r="E13" t="str">
        <f t="shared" si="6"/>
        <v>Sam Last Name46</v>
      </c>
      <c r="F13" t="str">
        <f>INDEX('Tournament List'!$M:$M,MATCH($A13,'Tournament List'!$A:$A,0))</f>
        <v>Varsity</v>
      </c>
      <c r="G13" s="118" t="s">
        <v>143</v>
      </c>
      <c r="H13" s="118" t="s">
        <v>342</v>
      </c>
      <c r="I13" s="118">
        <v>1</v>
      </c>
      <c r="J13" s="243"/>
      <c r="K13" s="119" t="s">
        <v>147</v>
      </c>
      <c r="L13" s="119"/>
      <c r="M13" s="119"/>
      <c r="N13" s="119"/>
      <c r="O13" s="120" t="s">
        <v>148</v>
      </c>
      <c r="P13" s="120"/>
      <c r="Q13" s="120"/>
      <c r="R13" s="120"/>
      <c r="S13" t="str">
        <f t="shared" si="0"/>
        <v>Forge Christian Shooting Team-Varsity 1-Skeet</v>
      </c>
      <c r="T13" s="1">
        <f>IFERROR(INDEX('Squad Listing'!$A:$A,MATCH(S13,'Squad Listing'!$B:$B,0)),"")</f>
        <v>187</v>
      </c>
      <c r="U13" s="1" t="str">
        <f t="shared" si="1"/>
        <v>187-1</v>
      </c>
      <c r="V13" t="str">
        <f t="shared" si="2"/>
        <v/>
      </c>
      <c r="W13" t="str">
        <f t="shared" si="3"/>
        <v/>
      </c>
      <c r="X13" t="str">
        <f>IFERROR(INDEX('Squad Listing'!$A:$A,MATCH(W13,'Squad Listing'!$B:$B,0)),"")</f>
        <v/>
      </c>
      <c r="Y13" t="str">
        <f t="shared" si="4"/>
        <v/>
      </c>
      <c r="Z13" t="str">
        <f t="shared" si="5"/>
        <v/>
      </c>
      <c r="AA13" t="str">
        <f>IFERROR(INDEX('Squad Listing'!$A:$A,MATCH(Z13,'Squad Listing'!$B:$B,0)),"")</f>
        <v/>
      </c>
    </row>
    <row r="14" spans="1:27" x14ac:dyDescent="0.3">
      <c r="A14" t="s">
        <v>52</v>
      </c>
      <c r="B14" t="str">
        <f>INDEX('Tournament List'!$L:$L,MATCH($A14,'Tournament List'!$A:$A,0))</f>
        <v>Forge Christian Shooting Team</v>
      </c>
      <c r="C14" t="str">
        <f>INDEX('Tournament List'!$B:$B,MATCH($A14,'Tournament List'!$A:$A,0))</f>
        <v>Paul</v>
      </c>
      <c r="D14" t="str">
        <f>INDEX('Tournament List'!$C:$C,MATCH($A14,'Tournament List'!$A:$A,0))</f>
        <v>Last Name16</v>
      </c>
      <c r="E14" t="str">
        <f t="shared" si="6"/>
        <v>Paul Last Name16</v>
      </c>
      <c r="F14" t="str">
        <f>INDEX('Tournament List'!$M:$M,MATCH($A14,'Tournament List'!$A:$A,0))</f>
        <v>Varsity</v>
      </c>
      <c r="G14" s="118" t="s">
        <v>143</v>
      </c>
      <c r="H14" s="118"/>
      <c r="I14" s="118"/>
      <c r="J14" s="243"/>
      <c r="K14" s="119" t="s">
        <v>147</v>
      </c>
      <c r="L14" s="119"/>
      <c r="M14" s="119"/>
      <c r="N14" s="119"/>
      <c r="O14" s="120" t="s">
        <v>148</v>
      </c>
      <c r="P14" s="120"/>
      <c r="Q14" s="120"/>
      <c r="R14" s="120"/>
      <c r="S14" t="str">
        <f t="shared" si="0"/>
        <v/>
      </c>
      <c r="T14" s="1" t="str">
        <f>IFERROR(INDEX('Squad Listing'!$A:$A,MATCH(S14,'Squad Listing'!$B:$B,0)),"")</f>
        <v/>
      </c>
      <c r="U14" s="1" t="str">
        <f t="shared" si="1"/>
        <v/>
      </c>
      <c r="V14" t="str">
        <f t="shared" si="2"/>
        <v/>
      </c>
      <c r="W14" t="str">
        <f t="shared" si="3"/>
        <v/>
      </c>
      <c r="X14" t="str">
        <f>IFERROR(INDEX('Squad Listing'!$A:$A,MATCH(W14,'Squad Listing'!$B:$B,0)),"")</f>
        <v/>
      </c>
      <c r="Y14" t="str">
        <f t="shared" si="4"/>
        <v/>
      </c>
      <c r="Z14" t="str">
        <f t="shared" si="5"/>
        <v/>
      </c>
      <c r="AA14" t="str">
        <f>IFERROR(INDEX('Squad Listing'!$A:$A,MATCH(Z14,'Squad Listing'!$B:$B,0)),"")</f>
        <v/>
      </c>
    </row>
    <row r="15" spans="1:27" x14ac:dyDescent="0.3">
      <c r="A15" t="s">
        <v>184</v>
      </c>
      <c r="B15" t="str">
        <f>INDEX('Tournament List'!$L:$L,MATCH($A15,'Tournament List'!$A:$A,0))</f>
        <v>Forge Christian Shooting Team</v>
      </c>
      <c r="C15" t="str">
        <f>INDEX('Tournament List'!$B:$B,MATCH($A15,'Tournament List'!$A:$A,0))</f>
        <v>Brad</v>
      </c>
      <c r="D15" t="str">
        <f>INDEX('Tournament List'!$C:$C,MATCH($A15,'Tournament List'!$A:$A,0))</f>
        <v>Last Name28</v>
      </c>
      <c r="E15" t="str">
        <f t="shared" si="6"/>
        <v>Brad Last Name28</v>
      </c>
      <c r="F15" t="str">
        <f>INDEX('Tournament List'!$M:$M,MATCH($A15,'Tournament List'!$A:$A,0))</f>
        <v>Varsity</v>
      </c>
      <c r="G15" s="118" t="s">
        <v>143</v>
      </c>
      <c r="H15" s="118" t="s">
        <v>342</v>
      </c>
      <c r="I15" s="118">
        <v>2</v>
      </c>
      <c r="J15" s="243"/>
      <c r="K15" s="119" t="s">
        <v>147</v>
      </c>
      <c r="L15" s="119"/>
      <c r="M15" s="119"/>
      <c r="N15" s="119"/>
      <c r="O15" s="120" t="s">
        <v>148</v>
      </c>
      <c r="P15" s="120"/>
      <c r="Q15" s="120"/>
      <c r="R15" s="120"/>
      <c r="S15" t="str">
        <f t="shared" si="0"/>
        <v>Forge Christian Shooting Team-Varsity 1-Skeet</v>
      </c>
      <c r="T15" s="1">
        <f>IFERROR(INDEX('Squad Listing'!$A:$A,MATCH(S15,'Squad Listing'!$B:$B,0)),"")</f>
        <v>187</v>
      </c>
      <c r="U15" s="1" t="str">
        <f t="shared" si="1"/>
        <v>187-2</v>
      </c>
      <c r="V15" t="str">
        <f t="shared" si="2"/>
        <v/>
      </c>
      <c r="W15" t="str">
        <f t="shared" si="3"/>
        <v/>
      </c>
      <c r="X15" t="str">
        <f>IFERROR(INDEX('Squad Listing'!$A:$A,MATCH(W15,'Squad Listing'!$B:$B,0)),"")</f>
        <v/>
      </c>
      <c r="Y15" t="str">
        <f t="shared" si="4"/>
        <v/>
      </c>
      <c r="Z15" t="str">
        <f t="shared" si="5"/>
        <v/>
      </c>
      <c r="AA15" t="str">
        <f>IFERROR(INDEX('Squad Listing'!$A:$A,MATCH(Z15,'Squad Listing'!$B:$B,0)),"")</f>
        <v/>
      </c>
    </row>
    <row r="16" spans="1:27" x14ac:dyDescent="0.3">
      <c r="A16" t="s">
        <v>196</v>
      </c>
      <c r="B16" t="str">
        <f>INDEX('Tournament List'!$L:$L,MATCH($A16,'Tournament List'!$A:$A,0))</f>
        <v>Forge Christian Shooting Team</v>
      </c>
      <c r="C16" t="str">
        <f>INDEX('Tournament List'!$B:$B,MATCH($A16,'Tournament List'!$A:$A,0))</f>
        <v>Troy</v>
      </c>
      <c r="D16" t="str">
        <f>INDEX('Tournament List'!$C:$C,MATCH($A16,'Tournament List'!$A:$A,0))</f>
        <v>Last Name40</v>
      </c>
      <c r="E16" t="str">
        <f t="shared" si="6"/>
        <v>Troy Last Name40</v>
      </c>
      <c r="F16" t="str">
        <f>INDEX('Tournament List'!$M:$M,MATCH($A16,'Tournament List'!$A:$A,0))</f>
        <v>Varsity</v>
      </c>
      <c r="G16" s="118" t="s">
        <v>143</v>
      </c>
      <c r="H16" s="118" t="s">
        <v>342</v>
      </c>
      <c r="I16" s="118">
        <v>3</v>
      </c>
      <c r="J16" s="243"/>
      <c r="K16" s="119" t="s">
        <v>147</v>
      </c>
      <c r="L16" s="119"/>
      <c r="M16" s="119"/>
      <c r="N16" s="119"/>
      <c r="O16" s="120" t="s">
        <v>148</v>
      </c>
      <c r="P16" s="120"/>
      <c r="Q16" s="120"/>
      <c r="R16" s="120"/>
      <c r="S16" t="str">
        <f t="shared" si="0"/>
        <v>Forge Christian Shooting Team-Varsity 1-Skeet</v>
      </c>
      <c r="T16" s="1">
        <f>IFERROR(INDEX('Squad Listing'!$A:$A,MATCH(S16,'Squad Listing'!$B:$B,0)),"")</f>
        <v>187</v>
      </c>
      <c r="U16" s="1" t="str">
        <f t="shared" si="1"/>
        <v>187-3</v>
      </c>
      <c r="V16" t="str">
        <f t="shared" si="2"/>
        <v/>
      </c>
      <c r="W16" t="str">
        <f t="shared" si="3"/>
        <v/>
      </c>
      <c r="X16" t="str">
        <f>IFERROR(INDEX('Squad Listing'!$A:$A,MATCH(W16,'Squad Listing'!$B:$B,0)),"")</f>
        <v/>
      </c>
      <c r="Y16" t="str">
        <f t="shared" si="4"/>
        <v/>
      </c>
      <c r="Z16" t="str">
        <f t="shared" si="5"/>
        <v/>
      </c>
      <c r="AA16" t="str">
        <f>IFERROR(INDEX('Squad Listing'!$A:$A,MATCH(Z16,'Squad Listing'!$B:$B,0)),"")</f>
        <v/>
      </c>
    </row>
    <row r="17" spans="1:27" x14ac:dyDescent="0.3">
      <c r="A17" t="s">
        <v>40</v>
      </c>
      <c r="B17" t="str">
        <f>INDEX('Tournament List'!$L:$L,MATCH($A17,'Tournament List'!$A:$A,0))</f>
        <v>Forge Christian Shooting Team</v>
      </c>
      <c r="C17" t="str">
        <f>INDEX('Tournament List'!$B:$B,MATCH($A17,'Tournament List'!$A:$A,0))</f>
        <v>Susan</v>
      </c>
      <c r="D17" t="str">
        <f>INDEX('Tournament List'!$C:$C,MATCH($A17,'Tournament List'!$A:$A,0))</f>
        <v>Last Name4</v>
      </c>
      <c r="E17" t="str">
        <f t="shared" si="6"/>
        <v>Susan Last Name4</v>
      </c>
      <c r="F17" t="str">
        <f>INDEX('Tournament List'!$M:$M,MATCH($A17,'Tournament List'!$A:$A,0))</f>
        <v>Varsity</v>
      </c>
      <c r="G17" s="118" t="s">
        <v>143</v>
      </c>
      <c r="H17" s="118"/>
      <c r="I17" s="118"/>
      <c r="J17" s="243"/>
      <c r="K17" s="119" t="s">
        <v>147</v>
      </c>
      <c r="L17" s="119"/>
      <c r="M17" s="119"/>
      <c r="N17" s="119"/>
      <c r="O17" s="120" t="s">
        <v>148</v>
      </c>
      <c r="P17" s="120"/>
      <c r="Q17" s="120"/>
      <c r="R17" s="120"/>
      <c r="S17" t="str">
        <f t="shared" si="0"/>
        <v/>
      </c>
      <c r="T17" s="1" t="str">
        <f>IFERROR(INDEX('Squad Listing'!$A:$A,MATCH(S17,'Squad Listing'!$B:$B,0)),"")</f>
        <v/>
      </c>
      <c r="U17" s="1" t="str">
        <f t="shared" si="1"/>
        <v/>
      </c>
      <c r="V17" t="str">
        <f t="shared" si="2"/>
        <v/>
      </c>
      <c r="W17" t="str">
        <f t="shared" si="3"/>
        <v/>
      </c>
      <c r="X17" t="str">
        <f>IFERROR(INDEX('Squad Listing'!$A:$A,MATCH(W17,'Squad Listing'!$B:$B,0)),"")</f>
        <v/>
      </c>
      <c r="Y17" t="str">
        <f t="shared" si="4"/>
        <v/>
      </c>
      <c r="Z17" t="str">
        <f t="shared" si="5"/>
        <v/>
      </c>
      <c r="AA17" t="str">
        <f>IFERROR(INDEX('Squad Listing'!$A:$A,MATCH(Z17,'Squad Listing'!$B:$B,0)),"")</f>
        <v/>
      </c>
    </row>
    <row r="18" spans="1:27" x14ac:dyDescent="0.3">
      <c r="A18" t="s">
        <v>43</v>
      </c>
      <c r="B18" t="str">
        <f>INDEX('Tournament List'!$L:$L,MATCH($A18,'Tournament List'!$A:$A,0))</f>
        <v>High Plains Drifters</v>
      </c>
      <c r="C18" t="str">
        <f>INDEX('Tournament List'!$B:$B,MATCH($A18,'Tournament List'!$A:$A,0))</f>
        <v>Blake</v>
      </c>
      <c r="D18" t="str">
        <f>INDEX('Tournament List'!$C:$C,MATCH($A18,'Tournament List'!$A:$A,0))</f>
        <v>Last Name7</v>
      </c>
      <c r="E18" t="str">
        <f t="shared" si="6"/>
        <v>Blake Last Name7</v>
      </c>
      <c r="F18" t="str">
        <f>INDEX('Tournament List'!$M:$M,MATCH($A18,'Tournament List'!$A:$A,0))</f>
        <v>Intermediate</v>
      </c>
      <c r="G18" s="118" t="s">
        <v>143</v>
      </c>
      <c r="H18" s="118" t="s">
        <v>340</v>
      </c>
      <c r="I18" s="118">
        <v>1</v>
      </c>
      <c r="J18" s="243" t="s">
        <v>768</v>
      </c>
      <c r="K18" s="119" t="s">
        <v>147</v>
      </c>
      <c r="L18" s="119" t="s">
        <v>343</v>
      </c>
      <c r="M18" s="119">
        <v>4</v>
      </c>
      <c r="N18" s="119" t="s">
        <v>774</v>
      </c>
      <c r="O18" s="120" t="s">
        <v>148</v>
      </c>
      <c r="P18" s="120"/>
      <c r="Q18" s="120"/>
      <c r="R18" s="120"/>
      <c r="S18" t="str">
        <f t="shared" si="0"/>
        <v>High Plains Drifters-Intermediate 1-Skeet</v>
      </c>
      <c r="T18" s="1">
        <f>IFERROR(INDEX('Squad Listing'!$A:$A,MATCH(S18,'Squad Listing'!$B:$B,0)),"")</f>
        <v>13</v>
      </c>
      <c r="U18" s="1" t="str">
        <f t="shared" si="1"/>
        <v>13-1</v>
      </c>
      <c r="V18" t="str">
        <f t="shared" si="2"/>
        <v>High Plains Drifters-Open 1-Trap-Pos4</v>
      </c>
      <c r="W18" t="str">
        <f t="shared" si="3"/>
        <v>High Plains Drifters-Open 1-Trap</v>
      </c>
      <c r="X18">
        <f>IFERROR(INDEX('Squad Listing'!$A:$A,MATCH(W18,'Squad Listing'!$B:$B,0)),"")</f>
        <v>40</v>
      </c>
      <c r="Y18" t="str">
        <f t="shared" si="4"/>
        <v/>
      </c>
      <c r="Z18" t="str">
        <f t="shared" si="5"/>
        <v/>
      </c>
      <c r="AA18" t="str">
        <f>IFERROR(INDEX('Squad Listing'!$A:$A,MATCH(Z18,'Squad Listing'!$B:$B,0)),"")</f>
        <v/>
      </c>
    </row>
    <row r="19" spans="1:27" x14ac:dyDescent="0.3">
      <c r="A19" t="s">
        <v>187</v>
      </c>
      <c r="B19" t="str">
        <f>INDEX('Tournament List'!$L:$L,MATCH($A19,'Tournament List'!$A:$A,0))</f>
        <v>High Plains Drifters</v>
      </c>
      <c r="C19" t="str">
        <f>INDEX('Tournament List'!$B:$B,MATCH($A19,'Tournament List'!$A:$A,0))</f>
        <v>Shelly</v>
      </c>
      <c r="D19" t="str">
        <f>INDEX('Tournament List'!$C:$C,MATCH($A19,'Tournament List'!$A:$A,0))</f>
        <v>Last Name31</v>
      </c>
      <c r="E19" t="str">
        <f t="shared" si="6"/>
        <v>Shelly Last Name31</v>
      </c>
      <c r="F19" t="str">
        <f>INDEX('Tournament List'!$M:$M,MATCH($A19,'Tournament List'!$A:$A,0))</f>
        <v>Intermediate</v>
      </c>
      <c r="G19" s="118" t="s">
        <v>143</v>
      </c>
      <c r="H19" s="118" t="s">
        <v>340</v>
      </c>
      <c r="I19" s="118">
        <v>2</v>
      </c>
      <c r="J19" s="243" t="s">
        <v>768</v>
      </c>
      <c r="K19" s="119" t="s">
        <v>147</v>
      </c>
      <c r="L19" s="119" t="s">
        <v>343</v>
      </c>
      <c r="M19" s="119">
        <v>5</v>
      </c>
      <c r="N19" s="119" t="s">
        <v>774</v>
      </c>
      <c r="O19" s="120" t="s">
        <v>148</v>
      </c>
      <c r="P19" s="120"/>
      <c r="Q19" s="120"/>
      <c r="R19" s="120"/>
      <c r="S19" t="str">
        <f t="shared" si="0"/>
        <v>High Plains Drifters-Intermediate 1-Skeet</v>
      </c>
      <c r="T19" s="1">
        <f>IFERROR(INDEX('Squad Listing'!$A:$A,MATCH(S19,'Squad Listing'!$B:$B,0)),"")</f>
        <v>13</v>
      </c>
      <c r="U19" s="1" t="str">
        <f t="shared" si="1"/>
        <v>13-2</v>
      </c>
      <c r="V19" t="str">
        <f t="shared" si="2"/>
        <v>High Plains Drifters-Open 1-Trap-Pos5</v>
      </c>
      <c r="W19" t="str">
        <f t="shared" si="3"/>
        <v>High Plains Drifters-Open 1-Trap</v>
      </c>
      <c r="X19">
        <f>IFERROR(INDEX('Squad Listing'!$A:$A,MATCH(W19,'Squad Listing'!$B:$B,0)),"")</f>
        <v>40</v>
      </c>
      <c r="Y19" t="str">
        <f t="shared" si="4"/>
        <v/>
      </c>
      <c r="Z19" t="str">
        <f t="shared" si="5"/>
        <v/>
      </c>
      <c r="AA19" t="str">
        <f>IFERROR(INDEX('Squad Listing'!$A:$A,MATCH(Z19,'Squad Listing'!$B:$B,0)),"")</f>
        <v/>
      </c>
    </row>
    <row r="20" spans="1:27" x14ac:dyDescent="0.3">
      <c r="A20" t="s">
        <v>199</v>
      </c>
      <c r="B20" t="str">
        <f>INDEX('Tournament List'!$L:$L,MATCH($A20,'Tournament List'!$A:$A,0))</f>
        <v>High Plains Drifters</v>
      </c>
      <c r="C20" t="str">
        <f>INDEX('Tournament List'!$B:$B,MATCH($A20,'Tournament List'!$A:$A,0))</f>
        <v>Terry</v>
      </c>
      <c r="D20" t="str">
        <f>INDEX('Tournament List'!$C:$C,MATCH($A20,'Tournament List'!$A:$A,0))</f>
        <v>Last Name43</v>
      </c>
      <c r="E20" t="str">
        <f t="shared" si="6"/>
        <v>Terry Last Name43</v>
      </c>
      <c r="F20" t="str">
        <f>INDEX('Tournament List'!$M:$M,MATCH($A20,'Tournament List'!$A:$A,0))</f>
        <v>Intermediate</v>
      </c>
      <c r="G20" s="118" t="s">
        <v>143</v>
      </c>
      <c r="H20" s="118" t="s">
        <v>340</v>
      </c>
      <c r="I20" s="118">
        <v>3</v>
      </c>
      <c r="J20" s="243" t="s">
        <v>768</v>
      </c>
      <c r="K20" s="119" t="s">
        <v>147</v>
      </c>
      <c r="L20" s="119"/>
      <c r="M20" s="119"/>
      <c r="N20" s="119"/>
      <c r="O20" s="120" t="s">
        <v>148</v>
      </c>
      <c r="P20" s="120" t="s">
        <v>343</v>
      </c>
      <c r="Q20" s="120">
        <v>1</v>
      </c>
      <c r="R20" s="120"/>
      <c r="S20" t="str">
        <f t="shared" si="0"/>
        <v>High Plains Drifters-Intermediate 1-Skeet</v>
      </c>
      <c r="T20" s="1">
        <f>IFERROR(INDEX('Squad Listing'!$A:$A,MATCH(S20,'Squad Listing'!$B:$B,0)),"")</f>
        <v>13</v>
      </c>
      <c r="U20" s="1" t="str">
        <f t="shared" si="1"/>
        <v>13-3</v>
      </c>
      <c r="V20" t="str">
        <f t="shared" si="2"/>
        <v/>
      </c>
      <c r="W20" t="str">
        <f t="shared" si="3"/>
        <v/>
      </c>
      <c r="X20" t="str">
        <f>IFERROR(INDEX('Squad Listing'!$A:$A,MATCH(W20,'Squad Listing'!$B:$B,0)),"")</f>
        <v/>
      </c>
      <c r="Y20" t="str">
        <f t="shared" si="4"/>
        <v>High Plains Drifters-Open 1-Sporting Clays-Pos1</v>
      </c>
      <c r="Z20" t="str">
        <f t="shared" si="5"/>
        <v>High Plains Drifters-Open 1-Sporting Clays</v>
      </c>
      <c r="AA20">
        <f>IFERROR(INDEX('Squad Listing'!$A:$A,MATCH(Z20,'Squad Listing'!$B:$B,0)),"")</f>
        <v>58</v>
      </c>
    </row>
    <row r="21" spans="1:27" x14ac:dyDescent="0.3">
      <c r="A21" t="s">
        <v>49</v>
      </c>
      <c r="B21" t="str">
        <f>INDEX('Tournament List'!$L:$L,MATCH($A21,'Tournament List'!$A:$A,0))</f>
        <v>High Plains Drifters</v>
      </c>
      <c r="C21" t="str">
        <f>INDEX('Tournament List'!$B:$B,MATCH($A21,'Tournament List'!$A:$A,0))</f>
        <v>Bruce</v>
      </c>
      <c r="D21" t="str">
        <f>INDEX('Tournament List'!$C:$C,MATCH($A21,'Tournament List'!$A:$A,0))</f>
        <v>Last Name13</v>
      </c>
      <c r="E21" t="str">
        <f t="shared" si="6"/>
        <v>Bruce Last Name13</v>
      </c>
      <c r="F21" t="str">
        <f>INDEX('Tournament List'!$M:$M,MATCH($A21,'Tournament List'!$A:$A,0))</f>
        <v>Junior Varsity</v>
      </c>
      <c r="G21" s="118" t="s">
        <v>143</v>
      </c>
      <c r="H21" s="118"/>
      <c r="I21" s="118"/>
      <c r="J21" s="243"/>
      <c r="K21" s="119" t="s">
        <v>147</v>
      </c>
      <c r="L21" s="119"/>
      <c r="M21" s="119"/>
      <c r="N21" s="119"/>
      <c r="O21" s="120" t="s">
        <v>148</v>
      </c>
      <c r="P21" s="120" t="s">
        <v>343</v>
      </c>
      <c r="Q21" s="120">
        <v>2</v>
      </c>
      <c r="R21" s="120"/>
      <c r="S21" t="str">
        <f t="shared" si="0"/>
        <v/>
      </c>
      <c r="T21" s="1" t="str">
        <f>IFERROR(INDEX('Squad Listing'!$A:$A,MATCH(S21,'Squad Listing'!$B:$B,0)),"")</f>
        <v/>
      </c>
      <c r="U21" s="1" t="str">
        <f t="shared" si="1"/>
        <v/>
      </c>
      <c r="V21" t="str">
        <f t="shared" si="2"/>
        <v/>
      </c>
      <c r="W21" t="str">
        <f t="shared" si="3"/>
        <v/>
      </c>
      <c r="X21" t="str">
        <f>IFERROR(INDEX('Squad Listing'!$A:$A,MATCH(W21,'Squad Listing'!$B:$B,0)),"")</f>
        <v/>
      </c>
      <c r="Y21" t="str">
        <f t="shared" si="4"/>
        <v>High Plains Drifters-Open 1-Sporting Clays-Pos2</v>
      </c>
      <c r="Z21" t="str">
        <f t="shared" si="5"/>
        <v>High Plains Drifters-Open 1-Sporting Clays</v>
      </c>
      <c r="AA21">
        <f>IFERROR(INDEX('Squad Listing'!$A:$A,MATCH(Z21,'Squad Listing'!$B:$B,0)),"")</f>
        <v>58</v>
      </c>
    </row>
    <row r="22" spans="1:27" x14ac:dyDescent="0.3">
      <c r="A22" t="s">
        <v>37</v>
      </c>
      <c r="B22" t="str">
        <f>INDEX('Tournament List'!$L:$L,MATCH($A22,'Tournament List'!$A:$A,0))</f>
        <v>High Plains Drifters</v>
      </c>
      <c r="C22" t="str">
        <f>INDEX('Tournament List'!$B:$B,MATCH($A22,'Tournament List'!$A:$A,0))</f>
        <v>Jason</v>
      </c>
      <c r="D22" t="str">
        <f>INDEX('Tournament List'!$C:$C,MATCH($A22,'Tournament List'!$A:$A,0))</f>
        <v>Last Name1</v>
      </c>
      <c r="E22" t="str">
        <f t="shared" si="6"/>
        <v>Jason Last Name1</v>
      </c>
      <c r="F22" t="str">
        <f>INDEX('Tournament List'!$M:$M,MATCH($A22,'Tournament List'!$A:$A,0))</f>
        <v>Novice</v>
      </c>
      <c r="G22" s="118" t="s">
        <v>143</v>
      </c>
      <c r="H22" s="118"/>
      <c r="I22" s="118"/>
      <c r="J22" s="243"/>
      <c r="K22" s="119" t="s">
        <v>147</v>
      </c>
      <c r="L22" s="119"/>
      <c r="M22" s="119"/>
      <c r="N22" s="119"/>
      <c r="O22" s="120" t="s">
        <v>148</v>
      </c>
      <c r="P22" s="120" t="s">
        <v>343</v>
      </c>
      <c r="Q22" s="120">
        <v>3</v>
      </c>
      <c r="R22" s="120"/>
      <c r="S22" t="str">
        <f t="shared" si="0"/>
        <v/>
      </c>
      <c r="T22" s="1" t="str">
        <f>IFERROR(INDEX('Squad Listing'!$A:$A,MATCH(S22,'Squad Listing'!$B:$B,0)),"")</f>
        <v/>
      </c>
      <c r="U22" s="1" t="str">
        <f t="shared" si="1"/>
        <v/>
      </c>
      <c r="V22" t="str">
        <f t="shared" si="2"/>
        <v/>
      </c>
      <c r="W22" t="str">
        <f t="shared" si="3"/>
        <v/>
      </c>
      <c r="X22" t="str">
        <f>IFERROR(INDEX('Squad Listing'!$A:$A,MATCH(W22,'Squad Listing'!$B:$B,0)),"")</f>
        <v/>
      </c>
      <c r="Y22" t="str">
        <f t="shared" si="4"/>
        <v>High Plains Drifters-Open 1-Sporting Clays-Pos3</v>
      </c>
      <c r="Z22" t="str">
        <f t="shared" si="5"/>
        <v>High Plains Drifters-Open 1-Sporting Clays</v>
      </c>
      <c r="AA22">
        <f>IFERROR(INDEX('Squad Listing'!$A:$A,MATCH(Z22,'Squad Listing'!$B:$B,0)),"")</f>
        <v>58</v>
      </c>
    </row>
    <row r="23" spans="1:27" x14ac:dyDescent="0.3">
      <c r="A23" t="s">
        <v>55</v>
      </c>
      <c r="B23" t="str">
        <f>INDEX('Tournament List'!$L:$L,MATCH($A23,'Tournament List'!$A:$A,0))</f>
        <v>High Plains Drifters</v>
      </c>
      <c r="C23" t="str">
        <f>INDEX('Tournament List'!$B:$B,MATCH($A23,'Tournament List'!$A:$A,0))</f>
        <v>Jack</v>
      </c>
      <c r="D23" t="str">
        <f>INDEX('Tournament List'!$C:$C,MATCH($A23,'Tournament List'!$A:$A,0))</f>
        <v>Last Name19</v>
      </c>
      <c r="E23" t="str">
        <f t="shared" si="6"/>
        <v>Jack Last Name19</v>
      </c>
      <c r="F23" t="str">
        <f>INDEX('Tournament List'!$M:$M,MATCH($A23,'Tournament List'!$A:$A,0))</f>
        <v>Varsity</v>
      </c>
      <c r="G23" s="118" t="s">
        <v>143</v>
      </c>
      <c r="H23" s="118" t="s">
        <v>342</v>
      </c>
      <c r="I23" s="118">
        <v>1</v>
      </c>
      <c r="J23" s="243" t="s">
        <v>768</v>
      </c>
      <c r="K23" s="119" t="s">
        <v>147</v>
      </c>
      <c r="L23" s="119" t="s">
        <v>343</v>
      </c>
      <c r="M23" s="119">
        <v>1</v>
      </c>
      <c r="N23" s="119" t="s">
        <v>774</v>
      </c>
      <c r="O23" s="120" t="s">
        <v>148</v>
      </c>
      <c r="P23" s="120" t="s">
        <v>342</v>
      </c>
      <c r="Q23" s="120">
        <v>2</v>
      </c>
      <c r="R23" s="120"/>
      <c r="S23" t="str">
        <f t="shared" si="0"/>
        <v>High Plains Drifters-Varsity 1-Skeet</v>
      </c>
      <c r="T23" s="1">
        <f>IFERROR(INDEX('Squad Listing'!$A:$A,MATCH(S23,'Squad Listing'!$B:$B,0)),"")</f>
        <v>25</v>
      </c>
      <c r="U23" s="1" t="str">
        <f t="shared" si="1"/>
        <v>25-1</v>
      </c>
      <c r="V23" t="str">
        <f t="shared" si="2"/>
        <v>High Plains Drifters-Open 1-Trap-Pos1</v>
      </c>
      <c r="W23" t="str">
        <f t="shared" si="3"/>
        <v>High Plains Drifters-Open 1-Trap</v>
      </c>
      <c r="X23">
        <f>IFERROR(INDEX('Squad Listing'!$A:$A,MATCH(W23,'Squad Listing'!$B:$B,0)),"")</f>
        <v>40</v>
      </c>
      <c r="Y23" t="str">
        <f t="shared" si="4"/>
        <v>High Plains Drifters-Varsity 1-Sporting Clays-Pos2</v>
      </c>
      <c r="Z23" t="str">
        <f t="shared" si="5"/>
        <v>High Plains Drifters-Varsity 1-Sporting Clays</v>
      </c>
      <c r="AA23">
        <f>IFERROR(INDEX('Squad Listing'!$A:$A,MATCH(Z23,'Squad Listing'!$B:$B,0)),"")</f>
        <v>61</v>
      </c>
    </row>
    <row r="24" spans="1:27" x14ac:dyDescent="0.3">
      <c r="A24" t="s">
        <v>181</v>
      </c>
      <c r="B24" t="str">
        <f>INDEX('Tournament List'!$L:$L,MATCH($A24,'Tournament List'!$A:$A,0))</f>
        <v>High Plains Drifters</v>
      </c>
      <c r="C24" t="str">
        <f>INDEX('Tournament List'!$B:$B,MATCH($A24,'Tournament List'!$A:$A,0))</f>
        <v>Harry</v>
      </c>
      <c r="D24" t="str">
        <f>INDEX('Tournament List'!$C:$C,MATCH($A24,'Tournament List'!$A:$A,0))</f>
        <v>Last Name25</v>
      </c>
      <c r="E24" t="str">
        <f t="shared" si="6"/>
        <v>Harry Last Name25</v>
      </c>
      <c r="F24" t="str">
        <f>INDEX('Tournament List'!$M:$M,MATCH($A24,'Tournament List'!$A:$A,0))</f>
        <v>Varsity</v>
      </c>
      <c r="G24" s="118" t="s">
        <v>143</v>
      </c>
      <c r="H24" s="118" t="s">
        <v>342</v>
      </c>
      <c r="I24" s="118">
        <v>2</v>
      </c>
      <c r="J24" s="243" t="s">
        <v>768</v>
      </c>
      <c r="K24" s="119" t="s">
        <v>147</v>
      </c>
      <c r="L24" s="119" t="s">
        <v>343</v>
      </c>
      <c r="M24" s="119">
        <v>2</v>
      </c>
      <c r="N24" s="119" t="s">
        <v>774</v>
      </c>
      <c r="O24" s="120" t="s">
        <v>148</v>
      </c>
      <c r="P24" s="120" t="s">
        <v>342</v>
      </c>
      <c r="Q24" s="120">
        <v>1</v>
      </c>
      <c r="R24" s="120"/>
      <c r="S24" t="str">
        <f t="shared" si="0"/>
        <v>High Plains Drifters-Varsity 1-Skeet</v>
      </c>
      <c r="T24" s="1">
        <f>IFERROR(INDEX('Squad Listing'!$A:$A,MATCH(S24,'Squad Listing'!$B:$B,0)),"")</f>
        <v>25</v>
      </c>
      <c r="U24" s="1" t="str">
        <f t="shared" si="1"/>
        <v>25-2</v>
      </c>
      <c r="V24" t="str">
        <f t="shared" si="2"/>
        <v>High Plains Drifters-Open 1-Trap-Pos2</v>
      </c>
      <c r="W24" t="str">
        <f t="shared" si="3"/>
        <v>High Plains Drifters-Open 1-Trap</v>
      </c>
      <c r="X24">
        <f>IFERROR(INDEX('Squad Listing'!$A:$A,MATCH(W24,'Squad Listing'!$B:$B,0)),"")</f>
        <v>40</v>
      </c>
      <c r="Y24" t="str">
        <f t="shared" si="4"/>
        <v>High Plains Drifters-Varsity 1-Sporting Clays-Pos1</v>
      </c>
      <c r="Z24" t="str">
        <f t="shared" si="5"/>
        <v>High Plains Drifters-Varsity 1-Sporting Clays</v>
      </c>
      <c r="AA24">
        <f>IFERROR(INDEX('Squad Listing'!$A:$A,MATCH(Z24,'Squad Listing'!$B:$B,0)),"")</f>
        <v>61</v>
      </c>
    </row>
    <row r="25" spans="1:27" x14ac:dyDescent="0.3">
      <c r="A25" t="s">
        <v>193</v>
      </c>
      <c r="B25" t="str">
        <f>INDEX('Tournament List'!$L:$L,MATCH($A25,'Tournament List'!$A:$A,0))</f>
        <v>High Plains Drifters</v>
      </c>
      <c r="C25" t="str">
        <f>INDEX('Tournament List'!$B:$B,MATCH($A25,'Tournament List'!$A:$A,0))</f>
        <v>Will</v>
      </c>
      <c r="D25" t="str">
        <f>INDEX('Tournament List'!$C:$C,MATCH($A25,'Tournament List'!$A:$A,0))</f>
        <v>Last Name37</v>
      </c>
      <c r="E25" t="str">
        <f t="shared" si="6"/>
        <v>Will Last Name37</v>
      </c>
      <c r="F25" t="str">
        <f>INDEX('Tournament List'!$M:$M,MATCH($A25,'Tournament List'!$A:$A,0))</f>
        <v>Varsity</v>
      </c>
      <c r="G25" s="118" t="s">
        <v>143</v>
      </c>
      <c r="H25" s="118" t="s">
        <v>342</v>
      </c>
      <c r="I25" s="118">
        <v>3</v>
      </c>
      <c r="J25" s="243" t="s">
        <v>768</v>
      </c>
      <c r="K25" s="119" t="s">
        <v>147</v>
      </c>
      <c r="L25" s="119" t="s">
        <v>343</v>
      </c>
      <c r="M25" s="119">
        <v>3</v>
      </c>
      <c r="N25" s="119" t="s">
        <v>774</v>
      </c>
      <c r="O25" s="120" t="s">
        <v>148</v>
      </c>
      <c r="P25" s="120" t="s">
        <v>342</v>
      </c>
      <c r="Q25" s="120">
        <v>3</v>
      </c>
      <c r="R25" s="120"/>
      <c r="S25" t="str">
        <f t="shared" si="0"/>
        <v>High Plains Drifters-Varsity 1-Skeet</v>
      </c>
      <c r="T25" s="1">
        <f>IFERROR(INDEX('Squad Listing'!$A:$A,MATCH(S25,'Squad Listing'!$B:$B,0)),"")</f>
        <v>25</v>
      </c>
      <c r="U25" s="1" t="str">
        <f t="shared" si="1"/>
        <v>25-3</v>
      </c>
      <c r="V25" t="str">
        <f t="shared" si="2"/>
        <v>High Plains Drifters-Open 1-Trap-Pos3</v>
      </c>
      <c r="W25" t="str">
        <f t="shared" si="3"/>
        <v>High Plains Drifters-Open 1-Trap</v>
      </c>
      <c r="X25">
        <f>IFERROR(INDEX('Squad Listing'!$A:$A,MATCH(W25,'Squad Listing'!$B:$B,0)),"")</f>
        <v>40</v>
      </c>
      <c r="Y25" t="str">
        <f t="shared" si="4"/>
        <v>High Plains Drifters-Varsity 1-Sporting Clays-Pos3</v>
      </c>
      <c r="Z25" t="str">
        <f t="shared" si="5"/>
        <v>High Plains Drifters-Varsity 1-Sporting Clays</v>
      </c>
      <c r="AA25">
        <f>IFERROR(INDEX('Squad Listing'!$A:$A,MATCH(Z25,'Squad Listing'!$B:$B,0)),"")</f>
        <v>61</v>
      </c>
    </row>
    <row r="26" spans="1:27" x14ac:dyDescent="0.3">
      <c r="A26" t="s">
        <v>48</v>
      </c>
      <c r="B26" t="str">
        <f>INDEX('Tournament List'!$L:$L,MATCH($A26,'Tournament List'!$A:$A,0))</f>
        <v>Littleton Target Masters</v>
      </c>
      <c r="C26" t="str">
        <f>INDEX('Tournament List'!$B:$B,MATCH($A26,'Tournament List'!$A:$A,0))</f>
        <v>Bob</v>
      </c>
      <c r="D26" t="str">
        <f>INDEX('Tournament List'!$C:$C,MATCH($A26,'Tournament List'!$A:$A,0))</f>
        <v>Last Name12</v>
      </c>
      <c r="E26" t="str">
        <f t="shared" si="6"/>
        <v>Bob Last Name12</v>
      </c>
      <c r="F26" t="str">
        <f>INDEX('Tournament List'!$M:$M,MATCH($A26,'Tournament List'!$A:$A,0))</f>
        <v>Collegiate</v>
      </c>
      <c r="G26" s="118" t="s">
        <v>143</v>
      </c>
      <c r="H26" s="118" t="s">
        <v>344</v>
      </c>
      <c r="I26" s="118">
        <v>1</v>
      </c>
      <c r="J26" s="243"/>
      <c r="K26" s="119" t="s">
        <v>147</v>
      </c>
      <c r="L26" s="119"/>
      <c r="M26" s="119"/>
      <c r="N26" s="119"/>
      <c r="O26" s="120" t="s">
        <v>148</v>
      </c>
      <c r="P26" s="120"/>
      <c r="Q26" s="120"/>
      <c r="R26" s="120"/>
      <c r="S26" t="str">
        <f t="shared" si="0"/>
        <v>Littleton Target Masters-Collegiate 1-Skeet</v>
      </c>
      <c r="T26" s="1">
        <f>IFERROR(INDEX('Squad Listing'!$A:$A,MATCH(S26,'Squad Listing'!$B:$B,0)),"")</f>
        <v>280</v>
      </c>
      <c r="U26" s="1" t="str">
        <f t="shared" si="1"/>
        <v>280-1</v>
      </c>
      <c r="V26" t="str">
        <f t="shared" si="2"/>
        <v/>
      </c>
      <c r="W26" t="str">
        <f t="shared" si="3"/>
        <v/>
      </c>
      <c r="X26" t="str">
        <f>IFERROR(INDEX('Squad Listing'!$A:$A,MATCH(W26,'Squad Listing'!$B:$B,0)),"")</f>
        <v/>
      </c>
      <c r="Y26" t="str">
        <f t="shared" si="4"/>
        <v/>
      </c>
      <c r="Z26" t="str">
        <f t="shared" si="5"/>
        <v/>
      </c>
      <c r="AA26" t="str">
        <f>IFERROR(INDEX('Squad Listing'!$A:$A,MATCH(Z26,'Squad Listing'!$B:$B,0)),"")</f>
        <v/>
      </c>
    </row>
    <row r="27" spans="1:27" x14ac:dyDescent="0.3">
      <c r="A27" t="s">
        <v>54</v>
      </c>
      <c r="B27" t="str">
        <f>INDEX('Tournament List'!$L:$L,MATCH($A27,'Tournament List'!$A:$A,0))</f>
        <v>Littleton Target Masters</v>
      </c>
      <c r="C27" t="str">
        <f>INDEX('Tournament List'!$B:$B,MATCH($A27,'Tournament List'!$A:$A,0))</f>
        <v>Jill</v>
      </c>
      <c r="D27" t="str">
        <f>INDEX('Tournament List'!$C:$C,MATCH($A27,'Tournament List'!$A:$A,0))</f>
        <v>Last Name18</v>
      </c>
      <c r="E27" t="str">
        <f t="shared" si="6"/>
        <v>Jill Last Name18</v>
      </c>
      <c r="F27" t="str">
        <f>INDEX('Tournament List'!$M:$M,MATCH($A27,'Tournament List'!$A:$A,0))</f>
        <v>Collegiate</v>
      </c>
      <c r="G27" s="118" t="s">
        <v>143</v>
      </c>
      <c r="H27" s="118" t="s">
        <v>344</v>
      </c>
      <c r="I27" s="118">
        <v>2</v>
      </c>
      <c r="J27" s="243"/>
      <c r="K27" s="119" t="s">
        <v>147</v>
      </c>
      <c r="L27" s="119"/>
      <c r="M27" s="119"/>
      <c r="N27" s="119"/>
      <c r="O27" s="120" t="s">
        <v>148</v>
      </c>
      <c r="P27" s="120"/>
      <c r="Q27" s="120"/>
      <c r="R27" s="120"/>
      <c r="S27" t="str">
        <f t="shared" si="0"/>
        <v>Littleton Target Masters-Collegiate 1-Skeet</v>
      </c>
      <c r="T27" s="1">
        <f>IFERROR(INDEX('Squad Listing'!$A:$A,MATCH(S27,'Squad Listing'!$B:$B,0)),"")</f>
        <v>280</v>
      </c>
      <c r="U27" s="1" t="str">
        <f t="shared" si="1"/>
        <v>280-2</v>
      </c>
      <c r="V27" t="str">
        <f t="shared" si="2"/>
        <v/>
      </c>
      <c r="W27" t="str">
        <f t="shared" si="3"/>
        <v/>
      </c>
      <c r="X27" t="str">
        <f>IFERROR(INDEX('Squad Listing'!$A:$A,MATCH(W27,'Squad Listing'!$B:$B,0)),"")</f>
        <v/>
      </c>
      <c r="Y27" t="str">
        <f t="shared" si="4"/>
        <v/>
      </c>
      <c r="Z27" t="str">
        <f t="shared" si="5"/>
        <v/>
      </c>
      <c r="AA27" t="str">
        <f>IFERROR(INDEX('Squad Listing'!$A:$A,MATCH(Z27,'Squad Listing'!$B:$B,0)),"")</f>
        <v/>
      </c>
    </row>
    <row r="28" spans="1:27" x14ac:dyDescent="0.3">
      <c r="A28" t="s">
        <v>186</v>
      </c>
      <c r="B28" t="str">
        <f>INDEX('Tournament List'!$L:$L,MATCH($A28,'Tournament List'!$A:$A,0))</f>
        <v>Littleton Target Masters</v>
      </c>
      <c r="C28" t="str">
        <f>INDEX('Tournament List'!$B:$B,MATCH($A28,'Tournament List'!$A:$A,0))</f>
        <v>Judy</v>
      </c>
      <c r="D28" t="str">
        <f>INDEX('Tournament List'!$C:$C,MATCH($A28,'Tournament List'!$A:$A,0))</f>
        <v>Last Name30</v>
      </c>
      <c r="E28" t="str">
        <f t="shared" si="6"/>
        <v>Judy Last Name30</v>
      </c>
      <c r="F28" t="str">
        <f>INDEX('Tournament List'!$M:$M,MATCH($A28,'Tournament List'!$A:$A,0))</f>
        <v>Collegiate</v>
      </c>
      <c r="G28" s="118" t="s">
        <v>143</v>
      </c>
      <c r="H28" s="118" t="s">
        <v>344</v>
      </c>
      <c r="I28" s="118">
        <v>3</v>
      </c>
      <c r="J28" s="243"/>
      <c r="K28" s="119" t="s">
        <v>147</v>
      </c>
      <c r="L28" s="119"/>
      <c r="M28" s="119"/>
      <c r="N28" s="119"/>
      <c r="O28" s="120" t="s">
        <v>148</v>
      </c>
      <c r="P28" s="120"/>
      <c r="Q28" s="120"/>
      <c r="R28" s="120"/>
      <c r="S28" t="str">
        <f t="shared" si="0"/>
        <v>Littleton Target Masters-Collegiate 1-Skeet</v>
      </c>
      <c r="T28" s="1">
        <f>IFERROR(INDEX('Squad Listing'!$A:$A,MATCH(S28,'Squad Listing'!$B:$B,0)),"")</f>
        <v>280</v>
      </c>
      <c r="U28" s="1" t="str">
        <f t="shared" si="1"/>
        <v>280-3</v>
      </c>
      <c r="V28" t="str">
        <f t="shared" si="2"/>
        <v/>
      </c>
      <c r="W28" t="str">
        <f t="shared" si="3"/>
        <v/>
      </c>
      <c r="X28" t="str">
        <f>IFERROR(INDEX('Squad Listing'!$A:$A,MATCH(W28,'Squad Listing'!$B:$B,0)),"")</f>
        <v/>
      </c>
      <c r="Y28" t="str">
        <f t="shared" si="4"/>
        <v/>
      </c>
      <c r="Z28" t="str">
        <f t="shared" si="5"/>
        <v/>
      </c>
      <c r="AA28" t="str">
        <f>IFERROR(INDEX('Squad Listing'!$A:$A,MATCH(Z28,'Squad Listing'!$B:$B,0)),"")</f>
        <v/>
      </c>
    </row>
    <row r="29" spans="1:27" x14ac:dyDescent="0.3">
      <c r="A29" t="s">
        <v>198</v>
      </c>
      <c r="B29" t="str">
        <f>INDEX('Tournament List'!$L:$L,MATCH($A29,'Tournament List'!$A:$A,0))</f>
        <v>Littleton Target Masters</v>
      </c>
      <c r="C29" t="str">
        <f>INDEX('Tournament List'!$B:$B,MATCH($A29,'Tournament List'!$A:$A,0))</f>
        <v>Owen</v>
      </c>
      <c r="D29" t="str">
        <f>INDEX('Tournament List'!$C:$C,MATCH($A29,'Tournament List'!$A:$A,0))</f>
        <v>Last Name42</v>
      </c>
      <c r="E29" t="str">
        <f t="shared" si="6"/>
        <v>Owen Last Name42</v>
      </c>
      <c r="F29" t="str">
        <f>INDEX('Tournament List'!$M:$M,MATCH($A29,'Tournament List'!$A:$A,0))</f>
        <v>Novice</v>
      </c>
      <c r="G29" s="118" t="s">
        <v>143</v>
      </c>
      <c r="H29" s="118" t="s">
        <v>339</v>
      </c>
      <c r="I29" s="118">
        <v>3</v>
      </c>
      <c r="J29" s="243"/>
      <c r="K29" s="119" t="s">
        <v>147</v>
      </c>
      <c r="L29" s="119"/>
      <c r="M29" s="119"/>
      <c r="N29" s="119"/>
      <c r="O29" s="120" t="s">
        <v>148</v>
      </c>
      <c r="P29" s="120"/>
      <c r="Q29" s="120"/>
      <c r="R29" s="120"/>
      <c r="S29" t="str">
        <f t="shared" si="0"/>
        <v>Littleton Target Masters-Novice 1-Skeet</v>
      </c>
      <c r="T29" s="1">
        <f>IFERROR(INDEX('Squad Listing'!$A:$A,MATCH(S29,'Squad Listing'!$B:$B,0)),"")</f>
        <v>289</v>
      </c>
      <c r="U29" s="1" t="str">
        <f t="shared" si="1"/>
        <v>289-3</v>
      </c>
      <c r="V29" t="str">
        <f t="shared" si="2"/>
        <v/>
      </c>
      <c r="W29" t="str">
        <f t="shared" si="3"/>
        <v/>
      </c>
      <c r="X29" t="str">
        <f>IFERROR(INDEX('Squad Listing'!$A:$A,MATCH(W29,'Squad Listing'!$B:$B,0)),"")</f>
        <v/>
      </c>
      <c r="Y29" t="str">
        <f t="shared" si="4"/>
        <v/>
      </c>
      <c r="Z29" t="str">
        <f t="shared" si="5"/>
        <v/>
      </c>
      <c r="AA29" t="str">
        <f>IFERROR(INDEX('Squad Listing'!$A:$A,MATCH(Z29,'Squad Listing'!$B:$B,0)),"")</f>
        <v/>
      </c>
    </row>
    <row r="30" spans="1:27" x14ac:dyDescent="0.3">
      <c r="A30" t="s">
        <v>42</v>
      </c>
      <c r="B30" t="str">
        <f>INDEX('Tournament List'!$L:$L,MATCH($A30,'Tournament List'!$A:$A,0))</f>
        <v>Littleton Target Masters</v>
      </c>
      <c r="C30" t="str">
        <f>INDEX('Tournament List'!$B:$B,MATCH($A30,'Tournament List'!$A:$A,0))</f>
        <v>Ben</v>
      </c>
      <c r="D30" t="str">
        <f>INDEX('Tournament List'!$C:$C,MATCH($A30,'Tournament List'!$A:$A,0))</f>
        <v>Last Name6</v>
      </c>
      <c r="E30" t="str">
        <f t="shared" si="6"/>
        <v>Ben Last Name6</v>
      </c>
      <c r="F30" t="str">
        <f>INDEX('Tournament List'!$M:$M,MATCH($A30,'Tournament List'!$A:$A,0))</f>
        <v>Novice</v>
      </c>
      <c r="G30" s="118" t="s">
        <v>143</v>
      </c>
      <c r="H30" s="118" t="s">
        <v>339</v>
      </c>
      <c r="I30" s="118">
        <v>2</v>
      </c>
      <c r="J30" s="243"/>
      <c r="K30" s="119" t="s">
        <v>147</v>
      </c>
      <c r="L30" s="119"/>
      <c r="M30" s="119"/>
      <c r="N30" s="119"/>
      <c r="O30" s="120" t="s">
        <v>148</v>
      </c>
      <c r="P30" s="120"/>
      <c r="Q30" s="120"/>
      <c r="R30" s="120"/>
      <c r="S30" t="str">
        <f t="shared" si="0"/>
        <v>Littleton Target Masters-Novice 1-Skeet</v>
      </c>
      <c r="T30" s="1">
        <f>IFERROR(INDEX('Squad Listing'!$A:$A,MATCH(S30,'Squad Listing'!$B:$B,0)),"")</f>
        <v>289</v>
      </c>
      <c r="U30" s="1" t="str">
        <f t="shared" si="1"/>
        <v>289-2</v>
      </c>
      <c r="V30" t="str">
        <f t="shared" si="2"/>
        <v/>
      </c>
      <c r="W30" t="str">
        <f t="shared" si="3"/>
        <v/>
      </c>
      <c r="X30" t="str">
        <f>IFERROR(INDEX('Squad Listing'!$A:$A,MATCH(W30,'Squad Listing'!$B:$B,0)),"")</f>
        <v/>
      </c>
      <c r="Y30" t="str">
        <f t="shared" si="4"/>
        <v/>
      </c>
      <c r="Z30" t="str">
        <f t="shared" si="5"/>
        <v/>
      </c>
      <c r="AA30" t="str">
        <f>IFERROR(INDEX('Squad Listing'!$A:$A,MATCH(Z30,'Squad Listing'!$B:$B,0)),"")</f>
        <v/>
      </c>
    </row>
    <row r="31" spans="1:27" x14ac:dyDescent="0.3">
      <c r="A31" t="s">
        <v>192</v>
      </c>
      <c r="B31" t="str">
        <f>INDEX('Tournament List'!$L:$L,MATCH($A31,'Tournament List'!$A:$A,0))</f>
        <v>Littleton Target Masters</v>
      </c>
      <c r="C31" t="str">
        <f>INDEX('Tournament List'!$B:$B,MATCH($A31,'Tournament List'!$A:$A,0))</f>
        <v>Randy</v>
      </c>
      <c r="D31" t="str">
        <f>INDEX('Tournament List'!$C:$C,MATCH($A31,'Tournament List'!$A:$A,0))</f>
        <v>Last Name36</v>
      </c>
      <c r="E31" t="str">
        <f t="shared" si="6"/>
        <v>Randy Last Name36</v>
      </c>
      <c r="F31" t="str">
        <f>INDEX('Tournament List'!$M:$M,MATCH($A31,'Tournament List'!$A:$A,0))</f>
        <v>Novice</v>
      </c>
      <c r="G31" s="118" t="s">
        <v>143</v>
      </c>
      <c r="H31" s="118" t="s">
        <v>339</v>
      </c>
      <c r="I31" s="118">
        <v>1</v>
      </c>
      <c r="J31" s="243"/>
      <c r="K31" s="119" t="s">
        <v>147</v>
      </c>
      <c r="L31" s="119"/>
      <c r="M31" s="119"/>
      <c r="N31" s="119"/>
      <c r="O31" s="120" t="s">
        <v>148</v>
      </c>
      <c r="P31" s="120"/>
      <c r="Q31" s="120"/>
      <c r="R31" s="120"/>
      <c r="S31" t="str">
        <f t="shared" si="0"/>
        <v>Littleton Target Masters-Novice 1-Skeet</v>
      </c>
      <c r="T31" s="1">
        <f>IFERROR(INDEX('Squad Listing'!$A:$A,MATCH(S31,'Squad Listing'!$B:$B,0)),"")</f>
        <v>289</v>
      </c>
      <c r="U31" s="1" t="str">
        <f t="shared" si="1"/>
        <v>289-1</v>
      </c>
      <c r="V31" t="str">
        <f t="shared" si="2"/>
        <v/>
      </c>
      <c r="W31" t="str">
        <f t="shared" si="3"/>
        <v/>
      </c>
      <c r="X31" t="str">
        <f>IFERROR(INDEX('Squad Listing'!$A:$A,MATCH(W31,'Squad Listing'!$B:$B,0)),"")</f>
        <v/>
      </c>
      <c r="Y31" t="str">
        <f t="shared" si="4"/>
        <v/>
      </c>
      <c r="Z31" t="str">
        <f t="shared" si="5"/>
        <v/>
      </c>
      <c r="AA31" t="str">
        <f>IFERROR(INDEX('Squad Listing'!$A:$A,MATCH(Z31,'Squad Listing'!$B:$B,0)),"")</f>
        <v/>
      </c>
    </row>
    <row r="32" spans="1:27" x14ac:dyDescent="0.3">
      <c r="A32" t="s">
        <v>250</v>
      </c>
      <c r="B32" t="str">
        <f>INDEX('Tournament List'!$L:$L,MATCH($A32,'Tournament List'!$A:$A,0))</f>
        <v>Littleton Target Masters</v>
      </c>
      <c r="C32" t="str">
        <f>INDEX('Tournament List'!$B:$B,MATCH($A32,'Tournament List'!$A:$A,0))</f>
        <v>Jackson</v>
      </c>
      <c r="D32" t="str">
        <f>INDEX('Tournament List'!$C:$C,MATCH($A32,'Tournament List'!$A:$A,0))</f>
        <v>Last Name48</v>
      </c>
      <c r="E32" t="str">
        <f t="shared" si="6"/>
        <v>Jackson Last Name48</v>
      </c>
      <c r="F32" t="str">
        <f>INDEX('Tournament List'!$M:$M,MATCH($A32,'Tournament List'!$A:$A,0))</f>
        <v>Novice</v>
      </c>
      <c r="G32" s="118" t="s">
        <v>143</v>
      </c>
      <c r="H32" s="118"/>
      <c r="I32" s="118"/>
      <c r="J32" s="243"/>
      <c r="K32" s="119" t="s">
        <v>147</v>
      </c>
      <c r="L32" s="119"/>
      <c r="M32" s="119"/>
      <c r="N32" s="119"/>
      <c r="O32" s="120" t="s">
        <v>148</v>
      </c>
      <c r="P32" s="120"/>
      <c r="Q32" s="120"/>
      <c r="R32" s="120"/>
      <c r="S32" t="str">
        <f t="shared" si="0"/>
        <v/>
      </c>
      <c r="T32" s="1" t="str">
        <f>IFERROR(INDEX('Squad Listing'!$A:$A,MATCH(S32,'Squad Listing'!$B:$B,0)),"")</f>
        <v/>
      </c>
      <c r="U32" s="1" t="str">
        <f t="shared" si="1"/>
        <v/>
      </c>
      <c r="V32" t="str">
        <f t="shared" si="2"/>
        <v/>
      </c>
      <c r="W32" t="str">
        <f t="shared" si="3"/>
        <v/>
      </c>
      <c r="X32" t="str">
        <f>IFERROR(INDEX('Squad Listing'!$A:$A,MATCH(W32,'Squad Listing'!$B:$B,0)),"")</f>
        <v/>
      </c>
      <c r="Y32" t="str">
        <f t="shared" si="4"/>
        <v/>
      </c>
      <c r="Z32" t="str">
        <f t="shared" si="5"/>
        <v/>
      </c>
      <c r="AA32" t="str">
        <f>IFERROR(INDEX('Squad Listing'!$A:$A,MATCH(Z32,'Squad Listing'!$B:$B,0)),"")</f>
        <v/>
      </c>
    </row>
    <row r="33" spans="1:27" x14ac:dyDescent="0.3">
      <c r="A33" t="s">
        <v>60</v>
      </c>
      <c r="B33" t="str">
        <f>INDEX('Tournament List'!$L:$L,MATCH($A33,'Tournament List'!$A:$A,0))</f>
        <v>Littleton Target Masters</v>
      </c>
      <c r="C33" t="str">
        <f>INDEX('Tournament List'!$B:$B,MATCH($A33,'Tournament List'!$A:$A,0))</f>
        <v>Tim</v>
      </c>
      <c r="D33" t="str">
        <f>INDEX('Tournament List'!$C:$C,MATCH($A33,'Tournament List'!$A:$A,0))</f>
        <v>Last Name24</v>
      </c>
      <c r="E33" t="str">
        <f t="shared" si="6"/>
        <v>Tim Last Name24</v>
      </c>
      <c r="F33" t="str">
        <f>INDEX('Tournament List'!$M:$M,MATCH($A33,'Tournament List'!$A:$A,0))</f>
        <v>Novice</v>
      </c>
      <c r="G33" s="118" t="s">
        <v>143</v>
      </c>
      <c r="H33" s="118"/>
      <c r="I33" s="118"/>
      <c r="J33" s="243"/>
      <c r="K33" s="119" t="s">
        <v>147</v>
      </c>
      <c r="L33" s="119"/>
      <c r="M33" s="119"/>
      <c r="N33" s="119"/>
      <c r="O33" s="120" t="s">
        <v>148</v>
      </c>
      <c r="P33" s="120"/>
      <c r="Q33" s="120"/>
      <c r="R33" s="120"/>
      <c r="S33" t="str">
        <f t="shared" si="0"/>
        <v/>
      </c>
      <c r="T33" s="1" t="str">
        <f>IFERROR(INDEX('Squad Listing'!$A:$A,MATCH(S33,'Squad Listing'!$B:$B,0)),"")</f>
        <v/>
      </c>
      <c r="U33" s="1" t="str">
        <f t="shared" si="1"/>
        <v/>
      </c>
      <c r="V33" t="str">
        <f t="shared" si="2"/>
        <v/>
      </c>
      <c r="W33" t="str">
        <f t="shared" si="3"/>
        <v/>
      </c>
      <c r="X33" t="str">
        <f>IFERROR(INDEX('Squad Listing'!$A:$A,MATCH(W33,'Squad Listing'!$B:$B,0)),"")</f>
        <v/>
      </c>
      <c r="Y33" t="str">
        <f t="shared" si="4"/>
        <v/>
      </c>
      <c r="Z33" t="str">
        <f t="shared" si="5"/>
        <v/>
      </c>
      <c r="AA33" t="str">
        <f>IFERROR(INDEX('Squad Listing'!$A:$A,MATCH(Z33,'Squad Listing'!$B:$B,0)),"")</f>
        <v/>
      </c>
    </row>
    <row r="34" spans="1:27" x14ac:dyDescent="0.3">
      <c r="A34" t="s">
        <v>56</v>
      </c>
      <c r="B34" t="str">
        <f>INDEX('Tournament List'!$L:$L,MATCH($A34,'Tournament List'!$A:$A,0))</f>
        <v>Rocky Mountain Clay Busters</v>
      </c>
      <c r="C34" t="str">
        <f>INDEX('Tournament List'!$B:$B,MATCH($A34,'Tournament List'!$A:$A,0))</f>
        <v>Chris</v>
      </c>
      <c r="D34" t="str">
        <f>INDEX('Tournament List'!$C:$C,MATCH($A34,'Tournament List'!$A:$A,0))</f>
        <v>Last Name20</v>
      </c>
      <c r="E34" t="str">
        <f t="shared" si="6"/>
        <v>Chris Last Name20</v>
      </c>
      <c r="F34" t="str">
        <f>INDEX('Tournament List'!$M:$M,MATCH($A34,'Tournament List'!$A:$A,0))</f>
        <v>Junior Varsity</v>
      </c>
      <c r="G34" s="118" t="s">
        <v>143</v>
      </c>
      <c r="H34" s="118"/>
      <c r="I34" s="118"/>
      <c r="J34" s="243"/>
      <c r="K34" s="119" t="s">
        <v>147</v>
      </c>
      <c r="L34" s="119"/>
      <c r="M34" s="119"/>
      <c r="N34" s="119"/>
      <c r="O34" s="120" t="s">
        <v>148</v>
      </c>
      <c r="P34" s="120"/>
      <c r="Q34" s="120"/>
      <c r="R34" s="120"/>
      <c r="S34" t="str">
        <f t="shared" si="0"/>
        <v/>
      </c>
      <c r="T34" s="1" t="str">
        <f>IFERROR(INDEX('Squad Listing'!$A:$A,MATCH(S34,'Squad Listing'!$B:$B,0)),"")</f>
        <v/>
      </c>
      <c r="U34" s="1" t="str">
        <f t="shared" ref="U34:U65" si="7">IF(H34&lt;&gt;"",T34&amp;"-"&amp;I34,"")</f>
        <v/>
      </c>
      <c r="V34" t="str">
        <f t="shared" si="2"/>
        <v/>
      </c>
      <c r="W34" t="str">
        <f t="shared" si="3"/>
        <v/>
      </c>
      <c r="X34" t="str">
        <f>IFERROR(INDEX('Squad Listing'!$A:$A,MATCH(W34,'Squad Listing'!$B:$B,0)),"")</f>
        <v/>
      </c>
      <c r="Y34" t="str">
        <f t="shared" si="4"/>
        <v/>
      </c>
      <c r="Z34" t="str">
        <f t="shared" si="5"/>
        <v/>
      </c>
      <c r="AA34" t="str">
        <f>IFERROR(INDEX('Squad Listing'!$A:$A,MATCH(Z34,'Squad Listing'!$B:$B,0)),"")</f>
        <v/>
      </c>
    </row>
    <row r="35" spans="1:27" x14ac:dyDescent="0.3">
      <c r="A35" t="s">
        <v>38</v>
      </c>
      <c r="B35" t="str">
        <f>INDEX('Tournament List'!$L:$L,MATCH($A35,'Tournament List'!$A:$A,0))</f>
        <v>Rocky Mountain Clay Busters</v>
      </c>
      <c r="C35" t="str">
        <f>INDEX('Tournament List'!$B:$B,MATCH($A35,'Tournament List'!$A:$A,0))</f>
        <v>John</v>
      </c>
      <c r="D35" t="str">
        <f>INDEX('Tournament List'!$C:$C,MATCH($A35,'Tournament List'!$A:$A,0))</f>
        <v>Last Name2</v>
      </c>
      <c r="E35" t="str">
        <f t="shared" si="6"/>
        <v>John Last Name2</v>
      </c>
      <c r="F35" t="str">
        <f>INDEX('Tournament List'!$M:$M,MATCH($A35,'Tournament List'!$A:$A,0))</f>
        <v>Junior Varsity</v>
      </c>
      <c r="G35" s="118" t="s">
        <v>143</v>
      </c>
      <c r="H35" s="118"/>
      <c r="I35" s="118"/>
      <c r="J35" s="243"/>
      <c r="K35" s="119" t="s">
        <v>147</v>
      </c>
      <c r="L35" s="119"/>
      <c r="M35" s="119"/>
      <c r="N35" s="119"/>
      <c r="O35" s="120" t="s">
        <v>148</v>
      </c>
      <c r="P35" s="120"/>
      <c r="Q35" s="120"/>
      <c r="R35" s="120"/>
      <c r="S35" t="str">
        <f t="shared" si="0"/>
        <v/>
      </c>
      <c r="T35" s="1" t="str">
        <f>IFERROR(INDEX('Squad Listing'!$A:$A,MATCH(S35,'Squad Listing'!$B:$B,0)),"")</f>
        <v/>
      </c>
      <c r="U35" s="1" t="str">
        <f t="shared" si="7"/>
        <v/>
      </c>
      <c r="V35" t="str">
        <f t="shared" si="2"/>
        <v/>
      </c>
      <c r="W35" t="str">
        <f t="shared" si="3"/>
        <v/>
      </c>
      <c r="X35" t="str">
        <f>IFERROR(INDEX('Squad Listing'!$A:$A,MATCH(W35,'Squad Listing'!$B:$B,0)),"")</f>
        <v/>
      </c>
      <c r="Y35" t="str">
        <f t="shared" si="4"/>
        <v/>
      </c>
      <c r="Z35" t="str">
        <f t="shared" si="5"/>
        <v/>
      </c>
      <c r="AA35" t="str">
        <f>IFERROR(INDEX('Squad Listing'!$A:$A,MATCH(Z35,'Squad Listing'!$B:$B,0)),"")</f>
        <v/>
      </c>
    </row>
    <row r="36" spans="1:27" x14ac:dyDescent="0.3">
      <c r="A36" t="s">
        <v>44</v>
      </c>
      <c r="B36" t="str">
        <f>INDEX('Tournament List'!$L:$L,MATCH($A36,'Tournament List'!$A:$A,0))</f>
        <v>Rocky Mountain Clay Busters</v>
      </c>
      <c r="C36" t="str">
        <f>INDEX('Tournament List'!$B:$B,MATCH($A36,'Tournament List'!$A:$A,0))</f>
        <v>James</v>
      </c>
      <c r="D36" t="str">
        <f>INDEX('Tournament List'!$C:$C,MATCH($A36,'Tournament List'!$A:$A,0))</f>
        <v>Last Name8</v>
      </c>
      <c r="E36" t="str">
        <f t="shared" si="6"/>
        <v>James Last Name8</v>
      </c>
      <c r="F36" t="str">
        <f>INDEX('Tournament List'!$M:$M,MATCH($A36,'Tournament List'!$A:$A,0))</f>
        <v>Junior Varsity</v>
      </c>
      <c r="G36" s="118" t="s">
        <v>143</v>
      </c>
      <c r="H36" s="118" t="s">
        <v>341</v>
      </c>
      <c r="I36" s="118">
        <v>2</v>
      </c>
      <c r="J36" s="243"/>
      <c r="K36" s="119" t="s">
        <v>147</v>
      </c>
      <c r="L36" s="119"/>
      <c r="M36" s="119"/>
      <c r="N36" s="119"/>
      <c r="O36" s="120" t="s">
        <v>148</v>
      </c>
      <c r="P36" s="120"/>
      <c r="Q36" s="120"/>
      <c r="R36" s="120"/>
      <c r="S36" t="str">
        <f t="shared" si="0"/>
        <v>Rocky Mountain Clay Busters-Junior Varsity 1-Skeet</v>
      </c>
      <c r="T36" s="1">
        <f>IFERROR(INDEX('Squad Listing'!$A:$A,MATCH(S36,'Squad Listing'!$B:$B,0)),"")</f>
        <v>70</v>
      </c>
      <c r="U36" s="1" t="str">
        <f t="shared" si="7"/>
        <v>70-2</v>
      </c>
      <c r="V36" t="str">
        <f t="shared" si="2"/>
        <v/>
      </c>
      <c r="W36" t="str">
        <f t="shared" si="3"/>
        <v/>
      </c>
      <c r="X36" t="str">
        <f>IFERROR(INDEX('Squad Listing'!$A:$A,MATCH(W36,'Squad Listing'!$B:$B,0)),"")</f>
        <v/>
      </c>
      <c r="Y36" t="str">
        <f t="shared" si="4"/>
        <v/>
      </c>
      <c r="Z36" t="str">
        <f t="shared" si="5"/>
        <v/>
      </c>
      <c r="AA36" t="str">
        <f>IFERROR(INDEX('Squad Listing'!$A:$A,MATCH(Z36,'Squad Listing'!$B:$B,0)),"")</f>
        <v/>
      </c>
    </row>
    <row r="37" spans="1:27" x14ac:dyDescent="0.3">
      <c r="A37" t="s">
        <v>182</v>
      </c>
      <c r="B37" t="str">
        <f>INDEX('Tournament List'!$L:$L,MATCH($A37,'Tournament List'!$A:$A,0))</f>
        <v>Rocky Mountain Clay Busters</v>
      </c>
      <c r="C37" t="str">
        <f>INDEX('Tournament List'!$B:$B,MATCH($A37,'Tournament List'!$A:$A,0))</f>
        <v>Gary</v>
      </c>
      <c r="D37" t="str">
        <f>INDEX('Tournament List'!$C:$C,MATCH($A37,'Tournament List'!$A:$A,0))</f>
        <v>Last Name26</v>
      </c>
      <c r="E37" t="str">
        <f t="shared" si="6"/>
        <v>Gary Last Name26</v>
      </c>
      <c r="F37" t="str">
        <f>INDEX('Tournament List'!$M:$M,MATCH($A37,'Tournament List'!$A:$A,0))</f>
        <v>Junior Varsity</v>
      </c>
      <c r="G37" s="118" t="s">
        <v>143</v>
      </c>
      <c r="H37" s="118" t="s">
        <v>341</v>
      </c>
      <c r="I37" s="118">
        <v>1</v>
      </c>
      <c r="J37" s="243"/>
      <c r="K37" s="119" t="s">
        <v>147</v>
      </c>
      <c r="L37" s="119"/>
      <c r="M37" s="119"/>
      <c r="N37" s="119"/>
      <c r="O37" s="120" t="s">
        <v>148</v>
      </c>
      <c r="P37" s="120"/>
      <c r="Q37" s="120"/>
      <c r="R37" s="120"/>
      <c r="S37" t="str">
        <f t="shared" si="0"/>
        <v>Rocky Mountain Clay Busters-Junior Varsity 1-Skeet</v>
      </c>
      <c r="T37" s="1">
        <f>IFERROR(INDEX('Squad Listing'!$A:$A,MATCH(S37,'Squad Listing'!$B:$B,0)),"")</f>
        <v>70</v>
      </c>
      <c r="U37" s="1" t="str">
        <f t="shared" si="7"/>
        <v>70-1</v>
      </c>
      <c r="V37" t="str">
        <f t="shared" si="2"/>
        <v/>
      </c>
      <c r="W37" t="str">
        <f t="shared" si="3"/>
        <v/>
      </c>
      <c r="X37" t="str">
        <f>IFERROR(INDEX('Squad Listing'!$A:$A,MATCH(W37,'Squad Listing'!$B:$B,0)),"")</f>
        <v/>
      </c>
      <c r="Y37" t="str">
        <f t="shared" si="4"/>
        <v/>
      </c>
      <c r="Z37" t="str">
        <f t="shared" si="5"/>
        <v/>
      </c>
      <c r="AA37" t="str">
        <f>IFERROR(INDEX('Squad Listing'!$A:$A,MATCH(Z37,'Squad Listing'!$B:$B,0)),"")</f>
        <v/>
      </c>
    </row>
    <row r="38" spans="1:27" x14ac:dyDescent="0.3">
      <c r="A38" t="s">
        <v>194</v>
      </c>
      <c r="B38" t="str">
        <f>INDEX('Tournament List'!$L:$L,MATCH($A38,'Tournament List'!$A:$A,0))</f>
        <v>Rocky Mountain Clay Busters</v>
      </c>
      <c r="C38" t="str">
        <f>INDEX('Tournament List'!$B:$B,MATCH($A38,'Tournament List'!$A:$A,0))</f>
        <v>Stuart</v>
      </c>
      <c r="D38" t="str">
        <f>INDEX('Tournament List'!$C:$C,MATCH($A38,'Tournament List'!$A:$A,0))</f>
        <v>Last Name38</v>
      </c>
      <c r="E38" t="str">
        <f t="shared" si="6"/>
        <v>Stuart Last Name38</v>
      </c>
      <c r="F38" t="str">
        <f>INDEX('Tournament List'!$M:$M,MATCH($A38,'Tournament List'!$A:$A,0))</f>
        <v>Junior Varsity</v>
      </c>
      <c r="G38" s="118" t="s">
        <v>143</v>
      </c>
      <c r="H38" s="118" t="s">
        <v>341</v>
      </c>
      <c r="I38" s="118">
        <v>3</v>
      </c>
      <c r="J38" s="243"/>
      <c r="K38" s="119" t="s">
        <v>147</v>
      </c>
      <c r="L38" s="119"/>
      <c r="M38" s="119"/>
      <c r="N38" s="119"/>
      <c r="O38" s="120" t="s">
        <v>148</v>
      </c>
      <c r="P38" s="120"/>
      <c r="Q38" s="120"/>
      <c r="R38" s="120"/>
      <c r="S38" t="str">
        <f t="shared" si="0"/>
        <v>Rocky Mountain Clay Busters-Junior Varsity 1-Skeet</v>
      </c>
      <c r="T38" s="1">
        <f>IFERROR(INDEX('Squad Listing'!$A:$A,MATCH(S38,'Squad Listing'!$B:$B,0)),"")</f>
        <v>70</v>
      </c>
      <c r="U38" s="1" t="str">
        <f t="shared" si="7"/>
        <v>70-3</v>
      </c>
      <c r="V38" t="str">
        <f t="shared" si="2"/>
        <v/>
      </c>
      <c r="W38" t="str">
        <f t="shared" si="3"/>
        <v/>
      </c>
      <c r="X38" t="str">
        <f>IFERROR(INDEX('Squad Listing'!$A:$A,MATCH(W38,'Squad Listing'!$B:$B,0)),"")</f>
        <v/>
      </c>
      <c r="Y38" t="str">
        <f t="shared" si="4"/>
        <v/>
      </c>
      <c r="Z38" t="str">
        <f t="shared" si="5"/>
        <v/>
      </c>
      <c r="AA38" t="str">
        <f>IFERROR(INDEX('Squad Listing'!$A:$A,MATCH(Z38,'Squad Listing'!$B:$B,0)),"")</f>
        <v/>
      </c>
    </row>
    <row r="39" spans="1:27" x14ac:dyDescent="0.3">
      <c r="A39" t="s">
        <v>188</v>
      </c>
      <c r="B39" t="str">
        <f>INDEX('Tournament List'!$L:$L,MATCH($A39,'Tournament List'!$A:$A,0))</f>
        <v>Rocky Mountain Clay Busters</v>
      </c>
      <c r="C39" t="str">
        <f>INDEX('Tournament List'!$B:$B,MATCH($A39,'Tournament List'!$A:$A,0))</f>
        <v>Kelly</v>
      </c>
      <c r="D39" t="str">
        <f>INDEX('Tournament List'!$C:$C,MATCH($A39,'Tournament List'!$A:$A,0))</f>
        <v>Last Name32</v>
      </c>
      <c r="E39" t="str">
        <f t="shared" si="6"/>
        <v>Kelly Last Name32</v>
      </c>
      <c r="F39" t="str">
        <f>INDEX('Tournament List'!$M:$M,MATCH($A39,'Tournament List'!$A:$A,0))</f>
        <v>Intermediate</v>
      </c>
      <c r="G39" s="118" t="s">
        <v>143</v>
      </c>
      <c r="H39" s="118" t="s">
        <v>340</v>
      </c>
      <c r="I39" s="118">
        <v>3</v>
      </c>
      <c r="J39" s="243"/>
      <c r="K39" s="119" t="s">
        <v>147</v>
      </c>
      <c r="L39" s="119"/>
      <c r="M39" s="119"/>
      <c r="N39" s="119"/>
      <c r="O39" s="120" t="s">
        <v>148</v>
      </c>
      <c r="P39" s="120"/>
      <c r="Q39" s="120"/>
      <c r="R39" s="120"/>
      <c r="S39" t="str">
        <f t="shared" si="0"/>
        <v>Rocky Mountain Clay Busters-Intermediate 1-Skeet</v>
      </c>
      <c r="T39" s="1">
        <f>IFERROR(INDEX('Squad Listing'!$A:$A,MATCH(S39,'Squad Listing'!$B:$B,0)),"")</f>
        <v>67</v>
      </c>
      <c r="U39" s="1" t="str">
        <f t="shared" si="7"/>
        <v>67-3</v>
      </c>
      <c r="V39" t="str">
        <f t="shared" si="2"/>
        <v/>
      </c>
      <c r="W39" t="str">
        <f t="shared" si="3"/>
        <v/>
      </c>
      <c r="X39" t="str">
        <f>IFERROR(INDEX('Squad Listing'!$A:$A,MATCH(W39,'Squad Listing'!$B:$B,0)),"")</f>
        <v/>
      </c>
      <c r="Y39" t="str">
        <f t="shared" si="4"/>
        <v/>
      </c>
      <c r="Z39" t="str">
        <f t="shared" si="5"/>
        <v/>
      </c>
      <c r="AA39" t="str">
        <f>IFERROR(INDEX('Squad Listing'!$A:$A,MATCH(Z39,'Squad Listing'!$B:$B,0)),"")</f>
        <v/>
      </c>
    </row>
    <row r="40" spans="1:27" x14ac:dyDescent="0.3">
      <c r="A40" t="s">
        <v>200</v>
      </c>
      <c r="B40" t="str">
        <f>INDEX('Tournament List'!$L:$L,MATCH($A40,'Tournament List'!$A:$A,0))</f>
        <v>Rocky Mountain Clay Busters</v>
      </c>
      <c r="C40" t="str">
        <f>INDEX('Tournament List'!$B:$B,MATCH($A40,'Tournament List'!$A:$A,0))</f>
        <v>Trisha</v>
      </c>
      <c r="D40" t="str">
        <f>INDEX('Tournament List'!$C:$C,MATCH($A40,'Tournament List'!$A:$A,0))</f>
        <v>Last Name44</v>
      </c>
      <c r="E40" t="str">
        <f t="shared" si="6"/>
        <v>Trisha Last Name44</v>
      </c>
      <c r="F40" t="str">
        <f>INDEX('Tournament List'!$M:$M,MATCH($A40,'Tournament List'!$A:$A,0))</f>
        <v>Intermediate</v>
      </c>
      <c r="G40" s="118" t="s">
        <v>143</v>
      </c>
      <c r="H40" s="118" t="s">
        <v>340</v>
      </c>
      <c r="I40" s="118">
        <v>1</v>
      </c>
      <c r="J40" s="243"/>
      <c r="K40" s="119" t="s">
        <v>147</v>
      </c>
      <c r="L40" s="119"/>
      <c r="M40" s="119"/>
      <c r="N40" s="119"/>
      <c r="O40" s="120" t="s">
        <v>148</v>
      </c>
      <c r="P40" s="120"/>
      <c r="Q40" s="120"/>
      <c r="R40" s="120"/>
      <c r="S40" t="str">
        <f t="shared" si="0"/>
        <v>Rocky Mountain Clay Busters-Intermediate 1-Skeet</v>
      </c>
      <c r="T40" s="1">
        <f>IFERROR(INDEX('Squad Listing'!$A:$A,MATCH(S40,'Squad Listing'!$B:$B,0)),"")</f>
        <v>67</v>
      </c>
      <c r="U40" s="1" t="str">
        <f t="shared" si="7"/>
        <v>67-1</v>
      </c>
      <c r="V40" t="str">
        <f t="shared" si="2"/>
        <v/>
      </c>
      <c r="W40" t="str">
        <f t="shared" si="3"/>
        <v/>
      </c>
      <c r="X40" t="str">
        <f>IFERROR(INDEX('Squad Listing'!$A:$A,MATCH(W40,'Squad Listing'!$B:$B,0)),"")</f>
        <v/>
      </c>
      <c r="Y40" t="str">
        <f t="shared" si="4"/>
        <v/>
      </c>
      <c r="Z40" t="str">
        <f t="shared" si="5"/>
        <v/>
      </c>
      <c r="AA40" t="str">
        <f>IFERROR(INDEX('Squad Listing'!$A:$A,MATCH(Z40,'Squad Listing'!$B:$B,0)),"")</f>
        <v/>
      </c>
    </row>
    <row r="41" spans="1:27" x14ac:dyDescent="0.3">
      <c r="A41" t="s">
        <v>50</v>
      </c>
      <c r="B41" t="str">
        <f>INDEX('Tournament List'!$L:$L,MATCH($A41,'Tournament List'!$A:$A,0))</f>
        <v>Rocky Mountain Clay Busters</v>
      </c>
      <c r="C41" t="str">
        <f>INDEX('Tournament List'!$B:$B,MATCH($A41,'Tournament List'!$A:$A,0))</f>
        <v>Henry</v>
      </c>
      <c r="D41" t="str">
        <f>INDEX('Tournament List'!$C:$C,MATCH($A41,'Tournament List'!$A:$A,0))</f>
        <v>Last Name14</v>
      </c>
      <c r="E41" t="str">
        <f t="shared" si="6"/>
        <v>Henry Last Name14</v>
      </c>
      <c r="F41" t="str">
        <f>INDEX('Tournament List'!$M:$M,MATCH($A41,'Tournament List'!$A:$A,0))</f>
        <v>Intermediate</v>
      </c>
      <c r="G41" s="118" t="s">
        <v>143</v>
      </c>
      <c r="H41" s="118" t="s">
        <v>340</v>
      </c>
      <c r="I41" s="118">
        <v>2</v>
      </c>
      <c r="J41" s="243"/>
      <c r="K41" s="119" t="s">
        <v>147</v>
      </c>
      <c r="L41" s="119"/>
      <c r="M41" s="119"/>
      <c r="N41" s="119"/>
      <c r="O41" s="120" t="s">
        <v>148</v>
      </c>
      <c r="P41" s="120"/>
      <c r="Q41" s="120"/>
      <c r="R41" s="120"/>
      <c r="S41" t="str">
        <f t="shared" si="0"/>
        <v>Rocky Mountain Clay Busters-Intermediate 1-Skeet</v>
      </c>
      <c r="T41" s="1">
        <f>IFERROR(INDEX('Squad Listing'!$A:$A,MATCH(S41,'Squad Listing'!$B:$B,0)),"")</f>
        <v>67</v>
      </c>
      <c r="U41" s="1" t="str">
        <f t="shared" si="7"/>
        <v>67-2</v>
      </c>
      <c r="V41" t="str">
        <f t="shared" si="2"/>
        <v/>
      </c>
      <c r="W41" t="str">
        <f t="shared" si="3"/>
        <v/>
      </c>
      <c r="X41" t="str">
        <f>IFERROR(INDEX('Squad Listing'!$A:$A,MATCH(W41,'Squad Listing'!$B:$B,0)),"")</f>
        <v/>
      </c>
      <c r="Y41" t="str">
        <f t="shared" si="4"/>
        <v/>
      </c>
      <c r="Z41" t="str">
        <f t="shared" si="5"/>
        <v/>
      </c>
      <c r="AA41" t="str">
        <f>IFERROR(INDEX('Squad Listing'!$A:$A,MATCH(Z41,'Squad Listing'!$B:$B,0)),"")</f>
        <v/>
      </c>
    </row>
    <row r="42" spans="1:27" x14ac:dyDescent="0.3">
      <c r="A42" t="s">
        <v>51</v>
      </c>
      <c r="B42" t="str">
        <f>INDEX('Tournament List'!$L:$L,MATCH($A42,'Tournament List'!$A:$A,0))</f>
        <v>Wiggins Tigers Sporting Club</v>
      </c>
      <c r="C42" t="str">
        <f>INDEX('Tournament List'!$B:$B,MATCH($A42,'Tournament List'!$A:$A,0))</f>
        <v>Daniel</v>
      </c>
      <c r="D42" t="str">
        <f>INDEX('Tournament List'!$C:$C,MATCH($A42,'Tournament List'!$A:$A,0))</f>
        <v>Last Name15</v>
      </c>
      <c r="E42" t="str">
        <f t="shared" si="6"/>
        <v>Daniel Last Name15</v>
      </c>
      <c r="F42" t="str">
        <f>INDEX('Tournament List'!$M:$M,MATCH($A42,'Tournament List'!$A:$A,0))</f>
        <v>Collegiate</v>
      </c>
      <c r="G42" s="118" t="s">
        <v>143</v>
      </c>
      <c r="H42" s="118" t="s">
        <v>344</v>
      </c>
      <c r="I42" s="118">
        <v>3</v>
      </c>
      <c r="J42" s="243"/>
      <c r="K42" s="119" t="s">
        <v>147</v>
      </c>
      <c r="L42" s="119"/>
      <c r="M42" s="119"/>
      <c r="N42" s="119"/>
      <c r="O42" s="120" t="s">
        <v>148</v>
      </c>
      <c r="P42" s="120"/>
      <c r="Q42" s="120"/>
      <c r="R42" s="120"/>
      <c r="S42" t="str">
        <f t="shared" si="0"/>
        <v>Wiggins Tigers Sporting Club-Collegiate 1-Skeet</v>
      </c>
      <c r="T42" s="1">
        <f>IFERROR(INDEX('Squad Listing'!$A:$A,MATCH(S42,'Squad Listing'!$B:$B,0)),"")</f>
        <v>118</v>
      </c>
      <c r="U42" s="1" t="str">
        <f t="shared" si="7"/>
        <v>118-3</v>
      </c>
      <c r="V42" t="str">
        <f t="shared" si="2"/>
        <v/>
      </c>
      <c r="W42" t="str">
        <f t="shared" si="3"/>
        <v/>
      </c>
      <c r="X42" t="str">
        <f>IFERROR(INDEX('Squad Listing'!$A:$A,MATCH(W42,'Squad Listing'!$B:$B,0)),"")</f>
        <v/>
      </c>
      <c r="Y42" t="str">
        <f t="shared" si="4"/>
        <v/>
      </c>
      <c r="Z42" t="str">
        <f t="shared" si="5"/>
        <v/>
      </c>
      <c r="AA42" t="str">
        <f>IFERROR(INDEX('Squad Listing'!$A:$A,MATCH(Z42,'Squad Listing'!$B:$B,0)),"")</f>
        <v/>
      </c>
    </row>
    <row r="43" spans="1:27" x14ac:dyDescent="0.3">
      <c r="A43" t="s">
        <v>183</v>
      </c>
      <c r="B43" t="str">
        <f>INDEX('Tournament List'!$L:$L,MATCH($A43,'Tournament List'!$A:$A,0))</f>
        <v>Wiggins Tigers Sporting Club</v>
      </c>
      <c r="C43" t="str">
        <f>INDEX('Tournament List'!$B:$B,MATCH($A43,'Tournament List'!$A:$A,0))</f>
        <v>Becky</v>
      </c>
      <c r="D43" t="str">
        <f>INDEX('Tournament List'!$C:$C,MATCH($A43,'Tournament List'!$A:$A,0))</f>
        <v>Last Name27</v>
      </c>
      <c r="E43" t="str">
        <f t="shared" si="6"/>
        <v>Becky Last Name27</v>
      </c>
      <c r="F43" t="str">
        <f>INDEX('Tournament List'!$M:$M,MATCH($A43,'Tournament List'!$A:$A,0))</f>
        <v>Collegiate</v>
      </c>
      <c r="G43" s="118" t="s">
        <v>143</v>
      </c>
      <c r="H43" s="118" t="s">
        <v>344</v>
      </c>
      <c r="I43" s="118">
        <v>2</v>
      </c>
      <c r="J43" s="243"/>
      <c r="K43" s="119" t="s">
        <v>147</v>
      </c>
      <c r="L43" s="119"/>
      <c r="M43" s="119"/>
      <c r="N43" s="119"/>
      <c r="O43" s="120" t="s">
        <v>148</v>
      </c>
      <c r="P43" s="120"/>
      <c r="Q43" s="120"/>
      <c r="R43" s="120"/>
      <c r="S43" t="str">
        <f t="shared" si="0"/>
        <v>Wiggins Tigers Sporting Club-Collegiate 1-Skeet</v>
      </c>
      <c r="T43" s="1">
        <f>IFERROR(INDEX('Squad Listing'!$A:$A,MATCH(S43,'Squad Listing'!$B:$B,0)),"")</f>
        <v>118</v>
      </c>
      <c r="U43" s="1" t="str">
        <f t="shared" si="7"/>
        <v>118-2</v>
      </c>
      <c r="V43" t="str">
        <f t="shared" si="2"/>
        <v/>
      </c>
      <c r="W43" t="str">
        <f t="shared" si="3"/>
        <v/>
      </c>
      <c r="X43" t="str">
        <f>IFERROR(INDEX('Squad Listing'!$A:$A,MATCH(W43,'Squad Listing'!$B:$B,0)),"")</f>
        <v/>
      </c>
      <c r="Y43" t="str">
        <f t="shared" si="4"/>
        <v/>
      </c>
      <c r="Z43" t="str">
        <f t="shared" si="5"/>
        <v/>
      </c>
      <c r="AA43" t="str">
        <f>IFERROR(INDEX('Squad Listing'!$A:$A,MATCH(Z43,'Squad Listing'!$B:$B,0)),"")</f>
        <v/>
      </c>
    </row>
    <row r="44" spans="1:27" x14ac:dyDescent="0.3">
      <c r="A44" t="s">
        <v>195</v>
      </c>
      <c r="B44" t="str">
        <f>INDEX('Tournament List'!$L:$L,MATCH($A44,'Tournament List'!$A:$A,0))</f>
        <v>Wiggins Tigers Sporting Club</v>
      </c>
      <c r="C44" t="str">
        <f>INDEX('Tournament List'!$B:$B,MATCH($A44,'Tournament List'!$A:$A,0))</f>
        <v>Chad</v>
      </c>
      <c r="D44" t="str">
        <f>INDEX('Tournament List'!$C:$C,MATCH($A44,'Tournament List'!$A:$A,0))</f>
        <v>Last Name39</v>
      </c>
      <c r="E44" t="str">
        <f t="shared" si="6"/>
        <v>Chad Last Name39</v>
      </c>
      <c r="F44" t="str">
        <f>INDEX('Tournament List'!$M:$M,MATCH($A44,'Tournament List'!$A:$A,0))</f>
        <v>Collegiate</v>
      </c>
      <c r="G44" s="118" t="s">
        <v>143</v>
      </c>
      <c r="H44" s="118" t="s">
        <v>344</v>
      </c>
      <c r="I44" s="118">
        <v>1</v>
      </c>
      <c r="J44" s="243"/>
      <c r="K44" s="119" t="s">
        <v>147</v>
      </c>
      <c r="L44" s="119"/>
      <c r="M44" s="119"/>
      <c r="N44" s="119"/>
      <c r="O44" s="120" t="s">
        <v>148</v>
      </c>
      <c r="P44" s="120"/>
      <c r="Q44" s="120"/>
      <c r="R44" s="120"/>
      <c r="S44" t="str">
        <f t="shared" si="0"/>
        <v>Wiggins Tigers Sporting Club-Collegiate 1-Skeet</v>
      </c>
      <c r="T44" s="1">
        <f>IFERROR(INDEX('Squad Listing'!$A:$A,MATCH(S44,'Squad Listing'!$B:$B,0)),"")</f>
        <v>118</v>
      </c>
      <c r="U44" s="1" t="str">
        <f t="shared" si="7"/>
        <v>118-1</v>
      </c>
      <c r="V44" t="str">
        <f t="shared" si="2"/>
        <v/>
      </c>
      <c r="W44" t="str">
        <f t="shared" si="3"/>
        <v/>
      </c>
      <c r="X44" t="str">
        <f>IFERROR(INDEX('Squad Listing'!$A:$A,MATCH(W44,'Squad Listing'!$B:$B,0)),"")</f>
        <v/>
      </c>
      <c r="Y44" t="str">
        <f t="shared" si="4"/>
        <v/>
      </c>
      <c r="Z44" t="str">
        <f t="shared" si="5"/>
        <v/>
      </c>
      <c r="AA44" t="str">
        <f>IFERROR(INDEX('Squad Listing'!$A:$A,MATCH(Z44,'Squad Listing'!$B:$B,0)),"")</f>
        <v/>
      </c>
    </row>
    <row r="45" spans="1:27" x14ac:dyDescent="0.3">
      <c r="A45" t="s">
        <v>39</v>
      </c>
      <c r="B45" t="str">
        <f>INDEX('Tournament List'!$L:$L,MATCH($A45,'Tournament List'!$A:$A,0))</f>
        <v>Wiggins Tigers Sporting Club</v>
      </c>
      <c r="C45" t="str">
        <f>INDEX('Tournament List'!$B:$B,MATCH($A45,'Tournament List'!$A:$A,0))</f>
        <v>Cathy</v>
      </c>
      <c r="D45" t="str">
        <f>INDEX('Tournament List'!$C:$C,MATCH($A45,'Tournament List'!$A:$A,0))</f>
        <v>Last Name3</v>
      </c>
      <c r="E45" t="str">
        <f t="shared" si="6"/>
        <v>Cathy Last Name3</v>
      </c>
      <c r="F45" t="str">
        <f>INDEX('Tournament List'!$M:$M,MATCH($A45,'Tournament List'!$A:$A,0))</f>
        <v>Novice</v>
      </c>
      <c r="G45" s="118" t="s">
        <v>143</v>
      </c>
      <c r="H45" s="118"/>
      <c r="I45" s="118"/>
      <c r="J45" s="243"/>
      <c r="K45" s="119" t="s">
        <v>147</v>
      </c>
      <c r="L45" s="119"/>
      <c r="M45" s="119"/>
      <c r="N45" s="119"/>
      <c r="O45" s="120" t="s">
        <v>148</v>
      </c>
      <c r="P45" s="120"/>
      <c r="Q45" s="120"/>
      <c r="R45" s="120"/>
      <c r="S45" t="str">
        <f t="shared" si="0"/>
        <v/>
      </c>
      <c r="T45" s="1" t="str">
        <f>IFERROR(INDEX('Squad Listing'!$A:$A,MATCH(S45,'Squad Listing'!$B:$B,0)),"")</f>
        <v/>
      </c>
      <c r="U45" s="1" t="str">
        <f t="shared" si="7"/>
        <v/>
      </c>
      <c r="V45" t="str">
        <f t="shared" si="2"/>
        <v/>
      </c>
      <c r="W45" t="str">
        <f t="shared" si="3"/>
        <v/>
      </c>
      <c r="X45" t="str">
        <f>IFERROR(INDEX('Squad Listing'!$A:$A,MATCH(W45,'Squad Listing'!$B:$B,0)),"")</f>
        <v/>
      </c>
      <c r="Y45" t="str">
        <f t="shared" si="4"/>
        <v/>
      </c>
      <c r="Z45" t="str">
        <f t="shared" si="5"/>
        <v/>
      </c>
      <c r="AA45" t="str">
        <f>IFERROR(INDEX('Squad Listing'!$A:$A,MATCH(Z45,'Squad Listing'!$B:$B,0)),"")</f>
        <v/>
      </c>
    </row>
    <row r="46" spans="1:27" x14ac:dyDescent="0.3">
      <c r="A46" t="s">
        <v>57</v>
      </c>
      <c r="B46" t="str">
        <f>INDEX('Tournament List'!$L:$L,MATCH($A46,'Tournament List'!$A:$A,0))</f>
        <v>Wiggins Tigers Sporting Club</v>
      </c>
      <c r="C46" t="str">
        <f>INDEX('Tournament List'!$B:$B,MATCH($A46,'Tournament List'!$A:$A,0))</f>
        <v>Nathan</v>
      </c>
      <c r="D46" t="str">
        <f>INDEX('Tournament List'!$C:$C,MATCH($A46,'Tournament List'!$A:$A,0))</f>
        <v>Last Name21</v>
      </c>
      <c r="E46" t="str">
        <f t="shared" si="6"/>
        <v>Nathan Last Name21</v>
      </c>
      <c r="F46" t="str">
        <f>INDEX('Tournament List'!$M:$M,MATCH($A46,'Tournament List'!$A:$A,0))</f>
        <v>Novice</v>
      </c>
      <c r="G46" s="118" t="s">
        <v>143</v>
      </c>
      <c r="H46" s="118" t="s">
        <v>339</v>
      </c>
      <c r="I46" s="118">
        <v>2</v>
      </c>
      <c r="J46" s="243"/>
      <c r="K46" s="119" t="s">
        <v>147</v>
      </c>
      <c r="L46" s="119"/>
      <c r="M46" s="119"/>
      <c r="N46" s="119"/>
      <c r="O46" s="120" t="s">
        <v>148</v>
      </c>
      <c r="P46" s="120"/>
      <c r="Q46" s="120"/>
      <c r="R46" s="120"/>
      <c r="S46" t="str">
        <f t="shared" si="0"/>
        <v>Wiggins Tigers Sporting Club-Novice 1-Skeet</v>
      </c>
      <c r="T46" s="1">
        <f>IFERROR(INDEX('Squad Listing'!$A:$A,MATCH(S46,'Squad Listing'!$B:$B,0)),"")</f>
        <v>127</v>
      </c>
      <c r="U46" s="1" t="str">
        <f t="shared" si="7"/>
        <v>127-2</v>
      </c>
      <c r="V46" t="str">
        <f t="shared" si="2"/>
        <v/>
      </c>
      <c r="W46" t="str">
        <f t="shared" si="3"/>
        <v/>
      </c>
      <c r="X46" t="str">
        <f>IFERROR(INDEX('Squad Listing'!$A:$A,MATCH(W46,'Squad Listing'!$B:$B,0)),"")</f>
        <v/>
      </c>
      <c r="Y46" t="str">
        <f t="shared" si="4"/>
        <v/>
      </c>
      <c r="Z46" t="str">
        <f t="shared" si="5"/>
        <v/>
      </c>
      <c r="AA46" t="str">
        <f>IFERROR(INDEX('Squad Listing'!$A:$A,MATCH(Z46,'Squad Listing'!$B:$B,0)),"")</f>
        <v/>
      </c>
    </row>
    <row r="47" spans="1:27" x14ac:dyDescent="0.3">
      <c r="A47" t="s">
        <v>45</v>
      </c>
      <c r="B47" t="str">
        <f>INDEX('Tournament List'!$L:$L,MATCH($A47,'Tournament List'!$A:$A,0))</f>
        <v>Wiggins Tigers Sporting Club</v>
      </c>
      <c r="C47" t="str">
        <f>INDEX('Tournament List'!$B:$B,MATCH($A47,'Tournament List'!$A:$A,0))</f>
        <v>Linda</v>
      </c>
      <c r="D47" t="str">
        <f>INDEX('Tournament List'!$C:$C,MATCH($A47,'Tournament List'!$A:$A,0))</f>
        <v>Last Name9</v>
      </c>
      <c r="E47" t="str">
        <f t="shared" si="6"/>
        <v>Linda Last Name9</v>
      </c>
      <c r="F47" t="str">
        <f>INDEX('Tournament List'!$M:$M,MATCH($A47,'Tournament List'!$A:$A,0))</f>
        <v>Novice</v>
      </c>
      <c r="G47" s="118" t="s">
        <v>143</v>
      </c>
      <c r="H47" s="118"/>
      <c r="I47" s="118"/>
      <c r="J47" s="243"/>
      <c r="K47" s="119" t="s">
        <v>147</v>
      </c>
      <c r="L47" s="119"/>
      <c r="M47" s="119"/>
      <c r="N47" s="119"/>
      <c r="O47" s="120" t="s">
        <v>148</v>
      </c>
      <c r="P47" s="120"/>
      <c r="Q47" s="120"/>
      <c r="R47" s="120"/>
      <c r="S47" t="str">
        <f t="shared" si="0"/>
        <v/>
      </c>
      <c r="T47" s="1" t="str">
        <f>IFERROR(INDEX('Squad Listing'!$A:$A,MATCH(S47,'Squad Listing'!$B:$B,0)),"")</f>
        <v/>
      </c>
      <c r="U47" s="1" t="str">
        <f t="shared" si="7"/>
        <v/>
      </c>
      <c r="V47" t="str">
        <f t="shared" si="2"/>
        <v/>
      </c>
      <c r="W47" t="str">
        <f t="shared" si="3"/>
        <v/>
      </c>
      <c r="X47" t="str">
        <f>IFERROR(INDEX('Squad Listing'!$A:$A,MATCH(W47,'Squad Listing'!$B:$B,0)),"")</f>
        <v/>
      </c>
      <c r="Y47" t="str">
        <f t="shared" si="4"/>
        <v/>
      </c>
      <c r="Z47" t="str">
        <f t="shared" si="5"/>
        <v/>
      </c>
      <c r="AA47" t="str">
        <f>IFERROR(INDEX('Squad Listing'!$A:$A,MATCH(Z47,'Squad Listing'!$B:$B,0)),"")</f>
        <v/>
      </c>
    </row>
    <row r="48" spans="1:27" x14ac:dyDescent="0.3">
      <c r="A48" t="s">
        <v>189</v>
      </c>
      <c r="B48" t="str">
        <f>INDEX('Tournament List'!$L:$L,MATCH($A48,'Tournament List'!$A:$A,0))</f>
        <v>Wiggins Tigers Sporting Club</v>
      </c>
      <c r="C48" t="str">
        <f>INDEX('Tournament List'!$B:$B,MATCH($A48,'Tournament List'!$A:$A,0))</f>
        <v>Missy</v>
      </c>
      <c r="D48" t="str">
        <f>INDEX('Tournament List'!$C:$C,MATCH($A48,'Tournament List'!$A:$A,0))</f>
        <v>Last Name33</v>
      </c>
      <c r="E48" t="str">
        <f t="shared" si="6"/>
        <v>Missy Last Name33</v>
      </c>
      <c r="F48" t="str">
        <f>INDEX('Tournament List'!$M:$M,MATCH($A48,'Tournament List'!$A:$A,0))</f>
        <v>Novice</v>
      </c>
      <c r="G48" s="118" t="s">
        <v>143</v>
      </c>
      <c r="H48" s="118" t="s">
        <v>339</v>
      </c>
      <c r="I48" s="118">
        <v>3</v>
      </c>
      <c r="J48" s="243"/>
      <c r="K48" s="119" t="s">
        <v>147</v>
      </c>
      <c r="L48" s="119"/>
      <c r="M48" s="119"/>
      <c r="N48" s="119"/>
      <c r="O48" s="120" t="s">
        <v>148</v>
      </c>
      <c r="P48" s="120"/>
      <c r="Q48" s="120"/>
      <c r="R48" s="120"/>
      <c r="S48" t="str">
        <f t="shared" si="0"/>
        <v>Wiggins Tigers Sporting Club-Novice 1-Skeet</v>
      </c>
      <c r="T48" s="1">
        <f>IFERROR(INDEX('Squad Listing'!$A:$A,MATCH(S48,'Squad Listing'!$B:$B,0)),"")</f>
        <v>127</v>
      </c>
      <c r="U48" s="1" t="str">
        <f t="shared" si="7"/>
        <v>127-3</v>
      </c>
      <c r="V48" t="str">
        <f t="shared" si="2"/>
        <v/>
      </c>
      <c r="W48" t="str">
        <f t="shared" si="3"/>
        <v/>
      </c>
      <c r="X48" t="str">
        <f>IFERROR(INDEX('Squad Listing'!$A:$A,MATCH(W48,'Squad Listing'!$B:$B,0)),"")</f>
        <v/>
      </c>
      <c r="Y48" t="str">
        <f t="shared" si="4"/>
        <v/>
      </c>
      <c r="Z48" t="str">
        <f t="shared" si="5"/>
        <v/>
      </c>
      <c r="AA48" t="str">
        <f>IFERROR(INDEX('Squad Listing'!$A:$A,MATCH(Z48,'Squad Listing'!$B:$B,0)),"")</f>
        <v/>
      </c>
    </row>
    <row r="49" spans="1:27" x14ac:dyDescent="0.3">
      <c r="A49" t="s">
        <v>201</v>
      </c>
      <c r="B49" t="str">
        <f>INDEX('Tournament List'!$L:$L,MATCH($A49,'Tournament List'!$A:$A,0))</f>
        <v>Wiggins Tigers Sporting Club</v>
      </c>
      <c r="C49" t="str">
        <f>INDEX('Tournament List'!$B:$B,MATCH($A49,'Tournament List'!$A:$A,0))</f>
        <v>Dee</v>
      </c>
      <c r="D49" t="str">
        <f>INDEX('Tournament List'!$C:$C,MATCH($A49,'Tournament List'!$A:$A,0))</f>
        <v>Last Name45</v>
      </c>
      <c r="E49" t="str">
        <f t="shared" si="6"/>
        <v>Dee Last Name45</v>
      </c>
      <c r="F49" t="str">
        <f>INDEX('Tournament List'!$M:$M,MATCH($A49,'Tournament List'!$A:$A,0))</f>
        <v>Novice</v>
      </c>
      <c r="G49" s="118" t="s">
        <v>143</v>
      </c>
      <c r="H49" s="118" t="s">
        <v>339</v>
      </c>
      <c r="I49" s="118">
        <v>1</v>
      </c>
      <c r="J49" s="243"/>
      <c r="K49" s="119" t="s">
        <v>147</v>
      </c>
      <c r="L49" s="119"/>
      <c r="M49" s="119"/>
      <c r="N49" s="119"/>
      <c r="O49" s="120" t="s">
        <v>148</v>
      </c>
      <c r="P49" s="120"/>
      <c r="Q49" s="120"/>
      <c r="R49" s="120"/>
      <c r="S49" t="str">
        <f t="shared" si="0"/>
        <v>Wiggins Tigers Sporting Club-Novice 1-Skeet</v>
      </c>
      <c r="T49" s="1">
        <f>IFERROR(INDEX('Squad Listing'!$A:$A,MATCH(S49,'Squad Listing'!$B:$B,0)),"")</f>
        <v>127</v>
      </c>
      <c r="U49" s="1" t="str">
        <f t="shared" si="7"/>
        <v>127-1</v>
      </c>
      <c r="V49" t="str">
        <f t="shared" si="2"/>
        <v/>
      </c>
      <c r="W49" t="str">
        <f t="shared" si="3"/>
        <v/>
      </c>
      <c r="X49" t="str">
        <f>IFERROR(INDEX('Squad Listing'!$A:$A,MATCH(W49,'Squad Listing'!$B:$B,0)),"")</f>
        <v/>
      </c>
      <c r="Y49" t="str">
        <f t="shared" si="4"/>
        <v/>
      </c>
      <c r="Z49" t="str">
        <f t="shared" si="5"/>
        <v/>
      </c>
      <c r="AA49" t="str">
        <f>IFERROR(INDEX('Squad Listing'!$A:$A,MATCH(Z49,'Squad Listing'!$B:$B,0)),"")</f>
        <v/>
      </c>
    </row>
    <row r="50" spans="1:27" x14ac:dyDescent="0.3">
      <c r="E50" t="str">
        <f t="shared" si="6"/>
        <v/>
      </c>
      <c r="G50" s="118"/>
      <c r="H50" s="118"/>
      <c r="I50" s="118"/>
      <c r="J50" s="243"/>
      <c r="K50" s="119"/>
      <c r="L50" s="119"/>
      <c r="M50" s="119"/>
      <c r="N50" s="119"/>
      <c r="O50" s="120"/>
      <c r="P50" s="120"/>
      <c r="Q50" s="120"/>
      <c r="R50" s="120"/>
      <c r="U50" s="1" t="str">
        <f t="shared" si="7"/>
        <v/>
      </c>
    </row>
    <row r="51" spans="1:27" x14ac:dyDescent="0.3">
      <c r="E51" t="str">
        <f t="shared" si="6"/>
        <v/>
      </c>
      <c r="G51" s="118"/>
      <c r="H51" s="118"/>
      <c r="I51" s="118"/>
      <c r="J51" s="243"/>
      <c r="K51" s="119"/>
      <c r="L51" s="119"/>
      <c r="M51" s="119"/>
      <c r="N51" s="119"/>
      <c r="O51" s="120"/>
      <c r="P51" s="120"/>
      <c r="Q51" s="120"/>
      <c r="R51" s="120"/>
      <c r="U51" s="1" t="str">
        <f t="shared" si="7"/>
        <v/>
      </c>
    </row>
    <row r="52" spans="1:27" x14ac:dyDescent="0.3">
      <c r="E52" t="str">
        <f t="shared" si="6"/>
        <v/>
      </c>
      <c r="G52" s="118"/>
      <c r="H52" s="118"/>
      <c r="I52" s="118"/>
      <c r="J52" s="243"/>
      <c r="K52" s="119"/>
      <c r="L52" s="119"/>
      <c r="M52" s="119"/>
      <c r="N52" s="119"/>
      <c r="O52" s="120"/>
      <c r="P52" s="120"/>
      <c r="Q52" s="120"/>
      <c r="R52" s="120"/>
      <c r="U52" s="1" t="str">
        <f t="shared" si="7"/>
        <v/>
      </c>
    </row>
    <row r="53" spans="1:27" x14ac:dyDescent="0.3">
      <c r="E53" t="str">
        <f t="shared" si="6"/>
        <v/>
      </c>
      <c r="G53" s="118"/>
      <c r="H53" s="118"/>
      <c r="I53" s="118"/>
      <c r="J53" s="243"/>
      <c r="K53" s="119"/>
      <c r="L53" s="119"/>
      <c r="M53" s="119"/>
      <c r="N53" s="119"/>
      <c r="O53" s="120"/>
      <c r="P53" s="120"/>
      <c r="Q53" s="120"/>
      <c r="R53" s="120"/>
      <c r="U53" s="1" t="str">
        <f t="shared" si="7"/>
        <v/>
      </c>
    </row>
    <row r="54" spans="1:27" x14ac:dyDescent="0.3">
      <c r="E54" t="str">
        <f t="shared" si="6"/>
        <v/>
      </c>
      <c r="G54" s="118"/>
      <c r="H54" s="118"/>
      <c r="I54" s="118"/>
      <c r="J54" s="243"/>
      <c r="K54" s="119"/>
      <c r="L54" s="119"/>
      <c r="M54" s="119"/>
      <c r="N54" s="119"/>
      <c r="O54" s="120"/>
      <c r="P54" s="120"/>
      <c r="Q54" s="120"/>
      <c r="R54" s="120"/>
      <c r="U54" s="1" t="str">
        <f t="shared" si="7"/>
        <v/>
      </c>
    </row>
    <row r="55" spans="1:27" x14ac:dyDescent="0.3">
      <c r="E55" t="str">
        <f t="shared" si="6"/>
        <v/>
      </c>
      <c r="G55" s="118"/>
      <c r="H55" s="118"/>
      <c r="I55" s="118"/>
      <c r="J55" s="243"/>
      <c r="K55" s="119"/>
      <c r="L55" s="119"/>
      <c r="M55" s="119"/>
      <c r="N55" s="119"/>
      <c r="O55" s="120"/>
      <c r="P55" s="120"/>
      <c r="Q55" s="120"/>
      <c r="R55" s="120"/>
      <c r="U55" s="1" t="str">
        <f t="shared" si="7"/>
        <v/>
      </c>
    </row>
    <row r="56" spans="1:27" x14ac:dyDescent="0.3">
      <c r="E56" t="str">
        <f t="shared" si="6"/>
        <v/>
      </c>
      <c r="G56" s="118"/>
      <c r="H56" s="118"/>
      <c r="I56" s="118"/>
      <c r="J56" s="243"/>
      <c r="K56" s="119"/>
      <c r="L56" s="119"/>
      <c r="M56" s="119"/>
      <c r="N56" s="119"/>
      <c r="O56" s="120"/>
      <c r="P56" s="120"/>
      <c r="Q56" s="120"/>
      <c r="R56" s="120"/>
      <c r="U56" s="1" t="str">
        <f t="shared" si="7"/>
        <v/>
      </c>
    </row>
    <row r="57" spans="1:27" x14ac:dyDescent="0.3">
      <c r="E57" t="str">
        <f t="shared" si="6"/>
        <v/>
      </c>
      <c r="G57" s="118"/>
      <c r="H57" s="118"/>
      <c r="I57" s="118"/>
      <c r="J57" s="243"/>
      <c r="K57" s="119"/>
      <c r="L57" s="119"/>
      <c r="M57" s="119"/>
      <c r="N57" s="119"/>
      <c r="O57" s="120"/>
      <c r="P57" s="120"/>
      <c r="Q57" s="120"/>
      <c r="R57" s="120"/>
      <c r="U57" s="1" t="str">
        <f t="shared" si="7"/>
        <v/>
      </c>
    </row>
    <row r="58" spans="1:27" x14ac:dyDescent="0.3">
      <c r="E58" t="str">
        <f t="shared" si="6"/>
        <v/>
      </c>
      <c r="G58" s="118"/>
      <c r="H58" s="118"/>
      <c r="I58" s="118"/>
      <c r="J58" s="243"/>
      <c r="K58" s="119"/>
      <c r="L58" s="119"/>
      <c r="M58" s="119"/>
      <c r="N58" s="119"/>
      <c r="O58" s="120"/>
      <c r="P58" s="120"/>
      <c r="Q58" s="120"/>
      <c r="R58" s="120"/>
      <c r="U58" s="1" t="str">
        <f t="shared" si="7"/>
        <v/>
      </c>
    </row>
    <row r="59" spans="1:27" x14ac:dyDescent="0.3">
      <c r="E59" t="str">
        <f t="shared" si="6"/>
        <v/>
      </c>
      <c r="G59" s="118"/>
      <c r="H59" s="118"/>
      <c r="I59" s="118"/>
      <c r="J59" s="243"/>
      <c r="K59" s="119"/>
      <c r="L59" s="119"/>
      <c r="M59" s="119"/>
      <c r="N59" s="119"/>
      <c r="O59" s="120"/>
      <c r="P59" s="120"/>
      <c r="Q59" s="120"/>
      <c r="R59" s="120"/>
      <c r="U59" s="1" t="str">
        <f t="shared" si="7"/>
        <v/>
      </c>
    </row>
    <row r="60" spans="1:27" x14ac:dyDescent="0.3">
      <c r="E60" t="str">
        <f t="shared" si="6"/>
        <v/>
      </c>
      <c r="G60" s="118"/>
      <c r="H60" s="118"/>
      <c r="I60" s="118"/>
      <c r="J60" s="243"/>
      <c r="K60" s="119"/>
      <c r="L60" s="119"/>
      <c r="M60" s="119"/>
      <c r="N60" s="119"/>
      <c r="O60" s="120"/>
      <c r="P60" s="120"/>
      <c r="Q60" s="120"/>
      <c r="R60" s="120"/>
      <c r="U60" s="1" t="str">
        <f t="shared" si="7"/>
        <v/>
      </c>
    </row>
    <row r="61" spans="1:27" x14ac:dyDescent="0.3">
      <c r="E61" t="str">
        <f t="shared" si="6"/>
        <v/>
      </c>
      <c r="G61" s="118"/>
      <c r="H61" s="118"/>
      <c r="I61" s="118"/>
      <c r="J61" s="243"/>
      <c r="K61" s="119"/>
      <c r="L61" s="119"/>
      <c r="M61" s="119"/>
      <c r="N61" s="119"/>
      <c r="O61" s="120"/>
      <c r="P61" s="120"/>
      <c r="Q61" s="120"/>
      <c r="R61" s="120"/>
      <c r="U61" s="1" t="str">
        <f t="shared" si="7"/>
        <v/>
      </c>
    </row>
    <row r="62" spans="1:27" x14ac:dyDescent="0.3">
      <c r="E62" t="str">
        <f t="shared" si="6"/>
        <v/>
      </c>
      <c r="G62" s="118"/>
      <c r="H62" s="118"/>
      <c r="I62" s="118"/>
      <c r="J62" s="243"/>
      <c r="K62" s="119"/>
      <c r="L62" s="119"/>
      <c r="M62" s="119"/>
      <c r="N62" s="119"/>
      <c r="O62" s="120"/>
      <c r="P62" s="120"/>
      <c r="Q62" s="120"/>
      <c r="R62" s="120"/>
      <c r="U62" s="1" t="str">
        <f t="shared" si="7"/>
        <v/>
      </c>
    </row>
    <row r="63" spans="1:27" x14ac:dyDescent="0.3">
      <c r="E63" t="str">
        <f t="shared" si="6"/>
        <v/>
      </c>
      <c r="G63" s="118"/>
      <c r="H63" s="118"/>
      <c r="I63" s="118"/>
      <c r="J63" s="243"/>
      <c r="K63" s="119"/>
      <c r="L63" s="119"/>
      <c r="M63" s="119"/>
      <c r="N63" s="119"/>
      <c r="O63" s="120"/>
      <c r="P63" s="120"/>
      <c r="Q63" s="120"/>
      <c r="R63" s="120"/>
      <c r="U63" s="1" t="str">
        <f t="shared" si="7"/>
        <v/>
      </c>
    </row>
    <row r="64" spans="1:27" x14ac:dyDescent="0.3">
      <c r="E64" t="str">
        <f t="shared" si="6"/>
        <v/>
      </c>
      <c r="G64" s="118"/>
      <c r="H64" s="118"/>
      <c r="I64" s="118"/>
      <c r="J64" s="243"/>
      <c r="K64" s="119"/>
      <c r="L64" s="119"/>
      <c r="M64" s="119"/>
      <c r="N64" s="119"/>
      <c r="O64" s="120"/>
      <c r="P64" s="120"/>
      <c r="Q64" s="120"/>
      <c r="R64" s="120"/>
      <c r="U64" s="1" t="str">
        <f t="shared" si="7"/>
        <v/>
      </c>
    </row>
    <row r="65" spans="5:21" x14ac:dyDescent="0.3">
      <c r="E65" t="str">
        <f t="shared" si="6"/>
        <v/>
      </c>
      <c r="G65" s="118"/>
      <c r="H65" s="118"/>
      <c r="I65" s="118"/>
      <c r="J65" s="243"/>
      <c r="K65" s="119"/>
      <c r="L65" s="119"/>
      <c r="M65" s="119"/>
      <c r="N65" s="119"/>
      <c r="O65" s="120"/>
      <c r="P65" s="120"/>
      <c r="Q65" s="120"/>
      <c r="R65" s="120"/>
      <c r="U65" s="1" t="str">
        <f t="shared" si="7"/>
        <v/>
      </c>
    </row>
    <row r="66" spans="5:21" x14ac:dyDescent="0.3">
      <c r="E66" t="str">
        <f t="shared" si="6"/>
        <v/>
      </c>
      <c r="G66" s="118"/>
      <c r="H66" s="118"/>
      <c r="I66" s="118"/>
      <c r="J66" s="243"/>
      <c r="K66" s="119"/>
      <c r="L66" s="119"/>
      <c r="M66" s="119"/>
      <c r="N66" s="119"/>
      <c r="O66" s="120"/>
      <c r="P66" s="120"/>
      <c r="Q66" s="120"/>
      <c r="R66" s="120"/>
      <c r="U66" s="1" t="str">
        <f t="shared" ref="U66:U97" si="8">IF(H66&lt;&gt;"",T66&amp;"-"&amp;I66,"")</f>
        <v/>
      </c>
    </row>
    <row r="67" spans="5:21" x14ac:dyDescent="0.3">
      <c r="E67" t="str">
        <f t="shared" ref="E67:E130" si="9">IF(C67&lt;&gt;"",C67&amp;" "&amp;D67,"")</f>
        <v/>
      </c>
      <c r="G67" s="118"/>
      <c r="H67" s="118"/>
      <c r="I67" s="118"/>
      <c r="J67" s="243"/>
      <c r="K67" s="119"/>
      <c r="L67" s="119"/>
      <c r="M67" s="119"/>
      <c r="N67" s="119"/>
      <c r="O67" s="120"/>
      <c r="P67" s="120"/>
      <c r="Q67" s="120"/>
      <c r="R67" s="120"/>
      <c r="U67" s="1" t="str">
        <f t="shared" si="8"/>
        <v/>
      </c>
    </row>
    <row r="68" spans="5:21" x14ac:dyDescent="0.3">
      <c r="E68" t="str">
        <f t="shared" si="9"/>
        <v/>
      </c>
      <c r="G68" s="118"/>
      <c r="H68" s="118"/>
      <c r="I68" s="118"/>
      <c r="J68" s="243"/>
      <c r="K68" s="119"/>
      <c r="L68" s="119"/>
      <c r="M68" s="119"/>
      <c r="N68" s="119"/>
      <c r="O68" s="120"/>
      <c r="P68" s="120"/>
      <c r="Q68" s="120"/>
      <c r="R68" s="120"/>
      <c r="U68" s="1" t="str">
        <f t="shared" si="8"/>
        <v/>
      </c>
    </row>
    <row r="69" spans="5:21" x14ac:dyDescent="0.3">
      <c r="E69" t="str">
        <f t="shared" si="9"/>
        <v/>
      </c>
      <c r="G69" s="118"/>
      <c r="H69" s="118"/>
      <c r="I69" s="118"/>
      <c r="J69" s="243"/>
      <c r="K69" s="119"/>
      <c r="L69" s="119"/>
      <c r="M69" s="119"/>
      <c r="N69" s="119"/>
      <c r="O69" s="120"/>
      <c r="P69" s="120"/>
      <c r="Q69" s="120"/>
      <c r="R69" s="120"/>
      <c r="U69" s="1" t="str">
        <f t="shared" si="8"/>
        <v/>
      </c>
    </row>
    <row r="70" spans="5:21" x14ac:dyDescent="0.3">
      <c r="E70" t="str">
        <f t="shared" si="9"/>
        <v/>
      </c>
      <c r="G70" s="118"/>
      <c r="H70" s="118"/>
      <c r="I70" s="118"/>
      <c r="J70" s="243"/>
      <c r="K70" s="119"/>
      <c r="L70" s="119"/>
      <c r="M70" s="119"/>
      <c r="N70" s="119"/>
      <c r="O70" s="120"/>
      <c r="P70" s="120"/>
      <c r="Q70" s="120"/>
      <c r="R70" s="120"/>
      <c r="U70" s="1" t="str">
        <f t="shared" si="8"/>
        <v/>
      </c>
    </row>
    <row r="71" spans="5:21" x14ac:dyDescent="0.3">
      <c r="E71" t="str">
        <f t="shared" si="9"/>
        <v/>
      </c>
      <c r="G71" s="118"/>
      <c r="H71" s="118"/>
      <c r="I71" s="118"/>
      <c r="J71" s="243"/>
      <c r="K71" s="119"/>
      <c r="L71" s="119"/>
      <c r="M71" s="119"/>
      <c r="N71" s="119"/>
      <c r="O71" s="120"/>
      <c r="P71" s="120"/>
      <c r="Q71" s="120"/>
      <c r="R71" s="120"/>
      <c r="U71" s="1" t="str">
        <f t="shared" si="8"/>
        <v/>
      </c>
    </row>
    <row r="72" spans="5:21" x14ac:dyDescent="0.3">
      <c r="E72" t="str">
        <f t="shared" si="9"/>
        <v/>
      </c>
      <c r="G72" s="118"/>
      <c r="H72" s="118"/>
      <c r="I72" s="118"/>
      <c r="J72" s="243"/>
      <c r="K72" s="119"/>
      <c r="L72" s="119"/>
      <c r="M72" s="119"/>
      <c r="N72" s="119"/>
      <c r="O72" s="120"/>
      <c r="P72" s="120"/>
      <c r="Q72" s="120"/>
      <c r="R72" s="120"/>
      <c r="U72" s="1" t="str">
        <f t="shared" si="8"/>
        <v/>
      </c>
    </row>
    <row r="73" spans="5:21" x14ac:dyDescent="0.3">
      <c r="E73" t="str">
        <f t="shared" si="9"/>
        <v/>
      </c>
      <c r="G73" s="118"/>
      <c r="H73" s="118"/>
      <c r="I73" s="118"/>
      <c r="J73" s="243"/>
      <c r="K73" s="119"/>
      <c r="L73" s="119"/>
      <c r="M73" s="119"/>
      <c r="N73" s="119"/>
      <c r="O73" s="120"/>
      <c r="P73" s="120"/>
      <c r="Q73" s="120"/>
      <c r="R73" s="120"/>
      <c r="U73" s="1" t="str">
        <f t="shared" si="8"/>
        <v/>
      </c>
    </row>
    <row r="74" spans="5:21" x14ac:dyDescent="0.3">
      <c r="E74" t="str">
        <f t="shared" si="9"/>
        <v/>
      </c>
      <c r="G74" s="118"/>
      <c r="H74" s="118"/>
      <c r="I74" s="118"/>
      <c r="J74" s="243"/>
      <c r="K74" s="119"/>
      <c r="L74" s="119"/>
      <c r="M74" s="119"/>
      <c r="N74" s="119"/>
      <c r="O74" s="120"/>
      <c r="P74" s="120"/>
      <c r="Q74" s="120"/>
      <c r="R74" s="120"/>
      <c r="U74" s="1" t="str">
        <f t="shared" si="8"/>
        <v/>
      </c>
    </row>
    <row r="75" spans="5:21" x14ac:dyDescent="0.3">
      <c r="E75" t="str">
        <f t="shared" si="9"/>
        <v/>
      </c>
      <c r="G75" s="118"/>
      <c r="H75" s="118"/>
      <c r="I75" s="118"/>
      <c r="J75" s="243"/>
      <c r="K75" s="119"/>
      <c r="L75" s="119"/>
      <c r="M75" s="119"/>
      <c r="N75" s="119"/>
      <c r="O75" s="120"/>
      <c r="P75" s="120"/>
      <c r="Q75" s="120"/>
      <c r="R75" s="120"/>
      <c r="U75" s="1" t="str">
        <f t="shared" si="8"/>
        <v/>
      </c>
    </row>
    <row r="76" spans="5:21" x14ac:dyDescent="0.3">
      <c r="E76" t="str">
        <f t="shared" si="9"/>
        <v/>
      </c>
      <c r="G76" s="118"/>
      <c r="H76" s="118"/>
      <c r="I76" s="118"/>
      <c r="J76" s="243"/>
      <c r="K76" s="119"/>
      <c r="L76" s="119"/>
      <c r="M76" s="119"/>
      <c r="N76" s="119"/>
      <c r="O76" s="120"/>
      <c r="P76" s="120"/>
      <c r="Q76" s="120"/>
      <c r="R76" s="120"/>
      <c r="U76" s="1" t="str">
        <f t="shared" si="8"/>
        <v/>
      </c>
    </row>
    <row r="77" spans="5:21" x14ac:dyDescent="0.3">
      <c r="E77" t="str">
        <f t="shared" si="9"/>
        <v/>
      </c>
      <c r="G77" s="118"/>
      <c r="H77" s="118"/>
      <c r="I77" s="118"/>
      <c r="J77" s="243"/>
      <c r="K77" s="119"/>
      <c r="L77" s="119"/>
      <c r="M77" s="119"/>
      <c r="N77" s="119"/>
      <c r="O77" s="120"/>
      <c r="P77" s="120"/>
      <c r="Q77" s="120"/>
      <c r="R77" s="120"/>
      <c r="U77" s="1" t="str">
        <f t="shared" si="8"/>
        <v/>
      </c>
    </row>
    <row r="78" spans="5:21" x14ac:dyDescent="0.3">
      <c r="E78" t="str">
        <f t="shared" si="9"/>
        <v/>
      </c>
      <c r="G78" s="118"/>
      <c r="H78" s="118"/>
      <c r="I78" s="118"/>
      <c r="J78" s="243"/>
      <c r="K78" s="119"/>
      <c r="L78" s="119"/>
      <c r="M78" s="119"/>
      <c r="N78" s="119"/>
      <c r="O78" s="120"/>
      <c r="P78" s="120"/>
      <c r="Q78" s="120"/>
      <c r="R78" s="120"/>
      <c r="U78" s="1" t="str">
        <f t="shared" si="8"/>
        <v/>
      </c>
    </row>
    <row r="79" spans="5:21" x14ac:dyDescent="0.3">
      <c r="E79" t="str">
        <f t="shared" si="9"/>
        <v/>
      </c>
      <c r="G79" s="118"/>
      <c r="H79" s="118"/>
      <c r="I79" s="118"/>
      <c r="J79" s="243"/>
      <c r="K79" s="119"/>
      <c r="L79" s="119"/>
      <c r="M79" s="119"/>
      <c r="N79" s="119"/>
      <c r="O79" s="120"/>
      <c r="P79" s="120"/>
      <c r="Q79" s="120"/>
      <c r="R79" s="120"/>
      <c r="U79" s="1" t="str">
        <f t="shared" si="8"/>
        <v/>
      </c>
    </row>
    <row r="80" spans="5:21" x14ac:dyDescent="0.3">
      <c r="E80" t="str">
        <f t="shared" si="9"/>
        <v/>
      </c>
      <c r="G80" s="118"/>
      <c r="H80" s="118"/>
      <c r="I80" s="118"/>
      <c r="J80" s="243"/>
      <c r="K80" s="119"/>
      <c r="L80" s="119"/>
      <c r="M80" s="119"/>
      <c r="N80" s="119"/>
      <c r="O80" s="120"/>
      <c r="P80" s="120"/>
      <c r="Q80" s="120"/>
      <c r="R80" s="120"/>
      <c r="U80" s="1" t="str">
        <f t="shared" si="8"/>
        <v/>
      </c>
    </row>
    <row r="81" spans="5:21" x14ac:dyDescent="0.3">
      <c r="E81" t="str">
        <f t="shared" si="9"/>
        <v/>
      </c>
      <c r="G81" s="118"/>
      <c r="H81" s="118"/>
      <c r="I81" s="118"/>
      <c r="J81" s="243"/>
      <c r="K81" s="119"/>
      <c r="L81" s="119"/>
      <c r="M81" s="119"/>
      <c r="N81" s="119"/>
      <c r="O81" s="120"/>
      <c r="P81" s="120"/>
      <c r="Q81" s="120"/>
      <c r="R81" s="120"/>
      <c r="U81" s="1" t="str">
        <f t="shared" si="8"/>
        <v/>
      </c>
    </row>
    <row r="82" spans="5:21" x14ac:dyDescent="0.3">
      <c r="E82" t="str">
        <f t="shared" si="9"/>
        <v/>
      </c>
      <c r="G82" s="118"/>
      <c r="H82" s="118"/>
      <c r="I82" s="118"/>
      <c r="J82" s="243"/>
      <c r="K82" s="119"/>
      <c r="L82" s="119"/>
      <c r="M82" s="119"/>
      <c r="N82" s="119"/>
      <c r="O82" s="120"/>
      <c r="P82" s="120"/>
      <c r="Q82" s="120"/>
      <c r="R82" s="120"/>
      <c r="U82" s="1" t="str">
        <f t="shared" si="8"/>
        <v/>
      </c>
    </row>
    <row r="83" spans="5:21" x14ac:dyDescent="0.3">
      <c r="E83" t="str">
        <f t="shared" si="9"/>
        <v/>
      </c>
      <c r="G83" s="118"/>
      <c r="H83" s="118"/>
      <c r="I83" s="118"/>
      <c r="J83" s="243"/>
      <c r="K83" s="119"/>
      <c r="L83" s="119"/>
      <c r="M83" s="119"/>
      <c r="N83" s="119"/>
      <c r="O83" s="120"/>
      <c r="P83" s="120"/>
      <c r="Q83" s="120"/>
      <c r="R83" s="120"/>
      <c r="U83" s="1" t="str">
        <f t="shared" si="8"/>
        <v/>
      </c>
    </row>
    <row r="84" spans="5:21" x14ac:dyDescent="0.3">
      <c r="E84" t="str">
        <f t="shared" si="9"/>
        <v/>
      </c>
      <c r="G84" s="118"/>
      <c r="H84" s="118"/>
      <c r="I84" s="118"/>
      <c r="J84" s="243"/>
      <c r="K84" s="119"/>
      <c r="L84" s="119"/>
      <c r="M84" s="119"/>
      <c r="N84" s="119"/>
      <c r="O84" s="120"/>
      <c r="P84" s="120"/>
      <c r="Q84" s="120"/>
      <c r="R84" s="120"/>
      <c r="U84" s="1" t="str">
        <f t="shared" si="8"/>
        <v/>
      </c>
    </row>
    <row r="85" spans="5:21" x14ac:dyDescent="0.3">
      <c r="E85" t="str">
        <f t="shared" si="9"/>
        <v/>
      </c>
      <c r="G85" s="118"/>
      <c r="H85" s="118"/>
      <c r="I85" s="118"/>
      <c r="J85" s="243"/>
      <c r="K85" s="119"/>
      <c r="L85" s="119"/>
      <c r="M85" s="119"/>
      <c r="N85" s="119"/>
      <c r="O85" s="120"/>
      <c r="P85" s="120"/>
      <c r="Q85" s="120"/>
      <c r="R85" s="120"/>
      <c r="U85" s="1" t="str">
        <f t="shared" si="8"/>
        <v/>
      </c>
    </row>
    <row r="86" spans="5:21" x14ac:dyDescent="0.3">
      <c r="E86" t="str">
        <f t="shared" si="9"/>
        <v/>
      </c>
      <c r="G86" s="118"/>
      <c r="H86" s="118"/>
      <c r="I86" s="118"/>
      <c r="J86" s="243"/>
      <c r="K86" s="119"/>
      <c r="L86" s="119"/>
      <c r="M86" s="119"/>
      <c r="N86" s="119"/>
      <c r="O86" s="120"/>
      <c r="P86" s="120"/>
      <c r="Q86" s="120"/>
      <c r="R86" s="120"/>
      <c r="U86" s="1" t="str">
        <f t="shared" si="8"/>
        <v/>
      </c>
    </row>
    <row r="87" spans="5:21" x14ac:dyDescent="0.3">
      <c r="E87" t="str">
        <f t="shared" si="9"/>
        <v/>
      </c>
      <c r="G87" s="118"/>
      <c r="H87" s="118"/>
      <c r="I87" s="118"/>
      <c r="J87" s="243"/>
      <c r="K87" s="119"/>
      <c r="L87" s="119"/>
      <c r="M87" s="119"/>
      <c r="N87" s="119"/>
      <c r="O87" s="120"/>
      <c r="P87" s="120"/>
      <c r="Q87" s="120"/>
      <c r="R87" s="120"/>
      <c r="U87" s="1" t="str">
        <f t="shared" si="8"/>
        <v/>
      </c>
    </row>
    <row r="88" spans="5:21" x14ac:dyDescent="0.3">
      <c r="E88" t="str">
        <f t="shared" si="9"/>
        <v/>
      </c>
      <c r="G88" s="118"/>
      <c r="H88" s="118"/>
      <c r="I88" s="118"/>
      <c r="J88" s="243"/>
      <c r="K88" s="119"/>
      <c r="L88" s="119"/>
      <c r="M88" s="119"/>
      <c r="N88" s="119"/>
      <c r="O88" s="120"/>
      <c r="P88" s="120"/>
      <c r="Q88" s="120"/>
      <c r="R88" s="120"/>
      <c r="U88" s="1" t="str">
        <f t="shared" si="8"/>
        <v/>
      </c>
    </row>
    <row r="89" spans="5:21" x14ac:dyDescent="0.3">
      <c r="E89" t="str">
        <f t="shared" si="9"/>
        <v/>
      </c>
      <c r="G89" s="118"/>
      <c r="H89" s="118"/>
      <c r="I89" s="118"/>
      <c r="J89" s="243"/>
      <c r="K89" s="119"/>
      <c r="L89" s="119"/>
      <c r="M89" s="119"/>
      <c r="N89" s="119"/>
      <c r="O89" s="120"/>
      <c r="P89" s="120"/>
      <c r="Q89" s="120"/>
      <c r="R89" s="120"/>
      <c r="U89" s="1" t="str">
        <f t="shared" si="8"/>
        <v/>
      </c>
    </row>
    <row r="90" spans="5:21" x14ac:dyDescent="0.3">
      <c r="E90" t="str">
        <f t="shared" si="9"/>
        <v/>
      </c>
      <c r="G90" s="118"/>
      <c r="H90" s="118"/>
      <c r="I90" s="118"/>
      <c r="J90" s="243"/>
      <c r="K90" s="119"/>
      <c r="L90" s="119"/>
      <c r="M90" s="119"/>
      <c r="N90" s="119"/>
      <c r="O90" s="120"/>
      <c r="P90" s="120"/>
      <c r="Q90" s="120"/>
      <c r="R90" s="120"/>
      <c r="U90" s="1" t="str">
        <f t="shared" si="8"/>
        <v/>
      </c>
    </row>
    <row r="91" spans="5:21" x14ac:dyDescent="0.3">
      <c r="E91" t="str">
        <f t="shared" si="9"/>
        <v/>
      </c>
      <c r="G91" s="118"/>
      <c r="H91" s="118"/>
      <c r="I91" s="118"/>
      <c r="J91" s="243"/>
      <c r="K91" s="119"/>
      <c r="L91" s="119"/>
      <c r="M91" s="119"/>
      <c r="N91" s="119"/>
      <c r="O91" s="120"/>
      <c r="P91" s="120"/>
      <c r="Q91" s="120"/>
      <c r="R91" s="120"/>
      <c r="U91" s="1" t="str">
        <f t="shared" si="8"/>
        <v/>
      </c>
    </row>
    <row r="92" spans="5:21" x14ac:dyDescent="0.3">
      <c r="E92" t="str">
        <f t="shared" si="9"/>
        <v/>
      </c>
      <c r="G92" s="118"/>
      <c r="H92" s="118"/>
      <c r="I92" s="118"/>
      <c r="J92" s="243"/>
      <c r="K92" s="119"/>
      <c r="L92" s="119"/>
      <c r="M92" s="119"/>
      <c r="N92" s="119"/>
      <c r="O92" s="120"/>
      <c r="P92" s="120"/>
      <c r="Q92" s="120"/>
      <c r="R92" s="120"/>
      <c r="U92" s="1" t="str">
        <f t="shared" si="8"/>
        <v/>
      </c>
    </row>
    <row r="93" spans="5:21" x14ac:dyDescent="0.3">
      <c r="E93" t="str">
        <f t="shared" si="9"/>
        <v/>
      </c>
      <c r="G93" s="118"/>
      <c r="H93" s="118"/>
      <c r="I93" s="118"/>
      <c r="J93" s="243"/>
      <c r="K93" s="119"/>
      <c r="L93" s="119"/>
      <c r="M93" s="119"/>
      <c r="N93" s="119"/>
      <c r="O93" s="120"/>
      <c r="P93" s="120"/>
      <c r="Q93" s="120"/>
      <c r="R93" s="120"/>
      <c r="U93" s="1" t="str">
        <f t="shared" si="8"/>
        <v/>
      </c>
    </row>
    <row r="94" spans="5:21" x14ac:dyDescent="0.3">
      <c r="E94" t="str">
        <f t="shared" si="9"/>
        <v/>
      </c>
      <c r="G94" s="118"/>
      <c r="H94" s="118"/>
      <c r="I94" s="118"/>
      <c r="J94" s="243"/>
      <c r="K94" s="119"/>
      <c r="L94" s="119"/>
      <c r="M94" s="119"/>
      <c r="N94" s="119"/>
      <c r="O94" s="120"/>
      <c r="P94" s="120"/>
      <c r="Q94" s="120"/>
      <c r="R94" s="120"/>
      <c r="U94" s="1" t="str">
        <f t="shared" si="8"/>
        <v/>
      </c>
    </row>
    <row r="95" spans="5:21" x14ac:dyDescent="0.3">
      <c r="E95" t="str">
        <f t="shared" si="9"/>
        <v/>
      </c>
      <c r="G95" s="118"/>
      <c r="H95" s="118"/>
      <c r="I95" s="118"/>
      <c r="J95" s="243"/>
      <c r="K95" s="119"/>
      <c r="L95" s="119"/>
      <c r="M95" s="119"/>
      <c r="N95" s="119"/>
      <c r="O95" s="120"/>
      <c r="P95" s="120"/>
      <c r="Q95" s="120"/>
      <c r="R95" s="120"/>
      <c r="U95" s="1" t="str">
        <f t="shared" si="8"/>
        <v/>
      </c>
    </row>
    <row r="96" spans="5:21" x14ac:dyDescent="0.3">
      <c r="E96" t="str">
        <f t="shared" si="9"/>
        <v/>
      </c>
      <c r="G96" s="118"/>
      <c r="H96" s="118"/>
      <c r="I96" s="118"/>
      <c r="J96" s="243"/>
      <c r="K96" s="119"/>
      <c r="L96" s="119"/>
      <c r="M96" s="119"/>
      <c r="N96" s="119"/>
      <c r="O96" s="120"/>
      <c r="P96" s="120"/>
      <c r="Q96" s="120"/>
      <c r="R96" s="120"/>
      <c r="U96" s="1" t="str">
        <f t="shared" si="8"/>
        <v/>
      </c>
    </row>
    <row r="97" spans="5:21" x14ac:dyDescent="0.3">
      <c r="E97" t="str">
        <f t="shared" si="9"/>
        <v/>
      </c>
      <c r="G97" s="118"/>
      <c r="H97" s="118"/>
      <c r="I97" s="118"/>
      <c r="J97" s="243"/>
      <c r="K97" s="119"/>
      <c r="L97" s="119"/>
      <c r="M97" s="119"/>
      <c r="N97" s="119"/>
      <c r="O97" s="120"/>
      <c r="P97" s="120"/>
      <c r="Q97" s="120"/>
      <c r="R97" s="120"/>
      <c r="U97" s="1" t="str">
        <f t="shared" si="8"/>
        <v/>
      </c>
    </row>
    <row r="98" spans="5:21" x14ac:dyDescent="0.3">
      <c r="E98" t="str">
        <f t="shared" si="9"/>
        <v/>
      </c>
      <c r="G98" s="118"/>
      <c r="H98" s="118"/>
      <c r="I98" s="118"/>
      <c r="J98" s="243"/>
      <c r="K98" s="119"/>
      <c r="L98" s="119"/>
      <c r="M98" s="119"/>
      <c r="N98" s="119"/>
      <c r="O98" s="120"/>
      <c r="P98" s="120"/>
      <c r="Q98" s="120"/>
      <c r="R98" s="120"/>
      <c r="U98" s="1" t="str">
        <f t="shared" ref="U98:U129" si="10">IF(H98&lt;&gt;"",T98&amp;"-"&amp;I98,"")</f>
        <v/>
      </c>
    </row>
    <row r="99" spans="5:21" x14ac:dyDescent="0.3">
      <c r="E99" t="str">
        <f t="shared" si="9"/>
        <v/>
      </c>
      <c r="G99" s="118"/>
      <c r="H99" s="118"/>
      <c r="I99" s="118"/>
      <c r="J99" s="243"/>
      <c r="K99" s="119"/>
      <c r="L99" s="119"/>
      <c r="M99" s="119"/>
      <c r="N99" s="119"/>
      <c r="O99" s="120"/>
      <c r="P99" s="120"/>
      <c r="Q99" s="120"/>
      <c r="R99" s="120"/>
      <c r="U99" s="1" t="str">
        <f t="shared" si="10"/>
        <v/>
      </c>
    </row>
    <row r="100" spans="5:21" x14ac:dyDescent="0.3">
      <c r="E100" t="str">
        <f t="shared" si="9"/>
        <v/>
      </c>
      <c r="G100" s="118"/>
      <c r="H100" s="118"/>
      <c r="I100" s="118"/>
      <c r="J100" s="243"/>
      <c r="K100" s="119"/>
      <c r="L100" s="119"/>
      <c r="M100" s="119"/>
      <c r="N100" s="119"/>
      <c r="O100" s="120"/>
      <c r="P100" s="120"/>
      <c r="Q100" s="120"/>
      <c r="R100" s="120"/>
      <c r="U100" s="1" t="str">
        <f t="shared" si="10"/>
        <v/>
      </c>
    </row>
    <row r="101" spans="5:21" x14ac:dyDescent="0.3">
      <c r="E101" t="str">
        <f t="shared" si="9"/>
        <v/>
      </c>
      <c r="G101" s="118"/>
      <c r="H101" s="118"/>
      <c r="I101" s="118"/>
      <c r="J101" s="243"/>
      <c r="K101" s="119"/>
      <c r="L101" s="119"/>
      <c r="M101" s="119"/>
      <c r="N101" s="119"/>
      <c r="O101" s="120"/>
      <c r="P101" s="120"/>
      <c r="Q101" s="120"/>
      <c r="R101" s="120"/>
      <c r="U101" s="1" t="str">
        <f t="shared" si="10"/>
        <v/>
      </c>
    </row>
    <row r="102" spans="5:21" x14ac:dyDescent="0.3">
      <c r="E102" t="str">
        <f t="shared" si="9"/>
        <v/>
      </c>
      <c r="G102" s="118"/>
      <c r="H102" s="118"/>
      <c r="I102" s="118"/>
      <c r="J102" s="243"/>
      <c r="K102" s="119"/>
      <c r="L102" s="119"/>
      <c r="M102" s="119"/>
      <c r="N102" s="119"/>
      <c r="O102" s="120"/>
      <c r="P102" s="120"/>
      <c r="Q102" s="120"/>
      <c r="R102" s="120"/>
      <c r="U102" s="1" t="str">
        <f t="shared" si="10"/>
        <v/>
      </c>
    </row>
    <row r="103" spans="5:21" x14ac:dyDescent="0.3">
      <c r="E103" t="str">
        <f t="shared" si="9"/>
        <v/>
      </c>
      <c r="G103" s="118"/>
      <c r="H103" s="118"/>
      <c r="I103" s="118"/>
      <c r="J103" s="243"/>
      <c r="K103" s="119"/>
      <c r="L103" s="119"/>
      <c r="M103" s="119"/>
      <c r="N103" s="119"/>
      <c r="O103" s="120"/>
      <c r="P103" s="120"/>
      <c r="Q103" s="120"/>
      <c r="R103" s="120"/>
      <c r="U103" s="1" t="str">
        <f t="shared" si="10"/>
        <v/>
      </c>
    </row>
    <row r="104" spans="5:21" x14ac:dyDescent="0.3">
      <c r="E104" t="str">
        <f t="shared" si="9"/>
        <v/>
      </c>
      <c r="G104" s="118"/>
      <c r="H104" s="118"/>
      <c r="I104" s="118"/>
      <c r="J104" s="243"/>
      <c r="K104" s="119"/>
      <c r="L104" s="119"/>
      <c r="M104" s="119"/>
      <c r="N104" s="119"/>
      <c r="O104" s="120"/>
      <c r="P104" s="120"/>
      <c r="Q104" s="120"/>
      <c r="R104" s="120"/>
      <c r="U104" s="1" t="str">
        <f t="shared" si="10"/>
        <v/>
      </c>
    </row>
    <row r="105" spans="5:21" x14ac:dyDescent="0.3">
      <c r="E105" t="str">
        <f t="shared" si="9"/>
        <v/>
      </c>
      <c r="G105" s="118"/>
      <c r="H105" s="118"/>
      <c r="I105" s="118"/>
      <c r="J105" s="243"/>
      <c r="K105" s="119"/>
      <c r="L105" s="119"/>
      <c r="M105" s="119"/>
      <c r="N105" s="119"/>
      <c r="O105" s="120"/>
      <c r="P105" s="120"/>
      <c r="Q105" s="120"/>
      <c r="R105" s="120"/>
      <c r="U105" s="1" t="str">
        <f t="shared" si="10"/>
        <v/>
      </c>
    </row>
    <row r="106" spans="5:21" x14ac:dyDescent="0.3">
      <c r="E106" t="str">
        <f t="shared" si="9"/>
        <v/>
      </c>
      <c r="G106" s="118"/>
      <c r="H106" s="118"/>
      <c r="I106" s="118"/>
      <c r="J106" s="243"/>
      <c r="K106" s="119"/>
      <c r="L106" s="119"/>
      <c r="M106" s="119"/>
      <c r="N106" s="119"/>
      <c r="O106" s="120"/>
      <c r="P106" s="120"/>
      <c r="Q106" s="120"/>
      <c r="R106" s="120"/>
      <c r="U106" s="1" t="str">
        <f t="shared" si="10"/>
        <v/>
      </c>
    </row>
    <row r="107" spans="5:21" x14ac:dyDescent="0.3">
      <c r="E107" t="str">
        <f t="shared" si="9"/>
        <v/>
      </c>
      <c r="G107" s="118"/>
      <c r="H107" s="118"/>
      <c r="I107" s="118"/>
      <c r="J107" s="243"/>
      <c r="K107" s="119"/>
      <c r="L107" s="119"/>
      <c r="M107" s="119"/>
      <c r="N107" s="119"/>
      <c r="O107" s="120"/>
      <c r="P107" s="120"/>
      <c r="Q107" s="120"/>
      <c r="R107" s="120"/>
      <c r="U107" s="1" t="str">
        <f t="shared" si="10"/>
        <v/>
      </c>
    </row>
    <row r="108" spans="5:21" x14ac:dyDescent="0.3">
      <c r="E108" t="str">
        <f t="shared" si="9"/>
        <v/>
      </c>
      <c r="G108" s="118"/>
      <c r="H108" s="118"/>
      <c r="I108" s="118"/>
      <c r="J108" s="243"/>
      <c r="K108" s="119"/>
      <c r="L108" s="119"/>
      <c r="M108" s="119"/>
      <c r="N108" s="119"/>
      <c r="O108" s="120"/>
      <c r="P108" s="120"/>
      <c r="Q108" s="120"/>
      <c r="R108" s="120"/>
      <c r="U108" s="1" t="str">
        <f t="shared" si="10"/>
        <v/>
      </c>
    </row>
    <row r="109" spans="5:21" x14ac:dyDescent="0.3">
      <c r="E109" t="str">
        <f t="shared" si="9"/>
        <v/>
      </c>
      <c r="G109" s="118"/>
      <c r="H109" s="118"/>
      <c r="I109" s="118"/>
      <c r="J109" s="243"/>
      <c r="K109" s="119"/>
      <c r="L109" s="119"/>
      <c r="M109" s="119"/>
      <c r="N109" s="119"/>
      <c r="O109" s="120"/>
      <c r="P109" s="120"/>
      <c r="Q109" s="120"/>
      <c r="R109" s="120"/>
      <c r="U109" s="1" t="str">
        <f t="shared" si="10"/>
        <v/>
      </c>
    </row>
    <row r="110" spans="5:21" x14ac:dyDescent="0.3">
      <c r="E110" t="str">
        <f t="shared" si="9"/>
        <v/>
      </c>
      <c r="G110" s="118"/>
      <c r="H110" s="118"/>
      <c r="I110" s="118"/>
      <c r="J110" s="243"/>
      <c r="K110" s="119"/>
      <c r="L110" s="119"/>
      <c r="M110" s="119"/>
      <c r="N110" s="119"/>
      <c r="O110" s="120"/>
      <c r="P110" s="120"/>
      <c r="Q110" s="120"/>
      <c r="R110" s="120"/>
      <c r="U110" s="1" t="str">
        <f t="shared" si="10"/>
        <v/>
      </c>
    </row>
    <row r="111" spans="5:21" x14ac:dyDescent="0.3">
      <c r="E111" t="str">
        <f t="shared" si="9"/>
        <v/>
      </c>
      <c r="G111" s="118"/>
      <c r="H111" s="118"/>
      <c r="I111" s="118"/>
      <c r="J111" s="243"/>
      <c r="K111" s="119"/>
      <c r="L111" s="119"/>
      <c r="M111" s="119"/>
      <c r="N111" s="119"/>
      <c r="O111" s="120"/>
      <c r="P111" s="120"/>
      <c r="Q111" s="120"/>
      <c r="R111" s="120"/>
      <c r="U111" s="1" t="str">
        <f t="shared" si="10"/>
        <v/>
      </c>
    </row>
    <row r="112" spans="5:21" x14ac:dyDescent="0.3">
      <c r="E112" t="str">
        <f t="shared" si="9"/>
        <v/>
      </c>
      <c r="G112" s="118"/>
      <c r="H112" s="118"/>
      <c r="I112" s="118"/>
      <c r="J112" s="243"/>
      <c r="K112" s="119"/>
      <c r="L112" s="119"/>
      <c r="M112" s="119"/>
      <c r="N112" s="119"/>
      <c r="O112" s="120"/>
      <c r="P112" s="120"/>
      <c r="Q112" s="120"/>
      <c r="R112" s="120"/>
      <c r="U112" s="1" t="str">
        <f t="shared" si="10"/>
        <v/>
      </c>
    </row>
    <row r="113" spans="5:21" x14ac:dyDescent="0.3">
      <c r="E113" t="str">
        <f t="shared" si="9"/>
        <v/>
      </c>
      <c r="G113" s="118"/>
      <c r="H113" s="118"/>
      <c r="I113" s="118"/>
      <c r="J113" s="243"/>
      <c r="K113" s="119"/>
      <c r="L113" s="119"/>
      <c r="M113" s="119"/>
      <c r="N113" s="119"/>
      <c r="O113" s="120"/>
      <c r="P113" s="120"/>
      <c r="Q113" s="120"/>
      <c r="R113" s="120"/>
      <c r="U113" s="1" t="str">
        <f t="shared" si="10"/>
        <v/>
      </c>
    </row>
    <row r="114" spans="5:21" x14ac:dyDescent="0.3">
      <c r="E114" t="str">
        <f t="shared" si="9"/>
        <v/>
      </c>
      <c r="G114" s="118"/>
      <c r="H114" s="118"/>
      <c r="I114" s="118"/>
      <c r="J114" s="243"/>
      <c r="K114" s="119"/>
      <c r="L114" s="119"/>
      <c r="M114" s="119"/>
      <c r="N114" s="119"/>
      <c r="O114" s="120"/>
      <c r="P114" s="120"/>
      <c r="Q114" s="120"/>
      <c r="R114" s="120"/>
      <c r="U114" s="1" t="str">
        <f t="shared" si="10"/>
        <v/>
      </c>
    </row>
    <row r="115" spans="5:21" x14ac:dyDescent="0.3">
      <c r="E115" t="str">
        <f t="shared" si="9"/>
        <v/>
      </c>
      <c r="G115" s="118"/>
      <c r="H115" s="118"/>
      <c r="I115" s="118"/>
      <c r="J115" s="243"/>
      <c r="K115" s="119"/>
      <c r="L115" s="119"/>
      <c r="M115" s="119"/>
      <c r="N115" s="119"/>
      <c r="O115" s="120"/>
      <c r="P115" s="120"/>
      <c r="Q115" s="120"/>
      <c r="R115" s="120"/>
      <c r="U115" s="1" t="str">
        <f t="shared" si="10"/>
        <v/>
      </c>
    </row>
    <row r="116" spans="5:21" x14ac:dyDescent="0.3">
      <c r="E116" t="str">
        <f t="shared" si="9"/>
        <v/>
      </c>
      <c r="G116" s="118"/>
      <c r="H116" s="118"/>
      <c r="I116" s="118"/>
      <c r="J116" s="243"/>
      <c r="K116" s="119"/>
      <c r="L116" s="119"/>
      <c r="M116" s="119"/>
      <c r="N116" s="119"/>
      <c r="O116" s="120"/>
      <c r="P116" s="120"/>
      <c r="Q116" s="120"/>
      <c r="R116" s="120"/>
      <c r="U116" s="1" t="str">
        <f t="shared" si="10"/>
        <v/>
      </c>
    </row>
    <row r="117" spans="5:21" x14ac:dyDescent="0.3">
      <c r="E117" t="str">
        <f t="shared" si="9"/>
        <v/>
      </c>
      <c r="G117" s="118"/>
      <c r="H117" s="118"/>
      <c r="I117" s="118"/>
      <c r="J117" s="243"/>
      <c r="K117" s="119"/>
      <c r="L117" s="119"/>
      <c r="M117" s="119"/>
      <c r="N117" s="119"/>
      <c r="O117" s="120"/>
      <c r="P117" s="120"/>
      <c r="Q117" s="120"/>
      <c r="R117" s="120"/>
      <c r="U117" s="1" t="str">
        <f t="shared" si="10"/>
        <v/>
      </c>
    </row>
    <row r="118" spans="5:21" x14ac:dyDescent="0.3">
      <c r="E118" t="str">
        <f t="shared" si="9"/>
        <v/>
      </c>
      <c r="G118" s="118"/>
      <c r="H118" s="118"/>
      <c r="I118" s="118"/>
      <c r="J118" s="243"/>
      <c r="K118" s="119"/>
      <c r="L118" s="119"/>
      <c r="M118" s="119"/>
      <c r="N118" s="119"/>
      <c r="O118" s="120"/>
      <c r="P118" s="120"/>
      <c r="Q118" s="120"/>
      <c r="R118" s="120"/>
      <c r="U118" s="1" t="str">
        <f t="shared" si="10"/>
        <v/>
      </c>
    </row>
    <row r="119" spans="5:21" x14ac:dyDescent="0.3">
      <c r="E119" t="str">
        <f t="shared" si="9"/>
        <v/>
      </c>
      <c r="G119" s="118"/>
      <c r="H119" s="118"/>
      <c r="I119" s="118"/>
      <c r="J119" s="243"/>
      <c r="K119" s="119"/>
      <c r="L119" s="119"/>
      <c r="M119" s="119"/>
      <c r="N119" s="119"/>
      <c r="O119" s="120"/>
      <c r="P119" s="120"/>
      <c r="Q119" s="120"/>
      <c r="R119" s="120"/>
      <c r="U119" s="1" t="str">
        <f t="shared" si="10"/>
        <v/>
      </c>
    </row>
    <row r="120" spans="5:21" x14ac:dyDescent="0.3">
      <c r="E120" t="str">
        <f t="shared" si="9"/>
        <v/>
      </c>
      <c r="G120" s="118"/>
      <c r="H120" s="118"/>
      <c r="I120" s="118"/>
      <c r="J120" s="243"/>
      <c r="K120" s="119"/>
      <c r="L120" s="119"/>
      <c r="M120" s="119"/>
      <c r="N120" s="119"/>
      <c r="O120" s="120"/>
      <c r="P120" s="120"/>
      <c r="Q120" s="120"/>
      <c r="R120" s="120"/>
      <c r="U120" s="1" t="str">
        <f t="shared" si="10"/>
        <v/>
      </c>
    </row>
    <row r="121" spans="5:21" x14ac:dyDescent="0.3">
      <c r="E121" t="str">
        <f t="shared" si="9"/>
        <v/>
      </c>
      <c r="G121" s="118"/>
      <c r="H121" s="118"/>
      <c r="I121" s="118"/>
      <c r="J121" s="243"/>
      <c r="K121" s="119"/>
      <c r="L121" s="119"/>
      <c r="M121" s="119"/>
      <c r="N121" s="119"/>
      <c r="O121" s="120"/>
      <c r="P121" s="120"/>
      <c r="Q121" s="120"/>
      <c r="R121" s="120"/>
      <c r="U121" s="1" t="str">
        <f t="shared" si="10"/>
        <v/>
      </c>
    </row>
    <row r="122" spans="5:21" x14ac:dyDescent="0.3">
      <c r="E122" t="str">
        <f t="shared" si="9"/>
        <v/>
      </c>
      <c r="G122" s="118"/>
      <c r="H122" s="118"/>
      <c r="I122" s="118"/>
      <c r="J122" s="243"/>
      <c r="K122" s="119"/>
      <c r="L122" s="119"/>
      <c r="M122" s="119"/>
      <c r="N122" s="119"/>
      <c r="O122" s="120"/>
      <c r="P122" s="120"/>
      <c r="Q122" s="120"/>
      <c r="R122" s="120"/>
      <c r="U122" s="1" t="str">
        <f t="shared" si="10"/>
        <v/>
      </c>
    </row>
    <row r="123" spans="5:21" x14ac:dyDescent="0.3">
      <c r="E123" t="str">
        <f t="shared" si="9"/>
        <v/>
      </c>
      <c r="G123" s="118"/>
      <c r="H123" s="118"/>
      <c r="I123" s="118"/>
      <c r="J123" s="243"/>
      <c r="K123" s="119"/>
      <c r="L123" s="119"/>
      <c r="M123" s="119"/>
      <c r="N123" s="119"/>
      <c r="O123" s="120"/>
      <c r="P123" s="120"/>
      <c r="Q123" s="120"/>
      <c r="R123" s="120"/>
      <c r="U123" s="1" t="str">
        <f t="shared" si="10"/>
        <v/>
      </c>
    </row>
    <row r="124" spans="5:21" x14ac:dyDescent="0.3">
      <c r="E124" t="str">
        <f t="shared" si="9"/>
        <v/>
      </c>
      <c r="G124" s="118"/>
      <c r="H124" s="118"/>
      <c r="I124" s="118"/>
      <c r="J124" s="243"/>
      <c r="K124" s="119"/>
      <c r="L124" s="119"/>
      <c r="M124" s="119"/>
      <c r="N124" s="119"/>
      <c r="O124" s="120"/>
      <c r="P124" s="120"/>
      <c r="Q124" s="120"/>
      <c r="R124" s="120"/>
      <c r="U124" s="1" t="str">
        <f t="shared" si="10"/>
        <v/>
      </c>
    </row>
    <row r="125" spans="5:21" x14ac:dyDescent="0.3">
      <c r="E125" t="str">
        <f t="shared" si="9"/>
        <v/>
      </c>
      <c r="G125" s="118"/>
      <c r="H125" s="118"/>
      <c r="I125" s="118"/>
      <c r="J125" s="243"/>
      <c r="K125" s="119"/>
      <c r="L125" s="119"/>
      <c r="M125" s="119"/>
      <c r="N125" s="119"/>
      <c r="O125" s="120"/>
      <c r="P125" s="120"/>
      <c r="Q125" s="120"/>
      <c r="R125" s="120"/>
      <c r="U125" s="1" t="str">
        <f t="shared" si="10"/>
        <v/>
      </c>
    </row>
    <row r="126" spans="5:21" x14ac:dyDescent="0.3">
      <c r="E126" t="str">
        <f t="shared" si="9"/>
        <v/>
      </c>
      <c r="G126" s="118"/>
      <c r="H126" s="118"/>
      <c r="I126" s="118"/>
      <c r="J126" s="243"/>
      <c r="K126" s="119"/>
      <c r="L126" s="119"/>
      <c r="M126" s="119"/>
      <c r="N126" s="119"/>
      <c r="O126" s="120"/>
      <c r="P126" s="120"/>
      <c r="Q126" s="120"/>
      <c r="R126" s="120"/>
      <c r="U126" s="1" t="str">
        <f t="shared" si="10"/>
        <v/>
      </c>
    </row>
    <row r="127" spans="5:21" x14ac:dyDescent="0.3">
      <c r="E127" t="str">
        <f t="shared" si="9"/>
        <v/>
      </c>
      <c r="G127" s="118"/>
      <c r="H127" s="118"/>
      <c r="I127" s="118"/>
      <c r="J127" s="243"/>
      <c r="K127" s="119"/>
      <c r="L127" s="119"/>
      <c r="M127" s="119"/>
      <c r="N127" s="119"/>
      <c r="O127" s="120"/>
      <c r="P127" s="120"/>
      <c r="Q127" s="120"/>
      <c r="R127" s="120"/>
      <c r="U127" s="1" t="str">
        <f t="shared" si="10"/>
        <v/>
      </c>
    </row>
    <row r="128" spans="5:21" x14ac:dyDescent="0.3">
      <c r="E128" t="str">
        <f t="shared" si="9"/>
        <v/>
      </c>
      <c r="G128" s="118"/>
      <c r="H128" s="118"/>
      <c r="I128" s="118"/>
      <c r="J128" s="243"/>
      <c r="K128" s="119"/>
      <c r="L128" s="119"/>
      <c r="M128" s="119"/>
      <c r="N128" s="119"/>
      <c r="O128" s="120"/>
      <c r="P128" s="120"/>
      <c r="Q128" s="120"/>
      <c r="R128" s="120"/>
      <c r="U128" s="1" t="str">
        <f t="shared" si="10"/>
        <v/>
      </c>
    </row>
    <row r="129" spans="5:21" x14ac:dyDescent="0.3">
      <c r="E129" t="str">
        <f t="shared" si="9"/>
        <v/>
      </c>
      <c r="G129" s="118"/>
      <c r="H129" s="118"/>
      <c r="I129" s="118"/>
      <c r="J129" s="243"/>
      <c r="K129" s="119"/>
      <c r="L129" s="119"/>
      <c r="M129" s="119"/>
      <c r="N129" s="119"/>
      <c r="O129" s="120"/>
      <c r="P129" s="120"/>
      <c r="Q129" s="120"/>
      <c r="R129" s="120"/>
      <c r="U129" s="1" t="str">
        <f t="shared" si="10"/>
        <v/>
      </c>
    </row>
    <row r="130" spans="5:21" x14ac:dyDescent="0.3">
      <c r="E130" t="str">
        <f t="shared" si="9"/>
        <v/>
      </c>
      <c r="G130" s="118"/>
      <c r="H130" s="118"/>
      <c r="I130" s="118"/>
      <c r="J130" s="243"/>
      <c r="K130" s="119"/>
      <c r="L130" s="119"/>
      <c r="M130" s="119"/>
      <c r="N130" s="119"/>
      <c r="O130" s="120"/>
      <c r="P130" s="120"/>
      <c r="Q130" s="120"/>
      <c r="R130" s="120"/>
      <c r="U130" s="1" t="str">
        <f t="shared" ref="U130:U161" si="11">IF(H130&lt;&gt;"",T130&amp;"-"&amp;I130,"")</f>
        <v/>
      </c>
    </row>
    <row r="131" spans="5:21" x14ac:dyDescent="0.3">
      <c r="E131" t="str">
        <f t="shared" ref="E131:E194" si="12">IF(C131&lt;&gt;"",C131&amp;" "&amp;D131,"")</f>
        <v/>
      </c>
      <c r="G131" s="118"/>
      <c r="H131" s="118"/>
      <c r="I131" s="118"/>
      <c r="J131" s="243"/>
      <c r="K131" s="119"/>
      <c r="L131" s="119"/>
      <c r="M131" s="119"/>
      <c r="N131" s="119"/>
      <c r="O131" s="120"/>
      <c r="P131" s="120"/>
      <c r="Q131" s="120"/>
      <c r="R131" s="120"/>
      <c r="U131" s="1" t="str">
        <f t="shared" si="11"/>
        <v/>
      </c>
    </row>
    <row r="132" spans="5:21" x14ac:dyDescent="0.3">
      <c r="E132" t="str">
        <f t="shared" si="12"/>
        <v/>
      </c>
      <c r="G132" s="118"/>
      <c r="H132" s="118"/>
      <c r="I132" s="118"/>
      <c r="J132" s="243"/>
      <c r="K132" s="119"/>
      <c r="L132" s="119"/>
      <c r="M132" s="119"/>
      <c r="N132" s="119"/>
      <c r="O132" s="120"/>
      <c r="P132" s="120"/>
      <c r="Q132" s="120"/>
      <c r="R132" s="120"/>
      <c r="U132" s="1" t="str">
        <f t="shared" si="11"/>
        <v/>
      </c>
    </row>
    <row r="133" spans="5:21" x14ac:dyDescent="0.3">
      <c r="E133" t="str">
        <f t="shared" si="12"/>
        <v/>
      </c>
      <c r="G133" s="118"/>
      <c r="H133" s="118"/>
      <c r="I133" s="118"/>
      <c r="J133" s="243"/>
      <c r="K133" s="119"/>
      <c r="L133" s="119"/>
      <c r="M133" s="119"/>
      <c r="N133" s="119"/>
      <c r="O133" s="120"/>
      <c r="P133" s="120"/>
      <c r="Q133" s="120"/>
      <c r="R133" s="120"/>
      <c r="U133" s="1" t="str">
        <f t="shared" si="11"/>
        <v/>
      </c>
    </row>
    <row r="134" spans="5:21" x14ac:dyDescent="0.3">
      <c r="E134" t="str">
        <f t="shared" si="12"/>
        <v/>
      </c>
      <c r="G134" s="118"/>
      <c r="H134" s="118"/>
      <c r="I134" s="118"/>
      <c r="J134" s="243"/>
      <c r="K134" s="119"/>
      <c r="L134" s="119"/>
      <c r="M134" s="119"/>
      <c r="N134" s="119"/>
      <c r="O134" s="120"/>
      <c r="P134" s="120"/>
      <c r="Q134" s="120"/>
      <c r="R134" s="120"/>
      <c r="U134" s="1" t="str">
        <f t="shared" si="11"/>
        <v/>
      </c>
    </row>
    <row r="135" spans="5:21" x14ac:dyDescent="0.3">
      <c r="E135" t="str">
        <f t="shared" si="12"/>
        <v/>
      </c>
      <c r="G135" s="118"/>
      <c r="H135" s="118"/>
      <c r="I135" s="118"/>
      <c r="J135" s="243"/>
      <c r="K135" s="119"/>
      <c r="L135" s="119"/>
      <c r="M135" s="119"/>
      <c r="N135" s="119"/>
      <c r="O135" s="120"/>
      <c r="P135" s="120"/>
      <c r="Q135" s="120"/>
      <c r="R135" s="120"/>
      <c r="U135" s="1" t="str">
        <f t="shared" si="11"/>
        <v/>
      </c>
    </row>
    <row r="136" spans="5:21" x14ac:dyDescent="0.3">
      <c r="E136" t="str">
        <f t="shared" si="12"/>
        <v/>
      </c>
      <c r="G136" s="118"/>
      <c r="H136" s="118"/>
      <c r="I136" s="118"/>
      <c r="J136" s="243"/>
      <c r="K136" s="119"/>
      <c r="L136" s="119"/>
      <c r="M136" s="119"/>
      <c r="N136" s="119"/>
      <c r="O136" s="120"/>
      <c r="P136" s="120"/>
      <c r="Q136" s="120"/>
      <c r="R136" s="120"/>
      <c r="U136" s="1" t="str">
        <f t="shared" si="11"/>
        <v/>
      </c>
    </row>
    <row r="137" spans="5:21" x14ac:dyDescent="0.3">
      <c r="E137" t="str">
        <f t="shared" si="12"/>
        <v/>
      </c>
      <c r="G137" s="118"/>
      <c r="H137" s="118"/>
      <c r="I137" s="118"/>
      <c r="J137" s="243"/>
      <c r="K137" s="119"/>
      <c r="L137" s="119"/>
      <c r="M137" s="119"/>
      <c r="N137" s="119"/>
      <c r="O137" s="120"/>
      <c r="P137" s="120"/>
      <c r="Q137" s="120"/>
      <c r="R137" s="120"/>
      <c r="U137" s="1" t="str">
        <f t="shared" si="11"/>
        <v/>
      </c>
    </row>
    <row r="138" spans="5:21" x14ac:dyDescent="0.3">
      <c r="E138" t="str">
        <f t="shared" si="12"/>
        <v/>
      </c>
      <c r="G138" s="118"/>
      <c r="H138" s="118"/>
      <c r="I138" s="118"/>
      <c r="J138" s="243"/>
      <c r="K138" s="119"/>
      <c r="L138" s="119"/>
      <c r="M138" s="119"/>
      <c r="N138" s="119"/>
      <c r="O138" s="120"/>
      <c r="P138" s="120"/>
      <c r="Q138" s="120"/>
      <c r="R138" s="120"/>
      <c r="U138" s="1" t="str">
        <f t="shared" si="11"/>
        <v/>
      </c>
    </row>
    <row r="139" spans="5:21" x14ac:dyDescent="0.3">
      <c r="E139" t="str">
        <f t="shared" si="12"/>
        <v/>
      </c>
      <c r="G139" s="118"/>
      <c r="H139" s="118"/>
      <c r="I139" s="118"/>
      <c r="J139" s="243"/>
      <c r="K139" s="119"/>
      <c r="L139" s="119"/>
      <c r="M139" s="119"/>
      <c r="N139" s="119"/>
      <c r="O139" s="120"/>
      <c r="P139" s="120"/>
      <c r="Q139" s="120"/>
      <c r="R139" s="120"/>
      <c r="U139" s="1" t="str">
        <f t="shared" si="11"/>
        <v/>
      </c>
    </row>
    <row r="140" spans="5:21" x14ac:dyDescent="0.3">
      <c r="E140" t="str">
        <f t="shared" si="12"/>
        <v/>
      </c>
      <c r="G140" s="118"/>
      <c r="H140" s="118"/>
      <c r="I140" s="118"/>
      <c r="J140" s="243"/>
      <c r="K140" s="119"/>
      <c r="L140" s="119"/>
      <c r="M140" s="119"/>
      <c r="N140" s="119"/>
      <c r="O140" s="120"/>
      <c r="P140" s="120"/>
      <c r="Q140" s="120"/>
      <c r="R140" s="120"/>
      <c r="U140" s="1" t="str">
        <f t="shared" si="11"/>
        <v/>
      </c>
    </row>
    <row r="141" spans="5:21" x14ac:dyDescent="0.3">
      <c r="E141" t="str">
        <f t="shared" si="12"/>
        <v/>
      </c>
      <c r="G141" s="118"/>
      <c r="H141" s="118"/>
      <c r="I141" s="118"/>
      <c r="J141" s="243"/>
      <c r="K141" s="119"/>
      <c r="L141" s="119"/>
      <c r="M141" s="119"/>
      <c r="N141" s="119"/>
      <c r="O141" s="120"/>
      <c r="P141" s="120"/>
      <c r="Q141" s="120"/>
      <c r="R141" s="120"/>
      <c r="U141" s="1" t="str">
        <f t="shared" si="11"/>
        <v/>
      </c>
    </row>
    <row r="142" spans="5:21" x14ac:dyDescent="0.3">
      <c r="E142" t="str">
        <f t="shared" si="12"/>
        <v/>
      </c>
      <c r="G142" s="118"/>
      <c r="H142" s="118"/>
      <c r="I142" s="118"/>
      <c r="J142" s="243"/>
      <c r="K142" s="119"/>
      <c r="L142" s="119"/>
      <c r="M142" s="119"/>
      <c r="N142" s="119"/>
      <c r="O142" s="120"/>
      <c r="P142" s="120"/>
      <c r="Q142" s="120"/>
      <c r="R142" s="120"/>
      <c r="U142" s="1" t="str">
        <f t="shared" si="11"/>
        <v/>
      </c>
    </row>
    <row r="143" spans="5:21" x14ac:dyDescent="0.3">
      <c r="E143" t="str">
        <f t="shared" si="12"/>
        <v/>
      </c>
      <c r="G143" s="118"/>
      <c r="H143" s="118"/>
      <c r="I143" s="118"/>
      <c r="J143" s="243"/>
      <c r="K143" s="119"/>
      <c r="L143" s="119"/>
      <c r="M143" s="119"/>
      <c r="N143" s="119"/>
      <c r="O143" s="120"/>
      <c r="P143" s="120"/>
      <c r="Q143" s="120"/>
      <c r="R143" s="120"/>
      <c r="U143" s="1" t="str">
        <f t="shared" si="11"/>
        <v/>
      </c>
    </row>
    <row r="144" spans="5:21" x14ac:dyDescent="0.3">
      <c r="E144" t="str">
        <f t="shared" si="12"/>
        <v/>
      </c>
      <c r="G144" s="118"/>
      <c r="H144" s="118"/>
      <c r="I144" s="118"/>
      <c r="J144" s="243"/>
      <c r="K144" s="119"/>
      <c r="L144" s="119"/>
      <c r="M144" s="119"/>
      <c r="N144" s="119"/>
      <c r="O144" s="120"/>
      <c r="P144" s="120"/>
      <c r="Q144" s="120"/>
      <c r="R144" s="120"/>
      <c r="U144" s="1" t="str">
        <f t="shared" si="11"/>
        <v/>
      </c>
    </row>
    <row r="145" spans="5:21" x14ac:dyDescent="0.3">
      <c r="E145" t="str">
        <f t="shared" si="12"/>
        <v/>
      </c>
      <c r="G145" s="118"/>
      <c r="H145" s="118"/>
      <c r="I145" s="118"/>
      <c r="J145" s="243"/>
      <c r="K145" s="119"/>
      <c r="L145" s="119"/>
      <c r="M145" s="119"/>
      <c r="N145" s="119"/>
      <c r="O145" s="120"/>
      <c r="P145" s="120"/>
      <c r="Q145" s="120"/>
      <c r="R145" s="120"/>
      <c r="U145" s="1" t="str">
        <f t="shared" si="11"/>
        <v/>
      </c>
    </row>
    <row r="146" spans="5:21" x14ac:dyDescent="0.3">
      <c r="E146" t="str">
        <f t="shared" si="12"/>
        <v/>
      </c>
      <c r="G146" s="118"/>
      <c r="H146" s="118"/>
      <c r="I146" s="118"/>
      <c r="J146" s="243"/>
      <c r="K146" s="119"/>
      <c r="L146" s="119"/>
      <c r="M146" s="119"/>
      <c r="N146" s="119"/>
      <c r="O146" s="120"/>
      <c r="P146" s="120"/>
      <c r="Q146" s="120"/>
      <c r="R146" s="120"/>
      <c r="U146" s="1" t="str">
        <f t="shared" si="11"/>
        <v/>
      </c>
    </row>
    <row r="147" spans="5:21" x14ac:dyDescent="0.3">
      <c r="E147" t="str">
        <f t="shared" si="12"/>
        <v/>
      </c>
      <c r="G147" s="118"/>
      <c r="H147" s="118"/>
      <c r="I147" s="118"/>
      <c r="J147" s="243"/>
      <c r="K147" s="119"/>
      <c r="L147" s="119"/>
      <c r="M147" s="119"/>
      <c r="N147" s="119"/>
      <c r="O147" s="120"/>
      <c r="P147" s="120"/>
      <c r="Q147" s="120"/>
      <c r="R147" s="120"/>
      <c r="U147" s="1" t="str">
        <f t="shared" si="11"/>
        <v/>
      </c>
    </row>
    <row r="148" spans="5:21" x14ac:dyDescent="0.3">
      <c r="E148" t="str">
        <f t="shared" si="12"/>
        <v/>
      </c>
      <c r="G148" s="118"/>
      <c r="H148" s="118"/>
      <c r="I148" s="118"/>
      <c r="J148" s="243"/>
      <c r="K148" s="119"/>
      <c r="L148" s="119"/>
      <c r="M148" s="119"/>
      <c r="N148" s="119"/>
      <c r="O148" s="120"/>
      <c r="P148" s="120"/>
      <c r="Q148" s="120"/>
      <c r="R148" s="120"/>
      <c r="U148" s="1" t="str">
        <f t="shared" si="11"/>
        <v/>
      </c>
    </row>
    <row r="149" spans="5:21" x14ac:dyDescent="0.3">
      <c r="E149" t="str">
        <f t="shared" si="12"/>
        <v/>
      </c>
      <c r="G149" s="118"/>
      <c r="H149" s="118"/>
      <c r="I149" s="118"/>
      <c r="J149" s="243"/>
      <c r="K149" s="119"/>
      <c r="L149" s="119"/>
      <c r="M149" s="119"/>
      <c r="N149" s="119"/>
      <c r="O149" s="120"/>
      <c r="P149" s="120"/>
      <c r="Q149" s="120"/>
      <c r="R149" s="120"/>
      <c r="U149" s="1" t="str">
        <f t="shared" si="11"/>
        <v/>
      </c>
    </row>
    <row r="150" spans="5:21" x14ac:dyDescent="0.3">
      <c r="E150" t="str">
        <f t="shared" si="12"/>
        <v/>
      </c>
      <c r="G150" s="118"/>
      <c r="H150" s="118"/>
      <c r="I150" s="118"/>
      <c r="J150" s="243"/>
      <c r="K150" s="119"/>
      <c r="L150" s="119"/>
      <c r="M150" s="119"/>
      <c r="N150" s="119"/>
      <c r="O150" s="120"/>
      <c r="P150" s="120"/>
      <c r="Q150" s="120"/>
      <c r="R150" s="120"/>
      <c r="U150" s="1" t="str">
        <f t="shared" si="11"/>
        <v/>
      </c>
    </row>
    <row r="151" spans="5:21" x14ac:dyDescent="0.3">
      <c r="E151" t="str">
        <f t="shared" si="12"/>
        <v/>
      </c>
      <c r="G151" s="118"/>
      <c r="H151" s="118"/>
      <c r="I151" s="118"/>
      <c r="J151" s="243"/>
      <c r="K151" s="119"/>
      <c r="L151" s="119"/>
      <c r="M151" s="119"/>
      <c r="N151" s="119"/>
      <c r="O151" s="120"/>
      <c r="P151" s="120"/>
      <c r="Q151" s="120"/>
      <c r="R151" s="120"/>
      <c r="U151" s="1" t="str">
        <f t="shared" si="11"/>
        <v/>
      </c>
    </row>
    <row r="152" spans="5:21" x14ac:dyDescent="0.3">
      <c r="E152" t="str">
        <f t="shared" si="12"/>
        <v/>
      </c>
      <c r="G152" s="118"/>
      <c r="H152" s="118"/>
      <c r="I152" s="118"/>
      <c r="J152" s="243"/>
      <c r="K152" s="119"/>
      <c r="L152" s="119"/>
      <c r="M152" s="119"/>
      <c r="N152" s="119"/>
      <c r="O152" s="120"/>
      <c r="P152" s="120"/>
      <c r="Q152" s="120"/>
      <c r="R152" s="120"/>
      <c r="U152" s="1" t="str">
        <f t="shared" si="11"/>
        <v/>
      </c>
    </row>
    <row r="153" spans="5:21" x14ac:dyDescent="0.3">
      <c r="E153" t="str">
        <f t="shared" si="12"/>
        <v/>
      </c>
      <c r="G153" s="118"/>
      <c r="H153" s="118"/>
      <c r="I153" s="118"/>
      <c r="J153" s="243"/>
      <c r="K153" s="119"/>
      <c r="L153" s="119"/>
      <c r="M153" s="119"/>
      <c r="N153" s="119"/>
      <c r="O153" s="120"/>
      <c r="P153" s="120"/>
      <c r="Q153" s="120"/>
      <c r="R153" s="120"/>
      <c r="U153" s="1" t="str">
        <f t="shared" si="11"/>
        <v/>
      </c>
    </row>
    <row r="154" spans="5:21" x14ac:dyDescent="0.3">
      <c r="E154" t="str">
        <f t="shared" si="12"/>
        <v/>
      </c>
      <c r="G154" s="118"/>
      <c r="H154" s="118"/>
      <c r="I154" s="118"/>
      <c r="J154" s="243"/>
      <c r="K154" s="119"/>
      <c r="L154" s="119"/>
      <c r="M154" s="119"/>
      <c r="N154" s="119"/>
      <c r="O154" s="120"/>
      <c r="P154" s="120"/>
      <c r="Q154" s="120"/>
      <c r="R154" s="120"/>
      <c r="U154" s="1" t="str">
        <f t="shared" si="11"/>
        <v/>
      </c>
    </row>
    <row r="155" spans="5:21" x14ac:dyDescent="0.3">
      <c r="E155" t="str">
        <f t="shared" si="12"/>
        <v/>
      </c>
      <c r="G155" s="118"/>
      <c r="H155" s="118"/>
      <c r="I155" s="118"/>
      <c r="J155" s="243"/>
      <c r="K155" s="119"/>
      <c r="L155" s="119"/>
      <c r="M155" s="119"/>
      <c r="N155" s="119"/>
      <c r="O155" s="120"/>
      <c r="P155" s="120"/>
      <c r="Q155" s="120"/>
      <c r="R155" s="120"/>
      <c r="U155" s="1" t="str">
        <f t="shared" si="11"/>
        <v/>
      </c>
    </row>
    <row r="156" spans="5:21" x14ac:dyDescent="0.3">
      <c r="E156" t="str">
        <f t="shared" si="12"/>
        <v/>
      </c>
      <c r="G156" s="118"/>
      <c r="H156" s="118"/>
      <c r="I156" s="118"/>
      <c r="J156" s="243"/>
      <c r="K156" s="119"/>
      <c r="L156" s="119"/>
      <c r="M156" s="119"/>
      <c r="N156" s="119"/>
      <c r="O156" s="120"/>
      <c r="P156" s="120"/>
      <c r="Q156" s="120"/>
      <c r="R156" s="120"/>
      <c r="U156" s="1" t="str">
        <f t="shared" si="11"/>
        <v/>
      </c>
    </row>
    <row r="157" spans="5:21" x14ac:dyDescent="0.3">
      <c r="E157" t="str">
        <f t="shared" si="12"/>
        <v/>
      </c>
      <c r="G157" s="118"/>
      <c r="H157" s="118"/>
      <c r="I157" s="118"/>
      <c r="J157" s="243"/>
      <c r="K157" s="119"/>
      <c r="L157" s="119"/>
      <c r="M157" s="119"/>
      <c r="N157" s="119"/>
      <c r="O157" s="120"/>
      <c r="P157" s="120"/>
      <c r="Q157" s="120"/>
      <c r="R157" s="120"/>
      <c r="U157" s="1" t="str">
        <f t="shared" si="11"/>
        <v/>
      </c>
    </row>
    <row r="158" spans="5:21" x14ac:dyDescent="0.3">
      <c r="E158" t="str">
        <f t="shared" si="12"/>
        <v/>
      </c>
      <c r="G158" s="118"/>
      <c r="H158" s="118"/>
      <c r="I158" s="118"/>
      <c r="J158" s="243"/>
      <c r="K158" s="119"/>
      <c r="L158" s="119"/>
      <c r="M158" s="119"/>
      <c r="N158" s="119"/>
      <c r="O158" s="120"/>
      <c r="P158" s="120"/>
      <c r="Q158" s="120"/>
      <c r="R158" s="120"/>
      <c r="U158" s="1" t="str">
        <f t="shared" si="11"/>
        <v/>
      </c>
    </row>
    <row r="159" spans="5:21" x14ac:dyDescent="0.3">
      <c r="E159" t="str">
        <f t="shared" si="12"/>
        <v/>
      </c>
      <c r="G159" s="118"/>
      <c r="H159" s="118"/>
      <c r="I159" s="118"/>
      <c r="J159" s="243"/>
      <c r="K159" s="119"/>
      <c r="L159" s="119"/>
      <c r="M159" s="119"/>
      <c r="N159" s="119"/>
      <c r="O159" s="120"/>
      <c r="P159" s="120"/>
      <c r="Q159" s="120"/>
      <c r="R159" s="120"/>
      <c r="U159" s="1" t="str">
        <f t="shared" si="11"/>
        <v/>
      </c>
    </row>
    <row r="160" spans="5:21" x14ac:dyDescent="0.3">
      <c r="E160" t="str">
        <f t="shared" si="12"/>
        <v/>
      </c>
      <c r="G160" s="118"/>
      <c r="H160" s="118"/>
      <c r="I160" s="118"/>
      <c r="J160" s="243"/>
      <c r="K160" s="119"/>
      <c r="L160" s="119"/>
      <c r="M160" s="119"/>
      <c r="N160" s="119"/>
      <c r="O160" s="120"/>
      <c r="P160" s="120"/>
      <c r="Q160" s="120"/>
      <c r="R160" s="120"/>
      <c r="U160" s="1" t="str">
        <f t="shared" si="11"/>
        <v/>
      </c>
    </row>
    <row r="161" spans="5:21" x14ac:dyDescent="0.3">
      <c r="E161" t="str">
        <f t="shared" si="12"/>
        <v/>
      </c>
      <c r="G161" s="118"/>
      <c r="H161" s="118"/>
      <c r="I161" s="118"/>
      <c r="J161" s="243"/>
      <c r="K161" s="119"/>
      <c r="L161" s="119"/>
      <c r="M161" s="119"/>
      <c r="N161" s="119"/>
      <c r="O161" s="120"/>
      <c r="P161" s="120"/>
      <c r="Q161" s="120"/>
      <c r="R161" s="120"/>
      <c r="U161" s="1" t="str">
        <f t="shared" si="11"/>
        <v/>
      </c>
    </row>
    <row r="162" spans="5:21" x14ac:dyDescent="0.3">
      <c r="E162" t="str">
        <f t="shared" si="12"/>
        <v/>
      </c>
      <c r="G162" s="118"/>
      <c r="H162" s="118"/>
      <c r="I162" s="118"/>
      <c r="J162" s="243"/>
      <c r="K162" s="119"/>
      <c r="L162" s="119"/>
      <c r="M162" s="119"/>
      <c r="N162" s="119"/>
      <c r="O162" s="120"/>
      <c r="P162" s="120"/>
      <c r="Q162" s="120"/>
      <c r="R162" s="120"/>
      <c r="U162" s="1" t="str">
        <f t="shared" ref="U162:U193" si="13">IF(H162&lt;&gt;"",T162&amp;"-"&amp;I162,"")</f>
        <v/>
      </c>
    </row>
    <row r="163" spans="5:21" x14ac:dyDescent="0.3">
      <c r="E163" t="str">
        <f t="shared" si="12"/>
        <v/>
      </c>
      <c r="G163" s="118"/>
      <c r="H163" s="118"/>
      <c r="I163" s="118"/>
      <c r="J163" s="243"/>
      <c r="K163" s="119"/>
      <c r="L163" s="119"/>
      <c r="M163" s="119"/>
      <c r="N163" s="119"/>
      <c r="O163" s="120"/>
      <c r="P163" s="120"/>
      <c r="Q163" s="120"/>
      <c r="R163" s="120"/>
      <c r="U163" s="1" t="str">
        <f t="shared" si="13"/>
        <v/>
      </c>
    </row>
    <row r="164" spans="5:21" x14ac:dyDescent="0.3">
      <c r="E164" t="str">
        <f t="shared" si="12"/>
        <v/>
      </c>
      <c r="G164" s="118"/>
      <c r="H164" s="118"/>
      <c r="I164" s="118"/>
      <c r="J164" s="243"/>
      <c r="K164" s="119"/>
      <c r="L164" s="119"/>
      <c r="M164" s="119"/>
      <c r="N164" s="119"/>
      <c r="O164" s="120"/>
      <c r="P164" s="120"/>
      <c r="Q164" s="120"/>
      <c r="R164" s="120"/>
      <c r="U164" s="1" t="str">
        <f t="shared" si="13"/>
        <v/>
      </c>
    </row>
    <row r="165" spans="5:21" x14ac:dyDescent="0.3">
      <c r="E165" t="str">
        <f t="shared" si="12"/>
        <v/>
      </c>
      <c r="G165" s="118"/>
      <c r="H165" s="118"/>
      <c r="I165" s="118"/>
      <c r="J165" s="243"/>
      <c r="K165" s="119"/>
      <c r="L165" s="119"/>
      <c r="M165" s="119"/>
      <c r="N165" s="119"/>
      <c r="O165" s="120"/>
      <c r="P165" s="120"/>
      <c r="Q165" s="120"/>
      <c r="R165" s="120"/>
      <c r="U165" s="1" t="str">
        <f t="shared" si="13"/>
        <v/>
      </c>
    </row>
    <row r="166" spans="5:21" x14ac:dyDescent="0.3">
      <c r="E166" t="str">
        <f t="shared" si="12"/>
        <v/>
      </c>
      <c r="G166" s="118"/>
      <c r="H166" s="118"/>
      <c r="I166" s="118"/>
      <c r="J166" s="243"/>
      <c r="K166" s="119"/>
      <c r="L166" s="119"/>
      <c r="M166" s="119"/>
      <c r="N166" s="119"/>
      <c r="O166" s="120"/>
      <c r="P166" s="120"/>
      <c r="Q166" s="120"/>
      <c r="R166" s="120"/>
      <c r="U166" s="1" t="str">
        <f t="shared" si="13"/>
        <v/>
      </c>
    </row>
    <row r="167" spans="5:21" x14ac:dyDescent="0.3">
      <c r="E167" t="str">
        <f t="shared" si="12"/>
        <v/>
      </c>
      <c r="G167" s="118"/>
      <c r="H167" s="118"/>
      <c r="I167" s="118"/>
      <c r="J167" s="243"/>
      <c r="K167" s="119"/>
      <c r="L167" s="119"/>
      <c r="M167" s="119"/>
      <c r="N167" s="119"/>
      <c r="O167" s="120"/>
      <c r="P167" s="120"/>
      <c r="Q167" s="120"/>
      <c r="R167" s="120"/>
      <c r="U167" s="1" t="str">
        <f t="shared" si="13"/>
        <v/>
      </c>
    </row>
    <row r="168" spans="5:21" x14ac:dyDescent="0.3">
      <c r="E168" t="str">
        <f t="shared" si="12"/>
        <v/>
      </c>
      <c r="G168" s="118"/>
      <c r="H168" s="118"/>
      <c r="I168" s="118"/>
      <c r="J168" s="243"/>
      <c r="K168" s="119"/>
      <c r="L168" s="119"/>
      <c r="M168" s="119"/>
      <c r="N168" s="119"/>
      <c r="O168" s="120"/>
      <c r="P168" s="120"/>
      <c r="Q168" s="120"/>
      <c r="R168" s="120"/>
      <c r="U168" s="1" t="str">
        <f t="shared" si="13"/>
        <v/>
      </c>
    </row>
    <row r="169" spans="5:21" x14ac:dyDescent="0.3">
      <c r="E169" t="str">
        <f t="shared" si="12"/>
        <v/>
      </c>
      <c r="G169" s="118"/>
      <c r="H169" s="118"/>
      <c r="I169" s="118"/>
      <c r="J169" s="243"/>
      <c r="K169" s="119"/>
      <c r="L169" s="119"/>
      <c r="M169" s="119"/>
      <c r="N169" s="119"/>
      <c r="O169" s="120"/>
      <c r="P169" s="120"/>
      <c r="Q169" s="120"/>
      <c r="R169" s="120"/>
      <c r="U169" s="1" t="str">
        <f t="shared" si="13"/>
        <v/>
      </c>
    </row>
    <row r="170" spans="5:21" x14ac:dyDescent="0.3">
      <c r="E170" t="str">
        <f t="shared" si="12"/>
        <v/>
      </c>
      <c r="G170" s="118"/>
      <c r="H170" s="118"/>
      <c r="I170" s="118"/>
      <c r="J170" s="243"/>
      <c r="K170" s="119"/>
      <c r="L170" s="119"/>
      <c r="M170" s="119"/>
      <c r="N170" s="119"/>
      <c r="O170" s="120"/>
      <c r="P170" s="120"/>
      <c r="Q170" s="120"/>
      <c r="R170" s="120"/>
      <c r="U170" s="1" t="str">
        <f t="shared" si="13"/>
        <v/>
      </c>
    </row>
    <row r="171" spans="5:21" x14ac:dyDescent="0.3">
      <c r="E171" t="str">
        <f t="shared" si="12"/>
        <v/>
      </c>
      <c r="G171" s="118"/>
      <c r="H171" s="118"/>
      <c r="I171" s="118"/>
      <c r="J171" s="243"/>
      <c r="K171" s="119"/>
      <c r="L171" s="119"/>
      <c r="M171" s="119"/>
      <c r="N171" s="119"/>
      <c r="O171" s="120"/>
      <c r="P171" s="120"/>
      <c r="Q171" s="120"/>
      <c r="R171" s="120"/>
      <c r="U171" s="1" t="str">
        <f t="shared" si="13"/>
        <v/>
      </c>
    </row>
    <row r="172" spans="5:21" x14ac:dyDescent="0.3">
      <c r="E172" t="str">
        <f t="shared" si="12"/>
        <v/>
      </c>
      <c r="G172" s="118"/>
      <c r="H172" s="118"/>
      <c r="I172" s="118"/>
      <c r="J172" s="243"/>
      <c r="K172" s="119"/>
      <c r="L172" s="119"/>
      <c r="M172" s="119"/>
      <c r="N172" s="119"/>
      <c r="O172" s="120"/>
      <c r="P172" s="120"/>
      <c r="Q172" s="120"/>
      <c r="R172" s="120"/>
      <c r="U172" s="1" t="str">
        <f t="shared" si="13"/>
        <v/>
      </c>
    </row>
    <row r="173" spans="5:21" x14ac:dyDescent="0.3">
      <c r="E173" t="str">
        <f t="shared" si="12"/>
        <v/>
      </c>
      <c r="G173" s="118"/>
      <c r="H173" s="118"/>
      <c r="I173" s="118"/>
      <c r="J173" s="243"/>
      <c r="K173" s="119"/>
      <c r="L173" s="119"/>
      <c r="M173" s="119"/>
      <c r="N173" s="119"/>
      <c r="O173" s="120"/>
      <c r="P173" s="120"/>
      <c r="Q173" s="120"/>
      <c r="R173" s="120"/>
      <c r="U173" s="1" t="str">
        <f t="shared" si="13"/>
        <v/>
      </c>
    </row>
    <row r="174" spans="5:21" x14ac:dyDescent="0.3">
      <c r="E174" t="str">
        <f t="shared" si="12"/>
        <v/>
      </c>
      <c r="G174" s="118"/>
      <c r="H174" s="118"/>
      <c r="I174" s="118"/>
      <c r="J174" s="243"/>
      <c r="K174" s="119"/>
      <c r="L174" s="119"/>
      <c r="M174" s="119"/>
      <c r="N174" s="119"/>
      <c r="O174" s="120"/>
      <c r="P174" s="120"/>
      <c r="Q174" s="120"/>
      <c r="R174" s="120"/>
      <c r="U174" s="1" t="str">
        <f t="shared" si="13"/>
        <v/>
      </c>
    </row>
    <row r="175" spans="5:21" x14ac:dyDescent="0.3">
      <c r="E175" t="str">
        <f t="shared" si="12"/>
        <v/>
      </c>
      <c r="G175" s="118"/>
      <c r="H175" s="118"/>
      <c r="I175" s="118"/>
      <c r="J175" s="243"/>
      <c r="K175" s="119"/>
      <c r="L175" s="119"/>
      <c r="M175" s="119"/>
      <c r="N175" s="119"/>
      <c r="O175" s="120"/>
      <c r="P175" s="120"/>
      <c r="Q175" s="120"/>
      <c r="R175" s="120"/>
      <c r="U175" s="1" t="str">
        <f t="shared" si="13"/>
        <v/>
      </c>
    </row>
    <row r="176" spans="5:21" x14ac:dyDescent="0.3">
      <c r="E176" t="str">
        <f t="shared" si="12"/>
        <v/>
      </c>
      <c r="G176" s="118"/>
      <c r="H176" s="118"/>
      <c r="I176" s="118"/>
      <c r="J176" s="243"/>
      <c r="K176" s="119"/>
      <c r="L176" s="119"/>
      <c r="M176" s="119"/>
      <c r="N176" s="119"/>
      <c r="O176" s="120"/>
      <c r="P176" s="120"/>
      <c r="Q176" s="120"/>
      <c r="R176" s="120"/>
      <c r="U176" s="1" t="str">
        <f t="shared" si="13"/>
        <v/>
      </c>
    </row>
    <row r="177" spans="5:21" x14ac:dyDescent="0.3">
      <c r="E177" t="str">
        <f t="shared" si="12"/>
        <v/>
      </c>
      <c r="G177" s="118"/>
      <c r="H177" s="118"/>
      <c r="I177" s="118"/>
      <c r="J177" s="243"/>
      <c r="K177" s="119"/>
      <c r="L177" s="119"/>
      <c r="M177" s="119"/>
      <c r="N177" s="119"/>
      <c r="O177" s="120"/>
      <c r="P177" s="120"/>
      <c r="Q177" s="120"/>
      <c r="R177" s="120"/>
      <c r="U177" s="1" t="str">
        <f t="shared" si="13"/>
        <v/>
      </c>
    </row>
    <row r="178" spans="5:21" x14ac:dyDescent="0.3">
      <c r="E178" t="str">
        <f t="shared" si="12"/>
        <v/>
      </c>
      <c r="G178" s="118"/>
      <c r="H178" s="118"/>
      <c r="I178" s="118"/>
      <c r="J178" s="243"/>
      <c r="K178" s="119"/>
      <c r="L178" s="119"/>
      <c r="M178" s="119"/>
      <c r="N178" s="119"/>
      <c r="O178" s="120"/>
      <c r="P178" s="120"/>
      <c r="Q178" s="120"/>
      <c r="R178" s="120"/>
      <c r="U178" s="1" t="str">
        <f t="shared" si="13"/>
        <v/>
      </c>
    </row>
    <row r="179" spans="5:21" x14ac:dyDescent="0.3">
      <c r="E179" t="str">
        <f t="shared" si="12"/>
        <v/>
      </c>
      <c r="G179" s="118"/>
      <c r="H179" s="118"/>
      <c r="I179" s="118"/>
      <c r="J179" s="243"/>
      <c r="K179" s="119"/>
      <c r="L179" s="119"/>
      <c r="M179" s="119"/>
      <c r="N179" s="119"/>
      <c r="O179" s="120"/>
      <c r="P179" s="120"/>
      <c r="Q179" s="120"/>
      <c r="R179" s="120"/>
      <c r="U179" s="1" t="str">
        <f t="shared" si="13"/>
        <v/>
      </c>
    </row>
    <row r="180" spans="5:21" x14ac:dyDescent="0.3">
      <c r="E180" t="str">
        <f t="shared" si="12"/>
        <v/>
      </c>
      <c r="G180" s="118"/>
      <c r="H180" s="118"/>
      <c r="I180" s="118"/>
      <c r="J180" s="243"/>
      <c r="K180" s="119"/>
      <c r="L180" s="119"/>
      <c r="M180" s="119"/>
      <c r="N180" s="119"/>
      <c r="O180" s="120"/>
      <c r="P180" s="120"/>
      <c r="Q180" s="120"/>
      <c r="R180" s="120"/>
      <c r="U180" s="1" t="str">
        <f t="shared" si="13"/>
        <v/>
      </c>
    </row>
    <row r="181" spans="5:21" x14ac:dyDescent="0.3">
      <c r="E181" t="str">
        <f t="shared" si="12"/>
        <v/>
      </c>
      <c r="G181" s="118"/>
      <c r="H181" s="118"/>
      <c r="I181" s="118"/>
      <c r="J181" s="243"/>
      <c r="K181" s="119"/>
      <c r="L181" s="119"/>
      <c r="M181" s="119"/>
      <c r="N181" s="119"/>
      <c r="O181" s="120"/>
      <c r="P181" s="120"/>
      <c r="Q181" s="120"/>
      <c r="R181" s="120"/>
      <c r="U181" s="1" t="str">
        <f t="shared" si="13"/>
        <v/>
      </c>
    </row>
    <row r="182" spans="5:21" x14ac:dyDescent="0.3">
      <c r="E182" t="str">
        <f t="shared" si="12"/>
        <v/>
      </c>
      <c r="G182" s="118"/>
      <c r="H182" s="118"/>
      <c r="I182" s="118"/>
      <c r="J182" s="243"/>
      <c r="K182" s="119"/>
      <c r="L182" s="119"/>
      <c r="M182" s="119"/>
      <c r="N182" s="119"/>
      <c r="O182" s="120"/>
      <c r="P182" s="120"/>
      <c r="Q182" s="120"/>
      <c r="R182" s="120"/>
      <c r="U182" s="1" t="str">
        <f t="shared" si="13"/>
        <v/>
      </c>
    </row>
    <row r="183" spans="5:21" x14ac:dyDescent="0.3">
      <c r="E183" t="str">
        <f t="shared" si="12"/>
        <v/>
      </c>
      <c r="G183" s="118"/>
      <c r="H183" s="118"/>
      <c r="I183" s="118"/>
      <c r="J183" s="243"/>
      <c r="K183" s="119"/>
      <c r="L183" s="119"/>
      <c r="M183" s="119"/>
      <c r="N183" s="119"/>
      <c r="O183" s="120"/>
      <c r="P183" s="120"/>
      <c r="Q183" s="120"/>
      <c r="R183" s="120"/>
      <c r="U183" s="1" t="str">
        <f t="shared" si="13"/>
        <v/>
      </c>
    </row>
    <row r="184" spans="5:21" x14ac:dyDescent="0.3">
      <c r="E184" t="str">
        <f t="shared" si="12"/>
        <v/>
      </c>
      <c r="G184" s="118"/>
      <c r="H184" s="118"/>
      <c r="I184" s="118"/>
      <c r="J184" s="243"/>
      <c r="K184" s="119"/>
      <c r="L184" s="119"/>
      <c r="M184" s="119"/>
      <c r="N184" s="119"/>
      <c r="O184" s="120"/>
      <c r="P184" s="120"/>
      <c r="Q184" s="120"/>
      <c r="R184" s="120"/>
      <c r="U184" s="1" t="str">
        <f t="shared" si="13"/>
        <v/>
      </c>
    </row>
    <row r="185" spans="5:21" x14ac:dyDescent="0.3">
      <c r="E185" t="str">
        <f t="shared" si="12"/>
        <v/>
      </c>
      <c r="G185" s="118"/>
      <c r="H185" s="118"/>
      <c r="I185" s="118"/>
      <c r="J185" s="243"/>
      <c r="K185" s="119"/>
      <c r="L185" s="119"/>
      <c r="M185" s="119"/>
      <c r="N185" s="119"/>
      <c r="O185" s="120"/>
      <c r="P185" s="120"/>
      <c r="Q185" s="120"/>
      <c r="R185" s="120"/>
      <c r="U185" s="1" t="str">
        <f t="shared" si="13"/>
        <v/>
      </c>
    </row>
    <row r="186" spans="5:21" x14ac:dyDescent="0.3">
      <c r="E186" t="str">
        <f t="shared" si="12"/>
        <v/>
      </c>
      <c r="G186" s="118"/>
      <c r="H186" s="118"/>
      <c r="I186" s="118"/>
      <c r="J186" s="243"/>
      <c r="K186" s="119"/>
      <c r="L186" s="119"/>
      <c r="M186" s="119"/>
      <c r="N186" s="119"/>
      <c r="O186" s="120"/>
      <c r="P186" s="120"/>
      <c r="Q186" s="120"/>
      <c r="R186" s="120"/>
      <c r="U186" s="1" t="str">
        <f t="shared" si="13"/>
        <v/>
      </c>
    </row>
    <row r="187" spans="5:21" x14ac:dyDescent="0.3">
      <c r="E187" t="str">
        <f t="shared" si="12"/>
        <v/>
      </c>
      <c r="G187" s="118"/>
      <c r="H187" s="118"/>
      <c r="I187" s="118"/>
      <c r="J187" s="243"/>
      <c r="K187" s="119"/>
      <c r="L187" s="119"/>
      <c r="M187" s="119"/>
      <c r="N187" s="119"/>
      <c r="O187" s="120"/>
      <c r="P187" s="120"/>
      <c r="Q187" s="120"/>
      <c r="R187" s="120"/>
      <c r="U187" s="1" t="str">
        <f t="shared" si="13"/>
        <v/>
      </c>
    </row>
    <row r="188" spans="5:21" x14ac:dyDescent="0.3">
      <c r="E188" t="str">
        <f t="shared" si="12"/>
        <v/>
      </c>
      <c r="G188" s="118"/>
      <c r="H188" s="118"/>
      <c r="I188" s="118"/>
      <c r="J188" s="243"/>
      <c r="K188" s="119"/>
      <c r="L188" s="119"/>
      <c r="M188" s="119"/>
      <c r="N188" s="119"/>
      <c r="O188" s="120"/>
      <c r="P188" s="120"/>
      <c r="Q188" s="120"/>
      <c r="R188" s="120"/>
      <c r="U188" s="1" t="str">
        <f t="shared" si="13"/>
        <v/>
      </c>
    </row>
    <row r="189" spans="5:21" x14ac:dyDescent="0.3">
      <c r="E189" t="str">
        <f t="shared" si="12"/>
        <v/>
      </c>
      <c r="G189" s="118"/>
      <c r="H189" s="118"/>
      <c r="I189" s="118"/>
      <c r="J189" s="243"/>
      <c r="K189" s="119"/>
      <c r="L189" s="119"/>
      <c r="M189" s="119"/>
      <c r="N189" s="119"/>
      <c r="O189" s="120"/>
      <c r="P189" s="120"/>
      <c r="Q189" s="120"/>
      <c r="R189" s="120"/>
      <c r="U189" s="1" t="str">
        <f t="shared" si="13"/>
        <v/>
      </c>
    </row>
    <row r="190" spans="5:21" x14ac:dyDescent="0.3">
      <c r="E190" t="str">
        <f t="shared" si="12"/>
        <v/>
      </c>
      <c r="G190" s="118"/>
      <c r="H190" s="118"/>
      <c r="I190" s="118"/>
      <c r="J190" s="243"/>
      <c r="K190" s="119"/>
      <c r="L190" s="119"/>
      <c r="M190" s="119"/>
      <c r="N190" s="119"/>
      <c r="O190" s="120"/>
      <c r="P190" s="120"/>
      <c r="Q190" s="120"/>
      <c r="R190" s="120"/>
      <c r="U190" s="1" t="str">
        <f t="shared" si="13"/>
        <v/>
      </c>
    </row>
    <row r="191" spans="5:21" x14ac:dyDescent="0.3">
      <c r="E191" t="str">
        <f t="shared" si="12"/>
        <v/>
      </c>
      <c r="G191" s="118"/>
      <c r="H191" s="118"/>
      <c r="I191" s="118"/>
      <c r="J191" s="243"/>
      <c r="K191" s="119"/>
      <c r="L191" s="119"/>
      <c r="M191" s="119"/>
      <c r="N191" s="119"/>
      <c r="O191" s="120"/>
      <c r="P191" s="120"/>
      <c r="Q191" s="120"/>
      <c r="R191" s="120"/>
      <c r="U191" s="1" t="str">
        <f t="shared" si="13"/>
        <v/>
      </c>
    </row>
    <row r="192" spans="5:21" x14ac:dyDescent="0.3">
      <c r="E192" t="str">
        <f t="shared" si="12"/>
        <v/>
      </c>
      <c r="G192" s="118"/>
      <c r="H192" s="118"/>
      <c r="I192" s="118"/>
      <c r="J192" s="243"/>
      <c r="K192" s="119"/>
      <c r="L192" s="119"/>
      <c r="M192" s="119"/>
      <c r="N192" s="119"/>
      <c r="O192" s="120"/>
      <c r="P192" s="120"/>
      <c r="Q192" s="120"/>
      <c r="R192" s="120"/>
      <c r="U192" s="1" t="str">
        <f t="shared" si="13"/>
        <v/>
      </c>
    </row>
    <row r="193" spans="1:28" x14ac:dyDescent="0.3">
      <c r="E193" t="str">
        <f t="shared" si="12"/>
        <v/>
      </c>
      <c r="G193" s="118"/>
      <c r="H193" s="118"/>
      <c r="I193" s="118"/>
      <c r="J193" s="243"/>
      <c r="K193" s="119"/>
      <c r="L193" s="119"/>
      <c r="M193" s="119"/>
      <c r="N193" s="119"/>
      <c r="O193" s="120"/>
      <c r="P193" s="120"/>
      <c r="Q193" s="120"/>
      <c r="R193" s="120"/>
      <c r="U193" s="1" t="str">
        <f t="shared" si="13"/>
        <v/>
      </c>
    </row>
    <row r="194" spans="1:28" x14ac:dyDescent="0.3">
      <c r="E194" t="str">
        <f t="shared" si="12"/>
        <v/>
      </c>
      <c r="G194" s="118"/>
      <c r="H194" s="118"/>
      <c r="I194" s="118"/>
      <c r="J194" s="243"/>
      <c r="K194" s="119"/>
      <c r="L194" s="119"/>
      <c r="M194" s="119"/>
      <c r="N194" s="119"/>
      <c r="O194" s="120"/>
      <c r="P194" s="120"/>
      <c r="Q194" s="120"/>
      <c r="R194" s="120"/>
      <c r="U194" s="1" t="str">
        <f t="shared" ref="U194:U225" si="14">IF(H194&lt;&gt;"",T194&amp;"-"&amp;I194,"")</f>
        <v/>
      </c>
    </row>
    <row r="195" spans="1:28" x14ac:dyDescent="0.3">
      <c r="E195" t="str">
        <f t="shared" ref="E195:E200" si="15">IF(C195&lt;&gt;"",C195&amp;" "&amp;D195,"")</f>
        <v/>
      </c>
      <c r="G195" s="118"/>
      <c r="H195" s="118"/>
      <c r="I195" s="118"/>
      <c r="J195" s="243"/>
      <c r="K195" s="119"/>
      <c r="L195" s="119"/>
      <c r="M195" s="119"/>
      <c r="N195" s="119"/>
      <c r="O195" s="120"/>
      <c r="P195" s="120"/>
      <c r="Q195" s="120"/>
      <c r="R195" s="120"/>
      <c r="U195" s="1" t="str">
        <f t="shared" si="14"/>
        <v/>
      </c>
    </row>
    <row r="196" spans="1:28" x14ac:dyDescent="0.3">
      <c r="E196" t="str">
        <f t="shared" si="15"/>
        <v/>
      </c>
      <c r="G196" s="118"/>
      <c r="H196" s="118"/>
      <c r="I196" s="118"/>
      <c r="J196" s="243"/>
      <c r="K196" s="119"/>
      <c r="L196" s="119"/>
      <c r="M196" s="119"/>
      <c r="N196" s="119"/>
      <c r="O196" s="120"/>
      <c r="P196" s="120"/>
      <c r="Q196" s="120"/>
      <c r="R196" s="120"/>
      <c r="U196" s="1" t="str">
        <f t="shared" si="14"/>
        <v/>
      </c>
    </row>
    <row r="197" spans="1:28" x14ac:dyDescent="0.3">
      <c r="E197" t="str">
        <f t="shared" si="15"/>
        <v/>
      </c>
      <c r="G197" s="118"/>
      <c r="H197" s="118"/>
      <c r="I197" s="118"/>
      <c r="J197" s="243"/>
      <c r="K197" s="119"/>
      <c r="L197" s="119"/>
      <c r="M197" s="119"/>
      <c r="N197" s="119"/>
      <c r="O197" s="120"/>
      <c r="P197" s="120"/>
      <c r="Q197" s="120"/>
      <c r="R197" s="120"/>
      <c r="U197" s="1" t="str">
        <f t="shared" si="14"/>
        <v/>
      </c>
    </row>
    <row r="198" spans="1:28" x14ac:dyDescent="0.3">
      <c r="E198" t="str">
        <f t="shared" si="15"/>
        <v/>
      </c>
      <c r="G198" s="118"/>
      <c r="H198" s="118"/>
      <c r="I198" s="118"/>
      <c r="J198" s="243"/>
      <c r="K198" s="119"/>
      <c r="L198" s="119"/>
      <c r="M198" s="119"/>
      <c r="N198" s="119"/>
      <c r="O198" s="120"/>
      <c r="P198" s="120"/>
      <c r="Q198" s="120"/>
      <c r="R198" s="120"/>
      <c r="U198" s="1" t="str">
        <f t="shared" si="14"/>
        <v/>
      </c>
    </row>
    <row r="199" spans="1:28" x14ac:dyDescent="0.3">
      <c r="E199" t="str">
        <f t="shared" si="15"/>
        <v/>
      </c>
      <c r="G199" s="118"/>
      <c r="H199" s="118"/>
      <c r="I199" s="118"/>
      <c r="J199" s="243"/>
      <c r="K199" s="119"/>
      <c r="L199" s="119"/>
      <c r="M199" s="119"/>
      <c r="N199" s="119"/>
      <c r="O199" s="120"/>
      <c r="P199" s="120"/>
      <c r="Q199" s="120"/>
      <c r="R199" s="120"/>
      <c r="U199" s="1" t="str">
        <f t="shared" si="14"/>
        <v/>
      </c>
    </row>
    <row r="200" spans="1:28" x14ac:dyDescent="0.3">
      <c r="E200" t="str">
        <f t="shared" si="15"/>
        <v/>
      </c>
      <c r="G200" s="118"/>
      <c r="H200" s="118"/>
      <c r="I200" s="118"/>
      <c r="J200" s="243"/>
      <c r="K200" s="119"/>
      <c r="L200" s="119"/>
      <c r="M200" s="119"/>
      <c r="N200" s="119"/>
      <c r="O200" s="120"/>
      <c r="P200" s="120"/>
      <c r="Q200" s="120"/>
      <c r="R200" s="120"/>
      <c r="U200" s="1" t="str">
        <f t="shared" si="14"/>
        <v/>
      </c>
    </row>
    <row r="201" spans="1:28" s="33" customFormat="1" x14ac:dyDescent="0.3">
      <c r="A201" s="33" t="s">
        <v>263</v>
      </c>
      <c r="B201" s="33" t="s">
        <v>263</v>
      </c>
      <c r="C201" s="33" t="s">
        <v>263</v>
      </c>
      <c r="D201" s="33" t="s">
        <v>263</v>
      </c>
      <c r="E201" s="33" t="s">
        <v>263</v>
      </c>
      <c r="F201" s="33" t="s">
        <v>263</v>
      </c>
      <c r="G201" s="34" t="s">
        <v>263</v>
      </c>
      <c r="H201" s="34" t="s">
        <v>263</v>
      </c>
      <c r="I201" s="34" t="s">
        <v>263</v>
      </c>
      <c r="J201" s="34" t="s">
        <v>263</v>
      </c>
      <c r="K201" s="34" t="s">
        <v>263</v>
      </c>
      <c r="L201" s="34" t="s">
        <v>263</v>
      </c>
      <c r="M201" s="34" t="s">
        <v>263</v>
      </c>
      <c r="N201" s="34" t="s">
        <v>263</v>
      </c>
      <c r="O201" s="34" t="s">
        <v>263</v>
      </c>
      <c r="P201" s="34" t="s">
        <v>263</v>
      </c>
      <c r="Q201" s="34" t="s">
        <v>263</v>
      </c>
      <c r="R201" s="34" t="s">
        <v>263</v>
      </c>
      <c r="S201" s="33" t="s">
        <v>263</v>
      </c>
      <c r="T201" s="34" t="s">
        <v>263</v>
      </c>
      <c r="U201" s="34" t="s">
        <v>263</v>
      </c>
      <c r="V201" s="33" t="s">
        <v>263</v>
      </c>
      <c r="W201" s="33" t="s">
        <v>263</v>
      </c>
      <c r="X201" s="33" t="s">
        <v>263</v>
      </c>
      <c r="Y201" s="33" t="s">
        <v>263</v>
      </c>
      <c r="Z201" s="33" t="s">
        <v>263</v>
      </c>
      <c r="AA201" s="33" t="s">
        <v>263</v>
      </c>
      <c r="AB201" s="33" t="s">
        <v>263</v>
      </c>
    </row>
  </sheetData>
  <autoFilter ref="A1:AA201" xr:uid="{EFC09A4C-0A40-4274-85EF-EE2A281B078B}"/>
  <dataValidations count="7">
    <dataValidation type="list" allowBlank="1" showInputMessage="1" showErrorMessage="1" sqref="L2:L200 P2:P200 H2:H200" xr:uid="{14BDE585-7771-4238-A8B7-0A4F5669B80E}">
      <formula1>SquadConcurrents</formula1>
    </dataValidation>
    <dataValidation type="list" allowBlank="1" showInputMessage="1" showErrorMessage="1" sqref="M2:M200" xr:uid="{883B9E35-9177-42C1-829C-C47AFC6074BB}">
      <formula1>SquadPosT</formula1>
    </dataValidation>
    <dataValidation type="list" showInputMessage="1" showErrorMessage="1" sqref="I2:I200" xr:uid="{F9F7FE62-C619-470B-AA24-97791591E8D3}">
      <formula1>SquadPos</formula1>
    </dataValidation>
    <dataValidation type="list" allowBlank="1" showInputMessage="1" showErrorMessage="1" sqref="S2:U200 Q2:Q200" xr:uid="{ACFCAB27-86DC-472E-AC0E-F87688229561}">
      <formula1>SquadPos</formula1>
    </dataValidation>
    <dataValidation type="list" showInputMessage="1" showErrorMessage="1" sqref="J2:J200" xr:uid="{C6C75FF2-9799-4D99-A5B7-D7688C27534A}">
      <formula1>SkeetTimes</formula1>
    </dataValidation>
    <dataValidation type="list" allowBlank="1" showInputMessage="1" showErrorMessage="1" sqref="N2:N200" xr:uid="{FD832045-2D18-4A8E-9863-F6DFC2CC7FB9}">
      <formula1>TrapTimes</formula1>
    </dataValidation>
    <dataValidation type="list" allowBlank="1" showInputMessage="1" showErrorMessage="1" sqref="R2:R200" xr:uid="{4718C1E2-B7D8-4035-9880-FB7EEEB2F054}">
      <formula1>SportingTimes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FFA72-ABF2-45B3-A70A-8A81D28F5963}">
  <dimension ref="A1:O595"/>
  <sheetViews>
    <sheetView tabSelected="1" zoomScale="80" zoomScaleNormal="80" workbookViewId="0">
      <pane xSplit="4" ySplit="1" topLeftCell="E2" activePane="bottomRight" state="frozen"/>
      <selection activeCell="B40" sqref="B40"/>
      <selection pane="topRight" activeCell="B40" sqref="B40"/>
      <selection pane="bottomLeft" activeCell="B40" sqref="B40"/>
      <selection pane="bottomRight" activeCell="H3" sqref="H3"/>
    </sheetView>
  </sheetViews>
  <sheetFormatPr defaultRowHeight="14.4" x14ac:dyDescent="0.3"/>
  <cols>
    <col min="1" max="1" width="7.77734375" style="1" bestFit="1" customWidth="1"/>
    <col min="2" max="2" width="45" bestFit="1" customWidth="1"/>
    <col min="3" max="3" width="27.44140625" bestFit="1" customWidth="1"/>
    <col min="4" max="4" width="14" bestFit="1" customWidth="1"/>
    <col min="5" max="5" width="13.21875" bestFit="1" customWidth="1"/>
    <col min="6" max="6" width="10.44140625" style="1" bestFit="1" customWidth="1"/>
    <col min="7" max="7" width="25.109375" customWidth="1"/>
    <col min="8" max="8" width="10.44140625" style="1" bestFit="1" customWidth="1"/>
    <col min="9" max="9" width="25.109375" customWidth="1"/>
    <col min="10" max="10" width="10.44140625" style="1" bestFit="1" customWidth="1"/>
    <col min="11" max="11" width="25.109375" customWidth="1"/>
    <col min="12" max="12" width="10.44140625" style="1" bestFit="1" customWidth="1"/>
    <col min="13" max="13" width="25.109375" customWidth="1"/>
    <col min="14" max="14" width="11.6640625" style="1" customWidth="1"/>
    <col min="15" max="15" width="25.109375" customWidth="1"/>
    <col min="16" max="18" width="11.21875" customWidth="1"/>
    <col min="19" max="19" width="10.21875" customWidth="1"/>
    <col min="22" max="22" width="9.21875" bestFit="1" customWidth="1"/>
  </cols>
  <sheetData>
    <row r="1" spans="1:15" ht="29.4" thickBot="1" x14ac:dyDescent="0.35">
      <c r="A1" s="74" t="s">
        <v>357</v>
      </c>
      <c r="B1" s="75" t="s">
        <v>362</v>
      </c>
      <c r="C1" s="75" t="s">
        <v>304</v>
      </c>
      <c r="D1" s="75" t="s">
        <v>305</v>
      </c>
      <c r="E1" s="75" t="s">
        <v>306</v>
      </c>
      <c r="F1" s="84" t="s">
        <v>308</v>
      </c>
      <c r="G1" s="84" t="s">
        <v>309</v>
      </c>
      <c r="H1" s="84" t="s">
        <v>317</v>
      </c>
      <c r="I1" s="84" t="s">
        <v>316</v>
      </c>
      <c r="J1" s="84" t="s">
        <v>315</v>
      </c>
      <c r="K1" s="84" t="s">
        <v>314</v>
      </c>
      <c r="L1" s="84" t="s">
        <v>313</v>
      </c>
      <c r="M1" s="84" t="s">
        <v>312</v>
      </c>
      <c r="N1" s="84" t="s">
        <v>311</v>
      </c>
      <c r="O1" s="85" t="s">
        <v>310</v>
      </c>
    </row>
    <row r="2" spans="1:15" x14ac:dyDescent="0.3">
      <c r="A2" s="76">
        <v>10</v>
      </c>
      <c r="B2" s="77" t="str">
        <f>C2&amp;"-"&amp;D2&amp;"-"&amp;E2</f>
        <v>High Plains Drifters-Collegiate 1-Skeet</v>
      </c>
      <c r="C2" s="77" t="s">
        <v>307</v>
      </c>
      <c r="D2" s="77" t="s">
        <v>344</v>
      </c>
      <c r="E2" s="77" t="s">
        <v>143</v>
      </c>
      <c r="F2" s="97" t="str">
        <f>IF(E2="Skeet",IFERROR(INDEX('Shooter-Squad Assignment'!$A:$A,MATCH(C2&amp;"-"&amp;D2&amp;"-"&amp;E2&amp;"-Pos1",'Shooter-Squad Assignment'!#REF!,0)),""),IF(E2="Trap",IFERROR(INDEX('Shooter-Squad Assignment'!$A:$A,MATCH(C2&amp;"-"&amp;D2&amp;"-"&amp;E2&amp;"-Pos1",'Shooter-Squad Assignment'!$V:$V,0)),""),IF(E2="Sporting Clays",IFERROR(INDEX('Shooter-Squad Assignment'!$A:$A,MATCH(C2&amp;"-"&amp;D2&amp;"-"&amp;E2&amp;"-Pos1",'Shooter-Squad Assignment'!$Y:$Y,0)),""),"")))</f>
        <v/>
      </c>
      <c r="G2" s="77" t="str">
        <f>IF(ISBLANK(F2),"",IFERROR(INDEX('Tournament List'!$D:$D,MATCH(F2,'Tournament List'!$A:$A,0)),""))</f>
        <v/>
      </c>
      <c r="H2" s="97" t="str">
        <f>IF(E2="Skeet",IFERROR(INDEX('Shooter-Squad Assignment'!$A:$A,MATCH(C2&amp;"-"&amp;D2&amp;"-"&amp;E2&amp;"-Pos2",'Shooter-Squad Assignment'!#REF!,0)),""),IF(E2="Trap",IFERROR(INDEX('Shooter-Squad Assignment'!$A:$A,MATCH(C2&amp;"-"&amp;D2&amp;"-"&amp;E2&amp;"-Pos2",'Shooter-Squad Assignment'!$V:$V,0)),""),IF(E2="Sporting Clays",IFERROR(INDEX('Shooter-Squad Assignment'!$A:$A,MATCH(C2&amp;"-"&amp;D2&amp;"-"&amp;E2&amp;"-Pos2",'Shooter-Squad Assignment'!$Y:$Y,0)),""),"")))</f>
        <v/>
      </c>
      <c r="I2" s="77" t="str">
        <f>IF(ISBLANK(H2),"",IFERROR(INDEX('Tournament List'!$D:$D,MATCH(H2,'Tournament List'!$A:$A,0)),""))</f>
        <v/>
      </c>
      <c r="J2" s="97" t="str">
        <f>IF(E2="Skeet",IFERROR(INDEX('Shooter-Squad Assignment'!$A:$A,MATCH(C2&amp;"-"&amp;D2&amp;"-"&amp;E2&amp;"-Pos3",'Shooter-Squad Assignment'!#REF!,0)),""),IF(E2="Trap",IFERROR(INDEX('Shooter-Squad Assignment'!$A:$A,MATCH(C2&amp;"-"&amp;D2&amp;"-"&amp;E2&amp;"-Pos3",'Shooter-Squad Assignment'!$V:$V,0)),""),IF(E2="Sporting Clays",IFERROR(INDEX('Shooter-Squad Assignment'!$A:$A,MATCH(C2&amp;"-"&amp;D2&amp;"-"&amp;E2&amp;"-Pos3",'Shooter-Squad Assignment'!$Y:$Y,0)),""),"")))</f>
        <v/>
      </c>
      <c r="K2" s="77" t="str">
        <f>IF(ISBLANK(J2),"",IFERROR(INDEX('Tournament List'!$D:$D,MATCH(J2,'Tournament List'!$A:$A,0)),""))</f>
        <v/>
      </c>
      <c r="L2" s="97" t="str">
        <f>IF(E2="Skeet",IFERROR(INDEX('Shooter-Squad Assignment'!$A:$A,MATCH(C2&amp;"-"&amp;D2&amp;"-"&amp;E2&amp;"-Pos4",'Shooter-Squad Assignment'!#REF!,0)),""),IF(E2="Trap",IFERROR(INDEX('Shooter-Squad Assignment'!$A:$A,MATCH(C2&amp;"-"&amp;D2&amp;"-"&amp;E2&amp;"-Pos4",'Shooter-Squad Assignment'!$V:$V,0)),""),IF(E2="Sporting Clays",IFERROR(INDEX('Shooter-Squad Assignment'!$A:$A,MATCH(C2&amp;"-"&amp;D2&amp;"-"&amp;E2&amp;"-Pos4",'Shooter-Squad Assignment'!$Y:$Y,0)),""),"")))</f>
        <v/>
      </c>
      <c r="M2" s="77" t="str">
        <f>IF(ISBLANK(L2),"",IFERROR(INDEX('Tournament List'!$D:$D,MATCH(L2,'Tournament List'!$A:$A,0)),""))</f>
        <v/>
      </c>
      <c r="N2" s="97" t="str">
        <f>IF(E2="Skeet",IFERROR(INDEX('Shooter-Squad Assignment'!$A:$A,MATCH(C2&amp;"-"&amp;D2&amp;"-"&amp;E2&amp;"-Pos5",'Shooter-Squad Assignment'!#REF!,0)),""),IF(E2="Trap",IFERROR(INDEX('Shooter-Squad Assignment'!$A:$A,MATCH(C2&amp;"-"&amp;D2&amp;"-"&amp;E2&amp;"-Pos5",'Shooter-Squad Assignment'!$V:$V,0)),""),IF(E2="Sporting Clays",IFERROR(INDEX('Shooter-Squad Assignment'!$A:$A,MATCH(C2&amp;"-"&amp;D2&amp;"-"&amp;E2&amp;"-Pos5",'Shooter-Squad Assignment'!$Y:$Y,0)),""),"")))</f>
        <v/>
      </c>
      <c r="O2" s="77" t="str">
        <f>IF(ISBLANK(N2),"",IFERROR(INDEX('Tournament List'!$D:$D,MATCH(N2,'Tournament List'!$A:$A,0)),""))</f>
        <v/>
      </c>
    </row>
    <row r="3" spans="1:15" x14ac:dyDescent="0.3">
      <c r="A3" s="79">
        <v>11</v>
      </c>
      <c r="B3" s="73" t="str">
        <f t="shared" ref="B3:B66" si="0">C3&amp;"-"&amp;D3&amp;"-"&amp;E3</f>
        <v>High Plains Drifters-Collegiate 2-Skeet</v>
      </c>
      <c r="C3" s="73" t="s">
        <v>307</v>
      </c>
      <c r="D3" s="73" t="s">
        <v>350</v>
      </c>
      <c r="E3" s="73" t="s">
        <v>143</v>
      </c>
      <c r="F3" s="98" t="str">
        <f>IF(E3="Skeet",IFERROR(INDEX('Shooter-Squad Assignment'!$A:$A,MATCH(C3&amp;"-"&amp;D3&amp;"-"&amp;E3&amp;"-Pos1",'Shooter-Squad Assignment'!#REF!,0)),""),IF(E3="Trap",IFERROR(INDEX('Shooter-Squad Assignment'!$A:$A,MATCH(C3&amp;"-"&amp;D3&amp;"-"&amp;E3&amp;"-Pos1",'Shooter-Squad Assignment'!$V:$V,0)),""),IF(E3="Sporting Clays",IFERROR(INDEX('Shooter-Squad Assignment'!$A:$A,MATCH(C3&amp;"-"&amp;D3&amp;"-"&amp;E3&amp;"-Pos1",'Shooter-Squad Assignment'!$Y:$Y,0)),""),"")))</f>
        <v/>
      </c>
      <c r="G3" s="73" t="str">
        <f>IF(ISBLANK(F3),"",IFERROR(INDEX('Tournament List'!$D:$D,MATCH(F3,'Tournament List'!$A:$A,0)),""))</f>
        <v/>
      </c>
      <c r="H3" s="98" t="str">
        <f>IF(E3="Skeet",IFERROR(INDEX('Shooter-Squad Assignment'!$A:$A,MATCH(C3&amp;"-"&amp;D3&amp;"-"&amp;E3&amp;"-Pos2",'Shooter-Squad Assignment'!#REF!,0)),""),IF(E3="Trap",IFERROR(INDEX('Shooter-Squad Assignment'!$A:$A,MATCH(C3&amp;"-"&amp;D3&amp;"-"&amp;E3&amp;"-Pos2",'Shooter-Squad Assignment'!$V:$V,0)),""),IF(E3="Sporting Clays",IFERROR(INDEX('Shooter-Squad Assignment'!$A:$A,MATCH(C3&amp;"-"&amp;D3&amp;"-"&amp;E3&amp;"-Pos2",'Shooter-Squad Assignment'!$Y:$Y,0)),""),"")))</f>
        <v/>
      </c>
      <c r="I3" s="73" t="str">
        <f>IF(ISBLANK(H3),"",IFERROR(INDEX('Tournament List'!$D:$D,MATCH(H3,'Tournament List'!$A:$A,0)),""))</f>
        <v/>
      </c>
      <c r="J3" s="98" t="str">
        <f>IF(E3="Skeet",IFERROR(INDEX('Shooter-Squad Assignment'!$A:$A,MATCH(C3&amp;"-"&amp;D3&amp;"-"&amp;E3&amp;"-Pos3",'Shooter-Squad Assignment'!#REF!,0)),""),IF(E3="Trap",IFERROR(INDEX('Shooter-Squad Assignment'!$A:$A,MATCH(C3&amp;"-"&amp;D3&amp;"-"&amp;E3&amp;"-Pos3",'Shooter-Squad Assignment'!$V:$V,0)),""),IF(E3="Sporting Clays",IFERROR(INDEX('Shooter-Squad Assignment'!$A:$A,MATCH(C3&amp;"-"&amp;D3&amp;"-"&amp;E3&amp;"-Pos3",'Shooter-Squad Assignment'!$Y:$Y,0)),""),"")))</f>
        <v/>
      </c>
      <c r="K3" s="73" t="str">
        <f>IF(ISBLANK(J3),"",IFERROR(INDEX('Tournament List'!$D:$D,MATCH(J3,'Tournament List'!$A:$A,0)),""))</f>
        <v/>
      </c>
      <c r="L3" s="98" t="str">
        <f>IF(E3="Skeet",IFERROR(INDEX('Shooter-Squad Assignment'!$A:$A,MATCH(C3&amp;"-"&amp;D3&amp;"-"&amp;E3&amp;"-Pos4",'Shooter-Squad Assignment'!#REF!,0)),""),IF(E3="Trap",IFERROR(INDEX('Shooter-Squad Assignment'!$A:$A,MATCH(C3&amp;"-"&amp;D3&amp;"-"&amp;E3&amp;"-Pos4",'Shooter-Squad Assignment'!$V:$V,0)),""),IF(E3="Sporting Clays",IFERROR(INDEX('Shooter-Squad Assignment'!$A:$A,MATCH(C3&amp;"-"&amp;D3&amp;"-"&amp;E3&amp;"-Pos4",'Shooter-Squad Assignment'!$Y:$Y,0)),""),"")))</f>
        <v/>
      </c>
      <c r="M3" s="73" t="str">
        <f>IF(ISBLANK(L3),"",IFERROR(INDEX('Tournament List'!$D:$D,MATCH(L3,'Tournament List'!$A:$A,0)),""))</f>
        <v/>
      </c>
      <c r="N3" s="98" t="str">
        <f>IF(E3="Skeet",IFERROR(INDEX('Shooter-Squad Assignment'!$A:$A,MATCH(C3&amp;"-"&amp;D3&amp;"-"&amp;E3&amp;"-Pos5",'Shooter-Squad Assignment'!#REF!,0)),""),IF(E3="Trap",IFERROR(INDEX('Shooter-Squad Assignment'!$A:$A,MATCH(C3&amp;"-"&amp;D3&amp;"-"&amp;E3&amp;"-Pos5",'Shooter-Squad Assignment'!$V:$V,0)),""),IF(E3="Sporting Clays",IFERROR(INDEX('Shooter-Squad Assignment'!$A:$A,MATCH(C3&amp;"-"&amp;D3&amp;"-"&amp;E3&amp;"-Pos5",'Shooter-Squad Assignment'!$Y:$Y,0)),""),"")))</f>
        <v/>
      </c>
      <c r="O3" s="80" t="str">
        <f>IF(ISBLANK(N3),"",IFERROR(INDEX('Tournament List'!$D:$D,MATCH(N3,'Tournament List'!$A:$A,0)),""))</f>
        <v/>
      </c>
    </row>
    <row r="4" spans="1:15" x14ac:dyDescent="0.3">
      <c r="A4" s="79">
        <v>12</v>
      </c>
      <c r="B4" s="73" t="str">
        <f t="shared" si="0"/>
        <v>High Plains Drifters-Collegiate 3-Skeet</v>
      </c>
      <c r="C4" s="73" t="s">
        <v>307</v>
      </c>
      <c r="D4" s="73" t="s">
        <v>356</v>
      </c>
      <c r="E4" s="73" t="s">
        <v>143</v>
      </c>
      <c r="F4" s="98" t="str">
        <f>IF(E4="Skeet",IFERROR(INDEX('Shooter-Squad Assignment'!$A:$A,MATCH(C4&amp;"-"&amp;D4&amp;"-"&amp;E4&amp;"-Pos1",'Shooter-Squad Assignment'!#REF!,0)),""),IF(E4="Trap",IFERROR(INDEX('Shooter-Squad Assignment'!$A:$A,MATCH(C4&amp;"-"&amp;D4&amp;"-"&amp;E4&amp;"-Pos1",'Shooter-Squad Assignment'!$V:$V,0)),""),IF(E4="Sporting Clays",IFERROR(INDEX('Shooter-Squad Assignment'!$A:$A,MATCH(C4&amp;"-"&amp;D4&amp;"-"&amp;E4&amp;"-Pos1",'Shooter-Squad Assignment'!$Y:$Y,0)),""),"")))</f>
        <v/>
      </c>
      <c r="G4" s="73" t="str">
        <f>IF(ISBLANK(F4),"",IFERROR(INDEX('Tournament List'!$D:$D,MATCH(F4,'Tournament List'!$A:$A,0)),""))</f>
        <v/>
      </c>
      <c r="H4" s="98" t="str">
        <f>IF(E4="Skeet",IFERROR(INDEX('Shooter-Squad Assignment'!$A:$A,MATCH(C4&amp;"-"&amp;D4&amp;"-"&amp;E4&amp;"-Pos2",'Shooter-Squad Assignment'!#REF!,0)),""),IF(E4="Trap",IFERROR(INDEX('Shooter-Squad Assignment'!$A:$A,MATCH(C4&amp;"-"&amp;D4&amp;"-"&amp;E4&amp;"-Pos2",'Shooter-Squad Assignment'!$V:$V,0)),""),IF(E4="Sporting Clays",IFERROR(INDEX('Shooter-Squad Assignment'!$A:$A,MATCH(C4&amp;"-"&amp;D4&amp;"-"&amp;E4&amp;"-Pos2",'Shooter-Squad Assignment'!$Y:$Y,0)),""),"")))</f>
        <v/>
      </c>
      <c r="I4" s="73" t="str">
        <f>IF(ISBLANK(H4),"",IFERROR(INDEX('Tournament List'!$D:$D,MATCH(H4,'Tournament List'!$A:$A,0)),""))</f>
        <v/>
      </c>
      <c r="J4" s="98" t="str">
        <f>IF(E4="Skeet",IFERROR(INDEX('Shooter-Squad Assignment'!$A:$A,MATCH(C4&amp;"-"&amp;D4&amp;"-"&amp;E4&amp;"-Pos3",'Shooter-Squad Assignment'!#REF!,0)),""),IF(E4="Trap",IFERROR(INDEX('Shooter-Squad Assignment'!$A:$A,MATCH(C4&amp;"-"&amp;D4&amp;"-"&amp;E4&amp;"-Pos3",'Shooter-Squad Assignment'!$V:$V,0)),""),IF(E4="Sporting Clays",IFERROR(INDEX('Shooter-Squad Assignment'!$A:$A,MATCH(C4&amp;"-"&amp;D4&amp;"-"&amp;E4&amp;"-Pos3",'Shooter-Squad Assignment'!$Y:$Y,0)),""),"")))</f>
        <v/>
      </c>
      <c r="K4" s="73" t="str">
        <f>IF(ISBLANK(J4),"",IFERROR(INDEX('Tournament List'!$D:$D,MATCH(J4,'Tournament List'!$A:$A,0)),""))</f>
        <v/>
      </c>
      <c r="L4" s="98" t="str">
        <f>IF(E4="Skeet",IFERROR(INDEX('Shooter-Squad Assignment'!$A:$A,MATCH(C4&amp;"-"&amp;D4&amp;"-"&amp;E4&amp;"-Pos4",'Shooter-Squad Assignment'!#REF!,0)),""),IF(E4="Trap",IFERROR(INDEX('Shooter-Squad Assignment'!$A:$A,MATCH(C4&amp;"-"&amp;D4&amp;"-"&amp;E4&amp;"-Pos4",'Shooter-Squad Assignment'!$V:$V,0)),""),IF(E4="Sporting Clays",IFERROR(INDEX('Shooter-Squad Assignment'!$A:$A,MATCH(C4&amp;"-"&amp;D4&amp;"-"&amp;E4&amp;"-Pos4",'Shooter-Squad Assignment'!$Y:$Y,0)),""),"")))</f>
        <v/>
      </c>
      <c r="M4" s="73" t="str">
        <f>IF(ISBLANK(L4),"",IFERROR(INDEX('Tournament List'!$D:$D,MATCH(L4,'Tournament List'!$A:$A,0)),""))</f>
        <v/>
      </c>
      <c r="N4" s="98" t="str">
        <f>IF(E4="Skeet",IFERROR(INDEX('Shooter-Squad Assignment'!$A:$A,MATCH(C4&amp;"-"&amp;D4&amp;"-"&amp;E4&amp;"-Pos5",'Shooter-Squad Assignment'!#REF!,0)),""),IF(E4="Trap",IFERROR(INDEX('Shooter-Squad Assignment'!$A:$A,MATCH(C4&amp;"-"&amp;D4&amp;"-"&amp;E4&amp;"-Pos5",'Shooter-Squad Assignment'!$V:$V,0)),""),IF(E4="Sporting Clays",IFERROR(INDEX('Shooter-Squad Assignment'!$A:$A,MATCH(C4&amp;"-"&amp;D4&amp;"-"&amp;E4&amp;"-Pos5",'Shooter-Squad Assignment'!$Y:$Y,0)),""),"")))</f>
        <v/>
      </c>
      <c r="O4" s="80" t="str">
        <f>IF(ISBLANK(N4),"",IFERROR(INDEX('Tournament List'!$D:$D,MATCH(N4,'Tournament List'!$A:$A,0)),""))</f>
        <v/>
      </c>
    </row>
    <row r="5" spans="1:15" x14ac:dyDescent="0.3">
      <c r="A5" s="79">
        <v>13</v>
      </c>
      <c r="B5" s="73" t="str">
        <f t="shared" si="0"/>
        <v>High Plains Drifters-Intermediate 1-Skeet</v>
      </c>
      <c r="C5" s="73" t="s">
        <v>307</v>
      </c>
      <c r="D5" s="73" t="s">
        <v>340</v>
      </c>
      <c r="E5" s="73" t="s">
        <v>143</v>
      </c>
      <c r="F5" s="98" t="str">
        <f>IF(E5="Skeet",IFERROR(INDEX('Shooter-Squad Assignment'!$A:$A,MATCH(C5&amp;"-"&amp;D5&amp;"-"&amp;E5&amp;"-Pos1",'Shooter-Squad Assignment'!#REF!,0)),""),IF(E5="Trap",IFERROR(INDEX('Shooter-Squad Assignment'!$A:$A,MATCH(C5&amp;"-"&amp;D5&amp;"-"&amp;E5&amp;"-Pos1",'Shooter-Squad Assignment'!$V:$V,0)),""),IF(E5="Sporting Clays",IFERROR(INDEX('Shooter-Squad Assignment'!$A:$A,MATCH(C5&amp;"-"&amp;D5&amp;"-"&amp;E5&amp;"-Pos1",'Shooter-Squad Assignment'!$Y:$Y,0)),""),"")))</f>
        <v/>
      </c>
      <c r="G5" s="73" t="str">
        <f>IF(ISBLANK(F5),"",IFERROR(INDEX('Tournament List'!$D:$D,MATCH(F5,'Tournament List'!$A:$A,0)),""))</f>
        <v/>
      </c>
      <c r="H5" s="98" t="str">
        <f>IF(E5="Skeet",IFERROR(INDEX('Shooter-Squad Assignment'!$A:$A,MATCH(C5&amp;"-"&amp;D5&amp;"-"&amp;E5&amp;"-Pos2",'Shooter-Squad Assignment'!#REF!,0)),""),IF(E5="Trap",IFERROR(INDEX('Shooter-Squad Assignment'!$A:$A,MATCH(C5&amp;"-"&amp;D5&amp;"-"&amp;E5&amp;"-Pos2",'Shooter-Squad Assignment'!$V:$V,0)),""),IF(E5="Sporting Clays",IFERROR(INDEX('Shooter-Squad Assignment'!$A:$A,MATCH(C5&amp;"-"&amp;D5&amp;"-"&amp;E5&amp;"-Pos2",'Shooter-Squad Assignment'!$Y:$Y,0)),""),"")))</f>
        <v/>
      </c>
      <c r="I5" s="73" t="str">
        <f>IF(ISBLANK(H5),"",IFERROR(INDEX('Tournament List'!$D:$D,MATCH(H5,'Tournament List'!$A:$A,0)),""))</f>
        <v/>
      </c>
      <c r="J5" s="98" t="str">
        <f>IF(E5="Skeet",IFERROR(INDEX('Shooter-Squad Assignment'!$A:$A,MATCH(C5&amp;"-"&amp;D5&amp;"-"&amp;E5&amp;"-Pos3",'Shooter-Squad Assignment'!#REF!,0)),""),IF(E5="Trap",IFERROR(INDEX('Shooter-Squad Assignment'!$A:$A,MATCH(C5&amp;"-"&amp;D5&amp;"-"&amp;E5&amp;"-Pos3",'Shooter-Squad Assignment'!$V:$V,0)),""),IF(E5="Sporting Clays",IFERROR(INDEX('Shooter-Squad Assignment'!$A:$A,MATCH(C5&amp;"-"&amp;D5&amp;"-"&amp;E5&amp;"-Pos3",'Shooter-Squad Assignment'!$Y:$Y,0)),""),"")))</f>
        <v/>
      </c>
      <c r="K5" s="73" t="str">
        <f>IF(ISBLANK(J5),"",IFERROR(INDEX('Tournament List'!$D:$D,MATCH(J5,'Tournament List'!$A:$A,0)),""))</f>
        <v/>
      </c>
      <c r="L5" s="98" t="str">
        <f>IF(E5="Skeet",IFERROR(INDEX('Shooter-Squad Assignment'!$A:$A,MATCH(C5&amp;"-"&amp;D5&amp;"-"&amp;E5&amp;"-Pos4",'Shooter-Squad Assignment'!#REF!,0)),""),IF(E5="Trap",IFERROR(INDEX('Shooter-Squad Assignment'!$A:$A,MATCH(C5&amp;"-"&amp;D5&amp;"-"&amp;E5&amp;"-Pos4",'Shooter-Squad Assignment'!$V:$V,0)),""),IF(E5="Sporting Clays",IFERROR(INDEX('Shooter-Squad Assignment'!$A:$A,MATCH(C5&amp;"-"&amp;D5&amp;"-"&amp;E5&amp;"-Pos4",'Shooter-Squad Assignment'!$Y:$Y,0)),""),"")))</f>
        <v/>
      </c>
      <c r="M5" s="73" t="str">
        <f>IF(ISBLANK(L5),"",IFERROR(INDEX('Tournament List'!$D:$D,MATCH(L5,'Tournament List'!$A:$A,0)),""))</f>
        <v/>
      </c>
      <c r="N5" s="98" t="str">
        <f>IF(E5="Skeet",IFERROR(INDEX('Shooter-Squad Assignment'!$A:$A,MATCH(C5&amp;"-"&amp;D5&amp;"-"&amp;E5&amp;"-Pos5",'Shooter-Squad Assignment'!#REF!,0)),""),IF(E5="Trap",IFERROR(INDEX('Shooter-Squad Assignment'!$A:$A,MATCH(C5&amp;"-"&amp;D5&amp;"-"&amp;E5&amp;"-Pos5",'Shooter-Squad Assignment'!$V:$V,0)),""),IF(E5="Sporting Clays",IFERROR(INDEX('Shooter-Squad Assignment'!$A:$A,MATCH(C5&amp;"-"&amp;D5&amp;"-"&amp;E5&amp;"-Pos5",'Shooter-Squad Assignment'!$Y:$Y,0)),""),"")))</f>
        <v/>
      </c>
      <c r="O5" s="80" t="str">
        <f>IF(ISBLANK(N5),"",IFERROR(INDEX('Tournament List'!$D:$D,MATCH(N5,'Tournament List'!$A:$A,0)),""))</f>
        <v/>
      </c>
    </row>
    <row r="6" spans="1:15" x14ac:dyDescent="0.3">
      <c r="A6" s="79">
        <v>14</v>
      </c>
      <c r="B6" s="73" t="str">
        <f t="shared" si="0"/>
        <v>High Plains Drifters-Intermediate 2-Skeet</v>
      </c>
      <c r="C6" s="73" t="s">
        <v>307</v>
      </c>
      <c r="D6" s="73" t="s">
        <v>346</v>
      </c>
      <c r="E6" s="73" t="s">
        <v>143</v>
      </c>
      <c r="F6" s="98" t="str">
        <f>IF(E6="Skeet",IFERROR(INDEX('Shooter-Squad Assignment'!$A:$A,MATCH(C6&amp;"-"&amp;D6&amp;"-"&amp;E6&amp;"-Pos1",'Shooter-Squad Assignment'!#REF!,0)),""),IF(E6="Trap",IFERROR(INDEX('Shooter-Squad Assignment'!$A:$A,MATCH(C6&amp;"-"&amp;D6&amp;"-"&amp;E6&amp;"-Pos1",'Shooter-Squad Assignment'!$V:$V,0)),""),IF(E6="Sporting Clays",IFERROR(INDEX('Shooter-Squad Assignment'!$A:$A,MATCH(C6&amp;"-"&amp;D6&amp;"-"&amp;E6&amp;"-Pos1",'Shooter-Squad Assignment'!$Y:$Y,0)),""),"")))</f>
        <v/>
      </c>
      <c r="G6" s="73" t="str">
        <f>IF(ISBLANK(F6),"",IFERROR(INDEX('Tournament List'!$D:$D,MATCH(F6,'Tournament List'!$A:$A,0)),""))</f>
        <v/>
      </c>
      <c r="H6" s="98" t="str">
        <f>IF(E6="Skeet",IFERROR(INDEX('Shooter-Squad Assignment'!$A:$A,MATCH(C6&amp;"-"&amp;D6&amp;"-"&amp;E6&amp;"-Pos2",'Shooter-Squad Assignment'!#REF!,0)),""),IF(E6="Trap",IFERROR(INDEX('Shooter-Squad Assignment'!$A:$A,MATCH(C6&amp;"-"&amp;D6&amp;"-"&amp;E6&amp;"-Pos2",'Shooter-Squad Assignment'!$V:$V,0)),""),IF(E6="Sporting Clays",IFERROR(INDEX('Shooter-Squad Assignment'!$A:$A,MATCH(C6&amp;"-"&amp;D6&amp;"-"&amp;E6&amp;"-Pos2",'Shooter-Squad Assignment'!$Y:$Y,0)),""),"")))</f>
        <v/>
      </c>
      <c r="I6" s="73" t="str">
        <f>IF(ISBLANK(H6),"",IFERROR(INDEX('Tournament List'!$D:$D,MATCH(H6,'Tournament List'!$A:$A,0)),""))</f>
        <v/>
      </c>
      <c r="J6" s="98" t="str">
        <f>IF(E6="Skeet",IFERROR(INDEX('Shooter-Squad Assignment'!$A:$A,MATCH(C6&amp;"-"&amp;D6&amp;"-"&amp;E6&amp;"-Pos3",'Shooter-Squad Assignment'!#REF!,0)),""),IF(E6="Trap",IFERROR(INDEX('Shooter-Squad Assignment'!$A:$A,MATCH(C6&amp;"-"&amp;D6&amp;"-"&amp;E6&amp;"-Pos3",'Shooter-Squad Assignment'!$V:$V,0)),""),IF(E6="Sporting Clays",IFERROR(INDEX('Shooter-Squad Assignment'!$A:$A,MATCH(C6&amp;"-"&amp;D6&amp;"-"&amp;E6&amp;"-Pos3",'Shooter-Squad Assignment'!$Y:$Y,0)),""),"")))</f>
        <v/>
      </c>
      <c r="K6" s="73" t="str">
        <f>IF(ISBLANK(J6),"",IFERROR(INDEX('Tournament List'!$D:$D,MATCH(J6,'Tournament List'!$A:$A,0)),""))</f>
        <v/>
      </c>
      <c r="L6" s="98" t="str">
        <f>IF(E6="Skeet",IFERROR(INDEX('Shooter-Squad Assignment'!$A:$A,MATCH(C6&amp;"-"&amp;D6&amp;"-"&amp;E6&amp;"-Pos4",'Shooter-Squad Assignment'!#REF!,0)),""),IF(E6="Trap",IFERROR(INDEX('Shooter-Squad Assignment'!$A:$A,MATCH(C6&amp;"-"&amp;D6&amp;"-"&amp;E6&amp;"-Pos4",'Shooter-Squad Assignment'!$V:$V,0)),""),IF(E6="Sporting Clays",IFERROR(INDEX('Shooter-Squad Assignment'!$A:$A,MATCH(C6&amp;"-"&amp;D6&amp;"-"&amp;E6&amp;"-Pos4",'Shooter-Squad Assignment'!$Y:$Y,0)),""),"")))</f>
        <v/>
      </c>
      <c r="M6" s="73" t="str">
        <f>IF(ISBLANK(L6),"",IFERROR(INDEX('Tournament List'!$D:$D,MATCH(L6,'Tournament List'!$A:$A,0)),""))</f>
        <v/>
      </c>
      <c r="N6" s="98" t="str">
        <f>IF(E6="Skeet",IFERROR(INDEX('Shooter-Squad Assignment'!$A:$A,MATCH(C6&amp;"-"&amp;D6&amp;"-"&amp;E6&amp;"-Pos5",'Shooter-Squad Assignment'!#REF!,0)),""),IF(E6="Trap",IFERROR(INDEX('Shooter-Squad Assignment'!$A:$A,MATCH(C6&amp;"-"&amp;D6&amp;"-"&amp;E6&amp;"-Pos5",'Shooter-Squad Assignment'!$V:$V,0)),""),IF(E6="Sporting Clays",IFERROR(INDEX('Shooter-Squad Assignment'!$A:$A,MATCH(C6&amp;"-"&amp;D6&amp;"-"&amp;E6&amp;"-Pos5",'Shooter-Squad Assignment'!$Y:$Y,0)),""),"")))</f>
        <v/>
      </c>
      <c r="O6" s="80" t="str">
        <f>IF(ISBLANK(N6),"",IFERROR(INDEX('Tournament List'!$D:$D,MATCH(N6,'Tournament List'!$A:$A,0)),""))</f>
        <v/>
      </c>
    </row>
    <row r="7" spans="1:15" x14ac:dyDescent="0.3">
      <c r="A7" s="79">
        <v>15</v>
      </c>
      <c r="B7" s="73" t="str">
        <f t="shared" si="0"/>
        <v>High Plains Drifters-Intermediate 3-Skeet</v>
      </c>
      <c r="C7" s="73" t="s">
        <v>307</v>
      </c>
      <c r="D7" s="73" t="s">
        <v>352</v>
      </c>
      <c r="E7" s="73" t="s">
        <v>143</v>
      </c>
      <c r="F7" s="98" t="str">
        <f>IF(E7="Skeet",IFERROR(INDEX('Shooter-Squad Assignment'!$A:$A,MATCH(C7&amp;"-"&amp;D7&amp;"-"&amp;E7&amp;"-Pos1",'Shooter-Squad Assignment'!#REF!,0)),""),IF(E7="Trap",IFERROR(INDEX('Shooter-Squad Assignment'!$A:$A,MATCH(C7&amp;"-"&amp;D7&amp;"-"&amp;E7&amp;"-Pos1",'Shooter-Squad Assignment'!$V:$V,0)),""),IF(E7="Sporting Clays",IFERROR(INDEX('Shooter-Squad Assignment'!$A:$A,MATCH(C7&amp;"-"&amp;D7&amp;"-"&amp;E7&amp;"-Pos1",'Shooter-Squad Assignment'!$Y:$Y,0)),""),"")))</f>
        <v/>
      </c>
      <c r="G7" s="73" t="str">
        <f>IF(ISBLANK(F7),"",IFERROR(INDEX('Tournament List'!$D:$D,MATCH(F7,'Tournament List'!$A:$A,0)),""))</f>
        <v/>
      </c>
      <c r="H7" s="98" t="str">
        <f>IF(E7="Skeet",IFERROR(INDEX('Shooter-Squad Assignment'!$A:$A,MATCH(C7&amp;"-"&amp;D7&amp;"-"&amp;E7&amp;"-Pos2",'Shooter-Squad Assignment'!#REF!,0)),""),IF(E7="Trap",IFERROR(INDEX('Shooter-Squad Assignment'!$A:$A,MATCH(C7&amp;"-"&amp;D7&amp;"-"&amp;E7&amp;"-Pos2",'Shooter-Squad Assignment'!$V:$V,0)),""),IF(E7="Sporting Clays",IFERROR(INDEX('Shooter-Squad Assignment'!$A:$A,MATCH(C7&amp;"-"&amp;D7&amp;"-"&amp;E7&amp;"-Pos2",'Shooter-Squad Assignment'!$Y:$Y,0)),""),"")))</f>
        <v/>
      </c>
      <c r="I7" s="73" t="str">
        <f>IF(ISBLANK(H7),"",IFERROR(INDEX('Tournament List'!$D:$D,MATCH(H7,'Tournament List'!$A:$A,0)),""))</f>
        <v/>
      </c>
      <c r="J7" s="98" t="str">
        <f>IF(E7="Skeet",IFERROR(INDEX('Shooter-Squad Assignment'!$A:$A,MATCH(C7&amp;"-"&amp;D7&amp;"-"&amp;E7&amp;"-Pos3",'Shooter-Squad Assignment'!#REF!,0)),""),IF(E7="Trap",IFERROR(INDEX('Shooter-Squad Assignment'!$A:$A,MATCH(C7&amp;"-"&amp;D7&amp;"-"&amp;E7&amp;"-Pos3",'Shooter-Squad Assignment'!$V:$V,0)),""),IF(E7="Sporting Clays",IFERROR(INDEX('Shooter-Squad Assignment'!$A:$A,MATCH(C7&amp;"-"&amp;D7&amp;"-"&amp;E7&amp;"-Pos3",'Shooter-Squad Assignment'!$Y:$Y,0)),""),"")))</f>
        <v/>
      </c>
      <c r="K7" s="73" t="str">
        <f>IF(ISBLANK(J7),"",IFERROR(INDEX('Tournament List'!$D:$D,MATCH(J7,'Tournament List'!$A:$A,0)),""))</f>
        <v/>
      </c>
      <c r="L7" s="98" t="str">
        <f>IF(E7="Skeet",IFERROR(INDEX('Shooter-Squad Assignment'!$A:$A,MATCH(C7&amp;"-"&amp;D7&amp;"-"&amp;E7&amp;"-Pos4",'Shooter-Squad Assignment'!#REF!,0)),""),IF(E7="Trap",IFERROR(INDEX('Shooter-Squad Assignment'!$A:$A,MATCH(C7&amp;"-"&amp;D7&amp;"-"&amp;E7&amp;"-Pos4",'Shooter-Squad Assignment'!$V:$V,0)),""),IF(E7="Sporting Clays",IFERROR(INDEX('Shooter-Squad Assignment'!$A:$A,MATCH(C7&amp;"-"&amp;D7&amp;"-"&amp;E7&amp;"-Pos4",'Shooter-Squad Assignment'!$Y:$Y,0)),""),"")))</f>
        <v/>
      </c>
      <c r="M7" s="73" t="str">
        <f>IF(ISBLANK(L7),"",IFERROR(INDEX('Tournament List'!$D:$D,MATCH(L7,'Tournament List'!$A:$A,0)),""))</f>
        <v/>
      </c>
      <c r="N7" s="98" t="str">
        <f>IF(E7="Skeet",IFERROR(INDEX('Shooter-Squad Assignment'!$A:$A,MATCH(C7&amp;"-"&amp;D7&amp;"-"&amp;E7&amp;"-Pos5",'Shooter-Squad Assignment'!#REF!,0)),""),IF(E7="Trap",IFERROR(INDEX('Shooter-Squad Assignment'!$A:$A,MATCH(C7&amp;"-"&amp;D7&amp;"-"&amp;E7&amp;"-Pos5",'Shooter-Squad Assignment'!$V:$V,0)),""),IF(E7="Sporting Clays",IFERROR(INDEX('Shooter-Squad Assignment'!$A:$A,MATCH(C7&amp;"-"&amp;D7&amp;"-"&amp;E7&amp;"-Pos5",'Shooter-Squad Assignment'!$Y:$Y,0)),""),"")))</f>
        <v/>
      </c>
      <c r="O7" s="80" t="str">
        <f>IF(ISBLANK(N7),"",IFERROR(INDEX('Tournament List'!$D:$D,MATCH(N7,'Tournament List'!$A:$A,0)),""))</f>
        <v/>
      </c>
    </row>
    <row r="8" spans="1:15" x14ac:dyDescent="0.3">
      <c r="A8" s="79">
        <v>16</v>
      </c>
      <c r="B8" s="73" t="str">
        <f t="shared" si="0"/>
        <v>High Plains Drifters-Junior Varsity 1-Skeet</v>
      </c>
      <c r="C8" s="73" t="s">
        <v>307</v>
      </c>
      <c r="D8" s="73" t="s">
        <v>341</v>
      </c>
      <c r="E8" s="73" t="s">
        <v>143</v>
      </c>
      <c r="F8" s="98" t="str">
        <f>IF(E8="Skeet",IFERROR(INDEX('Shooter-Squad Assignment'!$A:$A,MATCH(C8&amp;"-"&amp;D8&amp;"-"&amp;E8&amp;"-Pos1",'Shooter-Squad Assignment'!#REF!,0)),""),IF(E8="Trap",IFERROR(INDEX('Shooter-Squad Assignment'!$A:$A,MATCH(C8&amp;"-"&amp;D8&amp;"-"&amp;E8&amp;"-Pos1",'Shooter-Squad Assignment'!$V:$V,0)),""),IF(E8="Sporting Clays",IFERROR(INDEX('Shooter-Squad Assignment'!$A:$A,MATCH(C8&amp;"-"&amp;D8&amp;"-"&amp;E8&amp;"-Pos1",'Shooter-Squad Assignment'!$Y:$Y,0)),""),"")))</f>
        <v/>
      </c>
      <c r="G8" s="73" t="str">
        <f>IF(ISBLANK(F8),"",IFERROR(INDEX('Tournament List'!$D:$D,MATCH(F8,'Tournament List'!$A:$A,0)),""))</f>
        <v/>
      </c>
      <c r="H8" s="98" t="str">
        <f>IF(E8="Skeet",IFERROR(INDEX('Shooter-Squad Assignment'!$A:$A,MATCH(C8&amp;"-"&amp;D8&amp;"-"&amp;E8&amp;"-Pos2",'Shooter-Squad Assignment'!#REF!,0)),""),IF(E8="Trap",IFERROR(INDEX('Shooter-Squad Assignment'!$A:$A,MATCH(C8&amp;"-"&amp;D8&amp;"-"&amp;E8&amp;"-Pos2",'Shooter-Squad Assignment'!$V:$V,0)),""),IF(E8="Sporting Clays",IFERROR(INDEX('Shooter-Squad Assignment'!$A:$A,MATCH(C8&amp;"-"&amp;D8&amp;"-"&amp;E8&amp;"-Pos2",'Shooter-Squad Assignment'!$Y:$Y,0)),""),"")))</f>
        <v/>
      </c>
      <c r="I8" s="73" t="str">
        <f>IF(ISBLANK(H8),"",IFERROR(INDEX('Tournament List'!$D:$D,MATCH(H8,'Tournament List'!$A:$A,0)),""))</f>
        <v/>
      </c>
      <c r="J8" s="98" t="str">
        <f>IF(E8="Skeet",IFERROR(INDEX('Shooter-Squad Assignment'!$A:$A,MATCH(C8&amp;"-"&amp;D8&amp;"-"&amp;E8&amp;"-Pos3",'Shooter-Squad Assignment'!#REF!,0)),""),IF(E8="Trap",IFERROR(INDEX('Shooter-Squad Assignment'!$A:$A,MATCH(C8&amp;"-"&amp;D8&amp;"-"&amp;E8&amp;"-Pos3",'Shooter-Squad Assignment'!$V:$V,0)),""),IF(E8="Sporting Clays",IFERROR(INDEX('Shooter-Squad Assignment'!$A:$A,MATCH(C8&amp;"-"&amp;D8&amp;"-"&amp;E8&amp;"-Pos3",'Shooter-Squad Assignment'!$Y:$Y,0)),""),"")))</f>
        <v/>
      </c>
      <c r="K8" s="73" t="str">
        <f>IF(ISBLANK(J8),"",IFERROR(INDEX('Tournament List'!$D:$D,MATCH(J8,'Tournament List'!$A:$A,0)),""))</f>
        <v/>
      </c>
      <c r="L8" s="98" t="str">
        <f>IF(E8="Skeet",IFERROR(INDEX('Shooter-Squad Assignment'!$A:$A,MATCH(C8&amp;"-"&amp;D8&amp;"-"&amp;E8&amp;"-Pos4",'Shooter-Squad Assignment'!#REF!,0)),""),IF(E8="Trap",IFERROR(INDEX('Shooter-Squad Assignment'!$A:$A,MATCH(C8&amp;"-"&amp;D8&amp;"-"&amp;E8&amp;"-Pos4",'Shooter-Squad Assignment'!$V:$V,0)),""),IF(E8="Sporting Clays",IFERROR(INDEX('Shooter-Squad Assignment'!$A:$A,MATCH(C8&amp;"-"&amp;D8&amp;"-"&amp;E8&amp;"-Pos4",'Shooter-Squad Assignment'!$Y:$Y,0)),""),"")))</f>
        <v/>
      </c>
      <c r="M8" s="73" t="str">
        <f>IF(ISBLANK(L8),"",IFERROR(INDEX('Tournament List'!$D:$D,MATCH(L8,'Tournament List'!$A:$A,0)),""))</f>
        <v/>
      </c>
      <c r="N8" s="98" t="str">
        <f>IF(E8="Skeet",IFERROR(INDEX('Shooter-Squad Assignment'!$A:$A,MATCH(C8&amp;"-"&amp;D8&amp;"-"&amp;E8&amp;"-Pos5",'Shooter-Squad Assignment'!#REF!,0)),""),IF(E8="Trap",IFERROR(INDEX('Shooter-Squad Assignment'!$A:$A,MATCH(C8&amp;"-"&amp;D8&amp;"-"&amp;E8&amp;"-Pos5",'Shooter-Squad Assignment'!$V:$V,0)),""),IF(E8="Sporting Clays",IFERROR(INDEX('Shooter-Squad Assignment'!$A:$A,MATCH(C8&amp;"-"&amp;D8&amp;"-"&amp;E8&amp;"-Pos5",'Shooter-Squad Assignment'!$Y:$Y,0)),""),"")))</f>
        <v/>
      </c>
      <c r="O8" s="80" t="str">
        <f>IF(ISBLANK(N8),"",IFERROR(INDEX('Tournament List'!$D:$D,MATCH(N8,'Tournament List'!$A:$A,0)),""))</f>
        <v/>
      </c>
    </row>
    <row r="9" spans="1:15" x14ac:dyDescent="0.3">
      <c r="A9" s="79">
        <v>17</v>
      </c>
      <c r="B9" s="73" t="str">
        <f t="shared" si="0"/>
        <v>High Plains Drifters-Junior Varsity 2-Skeet</v>
      </c>
      <c r="C9" s="73" t="s">
        <v>307</v>
      </c>
      <c r="D9" s="73" t="s">
        <v>347</v>
      </c>
      <c r="E9" s="73" t="s">
        <v>143</v>
      </c>
      <c r="F9" s="98" t="str">
        <f>IF(E9="Skeet",IFERROR(INDEX('Shooter-Squad Assignment'!$A:$A,MATCH(C9&amp;"-"&amp;D9&amp;"-"&amp;E9&amp;"-Pos1",'Shooter-Squad Assignment'!#REF!,0)),""),IF(E9="Trap",IFERROR(INDEX('Shooter-Squad Assignment'!$A:$A,MATCH(C9&amp;"-"&amp;D9&amp;"-"&amp;E9&amp;"-Pos1",'Shooter-Squad Assignment'!$V:$V,0)),""),IF(E9="Sporting Clays",IFERROR(INDEX('Shooter-Squad Assignment'!$A:$A,MATCH(C9&amp;"-"&amp;D9&amp;"-"&amp;E9&amp;"-Pos1",'Shooter-Squad Assignment'!$Y:$Y,0)),""),"")))</f>
        <v/>
      </c>
      <c r="G9" s="73" t="str">
        <f>IF(ISBLANK(F9),"",IFERROR(INDEX('Tournament List'!$D:$D,MATCH(F9,'Tournament List'!$A:$A,0)),""))</f>
        <v/>
      </c>
      <c r="H9" s="98" t="str">
        <f>IF(E9="Skeet",IFERROR(INDEX('Shooter-Squad Assignment'!$A:$A,MATCH(C9&amp;"-"&amp;D9&amp;"-"&amp;E9&amp;"-Pos2",'Shooter-Squad Assignment'!#REF!,0)),""),IF(E9="Trap",IFERROR(INDEX('Shooter-Squad Assignment'!$A:$A,MATCH(C9&amp;"-"&amp;D9&amp;"-"&amp;E9&amp;"-Pos2",'Shooter-Squad Assignment'!$V:$V,0)),""),IF(E9="Sporting Clays",IFERROR(INDEX('Shooter-Squad Assignment'!$A:$A,MATCH(C9&amp;"-"&amp;D9&amp;"-"&amp;E9&amp;"-Pos2",'Shooter-Squad Assignment'!$Y:$Y,0)),""),"")))</f>
        <v/>
      </c>
      <c r="I9" s="73" t="str">
        <f>IF(ISBLANK(H9),"",IFERROR(INDEX('Tournament List'!$D:$D,MATCH(H9,'Tournament List'!$A:$A,0)),""))</f>
        <v/>
      </c>
      <c r="J9" s="98" t="str">
        <f>IF(E9="Skeet",IFERROR(INDEX('Shooter-Squad Assignment'!$A:$A,MATCH(C9&amp;"-"&amp;D9&amp;"-"&amp;E9&amp;"-Pos3",'Shooter-Squad Assignment'!#REF!,0)),""),IF(E9="Trap",IFERROR(INDEX('Shooter-Squad Assignment'!$A:$A,MATCH(C9&amp;"-"&amp;D9&amp;"-"&amp;E9&amp;"-Pos3",'Shooter-Squad Assignment'!$V:$V,0)),""),IF(E9="Sporting Clays",IFERROR(INDEX('Shooter-Squad Assignment'!$A:$A,MATCH(C9&amp;"-"&amp;D9&amp;"-"&amp;E9&amp;"-Pos3",'Shooter-Squad Assignment'!$Y:$Y,0)),""),"")))</f>
        <v/>
      </c>
      <c r="K9" s="73" t="str">
        <f>IF(ISBLANK(J9),"",IFERROR(INDEX('Tournament List'!$D:$D,MATCH(J9,'Tournament List'!$A:$A,0)),""))</f>
        <v/>
      </c>
      <c r="L9" s="98" t="str">
        <f>IF(E9="Skeet",IFERROR(INDEX('Shooter-Squad Assignment'!$A:$A,MATCH(C9&amp;"-"&amp;D9&amp;"-"&amp;E9&amp;"-Pos4",'Shooter-Squad Assignment'!#REF!,0)),""),IF(E9="Trap",IFERROR(INDEX('Shooter-Squad Assignment'!$A:$A,MATCH(C9&amp;"-"&amp;D9&amp;"-"&amp;E9&amp;"-Pos4",'Shooter-Squad Assignment'!$V:$V,0)),""),IF(E9="Sporting Clays",IFERROR(INDEX('Shooter-Squad Assignment'!$A:$A,MATCH(C9&amp;"-"&amp;D9&amp;"-"&amp;E9&amp;"-Pos4",'Shooter-Squad Assignment'!$Y:$Y,0)),""),"")))</f>
        <v/>
      </c>
      <c r="M9" s="73" t="str">
        <f>IF(ISBLANK(L9),"",IFERROR(INDEX('Tournament List'!$D:$D,MATCH(L9,'Tournament List'!$A:$A,0)),""))</f>
        <v/>
      </c>
      <c r="N9" s="98" t="str">
        <f>IF(E9="Skeet",IFERROR(INDEX('Shooter-Squad Assignment'!$A:$A,MATCH(C9&amp;"-"&amp;D9&amp;"-"&amp;E9&amp;"-Pos5",'Shooter-Squad Assignment'!#REF!,0)),""),IF(E9="Trap",IFERROR(INDEX('Shooter-Squad Assignment'!$A:$A,MATCH(C9&amp;"-"&amp;D9&amp;"-"&amp;E9&amp;"-Pos5",'Shooter-Squad Assignment'!$V:$V,0)),""),IF(E9="Sporting Clays",IFERROR(INDEX('Shooter-Squad Assignment'!$A:$A,MATCH(C9&amp;"-"&amp;D9&amp;"-"&amp;E9&amp;"-Pos5",'Shooter-Squad Assignment'!$Y:$Y,0)),""),"")))</f>
        <v/>
      </c>
      <c r="O9" s="80" t="str">
        <f>IF(ISBLANK(N9),"",IFERROR(INDEX('Tournament List'!$D:$D,MATCH(N9,'Tournament List'!$A:$A,0)),""))</f>
        <v/>
      </c>
    </row>
    <row r="10" spans="1:15" x14ac:dyDescent="0.3">
      <c r="A10" s="79">
        <v>18</v>
      </c>
      <c r="B10" s="73" t="str">
        <f t="shared" si="0"/>
        <v>High Plains Drifters-Junior Varsity 3-Skeet</v>
      </c>
      <c r="C10" s="73" t="s">
        <v>307</v>
      </c>
      <c r="D10" s="73" t="s">
        <v>353</v>
      </c>
      <c r="E10" s="73" t="s">
        <v>143</v>
      </c>
      <c r="F10" s="98" t="str">
        <f>IF(E10="Skeet",IFERROR(INDEX('Shooter-Squad Assignment'!$A:$A,MATCH(C10&amp;"-"&amp;D10&amp;"-"&amp;E10&amp;"-Pos1",'Shooter-Squad Assignment'!#REF!,0)),""),IF(E10="Trap",IFERROR(INDEX('Shooter-Squad Assignment'!$A:$A,MATCH(C10&amp;"-"&amp;D10&amp;"-"&amp;E10&amp;"-Pos1",'Shooter-Squad Assignment'!$V:$V,0)),""),IF(E10="Sporting Clays",IFERROR(INDEX('Shooter-Squad Assignment'!$A:$A,MATCH(C10&amp;"-"&amp;D10&amp;"-"&amp;E10&amp;"-Pos1",'Shooter-Squad Assignment'!$Y:$Y,0)),""),"")))</f>
        <v/>
      </c>
      <c r="G10" s="73" t="str">
        <f>IF(ISBLANK(F10),"",IFERROR(INDEX('Tournament List'!$D:$D,MATCH(F10,'Tournament List'!$A:$A,0)),""))</f>
        <v/>
      </c>
      <c r="H10" s="98" t="str">
        <f>IF(E10="Skeet",IFERROR(INDEX('Shooter-Squad Assignment'!$A:$A,MATCH(C10&amp;"-"&amp;D10&amp;"-"&amp;E10&amp;"-Pos2",'Shooter-Squad Assignment'!#REF!,0)),""),IF(E10="Trap",IFERROR(INDEX('Shooter-Squad Assignment'!$A:$A,MATCH(C10&amp;"-"&amp;D10&amp;"-"&amp;E10&amp;"-Pos2",'Shooter-Squad Assignment'!$V:$V,0)),""),IF(E10="Sporting Clays",IFERROR(INDEX('Shooter-Squad Assignment'!$A:$A,MATCH(C10&amp;"-"&amp;D10&amp;"-"&amp;E10&amp;"-Pos2",'Shooter-Squad Assignment'!$Y:$Y,0)),""),"")))</f>
        <v/>
      </c>
      <c r="I10" s="73" t="str">
        <f>IF(ISBLANK(H10),"",IFERROR(INDEX('Tournament List'!$D:$D,MATCH(H10,'Tournament List'!$A:$A,0)),""))</f>
        <v/>
      </c>
      <c r="J10" s="98" t="str">
        <f>IF(E10="Skeet",IFERROR(INDEX('Shooter-Squad Assignment'!$A:$A,MATCH(C10&amp;"-"&amp;D10&amp;"-"&amp;E10&amp;"-Pos3",'Shooter-Squad Assignment'!#REF!,0)),""),IF(E10="Trap",IFERROR(INDEX('Shooter-Squad Assignment'!$A:$A,MATCH(C10&amp;"-"&amp;D10&amp;"-"&amp;E10&amp;"-Pos3",'Shooter-Squad Assignment'!$V:$V,0)),""),IF(E10="Sporting Clays",IFERROR(INDEX('Shooter-Squad Assignment'!$A:$A,MATCH(C10&amp;"-"&amp;D10&amp;"-"&amp;E10&amp;"-Pos3",'Shooter-Squad Assignment'!$Y:$Y,0)),""),"")))</f>
        <v/>
      </c>
      <c r="K10" s="73" t="str">
        <f>IF(ISBLANK(J10),"",IFERROR(INDEX('Tournament List'!$D:$D,MATCH(J10,'Tournament List'!$A:$A,0)),""))</f>
        <v/>
      </c>
      <c r="L10" s="98" t="str">
        <f>IF(E10="Skeet",IFERROR(INDEX('Shooter-Squad Assignment'!$A:$A,MATCH(C10&amp;"-"&amp;D10&amp;"-"&amp;E10&amp;"-Pos4",'Shooter-Squad Assignment'!#REF!,0)),""),IF(E10="Trap",IFERROR(INDEX('Shooter-Squad Assignment'!$A:$A,MATCH(C10&amp;"-"&amp;D10&amp;"-"&amp;E10&amp;"-Pos4",'Shooter-Squad Assignment'!$V:$V,0)),""),IF(E10="Sporting Clays",IFERROR(INDEX('Shooter-Squad Assignment'!$A:$A,MATCH(C10&amp;"-"&amp;D10&amp;"-"&amp;E10&amp;"-Pos4",'Shooter-Squad Assignment'!$Y:$Y,0)),""),"")))</f>
        <v/>
      </c>
      <c r="M10" s="73" t="str">
        <f>IF(ISBLANK(L10),"",IFERROR(INDEX('Tournament List'!$D:$D,MATCH(L10,'Tournament List'!$A:$A,0)),""))</f>
        <v/>
      </c>
      <c r="N10" s="98" t="str">
        <f>IF(E10="Skeet",IFERROR(INDEX('Shooter-Squad Assignment'!$A:$A,MATCH(C10&amp;"-"&amp;D10&amp;"-"&amp;E10&amp;"-Pos5",'Shooter-Squad Assignment'!#REF!,0)),""),IF(E10="Trap",IFERROR(INDEX('Shooter-Squad Assignment'!$A:$A,MATCH(C10&amp;"-"&amp;D10&amp;"-"&amp;E10&amp;"-Pos5",'Shooter-Squad Assignment'!$V:$V,0)),""),IF(E10="Sporting Clays",IFERROR(INDEX('Shooter-Squad Assignment'!$A:$A,MATCH(C10&amp;"-"&amp;D10&amp;"-"&amp;E10&amp;"-Pos5",'Shooter-Squad Assignment'!$Y:$Y,0)),""),"")))</f>
        <v/>
      </c>
      <c r="O10" s="80" t="str">
        <f>IF(ISBLANK(N10),"",IFERROR(INDEX('Tournament List'!$D:$D,MATCH(N10,'Tournament List'!$A:$A,0)),""))</f>
        <v/>
      </c>
    </row>
    <row r="11" spans="1:15" x14ac:dyDescent="0.3">
      <c r="A11" s="79">
        <v>19</v>
      </c>
      <c r="B11" s="73" t="str">
        <f t="shared" si="0"/>
        <v>High Plains Drifters-Novice 1-Skeet</v>
      </c>
      <c r="C11" s="73" t="s">
        <v>307</v>
      </c>
      <c r="D11" s="73" t="s">
        <v>339</v>
      </c>
      <c r="E11" s="73" t="s">
        <v>143</v>
      </c>
      <c r="F11" s="98" t="str">
        <f>IF(E11="Skeet",IFERROR(INDEX('Shooter-Squad Assignment'!$A:$A,MATCH(C11&amp;"-"&amp;D11&amp;"-"&amp;E11&amp;"-Pos1",'Shooter-Squad Assignment'!#REF!,0)),""),IF(E11="Trap",IFERROR(INDEX('Shooter-Squad Assignment'!$A:$A,MATCH(C11&amp;"-"&amp;D11&amp;"-"&amp;E11&amp;"-Pos1",'Shooter-Squad Assignment'!$V:$V,0)),""),IF(E11="Sporting Clays",IFERROR(INDEX('Shooter-Squad Assignment'!$A:$A,MATCH(C11&amp;"-"&amp;D11&amp;"-"&amp;E11&amp;"-Pos1",'Shooter-Squad Assignment'!$Y:$Y,0)),""),"")))</f>
        <v/>
      </c>
      <c r="G11" s="73" t="str">
        <f>IF(ISBLANK(F11),"",IFERROR(INDEX('Tournament List'!$D:$D,MATCH(F11,'Tournament List'!$A:$A,0)),""))</f>
        <v/>
      </c>
      <c r="H11" s="98" t="str">
        <f>IF(E11="Skeet",IFERROR(INDEX('Shooter-Squad Assignment'!$A:$A,MATCH(C11&amp;"-"&amp;D11&amp;"-"&amp;E11&amp;"-Pos2",'Shooter-Squad Assignment'!#REF!,0)),""),IF(E11="Trap",IFERROR(INDEX('Shooter-Squad Assignment'!$A:$A,MATCH(C11&amp;"-"&amp;D11&amp;"-"&amp;E11&amp;"-Pos2",'Shooter-Squad Assignment'!$V:$V,0)),""),IF(E11="Sporting Clays",IFERROR(INDEX('Shooter-Squad Assignment'!$A:$A,MATCH(C11&amp;"-"&amp;D11&amp;"-"&amp;E11&amp;"-Pos2",'Shooter-Squad Assignment'!$Y:$Y,0)),""),"")))</f>
        <v/>
      </c>
      <c r="I11" s="73" t="str">
        <f>IF(ISBLANK(H11),"",IFERROR(INDEX('Tournament List'!$D:$D,MATCH(H11,'Tournament List'!$A:$A,0)),""))</f>
        <v/>
      </c>
      <c r="J11" s="98" t="str">
        <f>IF(E11="Skeet",IFERROR(INDEX('Shooter-Squad Assignment'!$A:$A,MATCH(C11&amp;"-"&amp;D11&amp;"-"&amp;E11&amp;"-Pos3",'Shooter-Squad Assignment'!#REF!,0)),""),IF(E11="Trap",IFERROR(INDEX('Shooter-Squad Assignment'!$A:$A,MATCH(C11&amp;"-"&amp;D11&amp;"-"&amp;E11&amp;"-Pos3",'Shooter-Squad Assignment'!$V:$V,0)),""),IF(E11="Sporting Clays",IFERROR(INDEX('Shooter-Squad Assignment'!$A:$A,MATCH(C11&amp;"-"&amp;D11&amp;"-"&amp;E11&amp;"-Pos3",'Shooter-Squad Assignment'!$Y:$Y,0)),""),"")))</f>
        <v/>
      </c>
      <c r="K11" s="73" t="str">
        <f>IF(ISBLANK(J11),"",IFERROR(INDEX('Tournament List'!$D:$D,MATCH(J11,'Tournament List'!$A:$A,0)),""))</f>
        <v/>
      </c>
      <c r="L11" s="98" t="str">
        <f>IF(E11="Skeet",IFERROR(INDEX('Shooter-Squad Assignment'!$A:$A,MATCH(C11&amp;"-"&amp;D11&amp;"-"&amp;E11&amp;"-Pos4",'Shooter-Squad Assignment'!#REF!,0)),""),IF(E11="Trap",IFERROR(INDEX('Shooter-Squad Assignment'!$A:$A,MATCH(C11&amp;"-"&amp;D11&amp;"-"&amp;E11&amp;"-Pos4",'Shooter-Squad Assignment'!$V:$V,0)),""),IF(E11="Sporting Clays",IFERROR(INDEX('Shooter-Squad Assignment'!$A:$A,MATCH(C11&amp;"-"&amp;D11&amp;"-"&amp;E11&amp;"-Pos4",'Shooter-Squad Assignment'!$Y:$Y,0)),""),"")))</f>
        <v/>
      </c>
      <c r="M11" s="73" t="str">
        <f>IF(ISBLANK(L11),"",IFERROR(INDEX('Tournament List'!$D:$D,MATCH(L11,'Tournament List'!$A:$A,0)),""))</f>
        <v/>
      </c>
      <c r="N11" s="98" t="str">
        <f>IF(E11="Skeet",IFERROR(INDEX('Shooter-Squad Assignment'!$A:$A,MATCH(C11&amp;"-"&amp;D11&amp;"-"&amp;E11&amp;"-Pos5",'Shooter-Squad Assignment'!#REF!,0)),""),IF(E11="Trap",IFERROR(INDEX('Shooter-Squad Assignment'!$A:$A,MATCH(C11&amp;"-"&amp;D11&amp;"-"&amp;E11&amp;"-Pos5",'Shooter-Squad Assignment'!$V:$V,0)),""),IF(E11="Sporting Clays",IFERROR(INDEX('Shooter-Squad Assignment'!$A:$A,MATCH(C11&amp;"-"&amp;D11&amp;"-"&amp;E11&amp;"-Pos5",'Shooter-Squad Assignment'!$Y:$Y,0)),""),"")))</f>
        <v/>
      </c>
      <c r="O11" s="80" t="str">
        <f>IF(ISBLANK(N11),"",IFERROR(INDEX('Tournament List'!$D:$D,MATCH(N11,'Tournament List'!$A:$A,0)),""))</f>
        <v/>
      </c>
    </row>
    <row r="12" spans="1:15" x14ac:dyDescent="0.3">
      <c r="A12" s="79">
        <v>20</v>
      </c>
      <c r="B12" s="73" t="str">
        <f t="shared" si="0"/>
        <v>High Plains Drifters-Novice 2-Skeet</v>
      </c>
      <c r="C12" s="73" t="s">
        <v>307</v>
      </c>
      <c r="D12" s="73" t="s">
        <v>345</v>
      </c>
      <c r="E12" s="73" t="s">
        <v>143</v>
      </c>
      <c r="F12" s="98" t="str">
        <f>IF(E12="Skeet",IFERROR(INDEX('Shooter-Squad Assignment'!$A:$A,MATCH(C12&amp;"-"&amp;D12&amp;"-"&amp;E12&amp;"-Pos1",'Shooter-Squad Assignment'!#REF!,0)),""),IF(E12="Trap",IFERROR(INDEX('Shooter-Squad Assignment'!$A:$A,MATCH(C12&amp;"-"&amp;D12&amp;"-"&amp;E12&amp;"-Pos1",'Shooter-Squad Assignment'!$V:$V,0)),""),IF(E12="Sporting Clays",IFERROR(INDEX('Shooter-Squad Assignment'!$A:$A,MATCH(C12&amp;"-"&amp;D12&amp;"-"&amp;E12&amp;"-Pos1",'Shooter-Squad Assignment'!$Y:$Y,0)),""),"")))</f>
        <v/>
      </c>
      <c r="G12" s="73" t="str">
        <f>IF(ISBLANK(F12),"",IFERROR(INDEX('Tournament List'!$D:$D,MATCH(F12,'Tournament List'!$A:$A,0)),""))</f>
        <v/>
      </c>
      <c r="H12" s="98" t="str">
        <f>IF(E12="Skeet",IFERROR(INDEX('Shooter-Squad Assignment'!$A:$A,MATCH(C12&amp;"-"&amp;D12&amp;"-"&amp;E12&amp;"-Pos2",'Shooter-Squad Assignment'!#REF!,0)),""),IF(E12="Trap",IFERROR(INDEX('Shooter-Squad Assignment'!$A:$A,MATCH(C12&amp;"-"&amp;D12&amp;"-"&amp;E12&amp;"-Pos2",'Shooter-Squad Assignment'!$V:$V,0)),""),IF(E12="Sporting Clays",IFERROR(INDEX('Shooter-Squad Assignment'!$A:$A,MATCH(C12&amp;"-"&amp;D12&amp;"-"&amp;E12&amp;"-Pos2",'Shooter-Squad Assignment'!$Y:$Y,0)),""),"")))</f>
        <v/>
      </c>
      <c r="I12" s="73" t="str">
        <f>IF(ISBLANK(H12),"",IFERROR(INDEX('Tournament List'!$D:$D,MATCH(H12,'Tournament List'!$A:$A,0)),""))</f>
        <v/>
      </c>
      <c r="J12" s="98" t="str">
        <f>IF(E12="Skeet",IFERROR(INDEX('Shooter-Squad Assignment'!$A:$A,MATCH(C12&amp;"-"&amp;D12&amp;"-"&amp;E12&amp;"-Pos3",'Shooter-Squad Assignment'!#REF!,0)),""),IF(E12="Trap",IFERROR(INDEX('Shooter-Squad Assignment'!$A:$A,MATCH(C12&amp;"-"&amp;D12&amp;"-"&amp;E12&amp;"-Pos3",'Shooter-Squad Assignment'!$V:$V,0)),""),IF(E12="Sporting Clays",IFERROR(INDEX('Shooter-Squad Assignment'!$A:$A,MATCH(C12&amp;"-"&amp;D12&amp;"-"&amp;E12&amp;"-Pos3",'Shooter-Squad Assignment'!$Y:$Y,0)),""),"")))</f>
        <v/>
      </c>
      <c r="K12" s="73" t="str">
        <f>IF(ISBLANK(J12),"",IFERROR(INDEX('Tournament List'!$D:$D,MATCH(J12,'Tournament List'!$A:$A,0)),""))</f>
        <v/>
      </c>
      <c r="L12" s="98" t="str">
        <f>IF(E12="Skeet",IFERROR(INDEX('Shooter-Squad Assignment'!$A:$A,MATCH(C12&amp;"-"&amp;D12&amp;"-"&amp;E12&amp;"-Pos4",'Shooter-Squad Assignment'!#REF!,0)),""),IF(E12="Trap",IFERROR(INDEX('Shooter-Squad Assignment'!$A:$A,MATCH(C12&amp;"-"&amp;D12&amp;"-"&amp;E12&amp;"-Pos4",'Shooter-Squad Assignment'!$V:$V,0)),""),IF(E12="Sporting Clays",IFERROR(INDEX('Shooter-Squad Assignment'!$A:$A,MATCH(C12&amp;"-"&amp;D12&amp;"-"&amp;E12&amp;"-Pos4",'Shooter-Squad Assignment'!$Y:$Y,0)),""),"")))</f>
        <v/>
      </c>
      <c r="M12" s="73" t="str">
        <f>IF(ISBLANK(L12),"",IFERROR(INDEX('Tournament List'!$D:$D,MATCH(L12,'Tournament List'!$A:$A,0)),""))</f>
        <v/>
      </c>
      <c r="N12" s="98" t="str">
        <f>IF(E12="Skeet",IFERROR(INDEX('Shooter-Squad Assignment'!$A:$A,MATCH(C12&amp;"-"&amp;D12&amp;"-"&amp;E12&amp;"-Pos5",'Shooter-Squad Assignment'!#REF!,0)),""),IF(E12="Trap",IFERROR(INDEX('Shooter-Squad Assignment'!$A:$A,MATCH(C12&amp;"-"&amp;D12&amp;"-"&amp;E12&amp;"-Pos5",'Shooter-Squad Assignment'!$V:$V,0)),""),IF(E12="Sporting Clays",IFERROR(INDEX('Shooter-Squad Assignment'!$A:$A,MATCH(C12&amp;"-"&amp;D12&amp;"-"&amp;E12&amp;"-Pos5",'Shooter-Squad Assignment'!$Y:$Y,0)),""),"")))</f>
        <v/>
      </c>
      <c r="O12" s="80" t="str">
        <f>IF(ISBLANK(N12),"",IFERROR(INDEX('Tournament List'!$D:$D,MATCH(N12,'Tournament List'!$A:$A,0)),""))</f>
        <v/>
      </c>
    </row>
    <row r="13" spans="1:15" x14ac:dyDescent="0.3">
      <c r="A13" s="79">
        <v>21</v>
      </c>
      <c r="B13" s="73" t="str">
        <f t="shared" si="0"/>
        <v>High Plains Drifters-Novice 3-Skeet</v>
      </c>
      <c r="C13" s="73" t="s">
        <v>307</v>
      </c>
      <c r="D13" s="73" t="s">
        <v>351</v>
      </c>
      <c r="E13" s="73" t="s">
        <v>143</v>
      </c>
      <c r="F13" s="98" t="str">
        <f>IF(E13="Skeet",IFERROR(INDEX('Shooter-Squad Assignment'!$A:$A,MATCH(C13&amp;"-"&amp;D13&amp;"-"&amp;E13&amp;"-Pos1",'Shooter-Squad Assignment'!#REF!,0)),""),IF(E13="Trap",IFERROR(INDEX('Shooter-Squad Assignment'!$A:$A,MATCH(C13&amp;"-"&amp;D13&amp;"-"&amp;E13&amp;"-Pos1",'Shooter-Squad Assignment'!$V:$V,0)),""),IF(E13="Sporting Clays",IFERROR(INDEX('Shooter-Squad Assignment'!$A:$A,MATCH(C13&amp;"-"&amp;D13&amp;"-"&amp;E13&amp;"-Pos1",'Shooter-Squad Assignment'!$Y:$Y,0)),""),"")))</f>
        <v/>
      </c>
      <c r="G13" s="73" t="str">
        <f>IF(ISBLANK(F13),"",IFERROR(INDEX('Tournament List'!$D:$D,MATCH(F13,'Tournament List'!$A:$A,0)),""))</f>
        <v/>
      </c>
      <c r="H13" s="98" t="str">
        <f>IF(E13="Skeet",IFERROR(INDEX('Shooter-Squad Assignment'!$A:$A,MATCH(C13&amp;"-"&amp;D13&amp;"-"&amp;E13&amp;"-Pos2",'Shooter-Squad Assignment'!#REF!,0)),""),IF(E13="Trap",IFERROR(INDEX('Shooter-Squad Assignment'!$A:$A,MATCH(C13&amp;"-"&amp;D13&amp;"-"&amp;E13&amp;"-Pos2",'Shooter-Squad Assignment'!$V:$V,0)),""),IF(E13="Sporting Clays",IFERROR(INDEX('Shooter-Squad Assignment'!$A:$A,MATCH(C13&amp;"-"&amp;D13&amp;"-"&amp;E13&amp;"-Pos2",'Shooter-Squad Assignment'!$Y:$Y,0)),""),"")))</f>
        <v/>
      </c>
      <c r="I13" s="73" t="str">
        <f>IF(ISBLANK(H13),"",IFERROR(INDEX('Tournament List'!$D:$D,MATCH(H13,'Tournament List'!$A:$A,0)),""))</f>
        <v/>
      </c>
      <c r="J13" s="98" t="str">
        <f>IF(E13="Skeet",IFERROR(INDEX('Shooter-Squad Assignment'!$A:$A,MATCH(C13&amp;"-"&amp;D13&amp;"-"&amp;E13&amp;"-Pos3",'Shooter-Squad Assignment'!#REF!,0)),""),IF(E13="Trap",IFERROR(INDEX('Shooter-Squad Assignment'!$A:$A,MATCH(C13&amp;"-"&amp;D13&amp;"-"&amp;E13&amp;"-Pos3",'Shooter-Squad Assignment'!$V:$V,0)),""),IF(E13="Sporting Clays",IFERROR(INDEX('Shooter-Squad Assignment'!$A:$A,MATCH(C13&amp;"-"&amp;D13&amp;"-"&amp;E13&amp;"-Pos3",'Shooter-Squad Assignment'!$Y:$Y,0)),""),"")))</f>
        <v/>
      </c>
      <c r="K13" s="73" t="str">
        <f>IF(ISBLANK(J13),"",IFERROR(INDEX('Tournament List'!$D:$D,MATCH(J13,'Tournament List'!$A:$A,0)),""))</f>
        <v/>
      </c>
      <c r="L13" s="98" t="str">
        <f>IF(E13="Skeet",IFERROR(INDEX('Shooter-Squad Assignment'!$A:$A,MATCH(C13&amp;"-"&amp;D13&amp;"-"&amp;E13&amp;"-Pos4",'Shooter-Squad Assignment'!#REF!,0)),""),IF(E13="Trap",IFERROR(INDEX('Shooter-Squad Assignment'!$A:$A,MATCH(C13&amp;"-"&amp;D13&amp;"-"&amp;E13&amp;"-Pos4",'Shooter-Squad Assignment'!$V:$V,0)),""),IF(E13="Sporting Clays",IFERROR(INDEX('Shooter-Squad Assignment'!$A:$A,MATCH(C13&amp;"-"&amp;D13&amp;"-"&amp;E13&amp;"-Pos4",'Shooter-Squad Assignment'!$Y:$Y,0)),""),"")))</f>
        <v/>
      </c>
      <c r="M13" s="73" t="str">
        <f>IF(ISBLANK(L13),"",IFERROR(INDEX('Tournament List'!$D:$D,MATCH(L13,'Tournament List'!$A:$A,0)),""))</f>
        <v/>
      </c>
      <c r="N13" s="98" t="str">
        <f>IF(E13="Skeet",IFERROR(INDEX('Shooter-Squad Assignment'!$A:$A,MATCH(C13&amp;"-"&amp;D13&amp;"-"&amp;E13&amp;"-Pos5",'Shooter-Squad Assignment'!#REF!,0)),""),IF(E13="Trap",IFERROR(INDEX('Shooter-Squad Assignment'!$A:$A,MATCH(C13&amp;"-"&amp;D13&amp;"-"&amp;E13&amp;"-Pos5",'Shooter-Squad Assignment'!$V:$V,0)),""),IF(E13="Sporting Clays",IFERROR(INDEX('Shooter-Squad Assignment'!$A:$A,MATCH(C13&amp;"-"&amp;D13&amp;"-"&amp;E13&amp;"-Pos5",'Shooter-Squad Assignment'!$Y:$Y,0)),""),"")))</f>
        <v/>
      </c>
      <c r="O13" s="80" t="str">
        <f>IF(ISBLANK(N13),"",IFERROR(INDEX('Tournament List'!$D:$D,MATCH(N13,'Tournament List'!$A:$A,0)),""))</f>
        <v/>
      </c>
    </row>
    <row r="14" spans="1:15" x14ac:dyDescent="0.3">
      <c r="A14" s="79">
        <v>22</v>
      </c>
      <c r="B14" s="73" t="str">
        <f t="shared" si="0"/>
        <v>High Plains Drifters-Open 1-Skeet</v>
      </c>
      <c r="C14" s="73" t="s">
        <v>307</v>
      </c>
      <c r="D14" s="73" t="s">
        <v>343</v>
      </c>
      <c r="E14" s="73" t="s">
        <v>143</v>
      </c>
      <c r="F14" s="98" t="str">
        <f>IF(E14="Skeet",IFERROR(INDEX('Shooter-Squad Assignment'!$A:$A,MATCH(C14&amp;"-"&amp;D14&amp;"-"&amp;E14&amp;"-Pos1",'Shooter-Squad Assignment'!#REF!,0)),""),IF(E14="Trap",IFERROR(INDEX('Shooter-Squad Assignment'!$A:$A,MATCH(C14&amp;"-"&amp;D14&amp;"-"&amp;E14&amp;"-Pos1",'Shooter-Squad Assignment'!$V:$V,0)),""),IF(E14="Sporting Clays",IFERROR(INDEX('Shooter-Squad Assignment'!$A:$A,MATCH(C14&amp;"-"&amp;D14&amp;"-"&amp;E14&amp;"-Pos1",'Shooter-Squad Assignment'!$Y:$Y,0)),""),"")))</f>
        <v/>
      </c>
      <c r="G14" s="73" t="str">
        <f>IF(ISBLANK(F14),"",IFERROR(INDEX('Tournament List'!$D:$D,MATCH(F14,'Tournament List'!$A:$A,0)),""))</f>
        <v/>
      </c>
      <c r="H14" s="98" t="str">
        <f>IF(E14="Skeet",IFERROR(INDEX('Shooter-Squad Assignment'!$A:$A,MATCH(C14&amp;"-"&amp;D14&amp;"-"&amp;E14&amp;"-Pos2",'Shooter-Squad Assignment'!#REF!,0)),""),IF(E14="Trap",IFERROR(INDEX('Shooter-Squad Assignment'!$A:$A,MATCH(C14&amp;"-"&amp;D14&amp;"-"&amp;E14&amp;"-Pos2",'Shooter-Squad Assignment'!$V:$V,0)),""),IF(E14="Sporting Clays",IFERROR(INDEX('Shooter-Squad Assignment'!$A:$A,MATCH(C14&amp;"-"&amp;D14&amp;"-"&amp;E14&amp;"-Pos2",'Shooter-Squad Assignment'!$Y:$Y,0)),""),"")))</f>
        <v/>
      </c>
      <c r="I14" s="73" t="str">
        <f>IF(ISBLANK(H14),"",IFERROR(INDEX('Tournament List'!$D:$D,MATCH(H14,'Tournament List'!$A:$A,0)),""))</f>
        <v/>
      </c>
      <c r="J14" s="98" t="str">
        <f>IF(E14="Skeet",IFERROR(INDEX('Shooter-Squad Assignment'!$A:$A,MATCH(C14&amp;"-"&amp;D14&amp;"-"&amp;E14&amp;"-Pos3",'Shooter-Squad Assignment'!#REF!,0)),""),IF(E14="Trap",IFERROR(INDEX('Shooter-Squad Assignment'!$A:$A,MATCH(C14&amp;"-"&amp;D14&amp;"-"&amp;E14&amp;"-Pos3",'Shooter-Squad Assignment'!$V:$V,0)),""),IF(E14="Sporting Clays",IFERROR(INDEX('Shooter-Squad Assignment'!$A:$A,MATCH(C14&amp;"-"&amp;D14&amp;"-"&amp;E14&amp;"-Pos3",'Shooter-Squad Assignment'!$Y:$Y,0)),""),"")))</f>
        <v/>
      </c>
      <c r="K14" s="73" t="str">
        <f>IF(ISBLANK(J14),"",IFERROR(INDEX('Tournament List'!$D:$D,MATCH(J14,'Tournament List'!$A:$A,0)),""))</f>
        <v/>
      </c>
      <c r="L14" s="98" t="str">
        <f>IF(E14="Skeet",IFERROR(INDEX('Shooter-Squad Assignment'!$A:$A,MATCH(C14&amp;"-"&amp;D14&amp;"-"&amp;E14&amp;"-Pos4",'Shooter-Squad Assignment'!#REF!,0)),""),IF(E14="Trap",IFERROR(INDEX('Shooter-Squad Assignment'!$A:$A,MATCH(C14&amp;"-"&amp;D14&amp;"-"&amp;E14&amp;"-Pos4",'Shooter-Squad Assignment'!$V:$V,0)),""),IF(E14="Sporting Clays",IFERROR(INDEX('Shooter-Squad Assignment'!$A:$A,MATCH(C14&amp;"-"&amp;D14&amp;"-"&amp;E14&amp;"-Pos4",'Shooter-Squad Assignment'!$Y:$Y,0)),""),"")))</f>
        <v/>
      </c>
      <c r="M14" s="73" t="str">
        <f>IF(ISBLANK(L14),"",IFERROR(INDEX('Tournament List'!$D:$D,MATCH(L14,'Tournament List'!$A:$A,0)),""))</f>
        <v/>
      </c>
      <c r="N14" s="98" t="str">
        <f>IF(E14="Skeet",IFERROR(INDEX('Shooter-Squad Assignment'!$A:$A,MATCH(C14&amp;"-"&amp;D14&amp;"-"&amp;E14&amp;"-Pos5",'Shooter-Squad Assignment'!#REF!,0)),""),IF(E14="Trap",IFERROR(INDEX('Shooter-Squad Assignment'!$A:$A,MATCH(C14&amp;"-"&amp;D14&amp;"-"&amp;E14&amp;"-Pos5",'Shooter-Squad Assignment'!$V:$V,0)),""),IF(E14="Sporting Clays",IFERROR(INDEX('Shooter-Squad Assignment'!$A:$A,MATCH(C14&amp;"-"&amp;D14&amp;"-"&amp;E14&amp;"-Pos5",'Shooter-Squad Assignment'!$Y:$Y,0)),""),"")))</f>
        <v/>
      </c>
      <c r="O14" s="80" t="str">
        <f>IF(ISBLANK(N14),"",IFERROR(INDEX('Tournament List'!$D:$D,MATCH(N14,'Tournament List'!$A:$A,0)),""))</f>
        <v/>
      </c>
    </row>
    <row r="15" spans="1:15" x14ac:dyDescent="0.3">
      <c r="A15" s="79">
        <v>23</v>
      </c>
      <c r="B15" s="73" t="str">
        <f t="shared" si="0"/>
        <v>High Plains Drifters-Open 2-Skeet</v>
      </c>
      <c r="C15" s="73" t="s">
        <v>307</v>
      </c>
      <c r="D15" s="73" t="s">
        <v>349</v>
      </c>
      <c r="E15" s="73" t="s">
        <v>143</v>
      </c>
      <c r="F15" s="98" t="str">
        <f>IF(E15="Skeet",IFERROR(INDEX('Shooter-Squad Assignment'!$A:$A,MATCH(C15&amp;"-"&amp;D15&amp;"-"&amp;E15&amp;"-Pos1",'Shooter-Squad Assignment'!#REF!,0)),""),IF(E15="Trap",IFERROR(INDEX('Shooter-Squad Assignment'!$A:$A,MATCH(C15&amp;"-"&amp;D15&amp;"-"&amp;E15&amp;"-Pos1",'Shooter-Squad Assignment'!$V:$V,0)),""),IF(E15="Sporting Clays",IFERROR(INDEX('Shooter-Squad Assignment'!$A:$A,MATCH(C15&amp;"-"&amp;D15&amp;"-"&amp;E15&amp;"-Pos1",'Shooter-Squad Assignment'!$Y:$Y,0)),""),"")))</f>
        <v/>
      </c>
      <c r="G15" s="73" t="str">
        <f>IF(ISBLANK(F15),"",IFERROR(INDEX('Tournament List'!$D:$D,MATCH(F15,'Tournament List'!$A:$A,0)),""))</f>
        <v/>
      </c>
      <c r="H15" s="98" t="str">
        <f>IF(E15="Skeet",IFERROR(INDEX('Shooter-Squad Assignment'!$A:$A,MATCH(C15&amp;"-"&amp;D15&amp;"-"&amp;E15&amp;"-Pos2",'Shooter-Squad Assignment'!#REF!,0)),""),IF(E15="Trap",IFERROR(INDEX('Shooter-Squad Assignment'!$A:$A,MATCH(C15&amp;"-"&amp;D15&amp;"-"&amp;E15&amp;"-Pos2",'Shooter-Squad Assignment'!$V:$V,0)),""),IF(E15="Sporting Clays",IFERROR(INDEX('Shooter-Squad Assignment'!$A:$A,MATCH(C15&amp;"-"&amp;D15&amp;"-"&amp;E15&amp;"-Pos2",'Shooter-Squad Assignment'!$Y:$Y,0)),""),"")))</f>
        <v/>
      </c>
      <c r="I15" s="73" t="str">
        <f>IF(ISBLANK(H15),"",IFERROR(INDEX('Tournament List'!$D:$D,MATCH(H15,'Tournament List'!$A:$A,0)),""))</f>
        <v/>
      </c>
      <c r="J15" s="98" t="str">
        <f>IF(E15="Skeet",IFERROR(INDEX('Shooter-Squad Assignment'!$A:$A,MATCH(C15&amp;"-"&amp;D15&amp;"-"&amp;E15&amp;"-Pos3",'Shooter-Squad Assignment'!#REF!,0)),""),IF(E15="Trap",IFERROR(INDEX('Shooter-Squad Assignment'!$A:$A,MATCH(C15&amp;"-"&amp;D15&amp;"-"&amp;E15&amp;"-Pos3",'Shooter-Squad Assignment'!$V:$V,0)),""),IF(E15="Sporting Clays",IFERROR(INDEX('Shooter-Squad Assignment'!$A:$A,MATCH(C15&amp;"-"&amp;D15&amp;"-"&amp;E15&amp;"-Pos3",'Shooter-Squad Assignment'!$Y:$Y,0)),""),"")))</f>
        <v/>
      </c>
      <c r="K15" s="73" t="str">
        <f>IF(ISBLANK(J15),"",IFERROR(INDEX('Tournament List'!$D:$D,MATCH(J15,'Tournament List'!$A:$A,0)),""))</f>
        <v/>
      </c>
      <c r="L15" s="98" t="str">
        <f>IF(E15="Skeet",IFERROR(INDEX('Shooter-Squad Assignment'!$A:$A,MATCH(C15&amp;"-"&amp;D15&amp;"-"&amp;E15&amp;"-Pos4",'Shooter-Squad Assignment'!#REF!,0)),""),IF(E15="Trap",IFERROR(INDEX('Shooter-Squad Assignment'!$A:$A,MATCH(C15&amp;"-"&amp;D15&amp;"-"&amp;E15&amp;"-Pos4",'Shooter-Squad Assignment'!$V:$V,0)),""),IF(E15="Sporting Clays",IFERROR(INDEX('Shooter-Squad Assignment'!$A:$A,MATCH(C15&amp;"-"&amp;D15&amp;"-"&amp;E15&amp;"-Pos4",'Shooter-Squad Assignment'!$Y:$Y,0)),""),"")))</f>
        <v/>
      </c>
      <c r="M15" s="73" t="str">
        <f>IF(ISBLANK(L15),"",IFERROR(INDEX('Tournament List'!$D:$D,MATCH(L15,'Tournament List'!$A:$A,0)),""))</f>
        <v/>
      </c>
      <c r="N15" s="98" t="str">
        <f>IF(E15="Skeet",IFERROR(INDEX('Shooter-Squad Assignment'!$A:$A,MATCH(C15&amp;"-"&amp;D15&amp;"-"&amp;E15&amp;"-Pos5",'Shooter-Squad Assignment'!#REF!,0)),""),IF(E15="Trap",IFERROR(INDEX('Shooter-Squad Assignment'!$A:$A,MATCH(C15&amp;"-"&amp;D15&amp;"-"&amp;E15&amp;"-Pos5",'Shooter-Squad Assignment'!$V:$V,0)),""),IF(E15="Sporting Clays",IFERROR(INDEX('Shooter-Squad Assignment'!$A:$A,MATCH(C15&amp;"-"&amp;D15&amp;"-"&amp;E15&amp;"-Pos5",'Shooter-Squad Assignment'!$Y:$Y,0)),""),"")))</f>
        <v/>
      </c>
      <c r="O15" s="80" t="str">
        <f>IF(ISBLANK(N15),"",IFERROR(INDEX('Tournament List'!$D:$D,MATCH(N15,'Tournament List'!$A:$A,0)),""))</f>
        <v/>
      </c>
    </row>
    <row r="16" spans="1:15" x14ac:dyDescent="0.3">
      <c r="A16" s="79">
        <v>24</v>
      </c>
      <c r="B16" s="73" t="str">
        <f t="shared" si="0"/>
        <v>High Plains Drifters-Open 3-Skeet</v>
      </c>
      <c r="C16" s="73" t="s">
        <v>307</v>
      </c>
      <c r="D16" s="73" t="s">
        <v>355</v>
      </c>
      <c r="E16" s="73" t="s">
        <v>143</v>
      </c>
      <c r="F16" s="98" t="str">
        <f>IF(E16="Skeet",IFERROR(INDEX('Shooter-Squad Assignment'!$A:$A,MATCH(C16&amp;"-"&amp;D16&amp;"-"&amp;E16&amp;"-Pos1",'Shooter-Squad Assignment'!#REF!,0)),""),IF(E16="Trap",IFERROR(INDEX('Shooter-Squad Assignment'!$A:$A,MATCH(C16&amp;"-"&amp;D16&amp;"-"&amp;E16&amp;"-Pos1",'Shooter-Squad Assignment'!$V:$V,0)),""),IF(E16="Sporting Clays",IFERROR(INDEX('Shooter-Squad Assignment'!$A:$A,MATCH(C16&amp;"-"&amp;D16&amp;"-"&amp;E16&amp;"-Pos1",'Shooter-Squad Assignment'!$Y:$Y,0)),""),"")))</f>
        <v/>
      </c>
      <c r="G16" s="73" t="str">
        <f>IF(ISBLANK(F16),"",IFERROR(INDEX('Tournament List'!$D:$D,MATCH(F16,'Tournament List'!$A:$A,0)),""))</f>
        <v/>
      </c>
      <c r="H16" s="98" t="str">
        <f>IF(E16="Skeet",IFERROR(INDEX('Shooter-Squad Assignment'!$A:$A,MATCH(C16&amp;"-"&amp;D16&amp;"-"&amp;E16&amp;"-Pos2",'Shooter-Squad Assignment'!#REF!,0)),""),IF(E16="Trap",IFERROR(INDEX('Shooter-Squad Assignment'!$A:$A,MATCH(C16&amp;"-"&amp;D16&amp;"-"&amp;E16&amp;"-Pos2",'Shooter-Squad Assignment'!$V:$V,0)),""),IF(E16="Sporting Clays",IFERROR(INDEX('Shooter-Squad Assignment'!$A:$A,MATCH(C16&amp;"-"&amp;D16&amp;"-"&amp;E16&amp;"-Pos2",'Shooter-Squad Assignment'!$Y:$Y,0)),""),"")))</f>
        <v/>
      </c>
      <c r="I16" s="73" t="str">
        <f>IF(ISBLANK(H16),"",IFERROR(INDEX('Tournament List'!$D:$D,MATCH(H16,'Tournament List'!$A:$A,0)),""))</f>
        <v/>
      </c>
      <c r="J16" s="98" t="str">
        <f>IF(E16="Skeet",IFERROR(INDEX('Shooter-Squad Assignment'!$A:$A,MATCH(C16&amp;"-"&amp;D16&amp;"-"&amp;E16&amp;"-Pos3",'Shooter-Squad Assignment'!#REF!,0)),""),IF(E16="Trap",IFERROR(INDEX('Shooter-Squad Assignment'!$A:$A,MATCH(C16&amp;"-"&amp;D16&amp;"-"&amp;E16&amp;"-Pos3",'Shooter-Squad Assignment'!$V:$V,0)),""),IF(E16="Sporting Clays",IFERROR(INDEX('Shooter-Squad Assignment'!$A:$A,MATCH(C16&amp;"-"&amp;D16&amp;"-"&amp;E16&amp;"-Pos3",'Shooter-Squad Assignment'!$Y:$Y,0)),""),"")))</f>
        <v/>
      </c>
      <c r="K16" s="73" t="str">
        <f>IF(ISBLANK(J16),"",IFERROR(INDEX('Tournament List'!$D:$D,MATCH(J16,'Tournament List'!$A:$A,0)),""))</f>
        <v/>
      </c>
      <c r="L16" s="98" t="str">
        <f>IF(E16="Skeet",IFERROR(INDEX('Shooter-Squad Assignment'!$A:$A,MATCH(C16&amp;"-"&amp;D16&amp;"-"&amp;E16&amp;"-Pos4",'Shooter-Squad Assignment'!#REF!,0)),""),IF(E16="Trap",IFERROR(INDEX('Shooter-Squad Assignment'!$A:$A,MATCH(C16&amp;"-"&amp;D16&amp;"-"&amp;E16&amp;"-Pos4",'Shooter-Squad Assignment'!$V:$V,0)),""),IF(E16="Sporting Clays",IFERROR(INDEX('Shooter-Squad Assignment'!$A:$A,MATCH(C16&amp;"-"&amp;D16&amp;"-"&amp;E16&amp;"-Pos4",'Shooter-Squad Assignment'!$Y:$Y,0)),""),"")))</f>
        <v/>
      </c>
      <c r="M16" s="73" t="str">
        <f>IF(ISBLANK(L16),"",IFERROR(INDEX('Tournament List'!$D:$D,MATCH(L16,'Tournament List'!$A:$A,0)),""))</f>
        <v/>
      </c>
      <c r="N16" s="98" t="str">
        <f>IF(E16="Skeet",IFERROR(INDEX('Shooter-Squad Assignment'!$A:$A,MATCH(C16&amp;"-"&amp;D16&amp;"-"&amp;E16&amp;"-Pos5",'Shooter-Squad Assignment'!#REF!,0)),""),IF(E16="Trap",IFERROR(INDEX('Shooter-Squad Assignment'!$A:$A,MATCH(C16&amp;"-"&amp;D16&amp;"-"&amp;E16&amp;"-Pos5",'Shooter-Squad Assignment'!$V:$V,0)),""),IF(E16="Sporting Clays",IFERROR(INDEX('Shooter-Squad Assignment'!$A:$A,MATCH(C16&amp;"-"&amp;D16&amp;"-"&amp;E16&amp;"-Pos5",'Shooter-Squad Assignment'!$Y:$Y,0)),""),"")))</f>
        <v/>
      </c>
      <c r="O16" s="80" t="str">
        <f>IF(ISBLANK(N16),"",IFERROR(INDEX('Tournament List'!$D:$D,MATCH(N16,'Tournament List'!$A:$A,0)),""))</f>
        <v/>
      </c>
    </row>
    <row r="17" spans="1:15" x14ac:dyDescent="0.3">
      <c r="A17" s="79">
        <v>25</v>
      </c>
      <c r="B17" s="73" t="str">
        <f t="shared" si="0"/>
        <v>High Plains Drifters-Varsity 1-Skeet</v>
      </c>
      <c r="C17" s="73" t="s">
        <v>307</v>
      </c>
      <c r="D17" s="73" t="s">
        <v>342</v>
      </c>
      <c r="E17" s="73" t="s">
        <v>143</v>
      </c>
      <c r="F17" s="98" t="str">
        <f>IF(E17="Skeet",IFERROR(INDEX('Shooter-Squad Assignment'!$A:$A,MATCH(C17&amp;"-"&amp;D17&amp;"-"&amp;E17&amp;"-Pos1",'Shooter-Squad Assignment'!#REF!,0)),""),IF(E17="Trap",IFERROR(INDEX('Shooter-Squad Assignment'!$A:$A,MATCH(C17&amp;"-"&amp;D17&amp;"-"&amp;E17&amp;"-Pos1",'Shooter-Squad Assignment'!$V:$V,0)),""),IF(E17="Sporting Clays",IFERROR(INDEX('Shooter-Squad Assignment'!$A:$A,MATCH(C17&amp;"-"&amp;D17&amp;"-"&amp;E17&amp;"-Pos1",'Shooter-Squad Assignment'!$Y:$Y,0)),""),"")))</f>
        <v/>
      </c>
      <c r="G17" s="73" t="str">
        <f>IF(ISBLANK(F17),"",IFERROR(INDEX('Tournament List'!$D:$D,MATCH(F17,'Tournament List'!$A:$A,0)),""))</f>
        <v/>
      </c>
      <c r="H17" s="98" t="str">
        <f>IF(E17="Skeet",IFERROR(INDEX('Shooter-Squad Assignment'!$A:$A,MATCH(C17&amp;"-"&amp;D17&amp;"-"&amp;E17&amp;"-Pos2",'Shooter-Squad Assignment'!#REF!,0)),""),IF(E17="Trap",IFERROR(INDEX('Shooter-Squad Assignment'!$A:$A,MATCH(C17&amp;"-"&amp;D17&amp;"-"&amp;E17&amp;"-Pos2",'Shooter-Squad Assignment'!$V:$V,0)),""),IF(E17="Sporting Clays",IFERROR(INDEX('Shooter-Squad Assignment'!$A:$A,MATCH(C17&amp;"-"&amp;D17&amp;"-"&amp;E17&amp;"-Pos2",'Shooter-Squad Assignment'!$Y:$Y,0)),""),"")))</f>
        <v/>
      </c>
      <c r="I17" s="73" t="str">
        <f>IF(ISBLANK(H17),"",IFERROR(INDEX('Tournament List'!$D:$D,MATCH(H17,'Tournament List'!$A:$A,0)),""))</f>
        <v/>
      </c>
      <c r="J17" s="98" t="str">
        <f>IF(E17="Skeet",IFERROR(INDEX('Shooter-Squad Assignment'!$A:$A,MATCH(C17&amp;"-"&amp;D17&amp;"-"&amp;E17&amp;"-Pos3",'Shooter-Squad Assignment'!#REF!,0)),""),IF(E17="Trap",IFERROR(INDEX('Shooter-Squad Assignment'!$A:$A,MATCH(C17&amp;"-"&amp;D17&amp;"-"&amp;E17&amp;"-Pos3",'Shooter-Squad Assignment'!$V:$V,0)),""),IF(E17="Sporting Clays",IFERROR(INDEX('Shooter-Squad Assignment'!$A:$A,MATCH(C17&amp;"-"&amp;D17&amp;"-"&amp;E17&amp;"-Pos3",'Shooter-Squad Assignment'!$Y:$Y,0)),""),"")))</f>
        <v/>
      </c>
      <c r="K17" s="73" t="str">
        <f>IF(ISBLANK(J17),"",IFERROR(INDEX('Tournament List'!$D:$D,MATCH(J17,'Tournament List'!$A:$A,0)),""))</f>
        <v/>
      </c>
      <c r="L17" s="98" t="str">
        <f>IF(E17="Skeet",IFERROR(INDEX('Shooter-Squad Assignment'!$A:$A,MATCH(C17&amp;"-"&amp;D17&amp;"-"&amp;E17&amp;"-Pos4",'Shooter-Squad Assignment'!#REF!,0)),""),IF(E17="Trap",IFERROR(INDEX('Shooter-Squad Assignment'!$A:$A,MATCH(C17&amp;"-"&amp;D17&amp;"-"&amp;E17&amp;"-Pos4",'Shooter-Squad Assignment'!$V:$V,0)),""),IF(E17="Sporting Clays",IFERROR(INDEX('Shooter-Squad Assignment'!$A:$A,MATCH(C17&amp;"-"&amp;D17&amp;"-"&amp;E17&amp;"-Pos4",'Shooter-Squad Assignment'!$Y:$Y,0)),""),"")))</f>
        <v/>
      </c>
      <c r="M17" s="73" t="str">
        <f>IF(ISBLANK(L17),"",IFERROR(INDEX('Tournament List'!$D:$D,MATCH(L17,'Tournament List'!$A:$A,0)),""))</f>
        <v/>
      </c>
      <c r="N17" s="98" t="str">
        <f>IF(E17="Skeet",IFERROR(INDEX('Shooter-Squad Assignment'!$A:$A,MATCH(C17&amp;"-"&amp;D17&amp;"-"&amp;E17&amp;"-Pos5",'Shooter-Squad Assignment'!#REF!,0)),""),IF(E17="Trap",IFERROR(INDEX('Shooter-Squad Assignment'!$A:$A,MATCH(C17&amp;"-"&amp;D17&amp;"-"&amp;E17&amp;"-Pos5",'Shooter-Squad Assignment'!$V:$V,0)),""),IF(E17="Sporting Clays",IFERROR(INDEX('Shooter-Squad Assignment'!$A:$A,MATCH(C17&amp;"-"&amp;D17&amp;"-"&amp;E17&amp;"-Pos5",'Shooter-Squad Assignment'!$Y:$Y,0)),""),"")))</f>
        <v/>
      </c>
      <c r="O17" s="80" t="str">
        <f>IF(ISBLANK(N17),"",IFERROR(INDEX('Tournament List'!$D:$D,MATCH(N17,'Tournament List'!$A:$A,0)),""))</f>
        <v/>
      </c>
    </row>
    <row r="18" spans="1:15" x14ac:dyDescent="0.3">
      <c r="A18" s="79">
        <v>26</v>
      </c>
      <c r="B18" s="73" t="str">
        <f t="shared" si="0"/>
        <v>High Plains Drifters-Varsity 2-Skeet</v>
      </c>
      <c r="C18" s="73" t="s">
        <v>307</v>
      </c>
      <c r="D18" s="73" t="s">
        <v>348</v>
      </c>
      <c r="E18" s="73" t="s">
        <v>143</v>
      </c>
      <c r="F18" s="98" t="str">
        <f>IF(E18="Skeet",IFERROR(INDEX('Shooter-Squad Assignment'!$A:$A,MATCH(C18&amp;"-"&amp;D18&amp;"-"&amp;E18&amp;"-Pos1",'Shooter-Squad Assignment'!#REF!,0)),""),IF(E18="Trap",IFERROR(INDEX('Shooter-Squad Assignment'!$A:$A,MATCH(C18&amp;"-"&amp;D18&amp;"-"&amp;E18&amp;"-Pos1",'Shooter-Squad Assignment'!$V:$V,0)),""),IF(E18="Sporting Clays",IFERROR(INDEX('Shooter-Squad Assignment'!$A:$A,MATCH(C18&amp;"-"&amp;D18&amp;"-"&amp;E18&amp;"-Pos1",'Shooter-Squad Assignment'!$Y:$Y,0)),""),"")))</f>
        <v/>
      </c>
      <c r="G18" s="73" t="str">
        <f>IF(ISBLANK(F18),"",IFERROR(INDEX('Tournament List'!$D:$D,MATCH(F18,'Tournament List'!$A:$A,0)),""))</f>
        <v/>
      </c>
      <c r="H18" s="98" t="str">
        <f>IF(E18="Skeet",IFERROR(INDEX('Shooter-Squad Assignment'!$A:$A,MATCH(C18&amp;"-"&amp;D18&amp;"-"&amp;E18&amp;"-Pos2",'Shooter-Squad Assignment'!#REF!,0)),""),IF(E18="Trap",IFERROR(INDEX('Shooter-Squad Assignment'!$A:$A,MATCH(C18&amp;"-"&amp;D18&amp;"-"&amp;E18&amp;"-Pos2",'Shooter-Squad Assignment'!$V:$V,0)),""),IF(E18="Sporting Clays",IFERROR(INDEX('Shooter-Squad Assignment'!$A:$A,MATCH(C18&amp;"-"&amp;D18&amp;"-"&amp;E18&amp;"-Pos2",'Shooter-Squad Assignment'!$Y:$Y,0)),""),"")))</f>
        <v/>
      </c>
      <c r="I18" s="73" t="str">
        <f>IF(ISBLANK(H18),"",IFERROR(INDEX('Tournament List'!$D:$D,MATCH(H18,'Tournament List'!$A:$A,0)),""))</f>
        <v/>
      </c>
      <c r="J18" s="98" t="str">
        <f>IF(E18="Skeet",IFERROR(INDEX('Shooter-Squad Assignment'!$A:$A,MATCH(C18&amp;"-"&amp;D18&amp;"-"&amp;E18&amp;"-Pos3",'Shooter-Squad Assignment'!#REF!,0)),""),IF(E18="Trap",IFERROR(INDEX('Shooter-Squad Assignment'!$A:$A,MATCH(C18&amp;"-"&amp;D18&amp;"-"&amp;E18&amp;"-Pos3",'Shooter-Squad Assignment'!$V:$V,0)),""),IF(E18="Sporting Clays",IFERROR(INDEX('Shooter-Squad Assignment'!$A:$A,MATCH(C18&amp;"-"&amp;D18&amp;"-"&amp;E18&amp;"-Pos3",'Shooter-Squad Assignment'!$Y:$Y,0)),""),"")))</f>
        <v/>
      </c>
      <c r="K18" s="73" t="str">
        <f>IF(ISBLANK(J18),"",IFERROR(INDEX('Tournament List'!$D:$D,MATCH(J18,'Tournament List'!$A:$A,0)),""))</f>
        <v/>
      </c>
      <c r="L18" s="98" t="str">
        <f>IF(E18="Skeet",IFERROR(INDEX('Shooter-Squad Assignment'!$A:$A,MATCH(C18&amp;"-"&amp;D18&amp;"-"&amp;E18&amp;"-Pos4",'Shooter-Squad Assignment'!#REF!,0)),""),IF(E18="Trap",IFERROR(INDEX('Shooter-Squad Assignment'!$A:$A,MATCH(C18&amp;"-"&amp;D18&amp;"-"&amp;E18&amp;"-Pos4",'Shooter-Squad Assignment'!$V:$V,0)),""),IF(E18="Sporting Clays",IFERROR(INDEX('Shooter-Squad Assignment'!$A:$A,MATCH(C18&amp;"-"&amp;D18&amp;"-"&amp;E18&amp;"-Pos4",'Shooter-Squad Assignment'!$Y:$Y,0)),""),"")))</f>
        <v/>
      </c>
      <c r="M18" s="73" t="str">
        <f>IF(ISBLANK(L18),"",IFERROR(INDEX('Tournament List'!$D:$D,MATCH(L18,'Tournament List'!$A:$A,0)),""))</f>
        <v/>
      </c>
      <c r="N18" s="98" t="str">
        <f>IF(E18="Skeet",IFERROR(INDEX('Shooter-Squad Assignment'!$A:$A,MATCH(C18&amp;"-"&amp;D18&amp;"-"&amp;E18&amp;"-Pos5",'Shooter-Squad Assignment'!#REF!,0)),""),IF(E18="Trap",IFERROR(INDEX('Shooter-Squad Assignment'!$A:$A,MATCH(C18&amp;"-"&amp;D18&amp;"-"&amp;E18&amp;"-Pos5",'Shooter-Squad Assignment'!$V:$V,0)),""),IF(E18="Sporting Clays",IFERROR(INDEX('Shooter-Squad Assignment'!$A:$A,MATCH(C18&amp;"-"&amp;D18&amp;"-"&amp;E18&amp;"-Pos5",'Shooter-Squad Assignment'!$Y:$Y,0)),""),"")))</f>
        <v/>
      </c>
      <c r="O18" s="80" t="str">
        <f>IF(ISBLANK(N18),"",IFERROR(INDEX('Tournament List'!$D:$D,MATCH(N18,'Tournament List'!$A:$A,0)),""))</f>
        <v/>
      </c>
    </row>
    <row r="19" spans="1:15" x14ac:dyDescent="0.3">
      <c r="A19" s="79">
        <v>27</v>
      </c>
      <c r="B19" s="73" t="str">
        <f t="shared" si="0"/>
        <v>High Plains Drifters-Varsity 3-Skeet</v>
      </c>
      <c r="C19" s="73" t="s">
        <v>307</v>
      </c>
      <c r="D19" s="73" t="s">
        <v>354</v>
      </c>
      <c r="E19" s="73" t="s">
        <v>143</v>
      </c>
      <c r="F19" s="98" t="str">
        <f>IF(E19="Skeet",IFERROR(INDEX('Shooter-Squad Assignment'!$A:$A,MATCH(C19&amp;"-"&amp;D19&amp;"-"&amp;E19&amp;"-Pos1",'Shooter-Squad Assignment'!#REF!,0)),""),IF(E19="Trap",IFERROR(INDEX('Shooter-Squad Assignment'!$A:$A,MATCH(C19&amp;"-"&amp;D19&amp;"-"&amp;E19&amp;"-Pos1",'Shooter-Squad Assignment'!$V:$V,0)),""),IF(E19="Sporting Clays",IFERROR(INDEX('Shooter-Squad Assignment'!$A:$A,MATCH(C19&amp;"-"&amp;D19&amp;"-"&amp;E19&amp;"-Pos1",'Shooter-Squad Assignment'!$Y:$Y,0)),""),"")))</f>
        <v/>
      </c>
      <c r="G19" s="73" t="str">
        <f>IF(ISBLANK(F19),"",IFERROR(INDEX('Tournament List'!$D:$D,MATCH(F19,'Tournament List'!$A:$A,0)),""))</f>
        <v/>
      </c>
      <c r="H19" s="98" t="str">
        <f>IF(E19="Skeet",IFERROR(INDEX('Shooter-Squad Assignment'!$A:$A,MATCH(C19&amp;"-"&amp;D19&amp;"-"&amp;E19&amp;"-Pos2",'Shooter-Squad Assignment'!#REF!,0)),""),IF(E19="Trap",IFERROR(INDEX('Shooter-Squad Assignment'!$A:$A,MATCH(C19&amp;"-"&amp;D19&amp;"-"&amp;E19&amp;"-Pos2",'Shooter-Squad Assignment'!$V:$V,0)),""),IF(E19="Sporting Clays",IFERROR(INDEX('Shooter-Squad Assignment'!$A:$A,MATCH(C19&amp;"-"&amp;D19&amp;"-"&amp;E19&amp;"-Pos2",'Shooter-Squad Assignment'!$Y:$Y,0)),""),"")))</f>
        <v/>
      </c>
      <c r="I19" s="73" t="str">
        <f>IF(ISBLANK(H19),"",IFERROR(INDEX('Tournament List'!$D:$D,MATCH(H19,'Tournament List'!$A:$A,0)),""))</f>
        <v/>
      </c>
      <c r="J19" s="98" t="str">
        <f>IF(E19="Skeet",IFERROR(INDEX('Shooter-Squad Assignment'!$A:$A,MATCH(C19&amp;"-"&amp;D19&amp;"-"&amp;E19&amp;"-Pos3",'Shooter-Squad Assignment'!#REF!,0)),""),IF(E19="Trap",IFERROR(INDEX('Shooter-Squad Assignment'!$A:$A,MATCH(C19&amp;"-"&amp;D19&amp;"-"&amp;E19&amp;"-Pos3",'Shooter-Squad Assignment'!$V:$V,0)),""),IF(E19="Sporting Clays",IFERROR(INDEX('Shooter-Squad Assignment'!$A:$A,MATCH(C19&amp;"-"&amp;D19&amp;"-"&amp;E19&amp;"-Pos3",'Shooter-Squad Assignment'!$Y:$Y,0)),""),"")))</f>
        <v/>
      </c>
      <c r="K19" s="73" t="str">
        <f>IF(ISBLANK(J19),"",IFERROR(INDEX('Tournament List'!$D:$D,MATCH(J19,'Tournament List'!$A:$A,0)),""))</f>
        <v/>
      </c>
      <c r="L19" s="98" t="str">
        <f>IF(E19="Skeet",IFERROR(INDEX('Shooter-Squad Assignment'!$A:$A,MATCH(C19&amp;"-"&amp;D19&amp;"-"&amp;E19&amp;"-Pos4",'Shooter-Squad Assignment'!#REF!,0)),""),IF(E19="Trap",IFERROR(INDEX('Shooter-Squad Assignment'!$A:$A,MATCH(C19&amp;"-"&amp;D19&amp;"-"&amp;E19&amp;"-Pos4",'Shooter-Squad Assignment'!$V:$V,0)),""),IF(E19="Sporting Clays",IFERROR(INDEX('Shooter-Squad Assignment'!$A:$A,MATCH(C19&amp;"-"&amp;D19&amp;"-"&amp;E19&amp;"-Pos4",'Shooter-Squad Assignment'!$Y:$Y,0)),""),"")))</f>
        <v/>
      </c>
      <c r="M19" s="73" t="str">
        <f>IF(ISBLANK(L19),"",IFERROR(INDEX('Tournament List'!$D:$D,MATCH(L19,'Tournament List'!$A:$A,0)),""))</f>
        <v/>
      </c>
      <c r="N19" s="98" t="str">
        <f>IF(E19="Skeet",IFERROR(INDEX('Shooter-Squad Assignment'!$A:$A,MATCH(C19&amp;"-"&amp;D19&amp;"-"&amp;E19&amp;"-Pos5",'Shooter-Squad Assignment'!#REF!,0)),""),IF(E19="Trap",IFERROR(INDEX('Shooter-Squad Assignment'!$A:$A,MATCH(C19&amp;"-"&amp;D19&amp;"-"&amp;E19&amp;"-Pos5",'Shooter-Squad Assignment'!$V:$V,0)),""),IF(E19="Sporting Clays",IFERROR(INDEX('Shooter-Squad Assignment'!$A:$A,MATCH(C19&amp;"-"&amp;D19&amp;"-"&amp;E19&amp;"-Pos5",'Shooter-Squad Assignment'!$Y:$Y,0)),""),"")))</f>
        <v/>
      </c>
      <c r="O19" s="80" t="str">
        <f>IF(ISBLANK(N19),"",IFERROR(INDEX('Tournament List'!$D:$D,MATCH(N19,'Tournament List'!$A:$A,0)),""))</f>
        <v/>
      </c>
    </row>
    <row r="20" spans="1:15" x14ac:dyDescent="0.3">
      <c r="A20" s="79">
        <v>28</v>
      </c>
      <c r="B20" s="73" t="str">
        <f t="shared" si="0"/>
        <v>High Plains Drifters-Collegiate 1-Trap</v>
      </c>
      <c r="C20" s="73" t="s">
        <v>307</v>
      </c>
      <c r="D20" s="73" t="s">
        <v>344</v>
      </c>
      <c r="E20" s="73" t="s">
        <v>147</v>
      </c>
      <c r="F20" s="98" t="str">
        <f>IF(E20="Skeet",IFERROR(INDEX('Shooter-Squad Assignment'!$A:$A,MATCH(C20&amp;"-"&amp;D20&amp;"-"&amp;E20&amp;"-Pos1",'Shooter-Squad Assignment'!#REF!,0)),""),IF(E20="Trap",IFERROR(INDEX('Shooter-Squad Assignment'!$A:$A,MATCH(C20&amp;"-"&amp;D20&amp;"-"&amp;E20&amp;"-Pos1",'Shooter-Squad Assignment'!$V:$V,0)),""),IF(E20="Sporting Clays",IFERROR(INDEX('Shooter-Squad Assignment'!$A:$A,MATCH(C20&amp;"-"&amp;D20&amp;"-"&amp;E20&amp;"-Pos1",'Shooter-Squad Assignment'!$Y:$Y,0)),""),"")))</f>
        <v/>
      </c>
      <c r="G20" s="73" t="str">
        <f>IF(ISBLANK(F20),"",IFERROR(INDEX('Tournament List'!$D:$D,MATCH(F20,'Tournament List'!$A:$A,0)),""))</f>
        <v/>
      </c>
      <c r="H20" s="98" t="str">
        <f>IF(E20="Skeet",IFERROR(INDEX('Shooter-Squad Assignment'!$A:$A,MATCH(C20&amp;"-"&amp;D20&amp;"-"&amp;E20&amp;"-Pos2",'Shooter-Squad Assignment'!#REF!,0)),""),IF(E20="Trap",IFERROR(INDEX('Shooter-Squad Assignment'!$A:$A,MATCH(C20&amp;"-"&amp;D20&amp;"-"&amp;E20&amp;"-Pos2",'Shooter-Squad Assignment'!$V:$V,0)),""),IF(E20="Sporting Clays",IFERROR(INDEX('Shooter-Squad Assignment'!$A:$A,MATCH(C20&amp;"-"&amp;D20&amp;"-"&amp;E20&amp;"-Pos2",'Shooter-Squad Assignment'!$Y:$Y,0)),""),"")))</f>
        <v/>
      </c>
      <c r="I20" s="73" t="str">
        <f>IF(ISBLANK(H20),"",IFERROR(INDEX('Tournament List'!$D:$D,MATCH(H20,'Tournament List'!$A:$A,0)),""))</f>
        <v/>
      </c>
      <c r="J20" s="98" t="str">
        <f>IF(E20="Skeet",IFERROR(INDEX('Shooter-Squad Assignment'!$A:$A,MATCH(C20&amp;"-"&amp;D20&amp;"-"&amp;E20&amp;"-Pos3",'Shooter-Squad Assignment'!#REF!,0)),""),IF(E20="Trap",IFERROR(INDEX('Shooter-Squad Assignment'!$A:$A,MATCH(C20&amp;"-"&amp;D20&amp;"-"&amp;E20&amp;"-Pos3",'Shooter-Squad Assignment'!$V:$V,0)),""),IF(E20="Sporting Clays",IFERROR(INDEX('Shooter-Squad Assignment'!$A:$A,MATCH(C20&amp;"-"&amp;D20&amp;"-"&amp;E20&amp;"-Pos3",'Shooter-Squad Assignment'!$Y:$Y,0)),""),"")))</f>
        <v/>
      </c>
      <c r="K20" s="73" t="str">
        <f>IF(ISBLANK(J20),"",IFERROR(INDEX('Tournament List'!$D:$D,MATCH(J20,'Tournament List'!$A:$A,0)),""))</f>
        <v/>
      </c>
      <c r="L20" s="98" t="str">
        <f>IF(E20="Skeet",IFERROR(INDEX('Shooter-Squad Assignment'!$A:$A,MATCH(C20&amp;"-"&amp;D20&amp;"-"&amp;E20&amp;"-Pos4",'Shooter-Squad Assignment'!#REF!,0)),""),IF(E20="Trap",IFERROR(INDEX('Shooter-Squad Assignment'!$A:$A,MATCH(C20&amp;"-"&amp;D20&amp;"-"&amp;E20&amp;"-Pos4",'Shooter-Squad Assignment'!$V:$V,0)),""),IF(E20="Sporting Clays",IFERROR(INDEX('Shooter-Squad Assignment'!$A:$A,MATCH(C20&amp;"-"&amp;D20&amp;"-"&amp;E20&amp;"-Pos4",'Shooter-Squad Assignment'!$Y:$Y,0)),""),"")))</f>
        <v/>
      </c>
      <c r="M20" s="73" t="str">
        <f>IF(ISBLANK(L20),"",IFERROR(INDEX('Tournament List'!$D:$D,MATCH(L20,'Tournament List'!$A:$A,0)),""))</f>
        <v/>
      </c>
      <c r="N20" s="98" t="str">
        <f>IF(E20="Skeet",IFERROR(INDEX('Shooter-Squad Assignment'!$A:$A,MATCH(C20&amp;"-"&amp;D20&amp;"-"&amp;E20&amp;"-Pos5",'Shooter-Squad Assignment'!#REF!,0)),""),IF(E20="Trap",IFERROR(INDEX('Shooter-Squad Assignment'!$A:$A,MATCH(C20&amp;"-"&amp;D20&amp;"-"&amp;E20&amp;"-Pos5",'Shooter-Squad Assignment'!$V:$V,0)),""),IF(E20="Sporting Clays",IFERROR(INDEX('Shooter-Squad Assignment'!$A:$A,MATCH(C20&amp;"-"&amp;D20&amp;"-"&amp;E20&amp;"-Pos5",'Shooter-Squad Assignment'!$Y:$Y,0)),""),"")))</f>
        <v/>
      </c>
      <c r="O20" s="80" t="str">
        <f>IF(ISBLANK(N20),"",IFERROR(INDEX('Tournament List'!$D:$D,MATCH(N20,'Tournament List'!$A:$A,0)),""))</f>
        <v/>
      </c>
    </row>
    <row r="21" spans="1:15" x14ac:dyDescent="0.3">
      <c r="A21" s="79">
        <v>29</v>
      </c>
      <c r="B21" s="73" t="str">
        <f t="shared" si="0"/>
        <v>High Plains Drifters-Collegiate 2-Trap</v>
      </c>
      <c r="C21" s="73" t="s">
        <v>307</v>
      </c>
      <c r="D21" s="73" t="s">
        <v>350</v>
      </c>
      <c r="E21" s="73" t="s">
        <v>147</v>
      </c>
      <c r="F21" s="98" t="str">
        <f>IF(E21="Skeet",IFERROR(INDEX('Shooter-Squad Assignment'!$A:$A,MATCH(C21&amp;"-"&amp;D21&amp;"-"&amp;E21&amp;"-Pos1",'Shooter-Squad Assignment'!#REF!,0)),""),IF(E21="Trap",IFERROR(INDEX('Shooter-Squad Assignment'!$A:$A,MATCH(C21&amp;"-"&amp;D21&amp;"-"&amp;E21&amp;"-Pos1",'Shooter-Squad Assignment'!$V:$V,0)),""),IF(E21="Sporting Clays",IFERROR(INDEX('Shooter-Squad Assignment'!$A:$A,MATCH(C21&amp;"-"&amp;D21&amp;"-"&amp;E21&amp;"-Pos1",'Shooter-Squad Assignment'!$Y:$Y,0)),""),"")))</f>
        <v/>
      </c>
      <c r="G21" s="73" t="str">
        <f>IF(ISBLANK(F21),"",IFERROR(INDEX('Tournament List'!$D:$D,MATCH(F21,'Tournament List'!$A:$A,0)),""))</f>
        <v/>
      </c>
      <c r="H21" s="98" t="str">
        <f>IF(E21="Skeet",IFERROR(INDEX('Shooter-Squad Assignment'!$A:$A,MATCH(C21&amp;"-"&amp;D21&amp;"-"&amp;E21&amp;"-Pos2",'Shooter-Squad Assignment'!#REF!,0)),""),IF(E21="Trap",IFERROR(INDEX('Shooter-Squad Assignment'!$A:$A,MATCH(C21&amp;"-"&amp;D21&amp;"-"&amp;E21&amp;"-Pos2",'Shooter-Squad Assignment'!$V:$V,0)),""),IF(E21="Sporting Clays",IFERROR(INDEX('Shooter-Squad Assignment'!$A:$A,MATCH(C21&amp;"-"&amp;D21&amp;"-"&amp;E21&amp;"-Pos2",'Shooter-Squad Assignment'!$Y:$Y,0)),""),"")))</f>
        <v/>
      </c>
      <c r="I21" s="73" t="str">
        <f>IF(ISBLANK(H21),"",IFERROR(INDEX('Tournament List'!$D:$D,MATCH(H21,'Tournament List'!$A:$A,0)),""))</f>
        <v/>
      </c>
      <c r="J21" s="98" t="str">
        <f>IF(E21="Skeet",IFERROR(INDEX('Shooter-Squad Assignment'!$A:$A,MATCH(C21&amp;"-"&amp;D21&amp;"-"&amp;E21&amp;"-Pos3",'Shooter-Squad Assignment'!#REF!,0)),""),IF(E21="Trap",IFERROR(INDEX('Shooter-Squad Assignment'!$A:$A,MATCH(C21&amp;"-"&amp;D21&amp;"-"&amp;E21&amp;"-Pos3",'Shooter-Squad Assignment'!$V:$V,0)),""),IF(E21="Sporting Clays",IFERROR(INDEX('Shooter-Squad Assignment'!$A:$A,MATCH(C21&amp;"-"&amp;D21&amp;"-"&amp;E21&amp;"-Pos3",'Shooter-Squad Assignment'!$Y:$Y,0)),""),"")))</f>
        <v/>
      </c>
      <c r="K21" s="73" t="str">
        <f>IF(ISBLANK(J21),"",IFERROR(INDEX('Tournament List'!$D:$D,MATCH(J21,'Tournament List'!$A:$A,0)),""))</f>
        <v/>
      </c>
      <c r="L21" s="98" t="str">
        <f>IF(E21="Skeet",IFERROR(INDEX('Shooter-Squad Assignment'!$A:$A,MATCH(C21&amp;"-"&amp;D21&amp;"-"&amp;E21&amp;"-Pos4",'Shooter-Squad Assignment'!#REF!,0)),""),IF(E21="Trap",IFERROR(INDEX('Shooter-Squad Assignment'!$A:$A,MATCH(C21&amp;"-"&amp;D21&amp;"-"&amp;E21&amp;"-Pos4",'Shooter-Squad Assignment'!$V:$V,0)),""),IF(E21="Sporting Clays",IFERROR(INDEX('Shooter-Squad Assignment'!$A:$A,MATCH(C21&amp;"-"&amp;D21&amp;"-"&amp;E21&amp;"-Pos4",'Shooter-Squad Assignment'!$Y:$Y,0)),""),"")))</f>
        <v/>
      </c>
      <c r="M21" s="73" t="str">
        <f>IF(ISBLANK(L21),"",IFERROR(INDEX('Tournament List'!$D:$D,MATCH(L21,'Tournament List'!$A:$A,0)),""))</f>
        <v/>
      </c>
      <c r="N21" s="98" t="str">
        <f>IF(E21="Skeet",IFERROR(INDEX('Shooter-Squad Assignment'!$A:$A,MATCH(C21&amp;"-"&amp;D21&amp;"-"&amp;E21&amp;"-Pos5",'Shooter-Squad Assignment'!#REF!,0)),""),IF(E21="Trap",IFERROR(INDEX('Shooter-Squad Assignment'!$A:$A,MATCH(C21&amp;"-"&amp;D21&amp;"-"&amp;E21&amp;"-Pos5",'Shooter-Squad Assignment'!$V:$V,0)),""),IF(E21="Sporting Clays",IFERROR(INDEX('Shooter-Squad Assignment'!$A:$A,MATCH(C21&amp;"-"&amp;D21&amp;"-"&amp;E21&amp;"-Pos5",'Shooter-Squad Assignment'!$Y:$Y,0)),""),"")))</f>
        <v/>
      </c>
      <c r="O21" s="80" t="str">
        <f>IF(ISBLANK(N21),"",IFERROR(INDEX('Tournament List'!$D:$D,MATCH(N21,'Tournament List'!$A:$A,0)),""))</f>
        <v/>
      </c>
    </row>
    <row r="22" spans="1:15" x14ac:dyDescent="0.3">
      <c r="A22" s="79">
        <v>30</v>
      </c>
      <c r="B22" s="73" t="str">
        <f t="shared" si="0"/>
        <v>High Plains Drifters-Collegiate 3-Trap</v>
      </c>
      <c r="C22" s="73" t="s">
        <v>307</v>
      </c>
      <c r="D22" s="73" t="s">
        <v>356</v>
      </c>
      <c r="E22" s="73" t="s">
        <v>147</v>
      </c>
      <c r="F22" s="98" t="str">
        <f>IF(E22="Skeet",IFERROR(INDEX('Shooter-Squad Assignment'!$A:$A,MATCH(C22&amp;"-"&amp;D22&amp;"-"&amp;E22&amp;"-Pos1",'Shooter-Squad Assignment'!#REF!,0)),""),IF(E22="Trap",IFERROR(INDEX('Shooter-Squad Assignment'!$A:$A,MATCH(C22&amp;"-"&amp;D22&amp;"-"&amp;E22&amp;"-Pos1",'Shooter-Squad Assignment'!$V:$V,0)),""),IF(E22="Sporting Clays",IFERROR(INDEX('Shooter-Squad Assignment'!$A:$A,MATCH(C22&amp;"-"&amp;D22&amp;"-"&amp;E22&amp;"-Pos1",'Shooter-Squad Assignment'!$Y:$Y,0)),""),"")))</f>
        <v/>
      </c>
      <c r="G22" s="73" t="str">
        <f>IF(ISBLANK(F22),"",IFERROR(INDEX('Tournament List'!$D:$D,MATCH(F22,'Tournament List'!$A:$A,0)),""))</f>
        <v/>
      </c>
      <c r="H22" s="98" t="str">
        <f>IF(E22="Skeet",IFERROR(INDEX('Shooter-Squad Assignment'!$A:$A,MATCH(C22&amp;"-"&amp;D22&amp;"-"&amp;E22&amp;"-Pos2",'Shooter-Squad Assignment'!#REF!,0)),""),IF(E22="Trap",IFERROR(INDEX('Shooter-Squad Assignment'!$A:$A,MATCH(C22&amp;"-"&amp;D22&amp;"-"&amp;E22&amp;"-Pos2",'Shooter-Squad Assignment'!$V:$V,0)),""),IF(E22="Sporting Clays",IFERROR(INDEX('Shooter-Squad Assignment'!$A:$A,MATCH(C22&amp;"-"&amp;D22&amp;"-"&amp;E22&amp;"-Pos2",'Shooter-Squad Assignment'!$Y:$Y,0)),""),"")))</f>
        <v/>
      </c>
      <c r="I22" s="73" t="str">
        <f>IF(ISBLANK(H22),"",IFERROR(INDEX('Tournament List'!$D:$D,MATCH(H22,'Tournament List'!$A:$A,0)),""))</f>
        <v/>
      </c>
      <c r="J22" s="98" t="str">
        <f>IF(E22="Skeet",IFERROR(INDEX('Shooter-Squad Assignment'!$A:$A,MATCH(C22&amp;"-"&amp;D22&amp;"-"&amp;E22&amp;"-Pos3",'Shooter-Squad Assignment'!#REF!,0)),""),IF(E22="Trap",IFERROR(INDEX('Shooter-Squad Assignment'!$A:$A,MATCH(C22&amp;"-"&amp;D22&amp;"-"&amp;E22&amp;"-Pos3",'Shooter-Squad Assignment'!$V:$V,0)),""),IF(E22="Sporting Clays",IFERROR(INDEX('Shooter-Squad Assignment'!$A:$A,MATCH(C22&amp;"-"&amp;D22&amp;"-"&amp;E22&amp;"-Pos3",'Shooter-Squad Assignment'!$Y:$Y,0)),""),"")))</f>
        <v/>
      </c>
      <c r="K22" s="73" t="str">
        <f>IF(ISBLANK(J22),"",IFERROR(INDEX('Tournament List'!$D:$D,MATCH(J22,'Tournament List'!$A:$A,0)),""))</f>
        <v/>
      </c>
      <c r="L22" s="98" t="str">
        <f>IF(E22="Skeet",IFERROR(INDEX('Shooter-Squad Assignment'!$A:$A,MATCH(C22&amp;"-"&amp;D22&amp;"-"&amp;E22&amp;"-Pos4",'Shooter-Squad Assignment'!#REF!,0)),""),IF(E22="Trap",IFERROR(INDEX('Shooter-Squad Assignment'!$A:$A,MATCH(C22&amp;"-"&amp;D22&amp;"-"&amp;E22&amp;"-Pos4",'Shooter-Squad Assignment'!$V:$V,0)),""),IF(E22="Sporting Clays",IFERROR(INDEX('Shooter-Squad Assignment'!$A:$A,MATCH(C22&amp;"-"&amp;D22&amp;"-"&amp;E22&amp;"-Pos4",'Shooter-Squad Assignment'!$Y:$Y,0)),""),"")))</f>
        <v/>
      </c>
      <c r="M22" s="73" t="str">
        <f>IF(ISBLANK(L22),"",IFERROR(INDEX('Tournament List'!$D:$D,MATCH(L22,'Tournament List'!$A:$A,0)),""))</f>
        <v/>
      </c>
      <c r="N22" s="98" t="str">
        <f>IF(E22="Skeet",IFERROR(INDEX('Shooter-Squad Assignment'!$A:$A,MATCH(C22&amp;"-"&amp;D22&amp;"-"&amp;E22&amp;"-Pos5",'Shooter-Squad Assignment'!#REF!,0)),""),IF(E22="Trap",IFERROR(INDEX('Shooter-Squad Assignment'!$A:$A,MATCH(C22&amp;"-"&amp;D22&amp;"-"&amp;E22&amp;"-Pos5",'Shooter-Squad Assignment'!$V:$V,0)),""),IF(E22="Sporting Clays",IFERROR(INDEX('Shooter-Squad Assignment'!$A:$A,MATCH(C22&amp;"-"&amp;D22&amp;"-"&amp;E22&amp;"-Pos5",'Shooter-Squad Assignment'!$Y:$Y,0)),""),"")))</f>
        <v/>
      </c>
      <c r="O22" s="80" t="str">
        <f>IF(ISBLANK(N22),"",IFERROR(INDEX('Tournament List'!$D:$D,MATCH(N22,'Tournament List'!$A:$A,0)),""))</f>
        <v/>
      </c>
    </row>
    <row r="23" spans="1:15" x14ac:dyDescent="0.3">
      <c r="A23" s="79">
        <v>31</v>
      </c>
      <c r="B23" s="73" t="str">
        <f t="shared" si="0"/>
        <v>High Plains Drifters-Intermediate 1-Trap</v>
      </c>
      <c r="C23" s="73" t="s">
        <v>307</v>
      </c>
      <c r="D23" s="73" t="s">
        <v>340</v>
      </c>
      <c r="E23" s="73" t="s">
        <v>147</v>
      </c>
      <c r="F23" s="98" t="str">
        <f>IF(E23="Skeet",IFERROR(INDEX('Shooter-Squad Assignment'!$A:$A,MATCH(C23&amp;"-"&amp;D23&amp;"-"&amp;E23&amp;"-Pos1",'Shooter-Squad Assignment'!#REF!,0)),""),IF(E23="Trap",IFERROR(INDEX('Shooter-Squad Assignment'!$A:$A,MATCH(C23&amp;"-"&amp;D23&amp;"-"&amp;E23&amp;"-Pos1",'Shooter-Squad Assignment'!$V:$V,0)),""),IF(E23="Sporting Clays",IFERROR(INDEX('Shooter-Squad Assignment'!$A:$A,MATCH(C23&amp;"-"&amp;D23&amp;"-"&amp;E23&amp;"-Pos1",'Shooter-Squad Assignment'!$Y:$Y,0)),""),"")))</f>
        <v/>
      </c>
      <c r="G23" s="73" t="str">
        <f>IF(ISBLANK(F23),"",IFERROR(INDEX('Tournament List'!$D:$D,MATCH(F23,'Tournament List'!$A:$A,0)),""))</f>
        <v/>
      </c>
      <c r="H23" s="98" t="str">
        <f>IF(E23="Skeet",IFERROR(INDEX('Shooter-Squad Assignment'!$A:$A,MATCH(C23&amp;"-"&amp;D23&amp;"-"&amp;E23&amp;"-Pos2",'Shooter-Squad Assignment'!#REF!,0)),""),IF(E23="Trap",IFERROR(INDEX('Shooter-Squad Assignment'!$A:$A,MATCH(C23&amp;"-"&amp;D23&amp;"-"&amp;E23&amp;"-Pos2",'Shooter-Squad Assignment'!$V:$V,0)),""),IF(E23="Sporting Clays",IFERROR(INDEX('Shooter-Squad Assignment'!$A:$A,MATCH(C23&amp;"-"&amp;D23&amp;"-"&amp;E23&amp;"-Pos2",'Shooter-Squad Assignment'!$Y:$Y,0)),""),"")))</f>
        <v/>
      </c>
      <c r="I23" s="73" t="str">
        <f>IF(ISBLANK(H23),"",IFERROR(INDEX('Tournament List'!$D:$D,MATCH(H23,'Tournament List'!$A:$A,0)),""))</f>
        <v/>
      </c>
      <c r="J23" s="98" t="str">
        <f>IF(E23="Skeet",IFERROR(INDEX('Shooter-Squad Assignment'!$A:$A,MATCH(C23&amp;"-"&amp;D23&amp;"-"&amp;E23&amp;"-Pos3",'Shooter-Squad Assignment'!#REF!,0)),""),IF(E23="Trap",IFERROR(INDEX('Shooter-Squad Assignment'!$A:$A,MATCH(C23&amp;"-"&amp;D23&amp;"-"&amp;E23&amp;"-Pos3",'Shooter-Squad Assignment'!$V:$V,0)),""),IF(E23="Sporting Clays",IFERROR(INDEX('Shooter-Squad Assignment'!$A:$A,MATCH(C23&amp;"-"&amp;D23&amp;"-"&amp;E23&amp;"-Pos3",'Shooter-Squad Assignment'!$Y:$Y,0)),""),"")))</f>
        <v/>
      </c>
      <c r="K23" s="73" t="str">
        <f>IF(ISBLANK(J23),"",IFERROR(INDEX('Tournament List'!$D:$D,MATCH(J23,'Tournament List'!$A:$A,0)),""))</f>
        <v/>
      </c>
      <c r="L23" s="98" t="str">
        <f>IF(E23="Skeet",IFERROR(INDEX('Shooter-Squad Assignment'!$A:$A,MATCH(C23&amp;"-"&amp;D23&amp;"-"&amp;E23&amp;"-Pos4",'Shooter-Squad Assignment'!#REF!,0)),""),IF(E23="Trap",IFERROR(INDEX('Shooter-Squad Assignment'!$A:$A,MATCH(C23&amp;"-"&amp;D23&amp;"-"&amp;E23&amp;"-Pos4",'Shooter-Squad Assignment'!$V:$V,0)),""),IF(E23="Sporting Clays",IFERROR(INDEX('Shooter-Squad Assignment'!$A:$A,MATCH(C23&amp;"-"&amp;D23&amp;"-"&amp;E23&amp;"-Pos4",'Shooter-Squad Assignment'!$Y:$Y,0)),""),"")))</f>
        <v/>
      </c>
      <c r="M23" s="73" t="str">
        <f>IF(ISBLANK(L23),"",IFERROR(INDEX('Tournament List'!$D:$D,MATCH(L23,'Tournament List'!$A:$A,0)),""))</f>
        <v/>
      </c>
      <c r="N23" s="98" t="str">
        <f>IF(E23="Skeet",IFERROR(INDEX('Shooter-Squad Assignment'!$A:$A,MATCH(C23&amp;"-"&amp;D23&amp;"-"&amp;E23&amp;"-Pos5",'Shooter-Squad Assignment'!#REF!,0)),""),IF(E23="Trap",IFERROR(INDEX('Shooter-Squad Assignment'!$A:$A,MATCH(C23&amp;"-"&amp;D23&amp;"-"&amp;E23&amp;"-Pos5",'Shooter-Squad Assignment'!$V:$V,0)),""),IF(E23="Sporting Clays",IFERROR(INDEX('Shooter-Squad Assignment'!$A:$A,MATCH(C23&amp;"-"&amp;D23&amp;"-"&amp;E23&amp;"-Pos5",'Shooter-Squad Assignment'!$Y:$Y,0)),""),"")))</f>
        <v/>
      </c>
      <c r="O23" s="80" t="str">
        <f>IF(ISBLANK(N23),"",IFERROR(INDEX('Tournament List'!$D:$D,MATCH(N23,'Tournament List'!$A:$A,0)),""))</f>
        <v/>
      </c>
    </row>
    <row r="24" spans="1:15" x14ac:dyDescent="0.3">
      <c r="A24" s="79">
        <v>32</v>
      </c>
      <c r="B24" s="73" t="str">
        <f t="shared" si="0"/>
        <v>High Plains Drifters-Intermediate 2-Trap</v>
      </c>
      <c r="C24" s="73" t="s">
        <v>307</v>
      </c>
      <c r="D24" s="73" t="s">
        <v>346</v>
      </c>
      <c r="E24" s="73" t="s">
        <v>147</v>
      </c>
      <c r="F24" s="98" t="str">
        <f>IF(E24="Skeet",IFERROR(INDEX('Shooter-Squad Assignment'!$A:$A,MATCH(C24&amp;"-"&amp;D24&amp;"-"&amp;E24&amp;"-Pos1",'Shooter-Squad Assignment'!#REF!,0)),""),IF(E24="Trap",IFERROR(INDEX('Shooter-Squad Assignment'!$A:$A,MATCH(C24&amp;"-"&amp;D24&amp;"-"&amp;E24&amp;"-Pos1",'Shooter-Squad Assignment'!$V:$V,0)),""),IF(E24="Sporting Clays",IFERROR(INDEX('Shooter-Squad Assignment'!$A:$A,MATCH(C24&amp;"-"&amp;D24&amp;"-"&amp;E24&amp;"-Pos1",'Shooter-Squad Assignment'!$Y:$Y,0)),""),"")))</f>
        <v/>
      </c>
      <c r="G24" s="73" t="str">
        <f>IF(ISBLANK(F24),"",IFERROR(INDEX('Tournament List'!$D:$D,MATCH(F24,'Tournament List'!$A:$A,0)),""))</f>
        <v/>
      </c>
      <c r="H24" s="98" t="str">
        <f>IF(E24="Skeet",IFERROR(INDEX('Shooter-Squad Assignment'!$A:$A,MATCH(C24&amp;"-"&amp;D24&amp;"-"&amp;E24&amp;"-Pos2",'Shooter-Squad Assignment'!#REF!,0)),""),IF(E24="Trap",IFERROR(INDEX('Shooter-Squad Assignment'!$A:$A,MATCH(C24&amp;"-"&amp;D24&amp;"-"&amp;E24&amp;"-Pos2",'Shooter-Squad Assignment'!$V:$V,0)),""),IF(E24="Sporting Clays",IFERROR(INDEX('Shooter-Squad Assignment'!$A:$A,MATCH(C24&amp;"-"&amp;D24&amp;"-"&amp;E24&amp;"-Pos2",'Shooter-Squad Assignment'!$Y:$Y,0)),""),"")))</f>
        <v/>
      </c>
      <c r="I24" s="73" t="str">
        <f>IF(ISBLANK(H24),"",IFERROR(INDEX('Tournament List'!$D:$D,MATCH(H24,'Tournament List'!$A:$A,0)),""))</f>
        <v/>
      </c>
      <c r="J24" s="98" t="str">
        <f>IF(E24="Skeet",IFERROR(INDEX('Shooter-Squad Assignment'!$A:$A,MATCH(C24&amp;"-"&amp;D24&amp;"-"&amp;E24&amp;"-Pos3",'Shooter-Squad Assignment'!#REF!,0)),""),IF(E24="Trap",IFERROR(INDEX('Shooter-Squad Assignment'!$A:$A,MATCH(C24&amp;"-"&amp;D24&amp;"-"&amp;E24&amp;"-Pos3",'Shooter-Squad Assignment'!$V:$V,0)),""),IF(E24="Sporting Clays",IFERROR(INDEX('Shooter-Squad Assignment'!$A:$A,MATCH(C24&amp;"-"&amp;D24&amp;"-"&amp;E24&amp;"-Pos3",'Shooter-Squad Assignment'!$Y:$Y,0)),""),"")))</f>
        <v/>
      </c>
      <c r="K24" s="73" t="str">
        <f>IF(ISBLANK(J24),"",IFERROR(INDEX('Tournament List'!$D:$D,MATCH(J24,'Tournament List'!$A:$A,0)),""))</f>
        <v/>
      </c>
      <c r="L24" s="98" t="str">
        <f>IF(E24="Skeet",IFERROR(INDEX('Shooter-Squad Assignment'!$A:$A,MATCH(C24&amp;"-"&amp;D24&amp;"-"&amp;E24&amp;"-Pos4",'Shooter-Squad Assignment'!#REF!,0)),""),IF(E24="Trap",IFERROR(INDEX('Shooter-Squad Assignment'!$A:$A,MATCH(C24&amp;"-"&amp;D24&amp;"-"&amp;E24&amp;"-Pos4",'Shooter-Squad Assignment'!$V:$V,0)),""),IF(E24="Sporting Clays",IFERROR(INDEX('Shooter-Squad Assignment'!$A:$A,MATCH(C24&amp;"-"&amp;D24&amp;"-"&amp;E24&amp;"-Pos4",'Shooter-Squad Assignment'!$Y:$Y,0)),""),"")))</f>
        <v/>
      </c>
      <c r="M24" s="73" t="str">
        <f>IF(ISBLANK(L24),"",IFERROR(INDEX('Tournament List'!$D:$D,MATCH(L24,'Tournament List'!$A:$A,0)),""))</f>
        <v/>
      </c>
      <c r="N24" s="98" t="str">
        <f>IF(E24="Skeet",IFERROR(INDEX('Shooter-Squad Assignment'!$A:$A,MATCH(C24&amp;"-"&amp;D24&amp;"-"&amp;E24&amp;"-Pos5",'Shooter-Squad Assignment'!#REF!,0)),""),IF(E24="Trap",IFERROR(INDEX('Shooter-Squad Assignment'!$A:$A,MATCH(C24&amp;"-"&amp;D24&amp;"-"&amp;E24&amp;"-Pos5",'Shooter-Squad Assignment'!$V:$V,0)),""),IF(E24="Sporting Clays",IFERROR(INDEX('Shooter-Squad Assignment'!$A:$A,MATCH(C24&amp;"-"&amp;D24&amp;"-"&amp;E24&amp;"-Pos5",'Shooter-Squad Assignment'!$Y:$Y,0)),""),"")))</f>
        <v/>
      </c>
      <c r="O24" s="80" t="str">
        <f>IF(ISBLANK(N24),"",IFERROR(INDEX('Tournament List'!$D:$D,MATCH(N24,'Tournament List'!$A:$A,0)),""))</f>
        <v/>
      </c>
    </row>
    <row r="25" spans="1:15" x14ac:dyDescent="0.3">
      <c r="A25" s="79">
        <v>33</v>
      </c>
      <c r="B25" s="73" t="str">
        <f t="shared" si="0"/>
        <v>High Plains Drifters-Intermediate 3-Trap</v>
      </c>
      <c r="C25" s="73" t="s">
        <v>307</v>
      </c>
      <c r="D25" s="73" t="s">
        <v>352</v>
      </c>
      <c r="E25" s="73" t="s">
        <v>147</v>
      </c>
      <c r="F25" s="98" t="str">
        <f>IF(E25="Skeet",IFERROR(INDEX('Shooter-Squad Assignment'!$A:$A,MATCH(C25&amp;"-"&amp;D25&amp;"-"&amp;E25&amp;"-Pos1",'Shooter-Squad Assignment'!#REF!,0)),""),IF(E25="Trap",IFERROR(INDEX('Shooter-Squad Assignment'!$A:$A,MATCH(C25&amp;"-"&amp;D25&amp;"-"&amp;E25&amp;"-Pos1",'Shooter-Squad Assignment'!$V:$V,0)),""),IF(E25="Sporting Clays",IFERROR(INDEX('Shooter-Squad Assignment'!$A:$A,MATCH(C25&amp;"-"&amp;D25&amp;"-"&amp;E25&amp;"-Pos1",'Shooter-Squad Assignment'!$Y:$Y,0)),""),"")))</f>
        <v/>
      </c>
      <c r="G25" s="73" t="str">
        <f>IF(ISBLANK(F25),"",IFERROR(INDEX('Tournament List'!$D:$D,MATCH(F25,'Tournament List'!$A:$A,0)),""))</f>
        <v/>
      </c>
      <c r="H25" s="98" t="str">
        <f>IF(E25="Skeet",IFERROR(INDEX('Shooter-Squad Assignment'!$A:$A,MATCH(C25&amp;"-"&amp;D25&amp;"-"&amp;E25&amp;"-Pos2",'Shooter-Squad Assignment'!#REF!,0)),""),IF(E25="Trap",IFERROR(INDEX('Shooter-Squad Assignment'!$A:$A,MATCH(C25&amp;"-"&amp;D25&amp;"-"&amp;E25&amp;"-Pos2",'Shooter-Squad Assignment'!$V:$V,0)),""),IF(E25="Sporting Clays",IFERROR(INDEX('Shooter-Squad Assignment'!$A:$A,MATCH(C25&amp;"-"&amp;D25&amp;"-"&amp;E25&amp;"-Pos2",'Shooter-Squad Assignment'!$Y:$Y,0)),""),"")))</f>
        <v/>
      </c>
      <c r="I25" s="73" t="str">
        <f>IF(ISBLANK(H25),"",IFERROR(INDEX('Tournament List'!$D:$D,MATCH(H25,'Tournament List'!$A:$A,0)),""))</f>
        <v/>
      </c>
      <c r="J25" s="98" t="str">
        <f>IF(E25="Skeet",IFERROR(INDEX('Shooter-Squad Assignment'!$A:$A,MATCH(C25&amp;"-"&amp;D25&amp;"-"&amp;E25&amp;"-Pos3",'Shooter-Squad Assignment'!#REF!,0)),""),IF(E25="Trap",IFERROR(INDEX('Shooter-Squad Assignment'!$A:$A,MATCH(C25&amp;"-"&amp;D25&amp;"-"&amp;E25&amp;"-Pos3",'Shooter-Squad Assignment'!$V:$V,0)),""),IF(E25="Sporting Clays",IFERROR(INDEX('Shooter-Squad Assignment'!$A:$A,MATCH(C25&amp;"-"&amp;D25&amp;"-"&amp;E25&amp;"-Pos3",'Shooter-Squad Assignment'!$Y:$Y,0)),""),"")))</f>
        <v/>
      </c>
      <c r="K25" s="73" t="str">
        <f>IF(ISBLANK(J25),"",IFERROR(INDEX('Tournament List'!$D:$D,MATCH(J25,'Tournament List'!$A:$A,0)),""))</f>
        <v/>
      </c>
      <c r="L25" s="98" t="str">
        <f>IF(E25="Skeet",IFERROR(INDEX('Shooter-Squad Assignment'!$A:$A,MATCH(C25&amp;"-"&amp;D25&amp;"-"&amp;E25&amp;"-Pos4",'Shooter-Squad Assignment'!#REF!,0)),""),IF(E25="Trap",IFERROR(INDEX('Shooter-Squad Assignment'!$A:$A,MATCH(C25&amp;"-"&amp;D25&amp;"-"&amp;E25&amp;"-Pos4",'Shooter-Squad Assignment'!$V:$V,0)),""),IF(E25="Sporting Clays",IFERROR(INDEX('Shooter-Squad Assignment'!$A:$A,MATCH(C25&amp;"-"&amp;D25&amp;"-"&amp;E25&amp;"-Pos4",'Shooter-Squad Assignment'!$Y:$Y,0)),""),"")))</f>
        <v/>
      </c>
      <c r="M25" s="73" t="str">
        <f>IF(ISBLANK(L25),"",IFERROR(INDEX('Tournament List'!$D:$D,MATCH(L25,'Tournament List'!$A:$A,0)),""))</f>
        <v/>
      </c>
      <c r="N25" s="98" t="str">
        <f>IF(E25="Skeet",IFERROR(INDEX('Shooter-Squad Assignment'!$A:$A,MATCH(C25&amp;"-"&amp;D25&amp;"-"&amp;E25&amp;"-Pos5",'Shooter-Squad Assignment'!#REF!,0)),""),IF(E25="Trap",IFERROR(INDEX('Shooter-Squad Assignment'!$A:$A,MATCH(C25&amp;"-"&amp;D25&amp;"-"&amp;E25&amp;"-Pos5",'Shooter-Squad Assignment'!$V:$V,0)),""),IF(E25="Sporting Clays",IFERROR(INDEX('Shooter-Squad Assignment'!$A:$A,MATCH(C25&amp;"-"&amp;D25&amp;"-"&amp;E25&amp;"-Pos5",'Shooter-Squad Assignment'!$Y:$Y,0)),""),"")))</f>
        <v/>
      </c>
      <c r="O25" s="80" t="str">
        <f>IF(ISBLANK(N25),"",IFERROR(INDEX('Tournament List'!$D:$D,MATCH(N25,'Tournament List'!$A:$A,0)),""))</f>
        <v/>
      </c>
    </row>
    <row r="26" spans="1:15" x14ac:dyDescent="0.3">
      <c r="A26" s="79">
        <v>34</v>
      </c>
      <c r="B26" s="73" t="str">
        <f t="shared" si="0"/>
        <v>High Plains Drifters-Junior Varsity 1-Trap</v>
      </c>
      <c r="C26" s="73" t="s">
        <v>307</v>
      </c>
      <c r="D26" s="73" t="s">
        <v>341</v>
      </c>
      <c r="E26" s="73" t="s">
        <v>147</v>
      </c>
      <c r="F26" s="98" t="str">
        <f>IF(E26="Skeet",IFERROR(INDEX('Shooter-Squad Assignment'!$A:$A,MATCH(C26&amp;"-"&amp;D26&amp;"-"&amp;E26&amp;"-Pos1",'Shooter-Squad Assignment'!#REF!,0)),""),IF(E26="Trap",IFERROR(INDEX('Shooter-Squad Assignment'!$A:$A,MATCH(C26&amp;"-"&amp;D26&amp;"-"&amp;E26&amp;"-Pos1",'Shooter-Squad Assignment'!$V:$V,0)),""),IF(E26="Sporting Clays",IFERROR(INDEX('Shooter-Squad Assignment'!$A:$A,MATCH(C26&amp;"-"&amp;D26&amp;"-"&amp;E26&amp;"-Pos1",'Shooter-Squad Assignment'!$Y:$Y,0)),""),"")))</f>
        <v/>
      </c>
      <c r="G26" s="73" t="str">
        <f>IF(ISBLANK(F26),"",IFERROR(INDEX('Tournament List'!$D:$D,MATCH(F26,'Tournament List'!$A:$A,0)),""))</f>
        <v/>
      </c>
      <c r="H26" s="98" t="str">
        <f>IF(E26="Skeet",IFERROR(INDEX('Shooter-Squad Assignment'!$A:$A,MATCH(C26&amp;"-"&amp;D26&amp;"-"&amp;E26&amp;"-Pos2",'Shooter-Squad Assignment'!#REF!,0)),""),IF(E26="Trap",IFERROR(INDEX('Shooter-Squad Assignment'!$A:$A,MATCH(C26&amp;"-"&amp;D26&amp;"-"&amp;E26&amp;"-Pos2",'Shooter-Squad Assignment'!$V:$V,0)),""),IF(E26="Sporting Clays",IFERROR(INDEX('Shooter-Squad Assignment'!$A:$A,MATCH(C26&amp;"-"&amp;D26&amp;"-"&amp;E26&amp;"-Pos2",'Shooter-Squad Assignment'!$Y:$Y,0)),""),"")))</f>
        <v/>
      </c>
      <c r="I26" s="73" t="str">
        <f>IF(ISBLANK(H26),"",IFERROR(INDEX('Tournament List'!$D:$D,MATCH(H26,'Tournament List'!$A:$A,0)),""))</f>
        <v/>
      </c>
      <c r="J26" s="98" t="str">
        <f>IF(E26="Skeet",IFERROR(INDEX('Shooter-Squad Assignment'!$A:$A,MATCH(C26&amp;"-"&amp;D26&amp;"-"&amp;E26&amp;"-Pos3",'Shooter-Squad Assignment'!#REF!,0)),""),IF(E26="Trap",IFERROR(INDEX('Shooter-Squad Assignment'!$A:$A,MATCH(C26&amp;"-"&amp;D26&amp;"-"&amp;E26&amp;"-Pos3",'Shooter-Squad Assignment'!$V:$V,0)),""),IF(E26="Sporting Clays",IFERROR(INDEX('Shooter-Squad Assignment'!$A:$A,MATCH(C26&amp;"-"&amp;D26&amp;"-"&amp;E26&amp;"-Pos3",'Shooter-Squad Assignment'!$Y:$Y,0)),""),"")))</f>
        <v/>
      </c>
      <c r="K26" s="73" t="str">
        <f>IF(ISBLANK(J26),"",IFERROR(INDEX('Tournament List'!$D:$D,MATCH(J26,'Tournament List'!$A:$A,0)),""))</f>
        <v/>
      </c>
      <c r="L26" s="98" t="str">
        <f>IF(E26="Skeet",IFERROR(INDEX('Shooter-Squad Assignment'!$A:$A,MATCH(C26&amp;"-"&amp;D26&amp;"-"&amp;E26&amp;"-Pos4",'Shooter-Squad Assignment'!#REF!,0)),""),IF(E26="Trap",IFERROR(INDEX('Shooter-Squad Assignment'!$A:$A,MATCH(C26&amp;"-"&amp;D26&amp;"-"&amp;E26&amp;"-Pos4",'Shooter-Squad Assignment'!$V:$V,0)),""),IF(E26="Sporting Clays",IFERROR(INDEX('Shooter-Squad Assignment'!$A:$A,MATCH(C26&amp;"-"&amp;D26&amp;"-"&amp;E26&amp;"-Pos4",'Shooter-Squad Assignment'!$Y:$Y,0)),""),"")))</f>
        <v/>
      </c>
      <c r="M26" s="73" t="str">
        <f>IF(ISBLANK(L26),"",IFERROR(INDEX('Tournament List'!$D:$D,MATCH(L26,'Tournament List'!$A:$A,0)),""))</f>
        <v/>
      </c>
      <c r="N26" s="98" t="str">
        <f>IF(E26="Skeet",IFERROR(INDEX('Shooter-Squad Assignment'!$A:$A,MATCH(C26&amp;"-"&amp;D26&amp;"-"&amp;E26&amp;"-Pos5",'Shooter-Squad Assignment'!#REF!,0)),""),IF(E26="Trap",IFERROR(INDEX('Shooter-Squad Assignment'!$A:$A,MATCH(C26&amp;"-"&amp;D26&amp;"-"&amp;E26&amp;"-Pos5",'Shooter-Squad Assignment'!$V:$V,0)),""),IF(E26="Sporting Clays",IFERROR(INDEX('Shooter-Squad Assignment'!$A:$A,MATCH(C26&amp;"-"&amp;D26&amp;"-"&amp;E26&amp;"-Pos5",'Shooter-Squad Assignment'!$Y:$Y,0)),""),"")))</f>
        <v/>
      </c>
      <c r="O26" s="80" t="str">
        <f>IF(ISBLANK(N26),"",IFERROR(INDEX('Tournament List'!$D:$D,MATCH(N26,'Tournament List'!$A:$A,0)),""))</f>
        <v/>
      </c>
    </row>
    <row r="27" spans="1:15" x14ac:dyDescent="0.3">
      <c r="A27" s="79">
        <v>35</v>
      </c>
      <c r="B27" s="73" t="str">
        <f t="shared" si="0"/>
        <v>High Plains Drifters-Junior Varsity 2-Trap</v>
      </c>
      <c r="C27" s="73" t="s">
        <v>307</v>
      </c>
      <c r="D27" s="73" t="s">
        <v>347</v>
      </c>
      <c r="E27" s="73" t="s">
        <v>147</v>
      </c>
      <c r="F27" s="98" t="str">
        <f>IF(E27="Skeet",IFERROR(INDEX('Shooter-Squad Assignment'!$A:$A,MATCH(C27&amp;"-"&amp;D27&amp;"-"&amp;E27&amp;"-Pos1",'Shooter-Squad Assignment'!#REF!,0)),""),IF(E27="Trap",IFERROR(INDEX('Shooter-Squad Assignment'!$A:$A,MATCH(C27&amp;"-"&amp;D27&amp;"-"&amp;E27&amp;"-Pos1",'Shooter-Squad Assignment'!$V:$V,0)),""),IF(E27="Sporting Clays",IFERROR(INDEX('Shooter-Squad Assignment'!$A:$A,MATCH(C27&amp;"-"&amp;D27&amp;"-"&amp;E27&amp;"-Pos1",'Shooter-Squad Assignment'!$Y:$Y,0)),""),"")))</f>
        <v/>
      </c>
      <c r="G27" s="73" t="str">
        <f>IF(ISBLANK(F27),"",IFERROR(INDEX('Tournament List'!$D:$D,MATCH(F27,'Tournament List'!$A:$A,0)),""))</f>
        <v/>
      </c>
      <c r="H27" s="98" t="str">
        <f>IF(E27="Skeet",IFERROR(INDEX('Shooter-Squad Assignment'!$A:$A,MATCH(C27&amp;"-"&amp;D27&amp;"-"&amp;E27&amp;"-Pos2",'Shooter-Squad Assignment'!#REF!,0)),""),IF(E27="Trap",IFERROR(INDEX('Shooter-Squad Assignment'!$A:$A,MATCH(C27&amp;"-"&amp;D27&amp;"-"&amp;E27&amp;"-Pos2",'Shooter-Squad Assignment'!$V:$V,0)),""),IF(E27="Sporting Clays",IFERROR(INDEX('Shooter-Squad Assignment'!$A:$A,MATCH(C27&amp;"-"&amp;D27&amp;"-"&amp;E27&amp;"-Pos2",'Shooter-Squad Assignment'!$Y:$Y,0)),""),"")))</f>
        <v/>
      </c>
      <c r="I27" s="73" t="str">
        <f>IF(ISBLANK(H27),"",IFERROR(INDEX('Tournament List'!$D:$D,MATCH(H27,'Tournament List'!$A:$A,0)),""))</f>
        <v/>
      </c>
      <c r="J27" s="98" t="str">
        <f>IF(E27="Skeet",IFERROR(INDEX('Shooter-Squad Assignment'!$A:$A,MATCH(C27&amp;"-"&amp;D27&amp;"-"&amp;E27&amp;"-Pos3",'Shooter-Squad Assignment'!#REF!,0)),""),IF(E27="Trap",IFERROR(INDEX('Shooter-Squad Assignment'!$A:$A,MATCH(C27&amp;"-"&amp;D27&amp;"-"&amp;E27&amp;"-Pos3",'Shooter-Squad Assignment'!$V:$V,0)),""),IF(E27="Sporting Clays",IFERROR(INDEX('Shooter-Squad Assignment'!$A:$A,MATCH(C27&amp;"-"&amp;D27&amp;"-"&amp;E27&amp;"-Pos3",'Shooter-Squad Assignment'!$Y:$Y,0)),""),"")))</f>
        <v/>
      </c>
      <c r="K27" s="73" t="str">
        <f>IF(ISBLANK(J27),"",IFERROR(INDEX('Tournament List'!$D:$D,MATCH(J27,'Tournament List'!$A:$A,0)),""))</f>
        <v/>
      </c>
      <c r="L27" s="98" t="str">
        <f>IF(E27="Skeet",IFERROR(INDEX('Shooter-Squad Assignment'!$A:$A,MATCH(C27&amp;"-"&amp;D27&amp;"-"&amp;E27&amp;"-Pos4",'Shooter-Squad Assignment'!#REF!,0)),""),IF(E27="Trap",IFERROR(INDEX('Shooter-Squad Assignment'!$A:$A,MATCH(C27&amp;"-"&amp;D27&amp;"-"&amp;E27&amp;"-Pos4",'Shooter-Squad Assignment'!$V:$V,0)),""),IF(E27="Sporting Clays",IFERROR(INDEX('Shooter-Squad Assignment'!$A:$A,MATCH(C27&amp;"-"&amp;D27&amp;"-"&amp;E27&amp;"-Pos4",'Shooter-Squad Assignment'!$Y:$Y,0)),""),"")))</f>
        <v/>
      </c>
      <c r="M27" s="73" t="str">
        <f>IF(ISBLANK(L27),"",IFERROR(INDEX('Tournament List'!$D:$D,MATCH(L27,'Tournament List'!$A:$A,0)),""))</f>
        <v/>
      </c>
      <c r="N27" s="98" t="str">
        <f>IF(E27="Skeet",IFERROR(INDEX('Shooter-Squad Assignment'!$A:$A,MATCH(C27&amp;"-"&amp;D27&amp;"-"&amp;E27&amp;"-Pos5",'Shooter-Squad Assignment'!#REF!,0)),""),IF(E27="Trap",IFERROR(INDEX('Shooter-Squad Assignment'!$A:$A,MATCH(C27&amp;"-"&amp;D27&amp;"-"&amp;E27&amp;"-Pos5",'Shooter-Squad Assignment'!$V:$V,0)),""),IF(E27="Sporting Clays",IFERROR(INDEX('Shooter-Squad Assignment'!$A:$A,MATCH(C27&amp;"-"&amp;D27&amp;"-"&amp;E27&amp;"-Pos5",'Shooter-Squad Assignment'!$Y:$Y,0)),""),"")))</f>
        <v/>
      </c>
      <c r="O27" s="80" t="str">
        <f>IF(ISBLANK(N27),"",IFERROR(INDEX('Tournament List'!$D:$D,MATCH(N27,'Tournament List'!$A:$A,0)),""))</f>
        <v/>
      </c>
    </row>
    <row r="28" spans="1:15" x14ac:dyDescent="0.3">
      <c r="A28" s="79">
        <v>36</v>
      </c>
      <c r="B28" s="73" t="str">
        <f t="shared" si="0"/>
        <v>High Plains Drifters-Junior Varsity 3-Trap</v>
      </c>
      <c r="C28" s="73" t="s">
        <v>307</v>
      </c>
      <c r="D28" s="73" t="s">
        <v>353</v>
      </c>
      <c r="E28" s="73" t="s">
        <v>147</v>
      </c>
      <c r="F28" s="98" t="str">
        <f>IF(E28="Skeet",IFERROR(INDEX('Shooter-Squad Assignment'!$A:$A,MATCH(C28&amp;"-"&amp;D28&amp;"-"&amp;E28&amp;"-Pos1",'Shooter-Squad Assignment'!#REF!,0)),""),IF(E28="Trap",IFERROR(INDEX('Shooter-Squad Assignment'!$A:$A,MATCH(C28&amp;"-"&amp;D28&amp;"-"&amp;E28&amp;"-Pos1",'Shooter-Squad Assignment'!$V:$V,0)),""),IF(E28="Sporting Clays",IFERROR(INDEX('Shooter-Squad Assignment'!$A:$A,MATCH(C28&amp;"-"&amp;D28&amp;"-"&amp;E28&amp;"-Pos1",'Shooter-Squad Assignment'!$Y:$Y,0)),""),"")))</f>
        <v/>
      </c>
      <c r="G28" s="73" t="str">
        <f>IF(ISBLANK(F28),"",IFERROR(INDEX('Tournament List'!$D:$D,MATCH(F28,'Tournament List'!$A:$A,0)),""))</f>
        <v/>
      </c>
      <c r="H28" s="98" t="str">
        <f>IF(E28="Skeet",IFERROR(INDEX('Shooter-Squad Assignment'!$A:$A,MATCH(C28&amp;"-"&amp;D28&amp;"-"&amp;E28&amp;"-Pos2",'Shooter-Squad Assignment'!#REF!,0)),""),IF(E28="Trap",IFERROR(INDEX('Shooter-Squad Assignment'!$A:$A,MATCH(C28&amp;"-"&amp;D28&amp;"-"&amp;E28&amp;"-Pos2",'Shooter-Squad Assignment'!$V:$V,0)),""),IF(E28="Sporting Clays",IFERROR(INDEX('Shooter-Squad Assignment'!$A:$A,MATCH(C28&amp;"-"&amp;D28&amp;"-"&amp;E28&amp;"-Pos2",'Shooter-Squad Assignment'!$Y:$Y,0)),""),"")))</f>
        <v/>
      </c>
      <c r="I28" s="73" t="str">
        <f>IF(ISBLANK(H28),"",IFERROR(INDEX('Tournament List'!$D:$D,MATCH(H28,'Tournament List'!$A:$A,0)),""))</f>
        <v/>
      </c>
      <c r="J28" s="98" t="str">
        <f>IF(E28="Skeet",IFERROR(INDEX('Shooter-Squad Assignment'!$A:$A,MATCH(C28&amp;"-"&amp;D28&amp;"-"&amp;E28&amp;"-Pos3",'Shooter-Squad Assignment'!#REF!,0)),""),IF(E28="Trap",IFERROR(INDEX('Shooter-Squad Assignment'!$A:$A,MATCH(C28&amp;"-"&amp;D28&amp;"-"&amp;E28&amp;"-Pos3",'Shooter-Squad Assignment'!$V:$V,0)),""),IF(E28="Sporting Clays",IFERROR(INDEX('Shooter-Squad Assignment'!$A:$A,MATCH(C28&amp;"-"&amp;D28&amp;"-"&amp;E28&amp;"-Pos3",'Shooter-Squad Assignment'!$Y:$Y,0)),""),"")))</f>
        <v/>
      </c>
      <c r="K28" s="73" t="str">
        <f>IF(ISBLANK(J28),"",IFERROR(INDEX('Tournament List'!$D:$D,MATCH(J28,'Tournament List'!$A:$A,0)),""))</f>
        <v/>
      </c>
      <c r="L28" s="98" t="str">
        <f>IF(E28="Skeet",IFERROR(INDEX('Shooter-Squad Assignment'!$A:$A,MATCH(C28&amp;"-"&amp;D28&amp;"-"&amp;E28&amp;"-Pos4",'Shooter-Squad Assignment'!#REF!,0)),""),IF(E28="Trap",IFERROR(INDEX('Shooter-Squad Assignment'!$A:$A,MATCH(C28&amp;"-"&amp;D28&amp;"-"&amp;E28&amp;"-Pos4",'Shooter-Squad Assignment'!$V:$V,0)),""),IF(E28="Sporting Clays",IFERROR(INDEX('Shooter-Squad Assignment'!$A:$A,MATCH(C28&amp;"-"&amp;D28&amp;"-"&amp;E28&amp;"-Pos4",'Shooter-Squad Assignment'!$Y:$Y,0)),""),"")))</f>
        <v/>
      </c>
      <c r="M28" s="73" t="str">
        <f>IF(ISBLANK(L28),"",IFERROR(INDEX('Tournament List'!$D:$D,MATCH(L28,'Tournament List'!$A:$A,0)),""))</f>
        <v/>
      </c>
      <c r="N28" s="98" t="str">
        <f>IF(E28="Skeet",IFERROR(INDEX('Shooter-Squad Assignment'!$A:$A,MATCH(C28&amp;"-"&amp;D28&amp;"-"&amp;E28&amp;"-Pos5",'Shooter-Squad Assignment'!#REF!,0)),""),IF(E28="Trap",IFERROR(INDEX('Shooter-Squad Assignment'!$A:$A,MATCH(C28&amp;"-"&amp;D28&amp;"-"&amp;E28&amp;"-Pos5",'Shooter-Squad Assignment'!$V:$V,0)),""),IF(E28="Sporting Clays",IFERROR(INDEX('Shooter-Squad Assignment'!$A:$A,MATCH(C28&amp;"-"&amp;D28&amp;"-"&amp;E28&amp;"-Pos5",'Shooter-Squad Assignment'!$Y:$Y,0)),""),"")))</f>
        <v/>
      </c>
      <c r="O28" s="80" t="str">
        <f>IF(ISBLANK(N28),"",IFERROR(INDEX('Tournament List'!$D:$D,MATCH(N28,'Tournament List'!$A:$A,0)),""))</f>
        <v/>
      </c>
    </row>
    <row r="29" spans="1:15" x14ac:dyDescent="0.3">
      <c r="A29" s="79">
        <v>37</v>
      </c>
      <c r="B29" s="73" t="str">
        <f t="shared" si="0"/>
        <v>High Plains Drifters-Novice 1-Trap</v>
      </c>
      <c r="C29" s="73" t="s">
        <v>307</v>
      </c>
      <c r="D29" s="73" t="s">
        <v>339</v>
      </c>
      <c r="E29" s="73" t="s">
        <v>147</v>
      </c>
      <c r="F29" s="98" t="str">
        <f>IF(E29="Skeet",IFERROR(INDEX('Shooter-Squad Assignment'!$A:$A,MATCH(C29&amp;"-"&amp;D29&amp;"-"&amp;E29&amp;"-Pos1",'Shooter-Squad Assignment'!#REF!,0)),""),IF(E29="Trap",IFERROR(INDEX('Shooter-Squad Assignment'!$A:$A,MATCH(C29&amp;"-"&amp;D29&amp;"-"&amp;E29&amp;"-Pos1",'Shooter-Squad Assignment'!$V:$V,0)),""),IF(E29="Sporting Clays",IFERROR(INDEX('Shooter-Squad Assignment'!$A:$A,MATCH(C29&amp;"-"&amp;D29&amp;"-"&amp;E29&amp;"-Pos1",'Shooter-Squad Assignment'!$Y:$Y,0)),""),"")))</f>
        <v/>
      </c>
      <c r="G29" s="73" t="str">
        <f>IF(ISBLANK(F29),"",IFERROR(INDEX('Tournament List'!$D:$D,MATCH(F29,'Tournament List'!$A:$A,0)),""))</f>
        <v/>
      </c>
      <c r="H29" s="98" t="str">
        <f>IF(E29="Skeet",IFERROR(INDEX('Shooter-Squad Assignment'!$A:$A,MATCH(C29&amp;"-"&amp;D29&amp;"-"&amp;E29&amp;"-Pos2",'Shooter-Squad Assignment'!#REF!,0)),""),IF(E29="Trap",IFERROR(INDEX('Shooter-Squad Assignment'!$A:$A,MATCH(C29&amp;"-"&amp;D29&amp;"-"&amp;E29&amp;"-Pos2",'Shooter-Squad Assignment'!$V:$V,0)),""),IF(E29="Sporting Clays",IFERROR(INDEX('Shooter-Squad Assignment'!$A:$A,MATCH(C29&amp;"-"&amp;D29&amp;"-"&amp;E29&amp;"-Pos2",'Shooter-Squad Assignment'!$Y:$Y,0)),""),"")))</f>
        <v/>
      </c>
      <c r="I29" s="73" t="str">
        <f>IF(ISBLANK(H29),"",IFERROR(INDEX('Tournament List'!$D:$D,MATCH(H29,'Tournament List'!$A:$A,0)),""))</f>
        <v/>
      </c>
      <c r="J29" s="98" t="str">
        <f>IF(E29="Skeet",IFERROR(INDEX('Shooter-Squad Assignment'!$A:$A,MATCH(C29&amp;"-"&amp;D29&amp;"-"&amp;E29&amp;"-Pos3",'Shooter-Squad Assignment'!#REF!,0)),""),IF(E29="Trap",IFERROR(INDEX('Shooter-Squad Assignment'!$A:$A,MATCH(C29&amp;"-"&amp;D29&amp;"-"&amp;E29&amp;"-Pos3",'Shooter-Squad Assignment'!$V:$V,0)),""),IF(E29="Sporting Clays",IFERROR(INDEX('Shooter-Squad Assignment'!$A:$A,MATCH(C29&amp;"-"&amp;D29&amp;"-"&amp;E29&amp;"-Pos3",'Shooter-Squad Assignment'!$Y:$Y,0)),""),"")))</f>
        <v/>
      </c>
      <c r="K29" s="73" t="str">
        <f>IF(ISBLANK(J29),"",IFERROR(INDEX('Tournament List'!$D:$D,MATCH(J29,'Tournament List'!$A:$A,0)),""))</f>
        <v/>
      </c>
      <c r="L29" s="98" t="str">
        <f>IF(E29="Skeet",IFERROR(INDEX('Shooter-Squad Assignment'!$A:$A,MATCH(C29&amp;"-"&amp;D29&amp;"-"&amp;E29&amp;"-Pos4",'Shooter-Squad Assignment'!#REF!,0)),""),IF(E29="Trap",IFERROR(INDEX('Shooter-Squad Assignment'!$A:$A,MATCH(C29&amp;"-"&amp;D29&amp;"-"&amp;E29&amp;"-Pos4",'Shooter-Squad Assignment'!$V:$V,0)),""),IF(E29="Sporting Clays",IFERROR(INDEX('Shooter-Squad Assignment'!$A:$A,MATCH(C29&amp;"-"&amp;D29&amp;"-"&amp;E29&amp;"-Pos4",'Shooter-Squad Assignment'!$Y:$Y,0)),""),"")))</f>
        <v/>
      </c>
      <c r="M29" s="73" t="str">
        <f>IF(ISBLANK(L29),"",IFERROR(INDEX('Tournament List'!$D:$D,MATCH(L29,'Tournament List'!$A:$A,0)),""))</f>
        <v/>
      </c>
      <c r="N29" s="98" t="str">
        <f>IF(E29="Skeet",IFERROR(INDEX('Shooter-Squad Assignment'!$A:$A,MATCH(C29&amp;"-"&amp;D29&amp;"-"&amp;E29&amp;"-Pos5",'Shooter-Squad Assignment'!#REF!,0)),""),IF(E29="Trap",IFERROR(INDEX('Shooter-Squad Assignment'!$A:$A,MATCH(C29&amp;"-"&amp;D29&amp;"-"&amp;E29&amp;"-Pos5",'Shooter-Squad Assignment'!$V:$V,0)),""),IF(E29="Sporting Clays",IFERROR(INDEX('Shooter-Squad Assignment'!$A:$A,MATCH(C29&amp;"-"&amp;D29&amp;"-"&amp;E29&amp;"-Pos5",'Shooter-Squad Assignment'!$Y:$Y,0)),""),"")))</f>
        <v/>
      </c>
      <c r="O29" s="80" t="str">
        <f>IF(ISBLANK(N29),"",IFERROR(INDEX('Tournament List'!$D:$D,MATCH(N29,'Tournament List'!$A:$A,0)),""))</f>
        <v/>
      </c>
    </row>
    <row r="30" spans="1:15" x14ac:dyDescent="0.3">
      <c r="A30" s="79">
        <v>38</v>
      </c>
      <c r="B30" s="73" t="str">
        <f t="shared" si="0"/>
        <v>High Plains Drifters-Novice 2-Trap</v>
      </c>
      <c r="C30" s="73" t="s">
        <v>307</v>
      </c>
      <c r="D30" s="73" t="s">
        <v>345</v>
      </c>
      <c r="E30" s="73" t="s">
        <v>147</v>
      </c>
      <c r="F30" s="98" t="str">
        <f>IF(E30="Skeet",IFERROR(INDEX('Shooter-Squad Assignment'!$A:$A,MATCH(C30&amp;"-"&amp;D30&amp;"-"&amp;E30&amp;"-Pos1",'Shooter-Squad Assignment'!#REF!,0)),""),IF(E30="Trap",IFERROR(INDEX('Shooter-Squad Assignment'!$A:$A,MATCH(C30&amp;"-"&amp;D30&amp;"-"&amp;E30&amp;"-Pos1",'Shooter-Squad Assignment'!$V:$V,0)),""),IF(E30="Sporting Clays",IFERROR(INDEX('Shooter-Squad Assignment'!$A:$A,MATCH(C30&amp;"-"&amp;D30&amp;"-"&amp;E30&amp;"-Pos1",'Shooter-Squad Assignment'!$Y:$Y,0)),""),"")))</f>
        <v/>
      </c>
      <c r="G30" s="73" t="str">
        <f>IF(ISBLANK(F30),"",IFERROR(INDEX('Tournament List'!$D:$D,MATCH(F30,'Tournament List'!$A:$A,0)),""))</f>
        <v/>
      </c>
      <c r="H30" s="98" t="str">
        <f>IF(E30="Skeet",IFERROR(INDEX('Shooter-Squad Assignment'!$A:$A,MATCH(C30&amp;"-"&amp;D30&amp;"-"&amp;E30&amp;"-Pos2",'Shooter-Squad Assignment'!#REF!,0)),""),IF(E30="Trap",IFERROR(INDEX('Shooter-Squad Assignment'!$A:$A,MATCH(C30&amp;"-"&amp;D30&amp;"-"&amp;E30&amp;"-Pos2",'Shooter-Squad Assignment'!$V:$V,0)),""),IF(E30="Sporting Clays",IFERROR(INDEX('Shooter-Squad Assignment'!$A:$A,MATCH(C30&amp;"-"&amp;D30&amp;"-"&amp;E30&amp;"-Pos2",'Shooter-Squad Assignment'!$Y:$Y,0)),""),"")))</f>
        <v/>
      </c>
      <c r="I30" s="73" t="str">
        <f>IF(ISBLANK(H30),"",IFERROR(INDEX('Tournament List'!$D:$D,MATCH(H30,'Tournament List'!$A:$A,0)),""))</f>
        <v/>
      </c>
      <c r="J30" s="98" t="str">
        <f>IF(E30="Skeet",IFERROR(INDEX('Shooter-Squad Assignment'!$A:$A,MATCH(C30&amp;"-"&amp;D30&amp;"-"&amp;E30&amp;"-Pos3",'Shooter-Squad Assignment'!#REF!,0)),""),IF(E30="Trap",IFERROR(INDEX('Shooter-Squad Assignment'!$A:$A,MATCH(C30&amp;"-"&amp;D30&amp;"-"&amp;E30&amp;"-Pos3",'Shooter-Squad Assignment'!$V:$V,0)),""),IF(E30="Sporting Clays",IFERROR(INDEX('Shooter-Squad Assignment'!$A:$A,MATCH(C30&amp;"-"&amp;D30&amp;"-"&amp;E30&amp;"-Pos3",'Shooter-Squad Assignment'!$Y:$Y,0)),""),"")))</f>
        <v/>
      </c>
      <c r="K30" s="73" t="str">
        <f>IF(ISBLANK(J30),"",IFERROR(INDEX('Tournament List'!$D:$D,MATCH(J30,'Tournament List'!$A:$A,0)),""))</f>
        <v/>
      </c>
      <c r="L30" s="98" t="str">
        <f>IF(E30="Skeet",IFERROR(INDEX('Shooter-Squad Assignment'!$A:$A,MATCH(C30&amp;"-"&amp;D30&amp;"-"&amp;E30&amp;"-Pos4",'Shooter-Squad Assignment'!#REF!,0)),""),IF(E30="Trap",IFERROR(INDEX('Shooter-Squad Assignment'!$A:$A,MATCH(C30&amp;"-"&amp;D30&amp;"-"&amp;E30&amp;"-Pos4",'Shooter-Squad Assignment'!$V:$V,0)),""),IF(E30="Sporting Clays",IFERROR(INDEX('Shooter-Squad Assignment'!$A:$A,MATCH(C30&amp;"-"&amp;D30&amp;"-"&amp;E30&amp;"-Pos4",'Shooter-Squad Assignment'!$Y:$Y,0)),""),"")))</f>
        <v/>
      </c>
      <c r="M30" s="73" t="str">
        <f>IF(ISBLANK(L30),"",IFERROR(INDEX('Tournament List'!$D:$D,MATCH(L30,'Tournament List'!$A:$A,0)),""))</f>
        <v/>
      </c>
      <c r="N30" s="98" t="str">
        <f>IF(E30="Skeet",IFERROR(INDEX('Shooter-Squad Assignment'!$A:$A,MATCH(C30&amp;"-"&amp;D30&amp;"-"&amp;E30&amp;"-Pos5",'Shooter-Squad Assignment'!#REF!,0)),""),IF(E30="Trap",IFERROR(INDEX('Shooter-Squad Assignment'!$A:$A,MATCH(C30&amp;"-"&amp;D30&amp;"-"&amp;E30&amp;"-Pos5",'Shooter-Squad Assignment'!$V:$V,0)),""),IF(E30="Sporting Clays",IFERROR(INDEX('Shooter-Squad Assignment'!$A:$A,MATCH(C30&amp;"-"&amp;D30&amp;"-"&amp;E30&amp;"-Pos5",'Shooter-Squad Assignment'!$Y:$Y,0)),""),"")))</f>
        <v/>
      </c>
      <c r="O30" s="80" t="str">
        <f>IF(ISBLANK(N30),"",IFERROR(INDEX('Tournament List'!$D:$D,MATCH(N30,'Tournament List'!$A:$A,0)),""))</f>
        <v/>
      </c>
    </row>
    <row r="31" spans="1:15" x14ac:dyDescent="0.3">
      <c r="A31" s="79">
        <v>39</v>
      </c>
      <c r="B31" s="73" t="str">
        <f t="shared" si="0"/>
        <v>High Plains Drifters-Novice 3-Trap</v>
      </c>
      <c r="C31" s="73" t="s">
        <v>307</v>
      </c>
      <c r="D31" s="73" t="s">
        <v>351</v>
      </c>
      <c r="E31" s="73" t="s">
        <v>147</v>
      </c>
      <c r="F31" s="98" t="str">
        <f>IF(E31="Skeet",IFERROR(INDEX('Shooter-Squad Assignment'!$A:$A,MATCH(C31&amp;"-"&amp;D31&amp;"-"&amp;E31&amp;"-Pos1",'Shooter-Squad Assignment'!#REF!,0)),""),IF(E31="Trap",IFERROR(INDEX('Shooter-Squad Assignment'!$A:$A,MATCH(C31&amp;"-"&amp;D31&amp;"-"&amp;E31&amp;"-Pos1",'Shooter-Squad Assignment'!$V:$V,0)),""),IF(E31="Sporting Clays",IFERROR(INDEX('Shooter-Squad Assignment'!$A:$A,MATCH(C31&amp;"-"&amp;D31&amp;"-"&amp;E31&amp;"-Pos1",'Shooter-Squad Assignment'!$Y:$Y,0)),""),"")))</f>
        <v/>
      </c>
      <c r="G31" s="73" t="str">
        <f>IF(ISBLANK(F31),"",IFERROR(INDEX('Tournament List'!$D:$D,MATCH(F31,'Tournament List'!$A:$A,0)),""))</f>
        <v/>
      </c>
      <c r="H31" s="98" t="str">
        <f>IF(E31="Skeet",IFERROR(INDEX('Shooter-Squad Assignment'!$A:$A,MATCH(C31&amp;"-"&amp;D31&amp;"-"&amp;E31&amp;"-Pos2",'Shooter-Squad Assignment'!#REF!,0)),""),IF(E31="Trap",IFERROR(INDEX('Shooter-Squad Assignment'!$A:$A,MATCH(C31&amp;"-"&amp;D31&amp;"-"&amp;E31&amp;"-Pos2",'Shooter-Squad Assignment'!$V:$V,0)),""),IF(E31="Sporting Clays",IFERROR(INDEX('Shooter-Squad Assignment'!$A:$A,MATCH(C31&amp;"-"&amp;D31&amp;"-"&amp;E31&amp;"-Pos2",'Shooter-Squad Assignment'!$Y:$Y,0)),""),"")))</f>
        <v/>
      </c>
      <c r="I31" s="73" t="str">
        <f>IF(ISBLANK(H31),"",IFERROR(INDEX('Tournament List'!$D:$D,MATCH(H31,'Tournament List'!$A:$A,0)),""))</f>
        <v/>
      </c>
      <c r="J31" s="98" t="str">
        <f>IF(E31="Skeet",IFERROR(INDEX('Shooter-Squad Assignment'!$A:$A,MATCH(C31&amp;"-"&amp;D31&amp;"-"&amp;E31&amp;"-Pos3",'Shooter-Squad Assignment'!#REF!,0)),""),IF(E31="Trap",IFERROR(INDEX('Shooter-Squad Assignment'!$A:$A,MATCH(C31&amp;"-"&amp;D31&amp;"-"&amp;E31&amp;"-Pos3",'Shooter-Squad Assignment'!$V:$V,0)),""),IF(E31="Sporting Clays",IFERROR(INDEX('Shooter-Squad Assignment'!$A:$A,MATCH(C31&amp;"-"&amp;D31&amp;"-"&amp;E31&amp;"-Pos3",'Shooter-Squad Assignment'!$Y:$Y,0)),""),"")))</f>
        <v/>
      </c>
      <c r="K31" s="73" t="str">
        <f>IF(ISBLANK(J31),"",IFERROR(INDEX('Tournament List'!$D:$D,MATCH(J31,'Tournament List'!$A:$A,0)),""))</f>
        <v/>
      </c>
      <c r="L31" s="98" t="str">
        <f>IF(E31="Skeet",IFERROR(INDEX('Shooter-Squad Assignment'!$A:$A,MATCH(C31&amp;"-"&amp;D31&amp;"-"&amp;E31&amp;"-Pos4",'Shooter-Squad Assignment'!#REF!,0)),""),IF(E31="Trap",IFERROR(INDEX('Shooter-Squad Assignment'!$A:$A,MATCH(C31&amp;"-"&amp;D31&amp;"-"&amp;E31&amp;"-Pos4",'Shooter-Squad Assignment'!$V:$V,0)),""),IF(E31="Sporting Clays",IFERROR(INDEX('Shooter-Squad Assignment'!$A:$A,MATCH(C31&amp;"-"&amp;D31&amp;"-"&amp;E31&amp;"-Pos4",'Shooter-Squad Assignment'!$Y:$Y,0)),""),"")))</f>
        <v/>
      </c>
      <c r="M31" s="73" t="str">
        <f>IF(ISBLANK(L31),"",IFERROR(INDEX('Tournament List'!$D:$D,MATCH(L31,'Tournament List'!$A:$A,0)),""))</f>
        <v/>
      </c>
      <c r="N31" s="98" t="str">
        <f>IF(E31="Skeet",IFERROR(INDEX('Shooter-Squad Assignment'!$A:$A,MATCH(C31&amp;"-"&amp;D31&amp;"-"&amp;E31&amp;"-Pos5",'Shooter-Squad Assignment'!#REF!,0)),""),IF(E31="Trap",IFERROR(INDEX('Shooter-Squad Assignment'!$A:$A,MATCH(C31&amp;"-"&amp;D31&amp;"-"&amp;E31&amp;"-Pos5",'Shooter-Squad Assignment'!$V:$V,0)),""),IF(E31="Sporting Clays",IFERROR(INDEX('Shooter-Squad Assignment'!$A:$A,MATCH(C31&amp;"-"&amp;D31&amp;"-"&amp;E31&amp;"-Pos5",'Shooter-Squad Assignment'!$Y:$Y,0)),""),"")))</f>
        <v/>
      </c>
      <c r="O31" s="80" t="str">
        <f>IF(ISBLANK(N31),"",IFERROR(INDEX('Tournament List'!$D:$D,MATCH(N31,'Tournament List'!$A:$A,0)),""))</f>
        <v/>
      </c>
    </row>
    <row r="32" spans="1:15" x14ac:dyDescent="0.3">
      <c r="A32" s="79">
        <v>40</v>
      </c>
      <c r="B32" s="73" t="str">
        <f t="shared" si="0"/>
        <v>High Plains Drifters-Open 1-Trap</v>
      </c>
      <c r="C32" s="73" t="s">
        <v>307</v>
      </c>
      <c r="D32" s="73" t="s">
        <v>343</v>
      </c>
      <c r="E32" s="73" t="s">
        <v>147</v>
      </c>
      <c r="F32" s="98" t="str">
        <f>IF(E32="Skeet",IFERROR(INDEX('Shooter-Squad Assignment'!$A:$A,MATCH(C32&amp;"-"&amp;D32&amp;"-"&amp;E32&amp;"-Pos1",'Shooter-Squad Assignment'!#REF!,0)),""),IF(E32="Trap",IFERROR(INDEX('Shooter-Squad Assignment'!$A:$A,MATCH(C32&amp;"-"&amp;D32&amp;"-"&amp;E32&amp;"-Pos1",'Shooter-Squad Assignment'!$V:$V,0)),""),IF(E32="Sporting Clays",IFERROR(INDEX('Shooter-Squad Assignment'!$A:$A,MATCH(C32&amp;"-"&amp;D32&amp;"-"&amp;E32&amp;"-Pos1",'Shooter-Squad Assignment'!$Y:$Y,0)),""),"")))</f>
        <v>24-1018</v>
      </c>
      <c r="G32" s="73" t="str">
        <f>IF(ISBLANK(F32),"",IFERROR(INDEX('Tournament List'!$D:$D,MATCH(F32,'Tournament List'!$A:$A,0)),""))</f>
        <v>Jack Last Name19</v>
      </c>
      <c r="H32" s="98" t="str">
        <f>IF(E32="Skeet",IFERROR(INDEX('Shooter-Squad Assignment'!$A:$A,MATCH(C32&amp;"-"&amp;D32&amp;"-"&amp;E32&amp;"-Pos2",'Shooter-Squad Assignment'!#REF!,0)),""),IF(E32="Trap",IFERROR(INDEX('Shooter-Squad Assignment'!$A:$A,MATCH(C32&amp;"-"&amp;D32&amp;"-"&amp;E32&amp;"-Pos2",'Shooter-Squad Assignment'!$V:$V,0)),""),IF(E32="Sporting Clays",IFERROR(INDEX('Shooter-Squad Assignment'!$A:$A,MATCH(C32&amp;"-"&amp;D32&amp;"-"&amp;E32&amp;"-Pos2",'Shooter-Squad Assignment'!$Y:$Y,0)),""),"")))</f>
        <v>24-1024</v>
      </c>
      <c r="I32" s="73" t="str">
        <f>IF(ISBLANK(H32),"",IFERROR(INDEX('Tournament List'!$D:$D,MATCH(H32,'Tournament List'!$A:$A,0)),""))</f>
        <v>Harry Last Name25</v>
      </c>
      <c r="J32" s="98" t="str">
        <f>IF(E32="Skeet",IFERROR(INDEX('Shooter-Squad Assignment'!$A:$A,MATCH(C32&amp;"-"&amp;D32&amp;"-"&amp;E32&amp;"-Pos3",'Shooter-Squad Assignment'!#REF!,0)),""),IF(E32="Trap",IFERROR(INDEX('Shooter-Squad Assignment'!$A:$A,MATCH(C32&amp;"-"&amp;D32&amp;"-"&amp;E32&amp;"-Pos3",'Shooter-Squad Assignment'!$V:$V,0)),""),IF(E32="Sporting Clays",IFERROR(INDEX('Shooter-Squad Assignment'!$A:$A,MATCH(C32&amp;"-"&amp;D32&amp;"-"&amp;E32&amp;"-Pos3",'Shooter-Squad Assignment'!$Y:$Y,0)),""),"")))</f>
        <v>24-1036</v>
      </c>
      <c r="K32" s="73" t="str">
        <f>IF(ISBLANK(J32),"",IFERROR(INDEX('Tournament List'!$D:$D,MATCH(J32,'Tournament List'!$A:$A,0)),""))</f>
        <v>Will Last Name37</v>
      </c>
      <c r="L32" s="98" t="str">
        <f>IF(E32="Skeet",IFERROR(INDEX('Shooter-Squad Assignment'!$A:$A,MATCH(C32&amp;"-"&amp;D32&amp;"-"&amp;E32&amp;"-Pos4",'Shooter-Squad Assignment'!#REF!,0)),""),IF(E32="Trap",IFERROR(INDEX('Shooter-Squad Assignment'!$A:$A,MATCH(C32&amp;"-"&amp;D32&amp;"-"&amp;E32&amp;"-Pos4",'Shooter-Squad Assignment'!$V:$V,0)),""),IF(E32="Sporting Clays",IFERROR(INDEX('Shooter-Squad Assignment'!$A:$A,MATCH(C32&amp;"-"&amp;D32&amp;"-"&amp;E32&amp;"-Pos4",'Shooter-Squad Assignment'!$Y:$Y,0)),""),"")))</f>
        <v>24-1006</v>
      </c>
      <c r="M32" s="73" t="str">
        <f>IF(ISBLANK(L32),"",IFERROR(INDEX('Tournament List'!$D:$D,MATCH(L32,'Tournament List'!$A:$A,0)),""))</f>
        <v>Blake Last Name7</v>
      </c>
      <c r="N32" s="98" t="str">
        <f>IF(E32="Skeet",IFERROR(INDEX('Shooter-Squad Assignment'!$A:$A,MATCH(C32&amp;"-"&amp;D32&amp;"-"&amp;E32&amp;"-Pos5",'Shooter-Squad Assignment'!#REF!,0)),""),IF(E32="Trap",IFERROR(INDEX('Shooter-Squad Assignment'!$A:$A,MATCH(C32&amp;"-"&amp;D32&amp;"-"&amp;E32&amp;"-Pos5",'Shooter-Squad Assignment'!$V:$V,0)),""),IF(E32="Sporting Clays",IFERROR(INDEX('Shooter-Squad Assignment'!$A:$A,MATCH(C32&amp;"-"&amp;D32&amp;"-"&amp;E32&amp;"-Pos5",'Shooter-Squad Assignment'!$Y:$Y,0)),""),"")))</f>
        <v>24-1030</v>
      </c>
      <c r="O32" s="80" t="str">
        <f>IF(ISBLANK(N32),"",IFERROR(INDEX('Tournament List'!$D:$D,MATCH(N32,'Tournament List'!$A:$A,0)),""))</f>
        <v>Shelly Last Name31</v>
      </c>
    </row>
    <row r="33" spans="1:15" x14ac:dyDescent="0.3">
      <c r="A33" s="79">
        <v>41</v>
      </c>
      <c r="B33" s="73" t="str">
        <f t="shared" si="0"/>
        <v>High Plains Drifters-Open 2-Trap</v>
      </c>
      <c r="C33" s="73" t="s">
        <v>307</v>
      </c>
      <c r="D33" s="73" t="s">
        <v>349</v>
      </c>
      <c r="E33" s="73" t="s">
        <v>147</v>
      </c>
      <c r="F33" s="98" t="str">
        <f>IF(E33="Skeet",IFERROR(INDEX('Shooter-Squad Assignment'!$A:$A,MATCH(C33&amp;"-"&amp;D33&amp;"-"&amp;E33&amp;"-Pos1",'Shooter-Squad Assignment'!#REF!,0)),""),IF(E33="Trap",IFERROR(INDEX('Shooter-Squad Assignment'!$A:$A,MATCH(C33&amp;"-"&amp;D33&amp;"-"&amp;E33&amp;"-Pos1",'Shooter-Squad Assignment'!$V:$V,0)),""),IF(E33="Sporting Clays",IFERROR(INDEX('Shooter-Squad Assignment'!$A:$A,MATCH(C33&amp;"-"&amp;D33&amp;"-"&amp;E33&amp;"-Pos1",'Shooter-Squad Assignment'!$Y:$Y,0)),""),"")))</f>
        <v/>
      </c>
      <c r="G33" s="73" t="str">
        <f>IF(ISBLANK(F33),"",IFERROR(INDEX('Tournament List'!$D:$D,MATCH(F33,'Tournament List'!$A:$A,0)),""))</f>
        <v/>
      </c>
      <c r="H33" s="98" t="str">
        <f>IF(E33="Skeet",IFERROR(INDEX('Shooter-Squad Assignment'!$A:$A,MATCH(C33&amp;"-"&amp;D33&amp;"-"&amp;E33&amp;"-Pos2",'Shooter-Squad Assignment'!#REF!,0)),""),IF(E33="Trap",IFERROR(INDEX('Shooter-Squad Assignment'!$A:$A,MATCH(C33&amp;"-"&amp;D33&amp;"-"&amp;E33&amp;"-Pos2",'Shooter-Squad Assignment'!$V:$V,0)),""),IF(E33="Sporting Clays",IFERROR(INDEX('Shooter-Squad Assignment'!$A:$A,MATCH(C33&amp;"-"&amp;D33&amp;"-"&amp;E33&amp;"-Pos2",'Shooter-Squad Assignment'!$Y:$Y,0)),""),"")))</f>
        <v/>
      </c>
      <c r="I33" s="73" t="str">
        <f>IF(ISBLANK(H33),"",IFERROR(INDEX('Tournament List'!$D:$D,MATCH(H33,'Tournament List'!$A:$A,0)),""))</f>
        <v/>
      </c>
      <c r="J33" s="98" t="str">
        <f>IF(E33="Skeet",IFERROR(INDEX('Shooter-Squad Assignment'!$A:$A,MATCH(C33&amp;"-"&amp;D33&amp;"-"&amp;E33&amp;"-Pos3",'Shooter-Squad Assignment'!#REF!,0)),""),IF(E33="Trap",IFERROR(INDEX('Shooter-Squad Assignment'!$A:$A,MATCH(C33&amp;"-"&amp;D33&amp;"-"&amp;E33&amp;"-Pos3",'Shooter-Squad Assignment'!$V:$V,0)),""),IF(E33="Sporting Clays",IFERROR(INDEX('Shooter-Squad Assignment'!$A:$A,MATCH(C33&amp;"-"&amp;D33&amp;"-"&amp;E33&amp;"-Pos3",'Shooter-Squad Assignment'!$Y:$Y,0)),""),"")))</f>
        <v/>
      </c>
      <c r="K33" s="73" t="str">
        <f>IF(ISBLANK(J33),"",IFERROR(INDEX('Tournament List'!$D:$D,MATCH(J33,'Tournament List'!$A:$A,0)),""))</f>
        <v/>
      </c>
      <c r="L33" s="98" t="str">
        <f>IF(E33="Skeet",IFERROR(INDEX('Shooter-Squad Assignment'!$A:$A,MATCH(C33&amp;"-"&amp;D33&amp;"-"&amp;E33&amp;"-Pos4",'Shooter-Squad Assignment'!#REF!,0)),""),IF(E33="Trap",IFERROR(INDEX('Shooter-Squad Assignment'!$A:$A,MATCH(C33&amp;"-"&amp;D33&amp;"-"&amp;E33&amp;"-Pos4",'Shooter-Squad Assignment'!$V:$V,0)),""),IF(E33="Sporting Clays",IFERROR(INDEX('Shooter-Squad Assignment'!$A:$A,MATCH(C33&amp;"-"&amp;D33&amp;"-"&amp;E33&amp;"-Pos4",'Shooter-Squad Assignment'!$Y:$Y,0)),""),"")))</f>
        <v/>
      </c>
      <c r="M33" s="73" t="str">
        <f>IF(ISBLANK(L33),"",IFERROR(INDEX('Tournament List'!$D:$D,MATCH(L33,'Tournament List'!$A:$A,0)),""))</f>
        <v/>
      </c>
      <c r="N33" s="98" t="str">
        <f>IF(E33="Skeet",IFERROR(INDEX('Shooter-Squad Assignment'!$A:$A,MATCH(C33&amp;"-"&amp;D33&amp;"-"&amp;E33&amp;"-Pos5",'Shooter-Squad Assignment'!#REF!,0)),""),IF(E33="Trap",IFERROR(INDEX('Shooter-Squad Assignment'!$A:$A,MATCH(C33&amp;"-"&amp;D33&amp;"-"&amp;E33&amp;"-Pos5",'Shooter-Squad Assignment'!$V:$V,0)),""),IF(E33="Sporting Clays",IFERROR(INDEX('Shooter-Squad Assignment'!$A:$A,MATCH(C33&amp;"-"&amp;D33&amp;"-"&amp;E33&amp;"-Pos5",'Shooter-Squad Assignment'!$Y:$Y,0)),""),"")))</f>
        <v/>
      </c>
      <c r="O33" s="80" t="str">
        <f>IF(ISBLANK(N33),"",IFERROR(INDEX('Tournament List'!$D:$D,MATCH(N33,'Tournament List'!$A:$A,0)),""))</f>
        <v/>
      </c>
    </row>
    <row r="34" spans="1:15" x14ac:dyDescent="0.3">
      <c r="A34" s="79">
        <v>42</v>
      </c>
      <c r="B34" s="73" t="str">
        <f t="shared" si="0"/>
        <v>High Plains Drifters-Open 3-Trap</v>
      </c>
      <c r="C34" s="73" t="s">
        <v>307</v>
      </c>
      <c r="D34" s="73" t="s">
        <v>355</v>
      </c>
      <c r="E34" s="73" t="s">
        <v>147</v>
      </c>
      <c r="F34" s="98" t="str">
        <f>IF(E34="Skeet",IFERROR(INDEX('Shooter-Squad Assignment'!$A:$A,MATCH(C34&amp;"-"&amp;D34&amp;"-"&amp;E34&amp;"-Pos1",'Shooter-Squad Assignment'!#REF!,0)),""),IF(E34="Trap",IFERROR(INDEX('Shooter-Squad Assignment'!$A:$A,MATCH(C34&amp;"-"&amp;D34&amp;"-"&amp;E34&amp;"-Pos1",'Shooter-Squad Assignment'!$V:$V,0)),""),IF(E34="Sporting Clays",IFERROR(INDEX('Shooter-Squad Assignment'!$A:$A,MATCH(C34&amp;"-"&amp;D34&amp;"-"&amp;E34&amp;"-Pos1",'Shooter-Squad Assignment'!$Y:$Y,0)),""),"")))</f>
        <v/>
      </c>
      <c r="G34" s="73" t="str">
        <f>IF(ISBLANK(F34),"",IFERROR(INDEX('Tournament List'!$D:$D,MATCH(F34,'Tournament List'!$A:$A,0)),""))</f>
        <v/>
      </c>
      <c r="H34" s="98" t="str">
        <f>IF(E34="Skeet",IFERROR(INDEX('Shooter-Squad Assignment'!$A:$A,MATCH(C34&amp;"-"&amp;D34&amp;"-"&amp;E34&amp;"-Pos2",'Shooter-Squad Assignment'!#REF!,0)),""),IF(E34="Trap",IFERROR(INDEX('Shooter-Squad Assignment'!$A:$A,MATCH(C34&amp;"-"&amp;D34&amp;"-"&amp;E34&amp;"-Pos2",'Shooter-Squad Assignment'!$V:$V,0)),""),IF(E34="Sporting Clays",IFERROR(INDEX('Shooter-Squad Assignment'!$A:$A,MATCH(C34&amp;"-"&amp;D34&amp;"-"&amp;E34&amp;"-Pos2",'Shooter-Squad Assignment'!$Y:$Y,0)),""),"")))</f>
        <v/>
      </c>
      <c r="I34" s="73" t="str">
        <f>IF(ISBLANK(H34),"",IFERROR(INDEX('Tournament List'!$D:$D,MATCH(H34,'Tournament List'!$A:$A,0)),""))</f>
        <v/>
      </c>
      <c r="J34" s="98" t="str">
        <f>IF(E34="Skeet",IFERROR(INDEX('Shooter-Squad Assignment'!$A:$A,MATCH(C34&amp;"-"&amp;D34&amp;"-"&amp;E34&amp;"-Pos3",'Shooter-Squad Assignment'!#REF!,0)),""),IF(E34="Trap",IFERROR(INDEX('Shooter-Squad Assignment'!$A:$A,MATCH(C34&amp;"-"&amp;D34&amp;"-"&amp;E34&amp;"-Pos3",'Shooter-Squad Assignment'!$V:$V,0)),""),IF(E34="Sporting Clays",IFERROR(INDEX('Shooter-Squad Assignment'!$A:$A,MATCH(C34&amp;"-"&amp;D34&amp;"-"&amp;E34&amp;"-Pos3",'Shooter-Squad Assignment'!$Y:$Y,0)),""),"")))</f>
        <v/>
      </c>
      <c r="K34" s="73" t="str">
        <f>IF(ISBLANK(J34),"",IFERROR(INDEX('Tournament List'!$D:$D,MATCH(J34,'Tournament List'!$A:$A,0)),""))</f>
        <v/>
      </c>
      <c r="L34" s="98" t="str">
        <f>IF(E34="Skeet",IFERROR(INDEX('Shooter-Squad Assignment'!$A:$A,MATCH(C34&amp;"-"&amp;D34&amp;"-"&amp;E34&amp;"-Pos4",'Shooter-Squad Assignment'!#REF!,0)),""),IF(E34="Trap",IFERROR(INDEX('Shooter-Squad Assignment'!$A:$A,MATCH(C34&amp;"-"&amp;D34&amp;"-"&amp;E34&amp;"-Pos4",'Shooter-Squad Assignment'!$V:$V,0)),""),IF(E34="Sporting Clays",IFERROR(INDEX('Shooter-Squad Assignment'!$A:$A,MATCH(C34&amp;"-"&amp;D34&amp;"-"&amp;E34&amp;"-Pos4",'Shooter-Squad Assignment'!$Y:$Y,0)),""),"")))</f>
        <v/>
      </c>
      <c r="M34" s="73" t="str">
        <f>IF(ISBLANK(L34),"",IFERROR(INDEX('Tournament List'!$D:$D,MATCH(L34,'Tournament List'!$A:$A,0)),""))</f>
        <v/>
      </c>
      <c r="N34" s="98" t="str">
        <f>IF(E34="Skeet",IFERROR(INDEX('Shooter-Squad Assignment'!$A:$A,MATCH(C34&amp;"-"&amp;D34&amp;"-"&amp;E34&amp;"-Pos5",'Shooter-Squad Assignment'!#REF!,0)),""),IF(E34="Trap",IFERROR(INDEX('Shooter-Squad Assignment'!$A:$A,MATCH(C34&amp;"-"&amp;D34&amp;"-"&amp;E34&amp;"-Pos5",'Shooter-Squad Assignment'!$V:$V,0)),""),IF(E34="Sporting Clays",IFERROR(INDEX('Shooter-Squad Assignment'!$A:$A,MATCH(C34&amp;"-"&amp;D34&amp;"-"&amp;E34&amp;"-Pos5",'Shooter-Squad Assignment'!$Y:$Y,0)),""),"")))</f>
        <v/>
      </c>
      <c r="O34" s="80" t="str">
        <f>IF(ISBLANK(N34),"",IFERROR(INDEX('Tournament List'!$D:$D,MATCH(N34,'Tournament List'!$A:$A,0)),""))</f>
        <v/>
      </c>
    </row>
    <row r="35" spans="1:15" x14ac:dyDescent="0.3">
      <c r="A35" s="79">
        <v>43</v>
      </c>
      <c r="B35" s="73" t="str">
        <f t="shared" si="0"/>
        <v>High Plains Drifters-Varsity 1-Trap</v>
      </c>
      <c r="C35" s="73" t="s">
        <v>307</v>
      </c>
      <c r="D35" s="73" t="s">
        <v>342</v>
      </c>
      <c r="E35" s="73" t="s">
        <v>147</v>
      </c>
      <c r="F35" s="98" t="str">
        <f>IF(E35="Skeet",IFERROR(INDEX('Shooter-Squad Assignment'!$A:$A,MATCH(C35&amp;"-"&amp;D35&amp;"-"&amp;E35&amp;"-Pos1",'Shooter-Squad Assignment'!#REF!,0)),""),IF(E35="Trap",IFERROR(INDEX('Shooter-Squad Assignment'!$A:$A,MATCH(C35&amp;"-"&amp;D35&amp;"-"&amp;E35&amp;"-Pos1",'Shooter-Squad Assignment'!$V:$V,0)),""),IF(E35="Sporting Clays",IFERROR(INDEX('Shooter-Squad Assignment'!$A:$A,MATCH(C35&amp;"-"&amp;D35&amp;"-"&amp;E35&amp;"-Pos1",'Shooter-Squad Assignment'!$Y:$Y,0)),""),"")))</f>
        <v/>
      </c>
      <c r="G35" s="73" t="str">
        <f>IF(ISBLANK(F35),"",IFERROR(INDEX('Tournament List'!$D:$D,MATCH(F35,'Tournament List'!$A:$A,0)),""))</f>
        <v/>
      </c>
      <c r="H35" s="98" t="str">
        <f>IF(E35="Skeet",IFERROR(INDEX('Shooter-Squad Assignment'!$A:$A,MATCH(C35&amp;"-"&amp;D35&amp;"-"&amp;E35&amp;"-Pos2",'Shooter-Squad Assignment'!#REF!,0)),""),IF(E35="Trap",IFERROR(INDEX('Shooter-Squad Assignment'!$A:$A,MATCH(C35&amp;"-"&amp;D35&amp;"-"&amp;E35&amp;"-Pos2",'Shooter-Squad Assignment'!$V:$V,0)),""),IF(E35="Sporting Clays",IFERROR(INDEX('Shooter-Squad Assignment'!$A:$A,MATCH(C35&amp;"-"&amp;D35&amp;"-"&amp;E35&amp;"-Pos2",'Shooter-Squad Assignment'!$Y:$Y,0)),""),"")))</f>
        <v/>
      </c>
      <c r="I35" s="73" t="str">
        <f>IF(ISBLANK(H35),"",IFERROR(INDEX('Tournament List'!$D:$D,MATCH(H35,'Tournament List'!$A:$A,0)),""))</f>
        <v/>
      </c>
      <c r="J35" s="98" t="str">
        <f>IF(E35="Skeet",IFERROR(INDEX('Shooter-Squad Assignment'!$A:$A,MATCH(C35&amp;"-"&amp;D35&amp;"-"&amp;E35&amp;"-Pos3",'Shooter-Squad Assignment'!#REF!,0)),""),IF(E35="Trap",IFERROR(INDEX('Shooter-Squad Assignment'!$A:$A,MATCH(C35&amp;"-"&amp;D35&amp;"-"&amp;E35&amp;"-Pos3",'Shooter-Squad Assignment'!$V:$V,0)),""),IF(E35="Sporting Clays",IFERROR(INDEX('Shooter-Squad Assignment'!$A:$A,MATCH(C35&amp;"-"&amp;D35&amp;"-"&amp;E35&amp;"-Pos3",'Shooter-Squad Assignment'!$Y:$Y,0)),""),"")))</f>
        <v/>
      </c>
      <c r="K35" s="73" t="str">
        <f>IF(ISBLANK(J35),"",IFERROR(INDEX('Tournament List'!$D:$D,MATCH(J35,'Tournament List'!$A:$A,0)),""))</f>
        <v/>
      </c>
      <c r="L35" s="98" t="str">
        <f>IF(E35="Skeet",IFERROR(INDEX('Shooter-Squad Assignment'!$A:$A,MATCH(C35&amp;"-"&amp;D35&amp;"-"&amp;E35&amp;"-Pos4",'Shooter-Squad Assignment'!#REF!,0)),""),IF(E35="Trap",IFERROR(INDEX('Shooter-Squad Assignment'!$A:$A,MATCH(C35&amp;"-"&amp;D35&amp;"-"&amp;E35&amp;"-Pos4",'Shooter-Squad Assignment'!$V:$V,0)),""),IF(E35="Sporting Clays",IFERROR(INDEX('Shooter-Squad Assignment'!$A:$A,MATCH(C35&amp;"-"&amp;D35&amp;"-"&amp;E35&amp;"-Pos4",'Shooter-Squad Assignment'!$Y:$Y,0)),""),"")))</f>
        <v/>
      </c>
      <c r="M35" s="73" t="str">
        <f>IF(ISBLANK(L35),"",IFERROR(INDEX('Tournament List'!$D:$D,MATCH(L35,'Tournament List'!$A:$A,0)),""))</f>
        <v/>
      </c>
      <c r="N35" s="98" t="str">
        <f>IF(E35="Skeet",IFERROR(INDEX('Shooter-Squad Assignment'!$A:$A,MATCH(C35&amp;"-"&amp;D35&amp;"-"&amp;E35&amp;"-Pos5",'Shooter-Squad Assignment'!#REF!,0)),""),IF(E35="Trap",IFERROR(INDEX('Shooter-Squad Assignment'!$A:$A,MATCH(C35&amp;"-"&amp;D35&amp;"-"&amp;E35&amp;"-Pos5",'Shooter-Squad Assignment'!$V:$V,0)),""),IF(E35="Sporting Clays",IFERROR(INDEX('Shooter-Squad Assignment'!$A:$A,MATCH(C35&amp;"-"&amp;D35&amp;"-"&amp;E35&amp;"-Pos5",'Shooter-Squad Assignment'!$Y:$Y,0)),""),"")))</f>
        <v/>
      </c>
      <c r="O35" s="80" t="str">
        <f>IF(ISBLANK(N35),"",IFERROR(INDEX('Tournament List'!$D:$D,MATCH(N35,'Tournament List'!$A:$A,0)),""))</f>
        <v/>
      </c>
    </row>
    <row r="36" spans="1:15" x14ac:dyDescent="0.3">
      <c r="A36" s="79">
        <v>44</v>
      </c>
      <c r="B36" s="73" t="str">
        <f t="shared" si="0"/>
        <v>High Plains Drifters-Varsity 2-Trap</v>
      </c>
      <c r="C36" s="73" t="s">
        <v>307</v>
      </c>
      <c r="D36" s="73" t="s">
        <v>348</v>
      </c>
      <c r="E36" s="73" t="s">
        <v>147</v>
      </c>
      <c r="F36" s="98" t="str">
        <f>IF(E36="Skeet",IFERROR(INDEX('Shooter-Squad Assignment'!$A:$A,MATCH(C36&amp;"-"&amp;D36&amp;"-"&amp;E36&amp;"-Pos1",'Shooter-Squad Assignment'!#REF!,0)),""),IF(E36="Trap",IFERROR(INDEX('Shooter-Squad Assignment'!$A:$A,MATCH(C36&amp;"-"&amp;D36&amp;"-"&amp;E36&amp;"-Pos1",'Shooter-Squad Assignment'!$V:$V,0)),""),IF(E36="Sporting Clays",IFERROR(INDEX('Shooter-Squad Assignment'!$A:$A,MATCH(C36&amp;"-"&amp;D36&amp;"-"&amp;E36&amp;"-Pos1",'Shooter-Squad Assignment'!$Y:$Y,0)),""),"")))</f>
        <v/>
      </c>
      <c r="G36" s="73" t="str">
        <f>IF(ISBLANK(F36),"",IFERROR(INDEX('Tournament List'!$D:$D,MATCH(F36,'Tournament List'!$A:$A,0)),""))</f>
        <v/>
      </c>
      <c r="H36" s="98" t="str">
        <f>IF(E36="Skeet",IFERROR(INDEX('Shooter-Squad Assignment'!$A:$A,MATCH(C36&amp;"-"&amp;D36&amp;"-"&amp;E36&amp;"-Pos2",'Shooter-Squad Assignment'!#REF!,0)),""),IF(E36="Trap",IFERROR(INDEX('Shooter-Squad Assignment'!$A:$A,MATCH(C36&amp;"-"&amp;D36&amp;"-"&amp;E36&amp;"-Pos2",'Shooter-Squad Assignment'!$V:$V,0)),""),IF(E36="Sporting Clays",IFERROR(INDEX('Shooter-Squad Assignment'!$A:$A,MATCH(C36&amp;"-"&amp;D36&amp;"-"&amp;E36&amp;"-Pos2",'Shooter-Squad Assignment'!$Y:$Y,0)),""),"")))</f>
        <v/>
      </c>
      <c r="I36" s="73" t="str">
        <f>IF(ISBLANK(H36),"",IFERROR(INDEX('Tournament List'!$D:$D,MATCH(H36,'Tournament List'!$A:$A,0)),""))</f>
        <v/>
      </c>
      <c r="J36" s="98" t="str">
        <f>IF(E36="Skeet",IFERROR(INDEX('Shooter-Squad Assignment'!$A:$A,MATCH(C36&amp;"-"&amp;D36&amp;"-"&amp;E36&amp;"-Pos3",'Shooter-Squad Assignment'!#REF!,0)),""),IF(E36="Trap",IFERROR(INDEX('Shooter-Squad Assignment'!$A:$A,MATCH(C36&amp;"-"&amp;D36&amp;"-"&amp;E36&amp;"-Pos3",'Shooter-Squad Assignment'!$V:$V,0)),""),IF(E36="Sporting Clays",IFERROR(INDEX('Shooter-Squad Assignment'!$A:$A,MATCH(C36&amp;"-"&amp;D36&amp;"-"&amp;E36&amp;"-Pos3",'Shooter-Squad Assignment'!$Y:$Y,0)),""),"")))</f>
        <v/>
      </c>
      <c r="K36" s="73" t="str">
        <f>IF(ISBLANK(J36),"",IFERROR(INDEX('Tournament List'!$D:$D,MATCH(J36,'Tournament List'!$A:$A,0)),""))</f>
        <v/>
      </c>
      <c r="L36" s="98" t="str">
        <f>IF(E36="Skeet",IFERROR(INDEX('Shooter-Squad Assignment'!$A:$A,MATCH(C36&amp;"-"&amp;D36&amp;"-"&amp;E36&amp;"-Pos4",'Shooter-Squad Assignment'!#REF!,0)),""),IF(E36="Trap",IFERROR(INDEX('Shooter-Squad Assignment'!$A:$A,MATCH(C36&amp;"-"&amp;D36&amp;"-"&amp;E36&amp;"-Pos4",'Shooter-Squad Assignment'!$V:$V,0)),""),IF(E36="Sporting Clays",IFERROR(INDEX('Shooter-Squad Assignment'!$A:$A,MATCH(C36&amp;"-"&amp;D36&amp;"-"&amp;E36&amp;"-Pos4",'Shooter-Squad Assignment'!$Y:$Y,0)),""),"")))</f>
        <v/>
      </c>
      <c r="M36" s="73" t="str">
        <f>IF(ISBLANK(L36),"",IFERROR(INDEX('Tournament List'!$D:$D,MATCH(L36,'Tournament List'!$A:$A,0)),""))</f>
        <v/>
      </c>
      <c r="N36" s="98" t="str">
        <f>IF(E36="Skeet",IFERROR(INDEX('Shooter-Squad Assignment'!$A:$A,MATCH(C36&amp;"-"&amp;D36&amp;"-"&amp;E36&amp;"-Pos5",'Shooter-Squad Assignment'!#REF!,0)),""),IF(E36="Trap",IFERROR(INDEX('Shooter-Squad Assignment'!$A:$A,MATCH(C36&amp;"-"&amp;D36&amp;"-"&amp;E36&amp;"-Pos5",'Shooter-Squad Assignment'!$V:$V,0)),""),IF(E36="Sporting Clays",IFERROR(INDEX('Shooter-Squad Assignment'!$A:$A,MATCH(C36&amp;"-"&amp;D36&amp;"-"&amp;E36&amp;"-Pos5",'Shooter-Squad Assignment'!$Y:$Y,0)),""),"")))</f>
        <v/>
      </c>
      <c r="O36" s="80" t="str">
        <f>IF(ISBLANK(N36),"",IFERROR(INDEX('Tournament List'!$D:$D,MATCH(N36,'Tournament List'!$A:$A,0)),""))</f>
        <v/>
      </c>
    </row>
    <row r="37" spans="1:15" x14ac:dyDescent="0.3">
      <c r="A37" s="79">
        <v>45</v>
      </c>
      <c r="B37" s="73" t="str">
        <f t="shared" si="0"/>
        <v>High Plains Drifters-Varsity 3-Trap</v>
      </c>
      <c r="C37" s="73" t="s">
        <v>307</v>
      </c>
      <c r="D37" s="73" t="s">
        <v>354</v>
      </c>
      <c r="E37" s="73" t="s">
        <v>147</v>
      </c>
      <c r="F37" s="98" t="str">
        <f>IF(E37="Skeet",IFERROR(INDEX('Shooter-Squad Assignment'!$A:$A,MATCH(C37&amp;"-"&amp;D37&amp;"-"&amp;E37&amp;"-Pos1",'Shooter-Squad Assignment'!#REF!,0)),""),IF(E37="Trap",IFERROR(INDEX('Shooter-Squad Assignment'!$A:$A,MATCH(C37&amp;"-"&amp;D37&amp;"-"&amp;E37&amp;"-Pos1",'Shooter-Squad Assignment'!$V:$V,0)),""),IF(E37="Sporting Clays",IFERROR(INDEX('Shooter-Squad Assignment'!$A:$A,MATCH(C37&amp;"-"&amp;D37&amp;"-"&amp;E37&amp;"-Pos1",'Shooter-Squad Assignment'!$Y:$Y,0)),""),"")))</f>
        <v/>
      </c>
      <c r="G37" s="73" t="str">
        <f>IF(ISBLANK(F37),"",IFERROR(INDEX('Tournament List'!$D:$D,MATCH(F37,'Tournament List'!$A:$A,0)),""))</f>
        <v/>
      </c>
      <c r="H37" s="98" t="str">
        <f>IF(E37="Skeet",IFERROR(INDEX('Shooter-Squad Assignment'!$A:$A,MATCH(C37&amp;"-"&amp;D37&amp;"-"&amp;E37&amp;"-Pos2",'Shooter-Squad Assignment'!#REF!,0)),""),IF(E37="Trap",IFERROR(INDEX('Shooter-Squad Assignment'!$A:$A,MATCH(C37&amp;"-"&amp;D37&amp;"-"&amp;E37&amp;"-Pos2",'Shooter-Squad Assignment'!$V:$V,0)),""),IF(E37="Sporting Clays",IFERROR(INDEX('Shooter-Squad Assignment'!$A:$A,MATCH(C37&amp;"-"&amp;D37&amp;"-"&amp;E37&amp;"-Pos2",'Shooter-Squad Assignment'!$Y:$Y,0)),""),"")))</f>
        <v/>
      </c>
      <c r="I37" s="73" t="str">
        <f>IF(ISBLANK(H37),"",IFERROR(INDEX('Tournament List'!$D:$D,MATCH(H37,'Tournament List'!$A:$A,0)),""))</f>
        <v/>
      </c>
      <c r="J37" s="98" t="str">
        <f>IF(E37="Skeet",IFERROR(INDEX('Shooter-Squad Assignment'!$A:$A,MATCH(C37&amp;"-"&amp;D37&amp;"-"&amp;E37&amp;"-Pos3",'Shooter-Squad Assignment'!#REF!,0)),""),IF(E37="Trap",IFERROR(INDEX('Shooter-Squad Assignment'!$A:$A,MATCH(C37&amp;"-"&amp;D37&amp;"-"&amp;E37&amp;"-Pos3",'Shooter-Squad Assignment'!$V:$V,0)),""),IF(E37="Sporting Clays",IFERROR(INDEX('Shooter-Squad Assignment'!$A:$A,MATCH(C37&amp;"-"&amp;D37&amp;"-"&amp;E37&amp;"-Pos3",'Shooter-Squad Assignment'!$Y:$Y,0)),""),"")))</f>
        <v/>
      </c>
      <c r="K37" s="73" t="str">
        <f>IF(ISBLANK(J37),"",IFERROR(INDEX('Tournament List'!$D:$D,MATCH(J37,'Tournament List'!$A:$A,0)),""))</f>
        <v/>
      </c>
      <c r="L37" s="98" t="str">
        <f>IF(E37="Skeet",IFERROR(INDEX('Shooter-Squad Assignment'!$A:$A,MATCH(C37&amp;"-"&amp;D37&amp;"-"&amp;E37&amp;"-Pos4",'Shooter-Squad Assignment'!#REF!,0)),""),IF(E37="Trap",IFERROR(INDEX('Shooter-Squad Assignment'!$A:$A,MATCH(C37&amp;"-"&amp;D37&amp;"-"&amp;E37&amp;"-Pos4",'Shooter-Squad Assignment'!$V:$V,0)),""),IF(E37="Sporting Clays",IFERROR(INDEX('Shooter-Squad Assignment'!$A:$A,MATCH(C37&amp;"-"&amp;D37&amp;"-"&amp;E37&amp;"-Pos4",'Shooter-Squad Assignment'!$Y:$Y,0)),""),"")))</f>
        <v/>
      </c>
      <c r="M37" s="73" t="str">
        <f>IF(ISBLANK(L37),"",IFERROR(INDEX('Tournament List'!$D:$D,MATCH(L37,'Tournament List'!$A:$A,0)),""))</f>
        <v/>
      </c>
      <c r="N37" s="98" t="str">
        <f>IF(E37="Skeet",IFERROR(INDEX('Shooter-Squad Assignment'!$A:$A,MATCH(C37&amp;"-"&amp;D37&amp;"-"&amp;E37&amp;"-Pos5",'Shooter-Squad Assignment'!#REF!,0)),""),IF(E37="Trap",IFERROR(INDEX('Shooter-Squad Assignment'!$A:$A,MATCH(C37&amp;"-"&amp;D37&amp;"-"&amp;E37&amp;"-Pos5",'Shooter-Squad Assignment'!$V:$V,0)),""),IF(E37="Sporting Clays",IFERROR(INDEX('Shooter-Squad Assignment'!$A:$A,MATCH(C37&amp;"-"&amp;D37&amp;"-"&amp;E37&amp;"-Pos5",'Shooter-Squad Assignment'!$Y:$Y,0)),""),"")))</f>
        <v/>
      </c>
      <c r="O37" s="80" t="str">
        <f>IF(ISBLANK(N37),"",IFERROR(INDEX('Tournament List'!$D:$D,MATCH(N37,'Tournament List'!$A:$A,0)),""))</f>
        <v/>
      </c>
    </row>
    <row r="38" spans="1:15" x14ac:dyDescent="0.3">
      <c r="A38" s="79">
        <v>46</v>
      </c>
      <c r="B38" s="73" t="str">
        <f t="shared" si="0"/>
        <v>High Plains Drifters-Collegiate 1-Sporting Clays</v>
      </c>
      <c r="C38" s="73" t="s">
        <v>307</v>
      </c>
      <c r="D38" s="73" t="s">
        <v>344</v>
      </c>
      <c r="E38" s="73" t="s">
        <v>148</v>
      </c>
      <c r="F38" s="98" t="str">
        <f>IF(E38="Skeet",IFERROR(INDEX('Shooter-Squad Assignment'!$A:$A,MATCH(C38&amp;"-"&amp;D38&amp;"-"&amp;E38&amp;"-Pos1",'Shooter-Squad Assignment'!#REF!,0)),""),IF(E38="Trap",IFERROR(INDEX('Shooter-Squad Assignment'!$A:$A,MATCH(C38&amp;"-"&amp;D38&amp;"-"&amp;E38&amp;"-Pos1",'Shooter-Squad Assignment'!$V:$V,0)),""),IF(E38="Sporting Clays",IFERROR(INDEX('Shooter-Squad Assignment'!$A:$A,MATCH(C38&amp;"-"&amp;D38&amp;"-"&amp;E38&amp;"-Pos1",'Shooter-Squad Assignment'!$Y:$Y,0)),""),"")))</f>
        <v/>
      </c>
      <c r="G38" s="73" t="str">
        <f>IF(ISBLANK(F38),"",IFERROR(INDEX('Tournament List'!$D:$D,MATCH(F38,'Tournament List'!$A:$A,0)),""))</f>
        <v/>
      </c>
      <c r="H38" s="98" t="str">
        <f>IF(E38="Skeet",IFERROR(INDEX('Shooter-Squad Assignment'!$A:$A,MATCH(C38&amp;"-"&amp;D38&amp;"-"&amp;E38&amp;"-Pos2",'Shooter-Squad Assignment'!#REF!,0)),""),IF(E38="Trap",IFERROR(INDEX('Shooter-Squad Assignment'!$A:$A,MATCH(C38&amp;"-"&amp;D38&amp;"-"&amp;E38&amp;"-Pos2",'Shooter-Squad Assignment'!$V:$V,0)),""),IF(E38="Sporting Clays",IFERROR(INDEX('Shooter-Squad Assignment'!$A:$A,MATCH(C38&amp;"-"&amp;D38&amp;"-"&amp;E38&amp;"-Pos2",'Shooter-Squad Assignment'!$Y:$Y,0)),""),"")))</f>
        <v/>
      </c>
      <c r="I38" s="73" t="str">
        <f>IF(ISBLANK(H38),"",IFERROR(INDEX('Tournament List'!$D:$D,MATCH(H38,'Tournament List'!$A:$A,0)),""))</f>
        <v/>
      </c>
      <c r="J38" s="98" t="str">
        <f>IF(E38="Skeet",IFERROR(INDEX('Shooter-Squad Assignment'!$A:$A,MATCH(C38&amp;"-"&amp;D38&amp;"-"&amp;E38&amp;"-Pos3",'Shooter-Squad Assignment'!#REF!,0)),""),IF(E38="Trap",IFERROR(INDEX('Shooter-Squad Assignment'!$A:$A,MATCH(C38&amp;"-"&amp;D38&amp;"-"&amp;E38&amp;"-Pos3",'Shooter-Squad Assignment'!$V:$V,0)),""),IF(E38="Sporting Clays",IFERROR(INDEX('Shooter-Squad Assignment'!$A:$A,MATCH(C38&amp;"-"&amp;D38&amp;"-"&amp;E38&amp;"-Pos3",'Shooter-Squad Assignment'!$Y:$Y,0)),""),"")))</f>
        <v/>
      </c>
      <c r="K38" s="73" t="str">
        <f>IF(ISBLANK(J38),"",IFERROR(INDEX('Tournament List'!$D:$D,MATCH(J38,'Tournament List'!$A:$A,0)),""))</f>
        <v/>
      </c>
      <c r="L38" s="98" t="str">
        <f>IF(E38="Skeet",IFERROR(INDEX('Shooter-Squad Assignment'!$A:$A,MATCH(C38&amp;"-"&amp;D38&amp;"-"&amp;E38&amp;"-Pos4",'Shooter-Squad Assignment'!#REF!,0)),""),IF(E38="Trap",IFERROR(INDEX('Shooter-Squad Assignment'!$A:$A,MATCH(C38&amp;"-"&amp;D38&amp;"-"&amp;E38&amp;"-Pos4",'Shooter-Squad Assignment'!$V:$V,0)),""),IF(E38="Sporting Clays",IFERROR(INDEX('Shooter-Squad Assignment'!$A:$A,MATCH(C38&amp;"-"&amp;D38&amp;"-"&amp;E38&amp;"-Pos4",'Shooter-Squad Assignment'!$Y:$Y,0)),""),"")))</f>
        <v/>
      </c>
      <c r="M38" s="73" t="str">
        <f>IF(ISBLANK(L38),"",IFERROR(INDEX('Tournament List'!$D:$D,MATCH(L38,'Tournament List'!$A:$A,0)),""))</f>
        <v/>
      </c>
      <c r="N38" s="98" t="str">
        <f>IF(E38="Skeet",IFERROR(INDEX('Shooter-Squad Assignment'!$A:$A,MATCH(C38&amp;"-"&amp;D38&amp;"-"&amp;E38&amp;"-Pos5",'Shooter-Squad Assignment'!#REF!,0)),""),IF(E38="Trap",IFERROR(INDEX('Shooter-Squad Assignment'!$A:$A,MATCH(C38&amp;"-"&amp;D38&amp;"-"&amp;E38&amp;"-Pos5",'Shooter-Squad Assignment'!$V:$V,0)),""),IF(E38="Sporting Clays",IFERROR(INDEX('Shooter-Squad Assignment'!$A:$A,MATCH(C38&amp;"-"&amp;D38&amp;"-"&amp;E38&amp;"-Pos5",'Shooter-Squad Assignment'!$Y:$Y,0)),""),"")))</f>
        <v/>
      </c>
      <c r="O38" s="80" t="str">
        <f>IF(ISBLANK(N38),"",IFERROR(INDEX('Tournament List'!$D:$D,MATCH(N38,'Tournament List'!$A:$A,0)),""))</f>
        <v/>
      </c>
    </row>
    <row r="39" spans="1:15" x14ac:dyDescent="0.3">
      <c r="A39" s="79">
        <v>47</v>
      </c>
      <c r="B39" s="73" t="str">
        <f t="shared" si="0"/>
        <v>High Plains Drifters-Collegiate 2-Sporting Clays</v>
      </c>
      <c r="C39" s="73" t="s">
        <v>307</v>
      </c>
      <c r="D39" s="73" t="s">
        <v>350</v>
      </c>
      <c r="E39" s="73" t="s">
        <v>148</v>
      </c>
      <c r="F39" s="98" t="str">
        <f>IF(E39="Skeet",IFERROR(INDEX('Shooter-Squad Assignment'!$A:$A,MATCH(C39&amp;"-"&amp;D39&amp;"-"&amp;E39&amp;"-Pos1",'Shooter-Squad Assignment'!#REF!,0)),""),IF(E39="Trap",IFERROR(INDEX('Shooter-Squad Assignment'!$A:$A,MATCH(C39&amp;"-"&amp;D39&amp;"-"&amp;E39&amp;"-Pos1",'Shooter-Squad Assignment'!$V:$V,0)),""),IF(E39="Sporting Clays",IFERROR(INDEX('Shooter-Squad Assignment'!$A:$A,MATCH(C39&amp;"-"&amp;D39&amp;"-"&amp;E39&amp;"-Pos1",'Shooter-Squad Assignment'!$Y:$Y,0)),""),"")))</f>
        <v/>
      </c>
      <c r="G39" s="73" t="str">
        <f>IF(ISBLANK(F39),"",IFERROR(INDEX('Tournament List'!$D:$D,MATCH(F39,'Tournament List'!$A:$A,0)),""))</f>
        <v/>
      </c>
      <c r="H39" s="98" t="str">
        <f>IF(E39="Skeet",IFERROR(INDEX('Shooter-Squad Assignment'!$A:$A,MATCH(C39&amp;"-"&amp;D39&amp;"-"&amp;E39&amp;"-Pos2",'Shooter-Squad Assignment'!#REF!,0)),""),IF(E39="Trap",IFERROR(INDEX('Shooter-Squad Assignment'!$A:$A,MATCH(C39&amp;"-"&amp;D39&amp;"-"&amp;E39&amp;"-Pos2",'Shooter-Squad Assignment'!$V:$V,0)),""),IF(E39="Sporting Clays",IFERROR(INDEX('Shooter-Squad Assignment'!$A:$A,MATCH(C39&amp;"-"&amp;D39&amp;"-"&amp;E39&amp;"-Pos2",'Shooter-Squad Assignment'!$Y:$Y,0)),""),"")))</f>
        <v/>
      </c>
      <c r="I39" s="73" t="str">
        <f>IF(ISBLANK(H39),"",IFERROR(INDEX('Tournament List'!$D:$D,MATCH(H39,'Tournament List'!$A:$A,0)),""))</f>
        <v/>
      </c>
      <c r="J39" s="98" t="str">
        <f>IF(E39="Skeet",IFERROR(INDEX('Shooter-Squad Assignment'!$A:$A,MATCH(C39&amp;"-"&amp;D39&amp;"-"&amp;E39&amp;"-Pos3",'Shooter-Squad Assignment'!#REF!,0)),""),IF(E39="Trap",IFERROR(INDEX('Shooter-Squad Assignment'!$A:$A,MATCH(C39&amp;"-"&amp;D39&amp;"-"&amp;E39&amp;"-Pos3",'Shooter-Squad Assignment'!$V:$V,0)),""),IF(E39="Sporting Clays",IFERROR(INDEX('Shooter-Squad Assignment'!$A:$A,MATCH(C39&amp;"-"&amp;D39&amp;"-"&amp;E39&amp;"-Pos3",'Shooter-Squad Assignment'!$Y:$Y,0)),""),"")))</f>
        <v/>
      </c>
      <c r="K39" s="73" t="str">
        <f>IF(ISBLANK(J39),"",IFERROR(INDEX('Tournament List'!$D:$D,MATCH(J39,'Tournament List'!$A:$A,0)),""))</f>
        <v/>
      </c>
      <c r="L39" s="98" t="str">
        <f>IF(E39="Skeet",IFERROR(INDEX('Shooter-Squad Assignment'!$A:$A,MATCH(C39&amp;"-"&amp;D39&amp;"-"&amp;E39&amp;"-Pos4",'Shooter-Squad Assignment'!#REF!,0)),""),IF(E39="Trap",IFERROR(INDEX('Shooter-Squad Assignment'!$A:$A,MATCH(C39&amp;"-"&amp;D39&amp;"-"&amp;E39&amp;"-Pos4",'Shooter-Squad Assignment'!$V:$V,0)),""),IF(E39="Sporting Clays",IFERROR(INDEX('Shooter-Squad Assignment'!$A:$A,MATCH(C39&amp;"-"&amp;D39&amp;"-"&amp;E39&amp;"-Pos4",'Shooter-Squad Assignment'!$Y:$Y,0)),""),"")))</f>
        <v/>
      </c>
      <c r="M39" s="73" t="str">
        <f>IF(ISBLANK(L39),"",IFERROR(INDEX('Tournament List'!$D:$D,MATCH(L39,'Tournament List'!$A:$A,0)),""))</f>
        <v/>
      </c>
      <c r="N39" s="98" t="str">
        <f>IF(E39="Skeet",IFERROR(INDEX('Shooter-Squad Assignment'!$A:$A,MATCH(C39&amp;"-"&amp;D39&amp;"-"&amp;E39&amp;"-Pos5",'Shooter-Squad Assignment'!#REF!,0)),""),IF(E39="Trap",IFERROR(INDEX('Shooter-Squad Assignment'!$A:$A,MATCH(C39&amp;"-"&amp;D39&amp;"-"&amp;E39&amp;"-Pos5",'Shooter-Squad Assignment'!$V:$V,0)),""),IF(E39="Sporting Clays",IFERROR(INDEX('Shooter-Squad Assignment'!$A:$A,MATCH(C39&amp;"-"&amp;D39&amp;"-"&amp;E39&amp;"-Pos5",'Shooter-Squad Assignment'!$Y:$Y,0)),""),"")))</f>
        <v/>
      </c>
      <c r="O39" s="80" t="str">
        <f>IF(ISBLANK(N39),"",IFERROR(INDEX('Tournament List'!$D:$D,MATCH(N39,'Tournament List'!$A:$A,0)),""))</f>
        <v/>
      </c>
    </row>
    <row r="40" spans="1:15" x14ac:dyDescent="0.3">
      <c r="A40" s="79">
        <v>48</v>
      </c>
      <c r="B40" s="73" t="str">
        <f t="shared" si="0"/>
        <v>High Plains Drifters-Collegiate 3-Sporting Clays</v>
      </c>
      <c r="C40" s="73" t="s">
        <v>307</v>
      </c>
      <c r="D40" s="73" t="s">
        <v>356</v>
      </c>
      <c r="E40" s="73" t="s">
        <v>148</v>
      </c>
      <c r="F40" s="98" t="str">
        <f>IF(E40="Skeet",IFERROR(INDEX('Shooter-Squad Assignment'!$A:$A,MATCH(C40&amp;"-"&amp;D40&amp;"-"&amp;E40&amp;"-Pos1",'Shooter-Squad Assignment'!#REF!,0)),""),IF(E40="Trap",IFERROR(INDEX('Shooter-Squad Assignment'!$A:$A,MATCH(C40&amp;"-"&amp;D40&amp;"-"&amp;E40&amp;"-Pos1",'Shooter-Squad Assignment'!$V:$V,0)),""),IF(E40="Sporting Clays",IFERROR(INDEX('Shooter-Squad Assignment'!$A:$A,MATCH(C40&amp;"-"&amp;D40&amp;"-"&amp;E40&amp;"-Pos1",'Shooter-Squad Assignment'!$Y:$Y,0)),""),"")))</f>
        <v/>
      </c>
      <c r="G40" s="73" t="str">
        <f>IF(ISBLANK(F40),"",IFERROR(INDEX('Tournament List'!$D:$D,MATCH(F40,'Tournament List'!$A:$A,0)),""))</f>
        <v/>
      </c>
      <c r="H40" s="98" t="str">
        <f>IF(E40="Skeet",IFERROR(INDEX('Shooter-Squad Assignment'!$A:$A,MATCH(C40&amp;"-"&amp;D40&amp;"-"&amp;E40&amp;"-Pos2",'Shooter-Squad Assignment'!#REF!,0)),""),IF(E40="Trap",IFERROR(INDEX('Shooter-Squad Assignment'!$A:$A,MATCH(C40&amp;"-"&amp;D40&amp;"-"&amp;E40&amp;"-Pos2",'Shooter-Squad Assignment'!$V:$V,0)),""),IF(E40="Sporting Clays",IFERROR(INDEX('Shooter-Squad Assignment'!$A:$A,MATCH(C40&amp;"-"&amp;D40&amp;"-"&amp;E40&amp;"-Pos2",'Shooter-Squad Assignment'!$Y:$Y,0)),""),"")))</f>
        <v/>
      </c>
      <c r="I40" s="73" t="str">
        <f>IF(ISBLANK(H40),"",IFERROR(INDEX('Tournament List'!$D:$D,MATCH(H40,'Tournament List'!$A:$A,0)),""))</f>
        <v/>
      </c>
      <c r="J40" s="98" t="str">
        <f>IF(E40="Skeet",IFERROR(INDEX('Shooter-Squad Assignment'!$A:$A,MATCH(C40&amp;"-"&amp;D40&amp;"-"&amp;E40&amp;"-Pos3",'Shooter-Squad Assignment'!#REF!,0)),""),IF(E40="Trap",IFERROR(INDEX('Shooter-Squad Assignment'!$A:$A,MATCH(C40&amp;"-"&amp;D40&amp;"-"&amp;E40&amp;"-Pos3",'Shooter-Squad Assignment'!$V:$V,0)),""),IF(E40="Sporting Clays",IFERROR(INDEX('Shooter-Squad Assignment'!$A:$A,MATCH(C40&amp;"-"&amp;D40&amp;"-"&amp;E40&amp;"-Pos3",'Shooter-Squad Assignment'!$Y:$Y,0)),""),"")))</f>
        <v/>
      </c>
      <c r="K40" s="73" t="str">
        <f>IF(ISBLANK(J40),"",IFERROR(INDEX('Tournament List'!$D:$D,MATCH(J40,'Tournament List'!$A:$A,0)),""))</f>
        <v/>
      </c>
      <c r="L40" s="98" t="str">
        <f>IF(E40="Skeet",IFERROR(INDEX('Shooter-Squad Assignment'!$A:$A,MATCH(C40&amp;"-"&amp;D40&amp;"-"&amp;E40&amp;"-Pos4",'Shooter-Squad Assignment'!#REF!,0)),""),IF(E40="Trap",IFERROR(INDEX('Shooter-Squad Assignment'!$A:$A,MATCH(C40&amp;"-"&amp;D40&amp;"-"&amp;E40&amp;"-Pos4",'Shooter-Squad Assignment'!$V:$V,0)),""),IF(E40="Sporting Clays",IFERROR(INDEX('Shooter-Squad Assignment'!$A:$A,MATCH(C40&amp;"-"&amp;D40&amp;"-"&amp;E40&amp;"-Pos4",'Shooter-Squad Assignment'!$Y:$Y,0)),""),"")))</f>
        <v/>
      </c>
      <c r="M40" s="73" t="str">
        <f>IF(ISBLANK(L40),"",IFERROR(INDEX('Tournament List'!$D:$D,MATCH(L40,'Tournament List'!$A:$A,0)),""))</f>
        <v/>
      </c>
      <c r="N40" s="98" t="str">
        <f>IF(E40="Skeet",IFERROR(INDEX('Shooter-Squad Assignment'!$A:$A,MATCH(C40&amp;"-"&amp;D40&amp;"-"&amp;E40&amp;"-Pos5",'Shooter-Squad Assignment'!#REF!,0)),""),IF(E40="Trap",IFERROR(INDEX('Shooter-Squad Assignment'!$A:$A,MATCH(C40&amp;"-"&amp;D40&amp;"-"&amp;E40&amp;"-Pos5",'Shooter-Squad Assignment'!$V:$V,0)),""),IF(E40="Sporting Clays",IFERROR(INDEX('Shooter-Squad Assignment'!$A:$A,MATCH(C40&amp;"-"&amp;D40&amp;"-"&amp;E40&amp;"-Pos5",'Shooter-Squad Assignment'!$Y:$Y,0)),""),"")))</f>
        <v/>
      </c>
      <c r="O40" s="80" t="str">
        <f>IF(ISBLANK(N40),"",IFERROR(INDEX('Tournament List'!$D:$D,MATCH(N40,'Tournament List'!$A:$A,0)),""))</f>
        <v/>
      </c>
    </row>
    <row r="41" spans="1:15" x14ac:dyDescent="0.3">
      <c r="A41" s="79">
        <v>49</v>
      </c>
      <c r="B41" s="73" t="str">
        <f t="shared" si="0"/>
        <v>High Plains Drifters-Intermediate 1-Sporting Clays</v>
      </c>
      <c r="C41" s="73" t="s">
        <v>307</v>
      </c>
      <c r="D41" s="73" t="s">
        <v>340</v>
      </c>
      <c r="E41" s="73" t="s">
        <v>148</v>
      </c>
      <c r="F41" s="98" t="str">
        <f>IF(E41="Skeet",IFERROR(INDEX('Shooter-Squad Assignment'!$A:$A,MATCH(C41&amp;"-"&amp;D41&amp;"-"&amp;E41&amp;"-Pos1",'Shooter-Squad Assignment'!#REF!,0)),""),IF(E41="Trap",IFERROR(INDEX('Shooter-Squad Assignment'!$A:$A,MATCH(C41&amp;"-"&amp;D41&amp;"-"&amp;E41&amp;"-Pos1",'Shooter-Squad Assignment'!$V:$V,0)),""),IF(E41="Sporting Clays",IFERROR(INDEX('Shooter-Squad Assignment'!$A:$A,MATCH(C41&amp;"-"&amp;D41&amp;"-"&amp;E41&amp;"-Pos1",'Shooter-Squad Assignment'!$Y:$Y,0)),""),"")))</f>
        <v/>
      </c>
      <c r="G41" s="73" t="str">
        <f>IF(ISBLANK(F41),"",IFERROR(INDEX('Tournament List'!$D:$D,MATCH(F41,'Tournament List'!$A:$A,0)),""))</f>
        <v/>
      </c>
      <c r="H41" s="98" t="str">
        <f>IF(E41="Skeet",IFERROR(INDEX('Shooter-Squad Assignment'!$A:$A,MATCH(C41&amp;"-"&amp;D41&amp;"-"&amp;E41&amp;"-Pos2",'Shooter-Squad Assignment'!#REF!,0)),""),IF(E41="Trap",IFERROR(INDEX('Shooter-Squad Assignment'!$A:$A,MATCH(C41&amp;"-"&amp;D41&amp;"-"&amp;E41&amp;"-Pos2",'Shooter-Squad Assignment'!$V:$V,0)),""),IF(E41="Sporting Clays",IFERROR(INDEX('Shooter-Squad Assignment'!$A:$A,MATCH(C41&amp;"-"&amp;D41&amp;"-"&amp;E41&amp;"-Pos2",'Shooter-Squad Assignment'!$Y:$Y,0)),""),"")))</f>
        <v/>
      </c>
      <c r="I41" s="73" t="str">
        <f>IF(ISBLANK(H41),"",IFERROR(INDEX('Tournament List'!$D:$D,MATCH(H41,'Tournament List'!$A:$A,0)),""))</f>
        <v/>
      </c>
      <c r="J41" s="98" t="str">
        <f>IF(E41="Skeet",IFERROR(INDEX('Shooter-Squad Assignment'!$A:$A,MATCH(C41&amp;"-"&amp;D41&amp;"-"&amp;E41&amp;"-Pos3",'Shooter-Squad Assignment'!#REF!,0)),""),IF(E41="Trap",IFERROR(INDEX('Shooter-Squad Assignment'!$A:$A,MATCH(C41&amp;"-"&amp;D41&amp;"-"&amp;E41&amp;"-Pos3",'Shooter-Squad Assignment'!$V:$V,0)),""),IF(E41="Sporting Clays",IFERROR(INDEX('Shooter-Squad Assignment'!$A:$A,MATCH(C41&amp;"-"&amp;D41&amp;"-"&amp;E41&amp;"-Pos3",'Shooter-Squad Assignment'!$Y:$Y,0)),""),"")))</f>
        <v/>
      </c>
      <c r="K41" s="73" t="str">
        <f>IF(ISBLANK(J41),"",IFERROR(INDEX('Tournament List'!$D:$D,MATCH(J41,'Tournament List'!$A:$A,0)),""))</f>
        <v/>
      </c>
      <c r="L41" s="98" t="str">
        <f>IF(E41="Skeet",IFERROR(INDEX('Shooter-Squad Assignment'!$A:$A,MATCH(C41&amp;"-"&amp;D41&amp;"-"&amp;E41&amp;"-Pos4",'Shooter-Squad Assignment'!#REF!,0)),""),IF(E41="Trap",IFERROR(INDEX('Shooter-Squad Assignment'!$A:$A,MATCH(C41&amp;"-"&amp;D41&amp;"-"&amp;E41&amp;"-Pos4",'Shooter-Squad Assignment'!$V:$V,0)),""),IF(E41="Sporting Clays",IFERROR(INDEX('Shooter-Squad Assignment'!$A:$A,MATCH(C41&amp;"-"&amp;D41&amp;"-"&amp;E41&amp;"-Pos4",'Shooter-Squad Assignment'!$Y:$Y,0)),""),"")))</f>
        <v/>
      </c>
      <c r="M41" s="73" t="str">
        <f>IF(ISBLANK(L41),"",IFERROR(INDEX('Tournament List'!$D:$D,MATCH(L41,'Tournament List'!$A:$A,0)),""))</f>
        <v/>
      </c>
      <c r="N41" s="98" t="str">
        <f>IF(E41="Skeet",IFERROR(INDEX('Shooter-Squad Assignment'!$A:$A,MATCH(C41&amp;"-"&amp;D41&amp;"-"&amp;E41&amp;"-Pos5",'Shooter-Squad Assignment'!#REF!,0)),""),IF(E41="Trap",IFERROR(INDEX('Shooter-Squad Assignment'!$A:$A,MATCH(C41&amp;"-"&amp;D41&amp;"-"&amp;E41&amp;"-Pos5",'Shooter-Squad Assignment'!$V:$V,0)),""),IF(E41="Sporting Clays",IFERROR(INDEX('Shooter-Squad Assignment'!$A:$A,MATCH(C41&amp;"-"&amp;D41&amp;"-"&amp;E41&amp;"-Pos5",'Shooter-Squad Assignment'!$Y:$Y,0)),""),"")))</f>
        <v/>
      </c>
      <c r="O41" s="80" t="str">
        <f>IF(ISBLANK(N41),"",IFERROR(INDEX('Tournament List'!$D:$D,MATCH(N41,'Tournament List'!$A:$A,0)),""))</f>
        <v/>
      </c>
    </row>
    <row r="42" spans="1:15" x14ac:dyDescent="0.3">
      <c r="A42" s="79">
        <v>50</v>
      </c>
      <c r="B42" s="73" t="str">
        <f t="shared" si="0"/>
        <v>High Plains Drifters-Intermediate 2-Sporting Clays</v>
      </c>
      <c r="C42" s="73" t="s">
        <v>307</v>
      </c>
      <c r="D42" s="73" t="s">
        <v>346</v>
      </c>
      <c r="E42" s="73" t="s">
        <v>148</v>
      </c>
      <c r="F42" s="98" t="str">
        <f>IF(E42="Skeet",IFERROR(INDEX('Shooter-Squad Assignment'!$A:$A,MATCH(C42&amp;"-"&amp;D42&amp;"-"&amp;E42&amp;"-Pos1",'Shooter-Squad Assignment'!#REF!,0)),""),IF(E42="Trap",IFERROR(INDEX('Shooter-Squad Assignment'!$A:$A,MATCH(C42&amp;"-"&amp;D42&amp;"-"&amp;E42&amp;"-Pos1",'Shooter-Squad Assignment'!$V:$V,0)),""),IF(E42="Sporting Clays",IFERROR(INDEX('Shooter-Squad Assignment'!$A:$A,MATCH(C42&amp;"-"&amp;D42&amp;"-"&amp;E42&amp;"-Pos1",'Shooter-Squad Assignment'!$Y:$Y,0)),""),"")))</f>
        <v/>
      </c>
      <c r="G42" s="73" t="str">
        <f>IF(ISBLANK(F42),"",IFERROR(INDEX('Tournament List'!$D:$D,MATCH(F42,'Tournament List'!$A:$A,0)),""))</f>
        <v/>
      </c>
      <c r="H42" s="98" t="str">
        <f>IF(E42="Skeet",IFERROR(INDEX('Shooter-Squad Assignment'!$A:$A,MATCH(C42&amp;"-"&amp;D42&amp;"-"&amp;E42&amp;"-Pos2",'Shooter-Squad Assignment'!#REF!,0)),""),IF(E42="Trap",IFERROR(INDEX('Shooter-Squad Assignment'!$A:$A,MATCH(C42&amp;"-"&amp;D42&amp;"-"&amp;E42&amp;"-Pos2",'Shooter-Squad Assignment'!$V:$V,0)),""),IF(E42="Sporting Clays",IFERROR(INDEX('Shooter-Squad Assignment'!$A:$A,MATCH(C42&amp;"-"&amp;D42&amp;"-"&amp;E42&amp;"-Pos2",'Shooter-Squad Assignment'!$Y:$Y,0)),""),"")))</f>
        <v/>
      </c>
      <c r="I42" s="73" t="str">
        <f>IF(ISBLANK(H42),"",IFERROR(INDEX('Tournament List'!$D:$D,MATCH(H42,'Tournament List'!$A:$A,0)),""))</f>
        <v/>
      </c>
      <c r="J42" s="98" t="str">
        <f>IF(E42="Skeet",IFERROR(INDEX('Shooter-Squad Assignment'!$A:$A,MATCH(C42&amp;"-"&amp;D42&amp;"-"&amp;E42&amp;"-Pos3",'Shooter-Squad Assignment'!#REF!,0)),""),IF(E42="Trap",IFERROR(INDEX('Shooter-Squad Assignment'!$A:$A,MATCH(C42&amp;"-"&amp;D42&amp;"-"&amp;E42&amp;"-Pos3",'Shooter-Squad Assignment'!$V:$V,0)),""),IF(E42="Sporting Clays",IFERROR(INDEX('Shooter-Squad Assignment'!$A:$A,MATCH(C42&amp;"-"&amp;D42&amp;"-"&amp;E42&amp;"-Pos3",'Shooter-Squad Assignment'!$Y:$Y,0)),""),"")))</f>
        <v/>
      </c>
      <c r="K42" s="73" t="str">
        <f>IF(ISBLANK(J42),"",IFERROR(INDEX('Tournament List'!$D:$D,MATCH(J42,'Tournament List'!$A:$A,0)),""))</f>
        <v/>
      </c>
      <c r="L42" s="98" t="str">
        <f>IF(E42="Skeet",IFERROR(INDEX('Shooter-Squad Assignment'!$A:$A,MATCH(C42&amp;"-"&amp;D42&amp;"-"&amp;E42&amp;"-Pos4",'Shooter-Squad Assignment'!#REF!,0)),""),IF(E42="Trap",IFERROR(INDEX('Shooter-Squad Assignment'!$A:$A,MATCH(C42&amp;"-"&amp;D42&amp;"-"&amp;E42&amp;"-Pos4",'Shooter-Squad Assignment'!$V:$V,0)),""),IF(E42="Sporting Clays",IFERROR(INDEX('Shooter-Squad Assignment'!$A:$A,MATCH(C42&amp;"-"&amp;D42&amp;"-"&amp;E42&amp;"-Pos4",'Shooter-Squad Assignment'!$Y:$Y,0)),""),"")))</f>
        <v/>
      </c>
      <c r="M42" s="73" t="str">
        <f>IF(ISBLANK(L42),"",IFERROR(INDEX('Tournament List'!$D:$D,MATCH(L42,'Tournament List'!$A:$A,0)),""))</f>
        <v/>
      </c>
      <c r="N42" s="98" t="str">
        <f>IF(E42="Skeet",IFERROR(INDEX('Shooter-Squad Assignment'!$A:$A,MATCH(C42&amp;"-"&amp;D42&amp;"-"&amp;E42&amp;"-Pos5",'Shooter-Squad Assignment'!#REF!,0)),""),IF(E42="Trap",IFERROR(INDEX('Shooter-Squad Assignment'!$A:$A,MATCH(C42&amp;"-"&amp;D42&amp;"-"&amp;E42&amp;"-Pos5",'Shooter-Squad Assignment'!$V:$V,0)),""),IF(E42="Sporting Clays",IFERROR(INDEX('Shooter-Squad Assignment'!$A:$A,MATCH(C42&amp;"-"&amp;D42&amp;"-"&amp;E42&amp;"-Pos5",'Shooter-Squad Assignment'!$Y:$Y,0)),""),"")))</f>
        <v/>
      </c>
      <c r="O42" s="80" t="str">
        <f>IF(ISBLANK(N42),"",IFERROR(INDEX('Tournament List'!$D:$D,MATCH(N42,'Tournament List'!$A:$A,0)),""))</f>
        <v/>
      </c>
    </row>
    <row r="43" spans="1:15" x14ac:dyDescent="0.3">
      <c r="A43" s="79">
        <v>51</v>
      </c>
      <c r="B43" s="73" t="str">
        <f t="shared" si="0"/>
        <v>High Plains Drifters-Intermediate 3-Sporting Clays</v>
      </c>
      <c r="C43" s="73" t="s">
        <v>307</v>
      </c>
      <c r="D43" s="73" t="s">
        <v>352</v>
      </c>
      <c r="E43" s="73" t="s">
        <v>148</v>
      </c>
      <c r="F43" s="98" t="str">
        <f>IF(E43="Skeet",IFERROR(INDEX('Shooter-Squad Assignment'!$A:$A,MATCH(C43&amp;"-"&amp;D43&amp;"-"&amp;E43&amp;"-Pos1",'Shooter-Squad Assignment'!#REF!,0)),""),IF(E43="Trap",IFERROR(INDEX('Shooter-Squad Assignment'!$A:$A,MATCH(C43&amp;"-"&amp;D43&amp;"-"&amp;E43&amp;"-Pos1",'Shooter-Squad Assignment'!$V:$V,0)),""),IF(E43="Sporting Clays",IFERROR(INDEX('Shooter-Squad Assignment'!$A:$A,MATCH(C43&amp;"-"&amp;D43&amp;"-"&amp;E43&amp;"-Pos1",'Shooter-Squad Assignment'!$Y:$Y,0)),""),"")))</f>
        <v/>
      </c>
      <c r="G43" s="73" t="str">
        <f>IF(ISBLANK(F43),"",IFERROR(INDEX('Tournament List'!$D:$D,MATCH(F43,'Tournament List'!$A:$A,0)),""))</f>
        <v/>
      </c>
      <c r="H43" s="98" t="str">
        <f>IF(E43="Skeet",IFERROR(INDEX('Shooter-Squad Assignment'!$A:$A,MATCH(C43&amp;"-"&amp;D43&amp;"-"&amp;E43&amp;"-Pos2",'Shooter-Squad Assignment'!#REF!,0)),""),IF(E43="Trap",IFERROR(INDEX('Shooter-Squad Assignment'!$A:$A,MATCH(C43&amp;"-"&amp;D43&amp;"-"&amp;E43&amp;"-Pos2",'Shooter-Squad Assignment'!$V:$V,0)),""),IF(E43="Sporting Clays",IFERROR(INDEX('Shooter-Squad Assignment'!$A:$A,MATCH(C43&amp;"-"&amp;D43&amp;"-"&amp;E43&amp;"-Pos2",'Shooter-Squad Assignment'!$Y:$Y,0)),""),"")))</f>
        <v/>
      </c>
      <c r="I43" s="73" t="str">
        <f>IF(ISBLANK(H43),"",IFERROR(INDEX('Tournament List'!$D:$D,MATCH(H43,'Tournament List'!$A:$A,0)),""))</f>
        <v/>
      </c>
      <c r="J43" s="98" t="str">
        <f>IF(E43="Skeet",IFERROR(INDEX('Shooter-Squad Assignment'!$A:$A,MATCH(C43&amp;"-"&amp;D43&amp;"-"&amp;E43&amp;"-Pos3",'Shooter-Squad Assignment'!#REF!,0)),""),IF(E43="Trap",IFERROR(INDEX('Shooter-Squad Assignment'!$A:$A,MATCH(C43&amp;"-"&amp;D43&amp;"-"&amp;E43&amp;"-Pos3",'Shooter-Squad Assignment'!$V:$V,0)),""),IF(E43="Sporting Clays",IFERROR(INDEX('Shooter-Squad Assignment'!$A:$A,MATCH(C43&amp;"-"&amp;D43&amp;"-"&amp;E43&amp;"-Pos3",'Shooter-Squad Assignment'!$Y:$Y,0)),""),"")))</f>
        <v/>
      </c>
      <c r="K43" s="73" t="str">
        <f>IF(ISBLANK(J43),"",IFERROR(INDEX('Tournament List'!$D:$D,MATCH(J43,'Tournament List'!$A:$A,0)),""))</f>
        <v/>
      </c>
      <c r="L43" s="98" t="str">
        <f>IF(E43="Skeet",IFERROR(INDEX('Shooter-Squad Assignment'!$A:$A,MATCH(C43&amp;"-"&amp;D43&amp;"-"&amp;E43&amp;"-Pos4",'Shooter-Squad Assignment'!#REF!,0)),""),IF(E43="Trap",IFERROR(INDEX('Shooter-Squad Assignment'!$A:$A,MATCH(C43&amp;"-"&amp;D43&amp;"-"&amp;E43&amp;"-Pos4",'Shooter-Squad Assignment'!$V:$V,0)),""),IF(E43="Sporting Clays",IFERROR(INDEX('Shooter-Squad Assignment'!$A:$A,MATCH(C43&amp;"-"&amp;D43&amp;"-"&amp;E43&amp;"-Pos4",'Shooter-Squad Assignment'!$Y:$Y,0)),""),"")))</f>
        <v/>
      </c>
      <c r="M43" s="73" t="str">
        <f>IF(ISBLANK(L43),"",IFERROR(INDEX('Tournament List'!$D:$D,MATCH(L43,'Tournament List'!$A:$A,0)),""))</f>
        <v/>
      </c>
      <c r="N43" s="98" t="str">
        <f>IF(E43="Skeet",IFERROR(INDEX('Shooter-Squad Assignment'!$A:$A,MATCH(C43&amp;"-"&amp;D43&amp;"-"&amp;E43&amp;"-Pos5",'Shooter-Squad Assignment'!#REF!,0)),""),IF(E43="Trap",IFERROR(INDEX('Shooter-Squad Assignment'!$A:$A,MATCH(C43&amp;"-"&amp;D43&amp;"-"&amp;E43&amp;"-Pos5",'Shooter-Squad Assignment'!$V:$V,0)),""),IF(E43="Sporting Clays",IFERROR(INDEX('Shooter-Squad Assignment'!$A:$A,MATCH(C43&amp;"-"&amp;D43&amp;"-"&amp;E43&amp;"-Pos5",'Shooter-Squad Assignment'!$Y:$Y,0)),""),"")))</f>
        <v/>
      </c>
      <c r="O43" s="80" t="str">
        <f>IF(ISBLANK(N43),"",IFERROR(INDEX('Tournament List'!$D:$D,MATCH(N43,'Tournament List'!$A:$A,0)),""))</f>
        <v/>
      </c>
    </row>
    <row r="44" spans="1:15" x14ac:dyDescent="0.3">
      <c r="A44" s="79">
        <v>52</v>
      </c>
      <c r="B44" s="73" t="str">
        <f t="shared" si="0"/>
        <v>High Plains Drifters-Junior Varsity 1-Sporting Clays</v>
      </c>
      <c r="C44" s="73" t="s">
        <v>307</v>
      </c>
      <c r="D44" s="73" t="s">
        <v>341</v>
      </c>
      <c r="E44" s="73" t="s">
        <v>148</v>
      </c>
      <c r="F44" s="98" t="str">
        <f>IF(E44="Skeet",IFERROR(INDEX('Shooter-Squad Assignment'!$A:$A,MATCH(C44&amp;"-"&amp;D44&amp;"-"&amp;E44&amp;"-Pos1",'Shooter-Squad Assignment'!#REF!,0)),""),IF(E44="Trap",IFERROR(INDEX('Shooter-Squad Assignment'!$A:$A,MATCH(C44&amp;"-"&amp;D44&amp;"-"&amp;E44&amp;"-Pos1",'Shooter-Squad Assignment'!$V:$V,0)),""),IF(E44="Sporting Clays",IFERROR(INDEX('Shooter-Squad Assignment'!$A:$A,MATCH(C44&amp;"-"&amp;D44&amp;"-"&amp;E44&amp;"-Pos1",'Shooter-Squad Assignment'!$Y:$Y,0)),""),"")))</f>
        <v/>
      </c>
      <c r="G44" s="73" t="str">
        <f>IF(ISBLANK(F44),"",IFERROR(INDEX('Tournament List'!$D:$D,MATCH(F44,'Tournament List'!$A:$A,0)),""))</f>
        <v/>
      </c>
      <c r="H44" s="98" t="str">
        <f>IF(E44="Skeet",IFERROR(INDEX('Shooter-Squad Assignment'!$A:$A,MATCH(C44&amp;"-"&amp;D44&amp;"-"&amp;E44&amp;"-Pos2",'Shooter-Squad Assignment'!#REF!,0)),""),IF(E44="Trap",IFERROR(INDEX('Shooter-Squad Assignment'!$A:$A,MATCH(C44&amp;"-"&amp;D44&amp;"-"&amp;E44&amp;"-Pos2",'Shooter-Squad Assignment'!$V:$V,0)),""),IF(E44="Sporting Clays",IFERROR(INDEX('Shooter-Squad Assignment'!$A:$A,MATCH(C44&amp;"-"&amp;D44&amp;"-"&amp;E44&amp;"-Pos2",'Shooter-Squad Assignment'!$Y:$Y,0)),""),"")))</f>
        <v/>
      </c>
      <c r="I44" s="73" t="str">
        <f>IF(ISBLANK(H44),"",IFERROR(INDEX('Tournament List'!$D:$D,MATCH(H44,'Tournament List'!$A:$A,0)),""))</f>
        <v/>
      </c>
      <c r="J44" s="98" t="str">
        <f>IF(E44="Skeet",IFERROR(INDEX('Shooter-Squad Assignment'!$A:$A,MATCH(C44&amp;"-"&amp;D44&amp;"-"&amp;E44&amp;"-Pos3",'Shooter-Squad Assignment'!#REF!,0)),""),IF(E44="Trap",IFERROR(INDEX('Shooter-Squad Assignment'!$A:$A,MATCH(C44&amp;"-"&amp;D44&amp;"-"&amp;E44&amp;"-Pos3",'Shooter-Squad Assignment'!$V:$V,0)),""),IF(E44="Sporting Clays",IFERROR(INDEX('Shooter-Squad Assignment'!$A:$A,MATCH(C44&amp;"-"&amp;D44&amp;"-"&amp;E44&amp;"-Pos3",'Shooter-Squad Assignment'!$Y:$Y,0)),""),"")))</f>
        <v/>
      </c>
      <c r="K44" s="73" t="str">
        <f>IF(ISBLANK(J44),"",IFERROR(INDEX('Tournament List'!$D:$D,MATCH(J44,'Tournament List'!$A:$A,0)),""))</f>
        <v/>
      </c>
      <c r="L44" s="98" t="str">
        <f>IF(E44="Skeet",IFERROR(INDEX('Shooter-Squad Assignment'!$A:$A,MATCH(C44&amp;"-"&amp;D44&amp;"-"&amp;E44&amp;"-Pos4",'Shooter-Squad Assignment'!#REF!,0)),""),IF(E44="Trap",IFERROR(INDEX('Shooter-Squad Assignment'!$A:$A,MATCH(C44&amp;"-"&amp;D44&amp;"-"&amp;E44&amp;"-Pos4",'Shooter-Squad Assignment'!$V:$V,0)),""),IF(E44="Sporting Clays",IFERROR(INDEX('Shooter-Squad Assignment'!$A:$A,MATCH(C44&amp;"-"&amp;D44&amp;"-"&amp;E44&amp;"-Pos4",'Shooter-Squad Assignment'!$Y:$Y,0)),""),"")))</f>
        <v/>
      </c>
      <c r="M44" s="73" t="str">
        <f>IF(ISBLANK(L44),"",IFERROR(INDEX('Tournament List'!$D:$D,MATCH(L44,'Tournament List'!$A:$A,0)),""))</f>
        <v/>
      </c>
      <c r="N44" s="98" t="str">
        <f>IF(E44="Skeet",IFERROR(INDEX('Shooter-Squad Assignment'!$A:$A,MATCH(C44&amp;"-"&amp;D44&amp;"-"&amp;E44&amp;"-Pos5",'Shooter-Squad Assignment'!#REF!,0)),""),IF(E44="Trap",IFERROR(INDEX('Shooter-Squad Assignment'!$A:$A,MATCH(C44&amp;"-"&amp;D44&amp;"-"&amp;E44&amp;"-Pos5",'Shooter-Squad Assignment'!$V:$V,0)),""),IF(E44="Sporting Clays",IFERROR(INDEX('Shooter-Squad Assignment'!$A:$A,MATCH(C44&amp;"-"&amp;D44&amp;"-"&amp;E44&amp;"-Pos5",'Shooter-Squad Assignment'!$Y:$Y,0)),""),"")))</f>
        <v/>
      </c>
      <c r="O44" s="80" t="str">
        <f>IF(ISBLANK(N44),"",IFERROR(INDEX('Tournament List'!$D:$D,MATCH(N44,'Tournament List'!$A:$A,0)),""))</f>
        <v/>
      </c>
    </row>
    <row r="45" spans="1:15" x14ac:dyDescent="0.3">
      <c r="A45" s="79">
        <v>53</v>
      </c>
      <c r="B45" s="73" t="str">
        <f t="shared" si="0"/>
        <v>High Plains Drifters-Junior Varsity 2-Sporting Clays</v>
      </c>
      <c r="C45" s="73" t="s">
        <v>307</v>
      </c>
      <c r="D45" s="73" t="s">
        <v>347</v>
      </c>
      <c r="E45" s="73" t="s">
        <v>148</v>
      </c>
      <c r="F45" s="98" t="str">
        <f>IF(E45="Skeet",IFERROR(INDEX('Shooter-Squad Assignment'!$A:$A,MATCH(C45&amp;"-"&amp;D45&amp;"-"&amp;E45&amp;"-Pos1",'Shooter-Squad Assignment'!#REF!,0)),""),IF(E45="Trap",IFERROR(INDEX('Shooter-Squad Assignment'!$A:$A,MATCH(C45&amp;"-"&amp;D45&amp;"-"&amp;E45&amp;"-Pos1",'Shooter-Squad Assignment'!$V:$V,0)),""),IF(E45="Sporting Clays",IFERROR(INDEX('Shooter-Squad Assignment'!$A:$A,MATCH(C45&amp;"-"&amp;D45&amp;"-"&amp;E45&amp;"-Pos1",'Shooter-Squad Assignment'!$Y:$Y,0)),""),"")))</f>
        <v/>
      </c>
      <c r="G45" s="73" t="str">
        <f>IF(ISBLANK(F45),"",IFERROR(INDEX('Tournament List'!$D:$D,MATCH(F45,'Tournament List'!$A:$A,0)),""))</f>
        <v/>
      </c>
      <c r="H45" s="98" t="str">
        <f>IF(E45="Skeet",IFERROR(INDEX('Shooter-Squad Assignment'!$A:$A,MATCH(C45&amp;"-"&amp;D45&amp;"-"&amp;E45&amp;"-Pos2",'Shooter-Squad Assignment'!#REF!,0)),""),IF(E45="Trap",IFERROR(INDEX('Shooter-Squad Assignment'!$A:$A,MATCH(C45&amp;"-"&amp;D45&amp;"-"&amp;E45&amp;"-Pos2",'Shooter-Squad Assignment'!$V:$V,0)),""),IF(E45="Sporting Clays",IFERROR(INDEX('Shooter-Squad Assignment'!$A:$A,MATCH(C45&amp;"-"&amp;D45&amp;"-"&amp;E45&amp;"-Pos2",'Shooter-Squad Assignment'!$Y:$Y,0)),""),"")))</f>
        <v/>
      </c>
      <c r="I45" s="73" t="str">
        <f>IF(ISBLANK(H45),"",IFERROR(INDEX('Tournament List'!$D:$D,MATCH(H45,'Tournament List'!$A:$A,0)),""))</f>
        <v/>
      </c>
      <c r="J45" s="98" t="str">
        <f>IF(E45="Skeet",IFERROR(INDEX('Shooter-Squad Assignment'!$A:$A,MATCH(C45&amp;"-"&amp;D45&amp;"-"&amp;E45&amp;"-Pos3",'Shooter-Squad Assignment'!#REF!,0)),""),IF(E45="Trap",IFERROR(INDEX('Shooter-Squad Assignment'!$A:$A,MATCH(C45&amp;"-"&amp;D45&amp;"-"&amp;E45&amp;"-Pos3",'Shooter-Squad Assignment'!$V:$V,0)),""),IF(E45="Sporting Clays",IFERROR(INDEX('Shooter-Squad Assignment'!$A:$A,MATCH(C45&amp;"-"&amp;D45&amp;"-"&amp;E45&amp;"-Pos3",'Shooter-Squad Assignment'!$Y:$Y,0)),""),"")))</f>
        <v/>
      </c>
      <c r="K45" s="73" t="str">
        <f>IF(ISBLANK(J45),"",IFERROR(INDEX('Tournament List'!$D:$D,MATCH(J45,'Tournament List'!$A:$A,0)),""))</f>
        <v/>
      </c>
      <c r="L45" s="98" t="str">
        <f>IF(E45="Skeet",IFERROR(INDEX('Shooter-Squad Assignment'!$A:$A,MATCH(C45&amp;"-"&amp;D45&amp;"-"&amp;E45&amp;"-Pos4",'Shooter-Squad Assignment'!#REF!,0)),""),IF(E45="Trap",IFERROR(INDEX('Shooter-Squad Assignment'!$A:$A,MATCH(C45&amp;"-"&amp;D45&amp;"-"&amp;E45&amp;"-Pos4",'Shooter-Squad Assignment'!$V:$V,0)),""),IF(E45="Sporting Clays",IFERROR(INDEX('Shooter-Squad Assignment'!$A:$A,MATCH(C45&amp;"-"&amp;D45&amp;"-"&amp;E45&amp;"-Pos4",'Shooter-Squad Assignment'!$Y:$Y,0)),""),"")))</f>
        <v/>
      </c>
      <c r="M45" s="73" t="str">
        <f>IF(ISBLANK(L45),"",IFERROR(INDEX('Tournament List'!$D:$D,MATCH(L45,'Tournament List'!$A:$A,0)),""))</f>
        <v/>
      </c>
      <c r="N45" s="98" t="str">
        <f>IF(E45="Skeet",IFERROR(INDEX('Shooter-Squad Assignment'!$A:$A,MATCH(C45&amp;"-"&amp;D45&amp;"-"&amp;E45&amp;"-Pos5",'Shooter-Squad Assignment'!#REF!,0)),""),IF(E45="Trap",IFERROR(INDEX('Shooter-Squad Assignment'!$A:$A,MATCH(C45&amp;"-"&amp;D45&amp;"-"&amp;E45&amp;"-Pos5",'Shooter-Squad Assignment'!$V:$V,0)),""),IF(E45="Sporting Clays",IFERROR(INDEX('Shooter-Squad Assignment'!$A:$A,MATCH(C45&amp;"-"&amp;D45&amp;"-"&amp;E45&amp;"-Pos5",'Shooter-Squad Assignment'!$Y:$Y,0)),""),"")))</f>
        <v/>
      </c>
      <c r="O45" s="80" t="str">
        <f>IF(ISBLANK(N45),"",IFERROR(INDEX('Tournament List'!$D:$D,MATCH(N45,'Tournament List'!$A:$A,0)),""))</f>
        <v/>
      </c>
    </row>
    <row r="46" spans="1:15" x14ac:dyDescent="0.3">
      <c r="A46" s="79">
        <v>54</v>
      </c>
      <c r="B46" s="73" t="str">
        <f t="shared" si="0"/>
        <v>High Plains Drifters-Junior Varsity 3-Sporting Clays</v>
      </c>
      <c r="C46" s="73" t="s">
        <v>307</v>
      </c>
      <c r="D46" s="73" t="s">
        <v>353</v>
      </c>
      <c r="E46" s="73" t="s">
        <v>148</v>
      </c>
      <c r="F46" s="98" t="str">
        <f>IF(E46="Skeet",IFERROR(INDEX('Shooter-Squad Assignment'!$A:$A,MATCH(C46&amp;"-"&amp;D46&amp;"-"&amp;E46&amp;"-Pos1",'Shooter-Squad Assignment'!#REF!,0)),""),IF(E46="Trap",IFERROR(INDEX('Shooter-Squad Assignment'!$A:$A,MATCH(C46&amp;"-"&amp;D46&amp;"-"&amp;E46&amp;"-Pos1",'Shooter-Squad Assignment'!$V:$V,0)),""),IF(E46="Sporting Clays",IFERROR(INDEX('Shooter-Squad Assignment'!$A:$A,MATCH(C46&amp;"-"&amp;D46&amp;"-"&amp;E46&amp;"-Pos1",'Shooter-Squad Assignment'!$Y:$Y,0)),""),"")))</f>
        <v/>
      </c>
      <c r="G46" s="73" t="str">
        <f>IF(ISBLANK(F46),"",IFERROR(INDEX('Tournament List'!$D:$D,MATCH(F46,'Tournament List'!$A:$A,0)),""))</f>
        <v/>
      </c>
      <c r="H46" s="98" t="str">
        <f>IF(E46="Skeet",IFERROR(INDEX('Shooter-Squad Assignment'!$A:$A,MATCH(C46&amp;"-"&amp;D46&amp;"-"&amp;E46&amp;"-Pos2",'Shooter-Squad Assignment'!#REF!,0)),""),IF(E46="Trap",IFERROR(INDEX('Shooter-Squad Assignment'!$A:$A,MATCH(C46&amp;"-"&amp;D46&amp;"-"&amp;E46&amp;"-Pos2",'Shooter-Squad Assignment'!$V:$V,0)),""),IF(E46="Sporting Clays",IFERROR(INDEX('Shooter-Squad Assignment'!$A:$A,MATCH(C46&amp;"-"&amp;D46&amp;"-"&amp;E46&amp;"-Pos2",'Shooter-Squad Assignment'!$Y:$Y,0)),""),"")))</f>
        <v/>
      </c>
      <c r="I46" s="73" t="str">
        <f>IF(ISBLANK(H46),"",IFERROR(INDEX('Tournament List'!$D:$D,MATCH(H46,'Tournament List'!$A:$A,0)),""))</f>
        <v/>
      </c>
      <c r="J46" s="98" t="str">
        <f>IF(E46="Skeet",IFERROR(INDEX('Shooter-Squad Assignment'!$A:$A,MATCH(C46&amp;"-"&amp;D46&amp;"-"&amp;E46&amp;"-Pos3",'Shooter-Squad Assignment'!#REF!,0)),""),IF(E46="Trap",IFERROR(INDEX('Shooter-Squad Assignment'!$A:$A,MATCH(C46&amp;"-"&amp;D46&amp;"-"&amp;E46&amp;"-Pos3",'Shooter-Squad Assignment'!$V:$V,0)),""),IF(E46="Sporting Clays",IFERROR(INDEX('Shooter-Squad Assignment'!$A:$A,MATCH(C46&amp;"-"&amp;D46&amp;"-"&amp;E46&amp;"-Pos3",'Shooter-Squad Assignment'!$Y:$Y,0)),""),"")))</f>
        <v/>
      </c>
      <c r="K46" s="73" t="str">
        <f>IF(ISBLANK(J46),"",IFERROR(INDEX('Tournament List'!$D:$D,MATCH(J46,'Tournament List'!$A:$A,0)),""))</f>
        <v/>
      </c>
      <c r="L46" s="98" t="str">
        <f>IF(E46="Skeet",IFERROR(INDEX('Shooter-Squad Assignment'!$A:$A,MATCH(C46&amp;"-"&amp;D46&amp;"-"&amp;E46&amp;"-Pos4",'Shooter-Squad Assignment'!#REF!,0)),""),IF(E46="Trap",IFERROR(INDEX('Shooter-Squad Assignment'!$A:$A,MATCH(C46&amp;"-"&amp;D46&amp;"-"&amp;E46&amp;"-Pos4",'Shooter-Squad Assignment'!$V:$V,0)),""),IF(E46="Sporting Clays",IFERROR(INDEX('Shooter-Squad Assignment'!$A:$A,MATCH(C46&amp;"-"&amp;D46&amp;"-"&amp;E46&amp;"-Pos4",'Shooter-Squad Assignment'!$Y:$Y,0)),""),"")))</f>
        <v/>
      </c>
      <c r="M46" s="73" t="str">
        <f>IF(ISBLANK(L46),"",IFERROR(INDEX('Tournament List'!$D:$D,MATCH(L46,'Tournament List'!$A:$A,0)),""))</f>
        <v/>
      </c>
      <c r="N46" s="98" t="str">
        <f>IF(E46="Skeet",IFERROR(INDEX('Shooter-Squad Assignment'!$A:$A,MATCH(C46&amp;"-"&amp;D46&amp;"-"&amp;E46&amp;"-Pos5",'Shooter-Squad Assignment'!#REF!,0)),""),IF(E46="Trap",IFERROR(INDEX('Shooter-Squad Assignment'!$A:$A,MATCH(C46&amp;"-"&amp;D46&amp;"-"&amp;E46&amp;"-Pos5",'Shooter-Squad Assignment'!$V:$V,0)),""),IF(E46="Sporting Clays",IFERROR(INDEX('Shooter-Squad Assignment'!$A:$A,MATCH(C46&amp;"-"&amp;D46&amp;"-"&amp;E46&amp;"-Pos5",'Shooter-Squad Assignment'!$Y:$Y,0)),""),"")))</f>
        <v/>
      </c>
      <c r="O46" s="80" t="str">
        <f>IF(ISBLANK(N46),"",IFERROR(INDEX('Tournament List'!$D:$D,MATCH(N46,'Tournament List'!$A:$A,0)),""))</f>
        <v/>
      </c>
    </row>
    <row r="47" spans="1:15" x14ac:dyDescent="0.3">
      <c r="A47" s="79">
        <v>55</v>
      </c>
      <c r="B47" s="73" t="str">
        <f t="shared" si="0"/>
        <v>High Plains Drifters-Novice 1-Sporting Clays</v>
      </c>
      <c r="C47" s="73" t="s">
        <v>307</v>
      </c>
      <c r="D47" s="73" t="s">
        <v>339</v>
      </c>
      <c r="E47" s="73" t="s">
        <v>148</v>
      </c>
      <c r="F47" s="98" t="str">
        <f>IF(E47="Skeet",IFERROR(INDEX('Shooter-Squad Assignment'!$A:$A,MATCH(C47&amp;"-"&amp;D47&amp;"-"&amp;E47&amp;"-Pos1",'Shooter-Squad Assignment'!#REF!,0)),""),IF(E47="Trap",IFERROR(INDEX('Shooter-Squad Assignment'!$A:$A,MATCH(C47&amp;"-"&amp;D47&amp;"-"&amp;E47&amp;"-Pos1",'Shooter-Squad Assignment'!$V:$V,0)),""),IF(E47="Sporting Clays",IFERROR(INDEX('Shooter-Squad Assignment'!$A:$A,MATCH(C47&amp;"-"&amp;D47&amp;"-"&amp;E47&amp;"-Pos1",'Shooter-Squad Assignment'!$Y:$Y,0)),""),"")))</f>
        <v/>
      </c>
      <c r="G47" s="73" t="str">
        <f>IF(ISBLANK(F47),"",IFERROR(INDEX('Tournament List'!$D:$D,MATCH(F47,'Tournament List'!$A:$A,0)),""))</f>
        <v/>
      </c>
      <c r="H47" s="98" t="str">
        <f>IF(E47="Skeet",IFERROR(INDEX('Shooter-Squad Assignment'!$A:$A,MATCH(C47&amp;"-"&amp;D47&amp;"-"&amp;E47&amp;"-Pos2",'Shooter-Squad Assignment'!#REF!,0)),""),IF(E47="Trap",IFERROR(INDEX('Shooter-Squad Assignment'!$A:$A,MATCH(C47&amp;"-"&amp;D47&amp;"-"&amp;E47&amp;"-Pos2",'Shooter-Squad Assignment'!$V:$V,0)),""),IF(E47="Sporting Clays",IFERROR(INDEX('Shooter-Squad Assignment'!$A:$A,MATCH(C47&amp;"-"&amp;D47&amp;"-"&amp;E47&amp;"-Pos2",'Shooter-Squad Assignment'!$Y:$Y,0)),""),"")))</f>
        <v/>
      </c>
      <c r="I47" s="73" t="str">
        <f>IF(ISBLANK(H47),"",IFERROR(INDEX('Tournament List'!$D:$D,MATCH(H47,'Tournament List'!$A:$A,0)),""))</f>
        <v/>
      </c>
      <c r="J47" s="98" t="str">
        <f>IF(E47="Skeet",IFERROR(INDEX('Shooter-Squad Assignment'!$A:$A,MATCH(C47&amp;"-"&amp;D47&amp;"-"&amp;E47&amp;"-Pos3",'Shooter-Squad Assignment'!#REF!,0)),""),IF(E47="Trap",IFERROR(INDEX('Shooter-Squad Assignment'!$A:$A,MATCH(C47&amp;"-"&amp;D47&amp;"-"&amp;E47&amp;"-Pos3",'Shooter-Squad Assignment'!$V:$V,0)),""),IF(E47="Sporting Clays",IFERROR(INDEX('Shooter-Squad Assignment'!$A:$A,MATCH(C47&amp;"-"&amp;D47&amp;"-"&amp;E47&amp;"-Pos3",'Shooter-Squad Assignment'!$Y:$Y,0)),""),"")))</f>
        <v/>
      </c>
      <c r="K47" s="73" t="str">
        <f>IF(ISBLANK(J47),"",IFERROR(INDEX('Tournament List'!$D:$D,MATCH(J47,'Tournament List'!$A:$A,0)),""))</f>
        <v/>
      </c>
      <c r="L47" s="98" t="str">
        <f>IF(E47="Skeet",IFERROR(INDEX('Shooter-Squad Assignment'!$A:$A,MATCH(C47&amp;"-"&amp;D47&amp;"-"&amp;E47&amp;"-Pos4",'Shooter-Squad Assignment'!#REF!,0)),""),IF(E47="Trap",IFERROR(INDEX('Shooter-Squad Assignment'!$A:$A,MATCH(C47&amp;"-"&amp;D47&amp;"-"&amp;E47&amp;"-Pos4",'Shooter-Squad Assignment'!$V:$V,0)),""),IF(E47="Sporting Clays",IFERROR(INDEX('Shooter-Squad Assignment'!$A:$A,MATCH(C47&amp;"-"&amp;D47&amp;"-"&amp;E47&amp;"-Pos4",'Shooter-Squad Assignment'!$Y:$Y,0)),""),"")))</f>
        <v/>
      </c>
      <c r="M47" s="73" t="str">
        <f>IF(ISBLANK(L47),"",IFERROR(INDEX('Tournament List'!$D:$D,MATCH(L47,'Tournament List'!$A:$A,0)),""))</f>
        <v/>
      </c>
      <c r="N47" s="98" t="str">
        <f>IF(E47="Skeet",IFERROR(INDEX('Shooter-Squad Assignment'!$A:$A,MATCH(C47&amp;"-"&amp;D47&amp;"-"&amp;E47&amp;"-Pos5",'Shooter-Squad Assignment'!#REF!,0)),""),IF(E47="Trap",IFERROR(INDEX('Shooter-Squad Assignment'!$A:$A,MATCH(C47&amp;"-"&amp;D47&amp;"-"&amp;E47&amp;"-Pos5",'Shooter-Squad Assignment'!$V:$V,0)),""),IF(E47="Sporting Clays",IFERROR(INDEX('Shooter-Squad Assignment'!$A:$A,MATCH(C47&amp;"-"&amp;D47&amp;"-"&amp;E47&amp;"-Pos5",'Shooter-Squad Assignment'!$Y:$Y,0)),""),"")))</f>
        <v/>
      </c>
      <c r="O47" s="80" t="str">
        <f>IF(ISBLANK(N47),"",IFERROR(INDEX('Tournament List'!$D:$D,MATCH(N47,'Tournament List'!$A:$A,0)),""))</f>
        <v/>
      </c>
    </row>
    <row r="48" spans="1:15" x14ac:dyDescent="0.3">
      <c r="A48" s="79">
        <v>56</v>
      </c>
      <c r="B48" s="73" t="str">
        <f t="shared" si="0"/>
        <v>High Plains Drifters-Novice 2-Sporting Clays</v>
      </c>
      <c r="C48" s="73" t="s">
        <v>307</v>
      </c>
      <c r="D48" s="73" t="s">
        <v>345</v>
      </c>
      <c r="E48" s="73" t="s">
        <v>148</v>
      </c>
      <c r="F48" s="98" t="str">
        <f>IF(E48="Skeet",IFERROR(INDEX('Shooter-Squad Assignment'!$A:$A,MATCH(C48&amp;"-"&amp;D48&amp;"-"&amp;E48&amp;"-Pos1",'Shooter-Squad Assignment'!#REF!,0)),""),IF(E48="Trap",IFERROR(INDEX('Shooter-Squad Assignment'!$A:$A,MATCH(C48&amp;"-"&amp;D48&amp;"-"&amp;E48&amp;"-Pos1",'Shooter-Squad Assignment'!$V:$V,0)),""),IF(E48="Sporting Clays",IFERROR(INDEX('Shooter-Squad Assignment'!$A:$A,MATCH(C48&amp;"-"&amp;D48&amp;"-"&amp;E48&amp;"-Pos1",'Shooter-Squad Assignment'!$Y:$Y,0)),""),"")))</f>
        <v/>
      </c>
      <c r="G48" s="73" t="str">
        <f>IF(ISBLANK(F48),"",IFERROR(INDEX('Tournament List'!$D:$D,MATCH(F48,'Tournament List'!$A:$A,0)),""))</f>
        <v/>
      </c>
      <c r="H48" s="98" t="str">
        <f>IF(E48="Skeet",IFERROR(INDEX('Shooter-Squad Assignment'!$A:$A,MATCH(C48&amp;"-"&amp;D48&amp;"-"&amp;E48&amp;"-Pos2",'Shooter-Squad Assignment'!#REF!,0)),""),IF(E48="Trap",IFERROR(INDEX('Shooter-Squad Assignment'!$A:$A,MATCH(C48&amp;"-"&amp;D48&amp;"-"&amp;E48&amp;"-Pos2",'Shooter-Squad Assignment'!$V:$V,0)),""),IF(E48="Sporting Clays",IFERROR(INDEX('Shooter-Squad Assignment'!$A:$A,MATCH(C48&amp;"-"&amp;D48&amp;"-"&amp;E48&amp;"-Pos2",'Shooter-Squad Assignment'!$Y:$Y,0)),""),"")))</f>
        <v/>
      </c>
      <c r="I48" s="73" t="str">
        <f>IF(ISBLANK(H48),"",IFERROR(INDEX('Tournament List'!$D:$D,MATCH(H48,'Tournament List'!$A:$A,0)),""))</f>
        <v/>
      </c>
      <c r="J48" s="98" t="str">
        <f>IF(E48="Skeet",IFERROR(INDEX('Shooter-Squad Assignment'!$A:$A,MATCH(C48&amp;"-"&amp;D48&amp;"-"&amp;E48&amp;"-Pos3",'Shooter-Squad Assignment'!#REF!,0)),""),IF(E48="Trap",IFERROR(INDEX('Shooter-Squad Assignment'!$A:$A,MATCH(C48&amp;"-"&amp;D48&amp;"-"&amp;E48&amp;"-Pos3",'Shooter-Squad Assignment'!$V:$V,0)),""),IF(E48="Sporting Clays",IFERROR(INDEX('Shooter-Squad Assignment'!$A:$A,MATCH(C48&amp;"-"&amp;D48&amp;"-"&amp;E48&amp;"-Pos3",'Shooter-Squad Assignment'!$Y:$Y,0)),""),"")))</f>
        <v/>
      </c>
      <c r="K48" s="73" t="str">
        <f>IF(ISBLANK(J48),"",IFERROR(INDEX('Tournament List'!$D:$D,MATCH(J48,'Tournament List'!$A:$A,0)),""))</f>
        <v/>
      </c>
      <c r="L48" s="98" t="str">
        <f>IF(E48="Skeet",IFERROR(INDEX('Shooter-Squad Assignment'!$A:$A,MATCH(C48&amp;"-"&amp;D48&amp;"-"&amp;E48&amp;"-Pos4",'Shooter-Squad Assignment'!#REF!,0)),""),IF(E48="Trap",IFERROR(INDEX('Shooter-Squad Assignment'!$A:$A,MATCH(C48&amp;"-"&amp;D48&amp;"-"&amp;E48&amp;"-Pos4",'Shooter-Squad Assignment'!$V:$V,0)),""),IF(E48="Sporting Clays",IFERROR(INDEX('Shooter-Squad Assignment'!$A:$A,MATCH(C48&amp;"-"&amp;D48&amp;"-"&amp;E48&amp;"-Pos4",'Shooter-Squad Assignment'!$Y:$Y,0)),""),"")))</f>
        <v/>
      </c>
      <c r="M48" s="73" t="str">
        <f>IF(ISBLANK(L48),"",IFERROR(INDEX('Tournament List'!$D:$D,MATCH(L48,'Tournament List'!$A:$A,0)),""))</f>
        <v/>
      </c>
      <c r="N48" s="98" t="str">
        <f>IF(E48="Skeet",IFERROR(INDEX('Shooter-Squad Assignment'!$A:$A,MATCH(C48&amp;"-"&amp;D48&amp;"-"&amp;E48&amp;"-Pos5",'Shooter-Squad Assignment'!#REF!,0)),""),IF(E48="Trap",IFERROR(INDEX('Shooter-Squad Assignment'!$A:$A,MATCH(C48&amp;"-"&amp;D48&amp;"-"&amp;E48&amp;"-Pos5",'Shooter-Squad Assignment'!$V:$V,0)),""),IF(E48="Sporting Clays",IFERROR(INDEX('Shooter-Squad Assignment'!$A:$A,MATCH(C48&amp;"-"&amp;D48&amp;"-"&amp;E48&amp;"-Pos5",'Shooter-Squad Assignment'!$Y:$Y,0)),""),"")))</f>
        <v/>
      </c>
      <c r="O48" s="80" t="str">
        <f>IF(ISBLANK(N48),"",IFERROR(INDEX('Tournament List'!$D:$D,MATCH(N48,'Tournament List'!$A:$A,0)),""))</f>
        <v/>
      </c>
    </row>
    <row r="49" spans="1:15" x14ac:dyDescent="0.3">
      <c r="A49" s="79">
        <v>57</v>
      </c>
      <c r="B49" s="73" t="str">
        <f t="shared" si="0"/>
        <v>High Plains Drifters-Novice 3-Sporting Clays</v>
      </c>
      <c r="C49" s="73" t="s">
        <v>307</v>
      </c>
      <c r="D49" s="73" t="s">
        <v>351</v>
      </c>
      <c r="E49" s="73" t="s">
        <v>148</v>
      </c>
      <c r="F49" s="98" t="str">
        <f>IF(E49="Skeet",IFERROR(INDEX('Shooter-Squad Assignment'!$A:$A,MATCH(C49&amp;"-"&amp;D49&amp;"-"&amp;E49&amp;"-Pos1",'Shooter-Squad Assignment'!#REF!,0)),""),IF(E49="Trap",IFERROR(INDEX('Shooter-Squad Assignment'!$A:$A,MATCH(C49&amp;"-"&amp;D49&amp;"-"&amp;E49&amp;"-Pos1",'Shooter-Squad Assignment'!$V:$V,0)),""),IF(E49="Sporting Clays",IFERROR(INDEX('Shooter-Squad Assignment'!$A:$A,MATCH(C49&amp;"-"&amp;D49&amp;"-"&amp;E49&amp;"-Pos1",'Shooter-Squad Assignment'!$Y:$Y,0)),""),"")))</f>
        <v/>
      </c>
      <c r="G49" s="73" t="str">
        <f>IF(ISBLANK(F49),"",IFERROR(INDEX('Tournament List'!$D:$D,MATCH(F49,'Tournament List'!$A:$A,0)),""))</f>
        <v/>
      </c>
      <c r="H49" s="98" t="str">
        <f>IF(E49="Skeet",IFERROR(INDEX('Shooter-Squad Assignment'!$A:$A,MATCH(C49&amp;"-"&amp;D49&amp;"-"&amp;E49&amp;"-Pos2",'Shooter-Squad Assignment'!#REF!,0)),""),IF(E49="Trap",IFERROR(INDEX('Shooter-Squad Assignment'!$A:$A,MATCH(C49&amp;"-"&amp;D49&amp;"-"&amp;E49&amp;"-Pos2",'Shooter-Squad Assignment'!$V:$V,0)),""),IF(E49="Sporting Clays",IFERROR(INDEX('Shooter-Squad Assignment'!$A:$A,MATCH(C49&amp;"-"&amp;D49&amp;"-"&amp;E49&amp;"-Pos2",'Shooter-Squad Assignment'!$Y:$Y,0)),""),"")))</f>
        <v/>
      </c>
      <c r="I49" s="73" t="str">
        <f>IF(ISBLANK(H49),"",IFERROR(INDEX('Tournament List'!$D:$D,MATCH(H49,'Tournament List'!$A:$A,0)),""))</f>
        <v/>
      </c>
      <c r="J49" s="98" t="str">
        <f>IF(E49="Skeet",IFERROR(INDEX('Shooter-Squad Assignment'!$A:$A,MATCH(C49&amp;"-"&amp;D49&amp;"-"&amp;E49&amp;"-Pos3",'Shooter-Squad Assignment'!#REF!,0)),""),IF(E49="Trap",IFERROR(INDEX('Shooter-Squad Assignment'!$A:$A,MATCH(C49&amp;"-"&amp;D49&amp;"-"&amp;E49&amp;"-Pos3",'Shooter-Squad Assignment'!$V:$V,0)),""),IF(E49="Sporting Clays",IFERROR(INDEX('Shooter-Squad Assignment'!$A:$A,MATCH(C49&amp;"-"&amp;D49&amp;"-"&amp;E49&amp;"-Pos3",'Shooter-Squad Assignment'!$Y:$Y,0)),""),"")))</f>
        <v/>
      </c>
      <c r="K49" s="73" t="str">
        <f>IF(ISBLANK(J49),"",IFERROR(INDEX('Tournament List'!$D:$D,MATCH(J49,'Tournament List'!$A:$A,0)),""))</f>
        <v/>
      </c>
      <c r="L49" s="98" t="str">
        <f>IF(E49="Skeet",IFERROR(INDEX('Shooter-Squad Assignment'!$A:$A,MATCH(C49&amp;"-"&amp;D49&amp;"-"&amp;E49&amp;"-Pos4",'Shooter-Squad Assignment'!#REF!,0)),""),IF(E49="Trap",IFERROR(INDEX('Shooter-Squad Assignment'!$A:$A,MATCH(C49&amp;"-"&amp;D49&amp;"-"&amp;E49&amp;"-Pos4",'Shooter-Squad Assignment'!$V:$V,0)),""),IF(E49="Sporting Clays",IFERROR(INDEX('Shooter-Squad Assignment'!$A:$A,MATCH(C49&amp;"-"&amp;D49&amp;"-"&amp;E49&amp;"-Pos4",'Shooter-Squad Assignment'!$Y:$Y,0)),""),"")))</f>
        <v/>
      </c>
      <c r="M49" s="73" t="str">
        <f>IF(ISBLANK(L49),"",IFERROR(INDEX('Tournament List'!$D:$D,MATCH(L49,'Tournament List'!$A:$A,0)),""))</f>
        <v/>
      </c>
      <c r="N49" s="98" t="str">
        <f>IF(E49="Skeet",IFERROR(INDEX('Shooter-Squad Assignment'!$A:$A,MATCH(C49&amp;"-"&amp;D49&amp;"-"&amp;E49&amp;"-Pos5",'Shooter-Squad Assignment'!#REF!,0)),""),IF(E49="Trap",IFERROR(INDEX('Shooter-Squad Assignment'!$A:$A,MATCH(C49&amp;"-"&amp;D49&amp;"-"&amp;E49&amp;"-Pos5",'Shooter-Squad Assignment'!$V:$V,0)),""),IF(E49="Sporting Clays",IFERROR(INDEX('Shooter-Squad Assignment'!$A:$A,MATCH(C49&amp;"-"&amp;D49&amp;"-"&amp;E49&amp;"-Pos5",'Shooter-Squad Assignment'!$Y:$Y,0)),""),"")))</f>
        <v/>
      </c>
      <c r="O49" s="80" t="str">
        <f>IF(ISBLANK(N49),"",IFERROR(INDEX('Tournament List'!$D:$D,MATCH(N49,'Tournament List'!$A:$A,0)),""))</f>
        <v/>
      </c>
    </row>
    <row r="50" spans="1:15" x14ac:dyDescent="0.3">
      <c r="A50" s="79">
        <v>58</v>
      </c>
      <c r="B50" s="73" t="str">
        <f t="shared" si="0"/>
        <v>High Plains Drifters-Open 1-Sporting Clays</v>
      </c>
      <c r="C50" s="73" t="s">
        <v>307</v>
      </c>
      <c r="D50" s="73" t="s">
        <v>343</v>
      </c>
      <c r="E50" s="73" t="s">
        <v>148</v>
      </c>
      <c r="F50" s="98" t="str">
        <f>IF(E50="Skeet",IFERROR(INDEX('Shooter-Squad Assignment'!$A:$A,MATCH(C50&amp;"-"&amp;D50&amp;"-"&amp;E50&amp;"-Pos1",'Shooter-Squad Assignment'!#REF!,0)),""),IF(E50="Trap",IFERROR(INDEX('Shooter-Squad Assignment'!$A:$A,MATCH(C50&amp;"-"&amp;D50&amp;"-"&amp;E50&amp;"-Pos1",'Shooter-Squad Assignment'!$V:$V,0)),""),IF(E50="Sporting Clays",IFERROR(INDEX('Shooter-Squad Assignment'!$A:$A,MATCH(C50&amp;"-"&amp;D50&amp;"-"&amp;E50&amp;"-Pos1",'Shooter-Squad Assignment'!$Y:$Y,0)),""),"")))</f>
        <v>24-1042</v>
      </c>
      <c r="G50" s="73" t="str">
        <f>IF(ISBLANK(F50),"",IFERROR(INDEX('Tournament List'!$D:$D,MATCH(F50,'Tournament List'!$A:$A,0)),""))</f>
        <v>Terry Last Name43</v>
      </c>
      <c r="H50" s="98" t="str">
        <f>IF(E50="Skeet",IFERROR(INDEX('Shooter-Squad Assignment'!$A:$A,MATCH(C50&amp;"-"&amp;D50&amp;"-"&amp;E50&amp;"-Pos2",'Shooter-Squad Assignment'!#REF!,0)),""),IF(E50="Trap",IFERROR(INDEX('Shooter-Squad Assignment'!$A:$A,MATCH(C50&amp;"-"&amp;D50&amp;"-"&amp;E50&amp;"-Pos2",'Shooter-Squad Assignment'!$V:$V,0)),""),IF(E50="Sporting Clays",IFERROR(INDEX('Shooter-Squad Assignment'!$A:$A,MATCH(C50&amp;"-"&amp;D50&amp;"-"&amp;E50&amp;"-Pos2",'Shooter-Squad Assignment'!$Y:$Y,0)),""),"")))</f>
        <v>24-1012</v>
      </c>
      <c r="I50" s="73" t="str">
        <f>IF(ISBLANK(H50),"",IFERROR(INDEX('Tournament List'!$D:$D,MATCH(H50,'Tournament List'!$A:$A,0)),""))</f>
        <v>Bruce Last Name13</v>
      </c>
      <c r="J50" s="98" t="str">
        <f>IF(E50="Skeet",IFERROR(INDEX('Shooter-Squad Assignment'!$A:$A,MATCH(C50&amp;"-"&amp;D50&amp;"-"&amp;E50&amp;"-Pos3",'Shooter-Squad Assignment'!#REF!,0)),""),IF(E50="Trap",IFERROR(INDEX('Shooter-Squad Assignment'!$A:$A,MATCH(C50&amp;"-"&amp;D50&amp;"-"&amp;E50&amp;"-Pos3",'Shooter-Squad Assignment'!$V:$V,0)),""),IF(E50="Sporting Clays",IFERROR(INDEX('Shooter-Squad Assignment'!$A:$A,MATCH(C50&amp;"-"&amp;D50&amp;"-"&amp;E50&amp;"-Pos3",'Shooter-Squad Assignment'!$Y:$Y,0)),""),"")))</f>
        <v>24-1000</v>
      </c>
      <c r="K50" s="73" t="str">
        <f>IF(ISBLANK(J50),"",IFERROR(INDEX('Tournament List'!$D:$D,MATCH(J50,'Tournament List'!$A:$A,0)),""))</f>
        <v>Jason Last Name1</v>
      </c>
      <c r="L50" s="98" t="str">
        <f>IF(E50="Skeet",IFERROR(INDEX('Shooter-Squad Assignment'!$A:$A,MATCH(C50&amp;"-"&amp;D50&amp;"-"&amp;E50&amp;"-Pos4",'Shooter-Squad Assignment'!#REF!,0)),""),IF(E50="Trap",IFERROR(INDEX('Shooter-Squad Assignment'!$A:$A,MATCH(C50&amp;"-"&amp;D50&amp;"-"&amp;E50&amp;"-Pos4",'Shooter-Squad Assignment'!$V:$V,0)),""),IF(E50="Sporting Clays",IFERROR(INDEX('Shooter-Squad Assignment'!$A:$A,MATCH(C50&amp;"-"&amp;D50&amp;"-"&amp;E50&amp;"-Pos4",'Shooter-Squad Assignment'!$Y:$Y,0)),""),"")))</f>
        <v/>
      </c>
      <c r="M50" s="73" t="str">
        <f>IF(ISBLANK(L50),"",IFERROR(INDEX('Tournament List'!$D:$D,MATCH(L50,'Tournament List'!$A:$A,0)),""))</f>
        <v/>
      </c>
      <c r="N50" s="98" t="str">
        <f>IF(E50="Skeet",IFERROR(INDEX('Shooter-Squad Assignment'!$A:$A,MATCH(C50&amp;"-"&amp;D50&amp;"-"&amp;E50&amp;"-Pos5",'Shooter-Squad Assignment'!#REF!,0)),""),IF(E50="Trap",IFERROR(INDEX('Shooter-Squad Assignment'!$A:$A,MATCH(C50&amp;"-"&amp;D50&amp;"-"&amp;E50&amp;"-Pos5",'Shooter-Squad Assignment'!$V:$V,0)),""),IF(E50="Sporting Clays",IFERROR(INDEX('Shooter-Squad Assignment'!$A:$A,MATCH(C50&amp;"-"&amp;D50&amp;"-"&amp;E50&amp;"-Pos5",'Shooter-Squad Assignment'!$Y:$Y,0)),""),"")))</f>
        <v/>
      </c>
      <c r="O50" s="80" t="str">
        <f>IF(ISBLANK(N50),"",IFERROR(INDEX('Tournament List'!$D:$D,MATCH(N50,'Tournament List'!$A:$A,0)),""))</f>
        <v/>
      </c>
    </row>
    <row r="51" spans="1:15" x14ac:dyDescent="0.3">
      <c r="A51" s="79">
        <v>59</v>
      </c>
      <c r="B51" s="73" t="str">
        <f t="shared" si="0"/>
        <v>High Plains Drifters-Open 2-Sporting Clays</v>
      </c>
      <c r="C51" s="73" t="s">
        <v>307</v>
      </c>
      <c r="D51" s="73" t="s">
        <v>349</v>
      </c>
      <c r="E51" s="73" t="s">
        <v>148</v>
      </c>
      <c r="F51" s="98" t="str">
        <f>IF(E51="Skeet",IFERROR(INDEX('Shooter-Squad Assignment'!$A:$A,MATCH(C51&amp;"-"&amp;D51&amp;"-"&amp;E51&amp;"-Pos1",'Shooter-Squad Assignment'!#REF!,0)),""),IF(E51="Trap",IFERROR(INDEX('Shooter-Squad Assignment'!$A:$A,MATCH(C51&amp;"-"&amp;D51&amp;"-"&amp;E51&amp;"-Pos1",'Shooter-Squad Assignment'!$V:$V,0)),""),IF(E51="Sporting Clays",IFERROR(INDEX('Shooter-Squad Assignment'!$A:$A,MATCH(C51&amp;"-"&amp;D51&amp;"-"&amp;E51&amp;"-Pos1",'Shooter-Squad Assignment'!$Y:$Y,0)),""),"")))</f>
        <v/>
      </c>
      <c r="G51" s="73" t="str">
        <f>IF(ISBLANK(F51),"",IFERROR(INDEX('Tournament List'!$D:$D,MATCH(F51,'Tournament List'!$A:$A,0)),""))</f>
        <v/>
      </c>
      <c r="H51" s="98" t="str">
        <f>IF(E51="Skeet",IFERROR(INDEX('Shooter-Squad Assignment'!$A:$A,MATCH(C51&amp;"-"&amp;D51&amp;"-"&amp;E51&amp;"-Pos2",'Shooter-Squad Assignment'!#REF!,0)),""),IF(E51="Trap",IFERROR(INDEX('Shooter-Squad Assignment'!$A:$A,MATCH(C51&amp;"-"&amp;D51&amp;"-"&amp;E51&amp;"-Pos2",'Shooter-Squad Assignment'!$V:$V,0)),""),IF(E51="Sporting Clays",IFERROR(INDEX('Shooter-Squad Assignment'!$A:$A,MATCH(C51&amp;"-"&amp;D51&amp;"-"&amp;E51&amp;"-Pos2",'Shooter-Squad Assignment'!$Y:$Y,0)),""),"")))</f>
        <v/>
      </c>
      <c r="I51" s="73" t="str">
        <f>IF(ISBLANK(H51),"",IFERROR(INDEX('Tournament List'!$D:$D,MATCH(H51,'Tournament List'!$A:$A,0)),""))</f>
        <v/>
      </c>
      <c r="J51" s="98" t="str">
        <f>IF(E51="Skeet",IFERROR(INDEX('Shooter-Squad Assignment'!$A:$A,MATCH(C51&amp;"-"&amp;D51&amp;"-"&amp;E51&amp;"-Pos3",'Shooter-Squad Assignment'!#REF!,0)),""),IF(E51="Trap",IFERROR(INDEX('Shooter-Squad Assignment'!$A:$A,MATCH(C51&amp;"-"&amp;D51&amp;"-"&amp;E51&amp;"-Pos3",'Shooter-Squad Assignment'!$V:$V,0)),""),IF(E51="Sporting Clays",IFERROR(INDEX('Shooter-Squad Assignment'!$A:$A,MATCH(C51&amp;"-"&amp;D51&amp;"-"&amp;E51&amp;"-Pos3",'Shooter-Squad Assignment'!$Y:$Y,0)),""),"")))</f>
        <v/>
      </c>
      <c r="K51" s="73" t="str">
        <f>IF(ISBLANK(J51),"",IFERROR(INDEX('Tournament List'!$D:$D,MATCH(J51,'Tournament List'!$A:$A,0)),""))</f>
        <v/>
      </c>
      <c r="L51" s="98" t="str">
        <f>IF(E51="Skeet",IFERROR(INDEX('Shooter-Squad Assignment'!$A:$A,MATCH(C51&amp;"-"&amp;D51&amp;"-"&amp;E51&amp;"-Pos4",'Shooter-Squad Assignment'!#REF!,0)),""),IF(E51="Trap",IFERROR(INDEX('Shooter-Squad Assignment'!$A:$A,MATCH(C51&amp;"-"&amp;D51&amp;"-"&amp;E51&amp;"-Pos4",'Shooter-Squad Assignment'!$V:$V,0)),""),IF(E51="Sporting Clays",IFERROR(INDEX('Shooter-Squad Assignment'!$A:$A,MATCH(C51&amp;"-"&amp;D51&amp;"-"&amp;E51&amp;"-Pos4",'Shooter-Squad Assignment'!$Y:$Y,0)),""),"")))</f>
        <v/>
      </c>
      <c r="M51" s="73" t="str">
        <f>IF(ISBLANK(L51),"",IFERROR(INDEX('Tournament List'!$D:$D,MATCH(L51,'Tournament List'!$A:$A,0)),""))</f>
        <v/>
      </c>
      <c r="N51" s="98" t="str">
        <f>IF(E51="Skeet",IFERROR(INDEX('Shooter-Squad Assignment'!$A:$A,MATCH(C51&amp;"-"&amp;D51&amp;"-"&amp;E51&amp;"-Pos5",'Shooter-Squad Assignment'!#REF!,0)),""),IF(E51="Trap",IFERROR(INDEX('Shooter-Squad Assignment'!$A:$A,MATCH(C51&amp;"-"&amp;D51&amp;"-"&amp;E51&amp;"-Pos5",'Shooter-Squad Assignment'!$V:$V,0)),""),IF(E51="Sporting Clays",IFERROR(INDEX('Shooter-Squad Assignment'!$A:$A,MATCH(C51&amp;"-"&amp;D51&amp;"-"&amp;E51&amp;"-Pos5",'Shooter-Squad Assignment'!$Y:$Y,0)),""),"")))</f>
        <v/>
      </c>
      <c r="O51" s="80" t="str">
        <f>IF(ISBLANK(N51),"",IFERROR(INDEX('Tournament List'!$D:$D,MATCH(N51,'Tournament List'!$A:$A,0)),""))</f>
        <v/>
      </c>
    </row>
    <row r="52" spans="1:15" x14ac:dyDescent="0.3">
      <c r="A52" s="79">
        <v>60</v>
      </c>
      <c r="B52" s="73" t="str">
        <f t="shared" si="0"/>
        <v>High Plains Drifters-Open 3-Sporting Clays</v>
      </c>
      <c r="C52" s="73" t="s">
        <v>307</v>
      </c>
      <c r="D52" s="73" t="s">
        <v>355</v>
      </c>
      <c r="E52" s="73" t="s">
        <v>148</v>
      </c>
      <c r="F52" s="98" t="str">
        <f>IF(E52="Skeet",IFERROR(INDEX('Shooter-Squad Assignment'!$A:$A,MATCH(C52&amp;"-"&amp;D52&amp;"-"&amp;E52&amp;"-Pos1",'Shooter-Squad Assignment'!#REF!,0)),""),IF(E52="Trap",IFERROR(INDEX('Shooter-Squad Assignment'!$A:$A,MATCH(C52&amp;"-"&amp;D52&amp;"-"&amp;E52&amp;"-Pos1",'Shooter-Squad Assignment'!$V:$V,0)),""),IF(E52="Sporting Clays",IFERROR(INDEX('Shooter-Squad Assignment'!$A:$A,MATCH(C52&amp;"-"&amp;D52&amp;"-"&amp;E52&amp;"-Pos1",'Shooter-Squad Assignment'!$Y:$Y,0)),""),"")))</f>
        <v/>
      </c>
      <c r="G52" s="73" t="str">
        <f>IF(ISBLANK(F52),"",IFERROR(INDEX('Tournament List'!$D:$D,MATCH(F52,'Tournament List'!$A:$A,0)),""))</f>
        <v/>
      </c>
      <c r="H52" s="98" t="str">
        <f>IF(E52="Skeet",IFERROR(INDEX('Shooter-Squad Assignment'!$A:$A,MATCH(C52&amp;"-"&amp;D52&amp;"-"&amp;E52&amp;"-Pos2",'Shooter-Squad Assignment'!#REF!,0)),""),IF(E52="Trap",IFERROR(INDEX('Shooter-Squad Assignment'!$A:$A,MATCH(C52&amp;"-"&amp;D52&amp;"-"&amp;E52&amp;"-Pos2",'Shooter-Squad Assignment'!$V:$V,0)),""),IF(E52="Sporting Clays",IFERROR(INDEX('Shooter-Squad Assignment'!$A:$A,MATCH(C52&amp;"-"&amp;D52&amp;"-"&amp;E52&amp;"-Pos2",'Shooter-Squad Assignment'!$Y:$Y,0)),""),"")))</f>
        <v/>
      </c>
      <c r="I52" s="73" t="str">
        <f>IF(ISBLANK(H52),"",IFERROR(INDEX('Tournament List'!$D:$D,MATCH(H52,'Tournament List'!$A:$A,0)),""))</f>
        <v/>
      </c>
      <c r="J52" s="98" t="str">
        <f>IF(E52="Skeet",IFERROR(INDEX('Shooter-Squad Assignment'!$A:$A,MATCH(C52&amp;"-"&amp;D52&amp;"-"&amp;E52&amp;"-Pos3",'Shooter-Squad Assignment'!#REF!,0)),""),IF(E52="Trap",IFERROR(INDEX('Shooter-Squad Assignment'!$A:$A,MATCH(C52&amp;"-"&amp;D52&amp;"-"&amp;E52&amp;"-Pos3",'Shooter-Squad Assignment'!$V:$V,0)),""),IF(E52="Sporting Clays",IFERROR(INDEX('Shooter-Squad Assignment'!$A:$A,MATCH(C52&amp;"-"&amp;D52&amp;"-"&amp;E52&amp;"-Pos3",'Shooter-Squad Assignment'!$Y:$Y,0)),""),"")))</f>
        <v/>
      </c>
      <c r="K52" s="73" t="str">
        <f>IF(ISBLANK(J52),"",IFERROR(INDEX('Tournament List'!$D:$D,MATCH(J52,'Tournament List'!$A:$A,0)),""))</f>
        <v/>
      </c>
      <c r="L52" s="98" t="str">
        <f>IF(E52="Skeet",IFERROR(INDEX('Shooter-Squad Assignment'!$A:$A,MATCH(C52&amp;"-"&amp;D52&amp;"-"&amp;E52&amp;"-Pos4",'Shooter-Squad Assignment'!#REF!,0)),""),IF(E52="Trap",IFERROR(INDEX('Shooter-Squad Assignment'!$A:$A,MATCH(C52&amp;"-"&amp;D52&amp;"-"&amp;E52&amp;"-Pos4",'Shooter-Squad Assignment'!$V:$V,0)),""),IF(E52="Sporting Clays",IFERROR(INDEX('Shooter-Squad Assignment'!$A:$A,MATCH(C52&amp;"-"&amp;D52&amp;"-"&amp;E52&amp;"-Pos4",'Shooter-Squad Assignment'!$Y:$Y,0)),""),"")))</f>
        <v/>
      </c>
      <c r="M52" s="73" t="str">
        <f>IF(ISBLANK(L52),"",IFERROR(INDEX('Tournament List'!$D:$D,MATCH(L52,'Tournament List'!$A:$A,0)),""))</f>
        <v/>
      </c>
      <c r="N52" s="98" t="str">
        <f>IF(E52="Skeet",IFERROR(INDEX('Shooter-Squad Assignment'!$A:$A,MATCH(C52&amp;"-"&amp;D52&amp;"-"&amp;E52&amp;"-Pos5",'Shooter-Squad Assignment'!#REF!,0)),""),IF(E52="Trap",IFERROR(INDEX('Shooter-Squad Assignment'!$A:$A,MATCH(C52&amp;"-"&amp;D52&amp;"-"&amp;E52&amp;"-Pos5",'Shooter-Squad Assignment'!$V:$V,0)),""),IF(E52="Sporting Clays",IFERROR(INDEX('Shooter-Squad Assignment'!$A:$A,MATCH(C52&amp;"-"&amp;D52&amp;"-"&amp;E52&amp;"-Pos5",'Shooter-Squad Assignment'!$Y:$Y,0)),""),"")))</f>
        <v/>
      </c>
      <c r="O52" s="80" t="str">
        <f>IF(ISBLANK(N52),"",IFERROR(INDEX('Tournament List'!$D:$D,MATCH(N52,'Tournament List'!$A:$A,0)),""))</f>
        <v/>
      </c>
    </row>
    <row r="53" spans="1:15" x14ac:dyDescent="0.3">
      <c r="A53" s="79">
        <v>61</v>
      </c>
      <c r="B53" s="73" t="str">
        <f t="shared" si="0"/>
        <v>High Plains Drifters-Varsity 1-Sporting Clays</v>
      </c>
      <c r="C53" s="73" t="s">
        <v>307</v>
      </c>
      <c r="D53" s="73" t="s">
        <v>342</v>
      </c>
      <c r="E53" s="73" t="s">
        <v>148</v>
      </c>
      <c r="F53" s="98" t="str">
        <f>IF(E53="Skeet",IFERROR(INDEX('Shooter-Squad Assignment'!$A:$A,MATCH(C53&amp;"-"&amp;D53&amp;"-"&amp;E53&amp;"-Pos1",'Shooter-Squad Assignment'!#REF!,0)),""),IF(E53="Trap",IFERROR(INDEX('Shooter-Squad Assignment'!$A:$A,MATCH(C53&amp;"-"&amp;D53&amp;"-"&amp;E53&amp;"-Pos1",'Shooter-Squad Assignment'!$V:$V,0)),""),IF(E53="Sporting Clays",IFERROR(INDEX('Shooter-Squad Assignment'!$A:$A,MATCH(C53&amp;"-"&amp;D53&amp;"-"&amp;E53&amp;"-Pos1",'Shooter-Squad Assignment'!$Y:$Y,0)),""),"")))</f>
        <v>24-1024</v>
      </c>
      <c r="G53" s="73" t="str">
        <f>IF(ISBLANK(F53),"",IFERROR(INDEX('Tournament List'!$D:$D,MATCH(F53,'Tournament List'!$A:$A,0)),""))</f>
        <v>Harry Last Name25</v>
      </c>
      <c r="H53" s="98" t="str">
        <f>IF(E53="Skeet",IFERROR(INDEX('Shooter-Squad Assignment'!$A:$A,MATCH(C53&amp;"-"&amp;D53&amp;"-"&amp;E53&amp;"-Pos2",'Shooter-Squad Assignment'!#REF!,0)),""),IF(E53="Trap",IFERROR(INDEX('Shooter-Squad Assignment'!$A:$A,MATCH(C53&amp;"-"&amp;D53&amp;"-"&amp;E53&amp;"-Pos2",'Shooter-Squad Assignment'!$V:$V,0)),""),IF(E53="Sporting Clays",IFERROR(INDEX('Shooter-Squad Assignment'!$A:$A,MATCH(C53&amp;"-"&amp;D53&amp;"-"&amp;E53&amp;"-Pos2",'Shooter-Squad Assignment'!$Y:$Y,0)),""),"")))</f>
        <v>24-1018</v>
      </c>
      <c r="I53" s="73" t="str">
        <f>IF(ISBLANK(H53),"",IFERROR(INDEX('Tournament List'!$D:$D,MATCH(H53,'Tournament List'!$A:$A,0)),""))</f>
        <v>Jack Last Name19</v>
      </c>
      <c r="J53" s="98" t="str">
        <f>IF(E53="Skeet",IFERROR(INDEX('Shooter-Squad Assignment'!$A:$A,MATCH(C53&amp;"-"&amp;D53&amp;"-"&amp;E53&amp;"-Pos3",'Shooter-Squad Assignment'!#REF!,0)),""),IF(E53="Trap",IFERROR(INDEX('Shooter-Squad Assignment'!$A:$A,MATCH(C53&amp;"-"&amp;D53&amp;"-"&amp;E53&amp;"-Pos3",'Shooter-Squad Assignment'!$V:$V,0)),""),IF(E53="Sporting Clays",IFERROR(INDEX('Shooter-Squad Assignment'!$A:$A,MATCH(C53&amp;"-"&amp;D53&amp;"-"&amp;E53&amp;"-Pos3",'Shooter-Squad Assignment'!$Y:$Y,0)),""),"")))</f>
        <v>24-1036</v>
      </c>
      <c r="K53" s="73" t="str">
        <f>IF(ISBLANK(J53),"",IFERROR(INDEX('Tournament List'!$D:$D,MATCH(J53,'Tournament List'!$A:$A,0)),""))</f>
        <v>Will Last Name37</v>
      </c>
      <c r="L53" s="98" t="str">
        <f>IF(E53="Skeet",IFERROR(INDEX('Shooter-Squad Assignment'!$A:$A,MATCH(C53&amp;"-"&amp;D53&amp;"-"&amp;E53&amp;"-Pos4",'Shooter-Squad Assignment'!#REF!,0)),""),IF(E53="Trap",IFERROR(INDEX('Shooter-Squad Assignment'!$A:$A,MATCH(C53&amp;"-"&amp;D53&amp;"-"&amp;E53&amp;"-Pos4",'Shooter-Squad Assignment'!$V:$V,0)),""),IF(E53="Sporting Clays",IFERROR(INDEX('Shooter-Squad Assignment'!$A:$A,MATCH(C53&amp;"-"&amp;D53&amp;"-"&amp;E53&amp;"-Pos4",'Shooter-Squad Assignment'!$Y:$Y,0)),""),"")))</f>
        <v/>
      </c>
      <c r="M53" s="73" t="str">
        <f>IF(ISBLANK(L53),"",IFERROR(INDEX('Tournament List'!$D:$D,MATCH(L53,'Tournament List'!$A:$A,0)),""))</f>
        <v/>
      </c>
      <c r="N53" s="98" t="str">
        <f>IF(E53="Skeet",IFERROR(INDEX('Shooter-Squad Assignment'!$A:$A,MATCH(C53&amp;"-"&amp;D53&amp;"-"&amp;E53&amp;"-Pos5",'Shooter-Squad Assignment'!#REF!,0)),""),IF(E53="Trap",IFERROR(INDEX('Shooter-Squad Assignment'!$A:$A,MATCH(C53&amp;"-"&amp;D53&amp;"-"&amp;E53&amp;"-Pos5",'Shooter-Squad Assignment'!$V:$V,0)),""),IF(E53="Sporting Clays",IFERROR(INDEX('Shooter-Squad Assignment'!$A:$A,MATCH(C53&amp;"-"&amp;D53&amp;"-"&amp;E53&amp;"-Pos5",'Shooter-Squad Assignment'!$Y:$Y,0)),""),"")))</f>
        <v/>
      </c>
      <c r="O53" s="80" t="str">
        <f>IF(ISBLANK(N53),"",IFERROR(INDEX('Tournament List'!$D:$D,MATCH(N53,'Tournament List'!$A:$A,0)),""))</f>
        <v/>
      </c>
    </row>
    <row r="54" spans="1:15" x14ac:dyDescent="0.3">
      <c r="A54" s="79">
        <v>62</v>
      </c>
      <c r="B54" s="73" t="str">
        <f t="shared" si="0"/>
        <v>High Plains Drifters-Varsity 2-Sporting Clays</v>
      </c>
      <c r="C54" s="73" t="s">
        <v>307</v>
      </c>
      <c r="D54" s="73" t="s">
        <v>348</v>
      </c>
      <c r="E54" s="73" t="s">
        <v>148</v>
      </c>
      <c r="F54" s="98" t="str">
        <f>IF(E54="Skeet",IFERROR(INDEX('Shooter-Squad Assignment'!$A:$A,MATCH(C54&amp;"-"&amp;D54&amp;"-"&amp;E54&amp;"-Pos1",'Shooter-Squad Assignment'!#REF!,0)),""),IF(E54="Trap",IFERROR(INDEX('Shooter-Squad Assignment'!$A:$A,MATCH(C54&amp;"-"&amp;D54&amp;"-"&amp;E54&amp;"-Pos1",'Shooter-Squad Assignment'!$V:$V,0)),""),IF(E54="Sporting Clays",IFERROR(INDEX('Shooter-Squad Assignment'!$A:$A,MATCH(C54&amp;"-"&amp;D54&amp;"-"&amp;E54&amp;"-Pos1",'Shooter-Squad Assignment'!$Y:$Y,0)),""),"")))</f>
        <v/>
      </c>
      <c r="G54" s="73" t="str">
        <f>IF(ISBLANK(F54),"",IFERROR(INDEX('Tournament List'!$D:$D,MATCH(F54,'Tournament List'!$A:$A,0)),""))</f>
        <v/>
      </c>
      <c r="H54" s="98" t="str">
        <f>IF(E54="Skeet",IFERROR(INDEX('Shooter-Squad Assignment'!$A:$A,MATCH(C54&amp;"-"&amp;D54&amp;"-"&amp;E54&amp;"-Pos2",'Shooter-Squad Assignment'!#REF!,0)),""),IF(E54="Trap",IFERROR(INDEX('Shooter-Squad Assignment'!$A:$A,MATCH(C54&amp;"-"&amp;D54&amp;"-"&amp;E54&amp;"-Pos2",'Shooter-Squad Assignment'!$V:$V,0)),""),IF(E54="Sporting Clays",IFERROR(INDEX('Shooter-Squad Assignment'!$A:$A,MATCH(C54&amp;"-"&amp;D54&amp;"-"&amp;E54&amp;"-Pos2",'Shooter-Squad Assignment'!$Y:$Y,0)),""),"")))</f>
        <v/>
      </c>
      <c r="I54" s="73" t="str">
        <f>IF(ISBLANK(H54),"",IFERROR(INDEX('Tournament List'!$D:$D,MATCH(H54,'Tournament List'!$A:$A,0)),""))</f>
        <v/>
      </c>
      <c r="J54" s="98" t="str">
        <f>IF(E54="Skeet",IFERROR(INDEX('Shooter-Squad Assignment'!$A:$A,MATCH(C54&amp;"-"&amp;D54&amp;"-"&amp;E54&amp;"-Pos3",'Shooter-Squad Assignment'!#REF!,0)),""),IF(E54="Trap",IFERROR(INDEX('Shooter-Squad Assignment'!$A:$A,MATCH(C54&amp;"-"&amp;D54&amp;"-"&amp;E54&amp;"-Pos3",'Shooter-Squad Assignment'!$V:$V,0)),""),IF(E54="Sporting Clays",IFERROR(INDEX('Shooter-Squad Assignment'!$A:$A,MATCH(C54&amp;"-"&amp;D54&amp;"-"&amp;E54&amp;"-Pos3",'Shooter-Squad Assignment'!$Y:$Y,0)),""),"")))</f>
        <v/>
      </c>
      <c r="K54" s="73" t="str">
        <f>IF(ISBLANK(J54),"",IFERROR(INDEX('Tournament List'!$D:$D,MATCH(J54,'Tournament List'!$A:$A,0)),""))</f>
        <v/>
      </c>
      <c r="L54" s="98" t="str">
        <f>IF(E54="Skeet",IFERROR(INDEX('Shooter-Squad Assignment'!$A:$A,MATCH(C54&amp;"-"&amp;D54&amp;"-"&amp;E54&amp;"-Pos4",'Shooter-Squad Assignment'!#REF!,0)),""),IF(E54="Trap",IFERROR(INDEX('Shooter-Squad Assignment'!$A:$A,MATCH(C54&amp;"-"&amp;D54&amp;"-"&amp;E54&amp;"-Pos4",'Shooter-Squad Assignment'!$V:$V,0)),""),IF(E54="Sporting Clays",IFERROR(INDEX('Shooter-Squad Assignment'!$A:$A,MATCH(C54&amp;"-"&amp;D54&amp;"-"&amp;E54&amp;"-Pos4",'Shooter-Squad Assignment'!$Y:$Y,0)),""),"")))</f>
        <v/>
      </c>
      <c r="M54" s="73" t="str">
        <f>IF(ISBLANK(L54),"",IFERROR(INDEX('Tournament List'!$D:$D,MATCH(L54,'Tournament List'!$A:$A,0)),""))</f>
        <v/>
      </c>
      <c r="N54" s="98" t="str">
        <f>IF(E54="Skeet",IFERROR(INDEX('Shooter-Squad Assignment'!$A:$A,MATCH(C54&amp;"-"&amp;D54&amp;"-"&amp;E54&amp;"-Pos5",'Shooter-Squad Assignment'!#REF!,0)),""),IF(E54="Trap",IFERROR(INDEX('Shooter-Squad Assignment'!$A:$A,MATCH(C54&amp;"-"&amp;D54&amp;"-"&amp;E54&amp;"-Pos5",'Shooter-Squad Assignment'!$V:$V,0)),""),IF(E54="Sporting Clays",IFERROR(INDEX('Shooter-Squad Assignment'!$A:$A,MATCH(C54&amp;"-"&amp;D54&amp;"-"&amp;E54&amp;"-Pos5",'Shooter-Squad Assignment'!$Y:$Y,0)),""),"")))</f>
        <v/>
      </c>
      <c r="O54" s="80" t="str">
        <f>IF(ISBLANK(N54),"",IFERROR(INDEX('Tournament List'!$D:$D,MATCH(N54,'Tournament List'!$A:$A,0)),""))</f>
        <v/>
      </c>
    </row>
    <row r="55" spans="1:15" ht="15" thickBot="1" x14ac:dyDescent="0.35">
      <c r="A55" s="79">
        <v>63</v>
      </c>
      <c r="B55" s="73" t="str">
        <f t="shared" si="0"/>
        <v>High Plains Drifters-Varsity 3-Sporting Clays</v>
      </c>
      <c r="C55" s="73" t="s">
        <v>307</v>
      </c>
      <c r="D55" s="73" t="s">
        <v>354</v>
      </c>
      <c r="E55" s="73" t="s">
        <v>148</v>
      </c>
      <c r="F55" s="98" t="str">
        <f>IF(E55="Skeet",IFERROR(INDEX('Shooter-Squad Assignment'!$A:$A,MATCH(C55&amp;"-"&amp;D55&amp;"-"&amp;E55&amp;"-Pos1",'Shooter-Squad Assignment'!#REF!,0)),""),IF(E55="Trap",IFERROR(INDEX('Shooter-Squad Assignment'!$A:$A,MATCH(C55&amp;"-"&amp;D55&amp;"-"&amp;E55&amp;"-Pos1",'Shooter-Squad Assignment'!$V:$V,0)),""),IF(E55="Sporting Clays",IFERROR(INDEX('Shooter-Squad Assignment'!$A:$A,MATCH(C55&amp;"-"&amp;D55&amp;"-"&amp;E55&amp;"-Pos1",'Shooter-Squad Assignment'!$Y:$Y,0)),""),"")))</f>
        <v/>
      </c>
      <c r="G55" s="73" t="str">
        <f>IF(ISBLANK(F55),"",IFERROR(INDEX('Tournament List'!$D:$D,MATCH(F55,'Tournament List'!$A:$A,0)),""))</f>
        <v/>
      </c>
      <c r="H55" s="98" t="str">
        <f>IF(E55="Skeet",IFERROR(INDEX('Shooter-Squad Assignment'!$A:$A,MATCH(C55&amp;"-"&amp;D55&amp;"-"&amp;E55&amp;"-Pos2",'Shooter-Squad Assignment'!#REF!,0)),""),IF(E55="Trap",IFERROR(INDEX('Shooter-Squad Assignment'!$A:$A,MATCH(C55&amp;"-"&amp;D55&amp;"-"&amp;E55&amp;"-Pos2",'Shooter-Squad Assignment'!$V:$V,0)),""),IF(E55="Sporting Clays",IFERROR(INDEX('Shooter-Squad Assignment'!$A:$A,MATCH(C55&amp;"-"&amp;D55&amp;"-"&amp;E55&amp;"-Pos2",'Shooter-Squad Assignment'!$Y:$Y,0)),""),"")))</f>
        <v/>
      </c>
      <c r="I55" s="73" t="str">
        <f>IF(ISBLANK(H55),"",IFERROR(INDEX('Tournament List'!$D:$D,MATCH(H55,'Tournament List'!$A:$A,0)),""))</f>
        <v/>
      </c>
      <c r="J55" s="98" t="str">
        <f>IF(E55="Skeet",IFERROR(INDEX('Shooter-Squad Assignment'!$A:$A,MATCH(C55&amp;"-"&amp;D55&amp;"-"&amp;E55&amp;"-Pos3",'Shooter-Squad Assignment'!#REF!,0)),""),IF(E55="Trap",IFERROR(INDEX('Shooter-Squad Assignment'!$A:$A,MATCH(C55&amp;"-"&amp;D55&amp;"-"&amp;E55&amp;"-Pos3",'Shooter-Squad Assignment'!$V:$V,0)),""),IF(E55="Sporting Clays",IFERROR(INDEX('Shooter-Squad Assignment'!$A:$A,MATCH(C55&amp;"-"&amp;D55&amp;"-"&amp;E55&amp;"-Pos3",'Shooter-Squad Assignment'!$Y:$Y,0)),""),"")))</f>
        <v/>
      </c>
      <c r="K55" s="73" t="str">
        <f>IF(ISBLANK(J55),"",IFERROR(INDEX('Tournament List'!$D:$D,MATCH(J55,'Tournament List'!$A:$A,0)),""))</f>
        <v/>
      </c>
      <c r="L55" s="98" t="str">
        <f>IF(E55="Skeet",IFERROR(INDEX('Shooter-Squad Assignment'!$A:$A,MATCH(C55&amp;"-"&amp;D55&amp;"-"&amp;E55&amp;"-Pos4",'Shooter-Squad Assignment'!#REF!,0)),""),IF(E55="Trap",IFERROR(INDEX('Shooter-Squad Assignment'!$A:$A,MATCH(C55&amp;"-"&amp;D55&amp;"-"&amp;E55&amp;"-Pos4",'Shooter-Squad Assignment'!$V:$V,0)),""),IF(E55="Sporting Clays",IFERROR(INDEX('Shooter-Squad Assignment'!$A:$A,MATCH(C55&amp;"-"&amp;D55&amp;"-"&amp;E55&amp;"-Pos4",'Shooter-Squad Assignment'!$Y:$Y,0)),""),"")))</f>
        <v/>
      </c>
      <c r="M55" s="73" t="str">
        <f>IF(ISBLANK(L55),"",IFERROR(INDEX('Tournament List'!$D:$D,MATCH(L55,'Tournament List'!$A:$A,0)),""))</f>
        <v/>
      </c>
      <c r="N55" s="98" t="str">
        <f>IF(E55="Skeet",IFERROR(INDEX('Shooter-Squad Assignment'!$A:$A,MATCH(C55&amp;"-"&amp;D55&amp;"-"&amp;E55&amp;"-Pos5",'Shooter-Squad Assignment'!#REF!,0)),""),IF(E55="Trap",IFERROR(INDEX('Shooter-Squad Assignment'!$A:$A,MATCH(C55&amp;"-"&amp;D55&amp;"-"&amp;E55&amp;"-Pos5",'Shooter-Squad Assignment'!$V:$V,0)),""),IF(E55="Sporting Clays",IFERROR(INDEX('Shooter-Squad Assignment'!$A:$A,MATCH(C55&amp;"-"&amp;D55&amp;"-"&amp;E55&amp;"-Pos5",'Shooter-Squad Assignment'!$Y:$Y,0)),""),"")))</f>
        <v/>
      </c>
      <c r="O55" s="80" t="str">
        <f>IF(ISBLANK(N55),"",IFERROR(INDEX('Tournament List'!$D:$D,MATCH(N55,'Tournament List'!$A:$A,0)),""))</f>
        <v/>
      </c>
    </row>
    <row r="56" spans="1:15" x14ac:dyDescent="0.3">
      <c r="A56" s="88">
        <v>64</v>
      </c>
      <c r="B56" s="89" t="str">
        <f t="shared" si="0"/>
        <v>Rocky Mountain Clay Busters-Collegiate 1-Skeet</v>
      </c>
      <c r="C56" s="89" t="s">
        <v>320</v>
      </c>
      <c r="D56" s="89" t="s">
        <v>344</v>
      </c>
      <c r="E56" s="89" t="s">
        <v>143</v>
      </c>
      <c r="F56" s="100" t="str">
        <f>IF(E56="Skeet",IFERROR(INDEX('Shooter-Squad Assignment'!$A:$A,MATCH(C56&amp;"-"&amp;D56&amp;"-"&amp;E56&amp;"-Pos1",'Shooter-Squad Assignment'!#REF!,0)),""),IF(E56="Trap",IFERROR(INDEX('Shooter-Squad Assignment'!$A:$A,MATCH(C56&amp;"-"&amp;D56&amp;"-"&amp;E56&amp;"-Pos1",'Shooter-Squad Assignment'!$V:$V,0)),""),IF(E56="Sporting Clays",IFERROR(INDEX('Shooter-Squad Assignment'!$A:$A,MATCH(C56&amp;"-"&amp;D56&amp;"-"&amp;E56&amp;"-Pos1",'Shooter-Squad Assignment'!$Y:$Y,0)),""),"")))</f>
        <v/>
      </c>
      <c r="G56" s="89" t="str">
        <f>IF(ISBLANK(F56),"",IFERROR(INDEX('Tournament List'!$D:$D,MATCH(F56,'Tournament List'!$A:$A,0)),""))</f>
        <v/>
      </c>
      <c r="H56" s="100" t="str">
        <f>IF(E56="Skeet",IFERROR(INDEX('Shooter-Squad Assignment'!$A:$A,MATCH(C56&amp;"-"&amp;D56&amp;"-"&amp;E56&amp;"-Pos2",'Shooter-Squad Assignment'!#REF!,0)),""),IF(E56="Trap",IFERROR(INDEX('Shooter-Squad Assignment'!$A:$A,MATCH(C56&amp;"-"&amp;D56&amp;"-"&amp;E56&amp;"-Pos2",'Shooter-Squad Assignment'!$V:$V,0)),""),IF(E56="Sporting Clays",IFERROR(INDEX('Shooter-Squad Assignment'!$A:$A,MATCH(C56&amp;"-"&amp;D56&amp;"-"&amp;E56&amp;"-Pos2",'Shooter-Squad Assignment'!$Y:$Y,0)),""),"")))</f>
        <v/>
      </c>
      <c r="I56" s="89" t="str">
        <f>IF(ISBLANK(H56),"",IFERROR(INDEX('Tournament List'!$D:$D,MATCH(H56,'Tournament List'!$A:$A,0)),""))</f>
        <v/>
      </c>
      <c r="J56" s="100" t="str">
        <f>IF(E56="Skeet",IFERROR(INDEX('Shooter-Squad Assignment'!$A:$A,MATCH(C56&amp;"-"&amp;D56&amp;"-"&amp;E56&amp;"-Pos3",'Shooter-Squad Assignment'!#REF!,0)),""),IF(E56="Trap",IFERROR(INDEX('Shooter-Squad Assignment'!$A:$A,MATCH(C56&amp;"-"&amp;D56&amp;"-"&amp;E56&amp;"-Pos3",'Shooter-Squad Assignment'!$V:$V,0)),""),IF(E56="Sporting Clays",IFERROR(INDEX('Shooter-Squad Assignment'!$A:$A,MATCH(C56&amp;"-"&amp;D56&amp;"-"&amp;E56&amp;"-Pos3",'Shooter-Squad Assignment'!$Y:$Y,0)),""),"")))</f>
        <v/>
      </c>
      <c r="K56" s="89" t="str">
        <f>IF(ISBLANK(J56),"",IFERROR(INDEX('Tournament List'!$D:$D,MATCH(J56,'Tournament List'!$A:$A,0)),""))</f>
        <v/>
      </c>
      <c r="L56" s="100" t="str">
        <f>IF(E56="Skeet",IFERROR(INDEX('Shooter-Squad Assignment'!$A:$A,MATCH(C56&amp;"-"&amp;D56&amp;"-"&amp;E56&amp;"-Pos4",'Shooter-Squad Assignment'!#REF!,0)),""),IF(E56="Trap",IFERROR(INDEX('Shooter-Squad Assignment'!$A:$A,MATCH(C56&amp;"-"&amp;D56&amp;"-"&amp;E56&amp;"-Pos4",'Shooter-Squad Assignment'!$V:$V,0)),""),IF(E56="Sporting Clays",IFERROR(INDEX('Shooter-Squad Assignment'!$A:$A,MATCH(C56&amp;"-"&amp;D56&amp;"-"&amp;E56&amp;"-Pos4",'Shooter-Squad Assignment'!$Y:$Y,0)),""),"")))</f>
        <v/>
      </c>
      <c r="M56" s="89" t="str">
        <f>IF(ISBLANK(L56),"",IFERROR(INDEX('Tournament List'!$D:$D,MATCH(L56,'Tournament List'!$A:$A,0)),""))</f>
        <v/>
      </c>
      <c r="N56" s="100" t="str">
        <f>IF(E56="Skeet",IFERROR(INDEX('Shooter-Squad Assignment'!$A:$A,MATCH(C56&amp;"-"&amp;D56&amp;"-"&amp;E56&amp;"-Pos5",'Shooter-Squad Assignment'!#REF!,0)),""),IF(E56="Trap",IFERROR(INDEX('Shooter-Squad Assignment'!$A:$A,MATCH(C56&amp;"-"&amp;D56&amp;"-"&amp;E56&amp;"-Pos5",'Shooter-Squad Assignment'!$V:$V,0)),""),IF(E56="Sporting Clays",IFERROR(INDEX('Shooter-Squad Assignment'!$A:$A,MATCH(C56&amp;"-"&amp;D56&amp;"-"&amp;E56&amp;"-Pos5",'Shooter-Squad Assignment'!$Y:$Y,0)),""),"")))</f>
        <v/>
      </c>
      <c r="O56" s="90" t="str">
        <f>IF(ISBLANK(N56),"",IFERROR(INDEX('Tournament List'!$D:$D,MATCH(N56,'Tournament List'!$A:$A,0)),""))</f>
        <v/>
      </c>
    </row>
    <row r="57" spans="1:15" x14ac:dyDescent="0.3">
      <c r="A57" s="91">
        <v>65</v>
      </c>
      <c r="B57" s="92" t="str">
        <f t="shared" si="0"/>
        <v>Rocky Mountain Clay Busters-Collegiate 2-Skeet</v>
      </c>
      <c r="C57" s="92" t="s">
        <v>320</v>
      </c>
      <c r="D57" s="92" t="s">
        <v>350</v>
      </c>
      <c r="E57" s="92" t="s">
        <v>143</v>
      </c>
      <c r="F57" s="101" t="str">
        <f>IF(E57="Skeet",IFERROR(INDEX('Shooter-Squad Assignment'!$A:$A,MATCH(C57&amp;"-"&amp;D57&amp;"-"&amp;E57&amp;"-Pos1",'Shooter-Squad Assignment'!#REF!,0)),""),IF(E57="Trap",IFERROR(INDEX('Shooter-Squad Assignment'!$A:$A,MATCH(C57&amp;"-"&amp;D57&amp;"-"&amp;E57&amp;"-Pos1",'Shooter-Squad Assignment'!$V:$V,0)),""),IF(E57="Sporting Clays",IFERROR(INDEX('Shooter-Squad Assignment'!$A:$A,MATCH(C57&amp;"-"&amp;D57&amp;"-"&amp;E57&amp;"-Pos1",'Shooter-Squad Assignment'!$Y:$Y,0)),""),"")))</f>
        <v/>
      </c>
      <c r="G57" s="92" t="str">
        <f>IF(ISBLANK(F57),"",IFERROR(INDEX('Tournament List'!$D:$D,MATCH(F57,'Tournament List'!$A:$A,0)),""))</f>
        <v/>
      </c>
      <c r="H57" s="101" t="str">
        <f>IF(E57="Skeet",IFERROR(INDEX('Shooter-Squad Assignment'!$A:$A,MATCH(C57&amp;"-"&amp;D57&amp;"-"&amp;E57&amp;"-Pos2",'Shooter-Squad Assignment'!#REF!,0)),""),IF(E57="Trap",IFERROR(INDEX('Shooter-Squad Assignment'!$A:$A,MATCH(C57&amp;"-"&amp;D57&amp;"-"&amp;E57&amp;"-Pos2",'Shooter-Squad Assignment'!$V:$V,0)),""),IF(E57="Sporting Clays",IFERROR(INDEX('Shooter-Squad Assignment'!$A:$A,MATCH(C57&amp;"-"&amp;D57&amp;"-"&amp;E57&amp;"-Pos2",'Shooter-Squad Assignment'!$Y:$Y,0)),""),"")))</f>
        <v/>
      </c>
      <c r="I57" s="92" t="str">
        <f>IF(ISBLANK(H57),"",IFERROR(INDEX('Tournament List'!$D:$D,MATCH(H57,'Tournament List'!$A:$A,0)),""))</f>
        <v/>
      </c>
      <c r="J57" s="101" t="str">
        <f>IF(E57="Skeet",IFERROR(INDEX('Shooter-Squad Assignment'!$A:$A,MATCH(C57&amp;"-"&amp;D57&amp;"-"&amp;E57&amp;"-Pos3",'Shooter-Squad Assignment'!#REF!,0)),""),IF(E57="Trap",IFERROR(INDEX('Shooter-Squad Assignment'!$A:$A,MATCH(C57&amp;"-"&amp;D57&amp;"-"&amp;E57&amp;"-Pos3",'Shooter-Squad Assignment'!$V:$V,0)),""),IF(E57="Sporting Clays",IFERROR(INDEX('Shooter-Squad Assignment'!$A:$A,MATCH(C57&amp;"-"&amp;D57&amp;"-"&amp;E57&amp;"-Pos3",'Shooter-Squad Assignment'!$Y:$Y,0)),""),"")))</f>
        <v/>
      </c>
      <c r="K57" s="92" t="str">
        <f>IF(ISBLANK(J57),"",IFERROR(INDEX('Tournament List'!$D:$D,MATCH(J57,'Tournament List'!$A:$A,0)),""))</f>
        <v/>
      </c>
      <c r="L57" s="101" t="str">
        <f>IF(E57="Skeet",IFERROR(INDEX('Shooter-Squad Assignment'!$A:$A,MATCH(C57&amp;"-"&amp;D57&amp;"-"&amp;E57&amp;"-Pos4",'Shooter-Squad Assignment'!#REF!,0)),""),IF(E57="Trap",IFERROR(INDEX('Shooter-Squad Assignment'!$A:$A,MATCH(C57&amp;"-"&amp;D57&amp;"-"&amp;E57&amp;"-Pos4",'Shooter-Squad Assignment'!$V:$V,0)),""),IF(E57="Sporting Clays",IFERROR(INDEX('Shooter-Squad Assignment'!$A:$A,MATCH(C57&amp;"-"&amp;D57&amp;"-"&amp;E57&amp;"-Pos4",'Shooter-Squad Assignment'!$Y:$Y,0)),""),"")))</f>
        <v/>
      </c>
      <c r="M57" s="92" t="str">
        <f>IF(ISBLANK(L57),"",IFERROR(INDEX('Tournament List'!$D:$D,MATCH(L57,'Tournament List'!$A:$A,0)),""))</f>
        <v/>
      </c>
      <c r="N57" s="101" t="str">
        <f>IF(E57="Skeet",IFERROR(INDEX('Shooter-Squad Assignment'!$A:$A,MATCH(C57&amp;"-"&amp;D57&amp;"-"&amp;E57&amp;"-Pos5",'Shooter-Squad Assignment'!#REF!,0)),""),IF(E57="Trap",IFERROR(INDEX('Shooter-Squad Assignment'!$A:$A,MATCH(C57&amp;"-"&amp;D57&amp;"-"&amp;E57&amp;"-Pos5",'Shooter-Squad Assignment'!$V:$V,0)),""),IF(E57="Sporting Clays",IFERROR(INDEX('Shooter-Squad Assignment'!$A:$A,MATCH(C57&amp;"-"&amp;D57&amp;"-"&amp;E57&amp;"-Pos5",'Shooter-Squad Assignment'!$Y:$Y,0)),""),"")))</f>
        <v/>
      </c>
      <c r="O57" s="93" t="str">
        <f>IF(ISBLANK(N57),"",IFERROR(INDEX('Tournament List'!$D:$D,MATCH(N57,'Tournament List'!$A:$A,0)),""))</f>
        <v/>
      </c>
    </row>
    <row r="58" spans="1:15" x14ac:dyDescent="0.3">
      <c r="A58" s="91">
        <v>66</v>
      </c>
      <c r="B58" s="92" t="str">
        <f t="shared" si="0"/>
        <v>Rocky Mountain Clay Busters-Collegiate 3-Skeet</v>
      </c>
      <c r="C58" s="92" t="s">
        <v>320</v>
      </c>
      <c r="D58" s="92" t="s">
        <v>356</v>
      </c>
      <c r="E58" s="92" t="s">
        <v>143</v>
      </c>
      <c r="F58" s="101" t="str">
        <f>IF(E58="Skeet",IFERROR(INDEX('Shooter-Squad Assignment'!$A:$A,MATCH(C58&amp;"-"&amp;D58&amp;"-"&amp;E58&amp;"-Pos1",'Shooter-Squad Assignment'!#REF!,0)),""),IF(E58="Trap",IFERROR(INDEX('Shooter-Squad Assignment'!$A:$A,MATCH(C58&amp;"-"&amp;D58&amp;"-"&amp;E58&amp;"-Pos1",'Shooter-Squad Assignment'!$V:$V,0)),""),IF(E58="Sporting Clays",IFERROR(INDEX('Shooter-Squad Assignment'!$A:$A,MATCH(C58&amp;"-"&amp;D58&amp;"-"&amp;E58&amp;"-Pos1",'Shooter-Squad Assignment'!$Y:$Y,0)),""),"")))</f>
        <v/>
      </c>
      <c r="G58" s="92" t="str">
        <f>IF(ISBLANK(F58),"",IFERROR(INDEX('Tournament List'!$D:$D,MATCH(F58,'Tournament List'!$A:$A,0)),""))</f>
        <v/>
      </c>
      <c r="H58" s="101" t="str">
        <f>IF(E58="Skeet",IFERROR(INDEX('Shooter-Squad Assignment'!$A:$A,MATCH(C58&amp;"-"&amp;D58&amp;"-"&amp;E58&amp;"-Pos2",'Shooter-Squad Assignment'!#REF!,0)),""),IF(E58="Trap",IFERROR(INDEX('Shooter-Squad Assignment'!$A:$A,MATCH(C58&amp;"-"&amp;D58&amp;"-"&amp;E58&amp;"-Pos2",'Shooter-Squad Assignment'!$V:$V,0)),""),IF(E58="Sporting Clays",IFERROR(INDEX('Shooter-Squad Assignment'!$A:$A,MATCH(C58&amp;"-"&amp;D58&amp;"-"&amp;E58&amp;"-Pos2",'Shooter-Squad Assignment'!$Y:$Y,0)),""),"")))</f>
        <v/>
      </c>
      <c r="I58" s="92" t="str">
        <f>IF(ISBLANK(H58),"",IFERROR(INDEX('Tournament List'!$D:$D,MATCH(H58,'Tournament List'!$A:$A,0)),""))</f>
        <v/>
      </c>
      <c r="J58" s="101" t="str">
        <f>IF(E58="Skeet",IFERROR(INDEX('Shooter-Squad Assignment'!$A:$A,MATCH(C58&amp;"-"&amp;D58&amp;"-"&amp;E58&amp;"-Pos3",'Shooter-Squad Assignment'!#REF!,0)),""),IF(E58="Trap",IFERROR(INDEX('Shooter-Squad Assignment'!$A:$A,MATCH(C58&amp;"-"&amp;D58&amp;"-"&amp;E58&amp;"-Pos3",'Shooter-Squad Assignment'!$V:$V,0)),""),IF(E58="Sporting Clays",IFERROR(INDEX('Shooter-Squad Assignment'!$A:$A,MATCH(C58&amp;"-"&amp;D58&amp;"-"&amp;E58&amp;"-Pos3",'Shooter-Squad Assignment'!$Y:$Y,0)),""),"")))</f>
        <v/>
      </c>
      <c r="K58" s="92" t="str">
        <f>IF(ISBLANK(J58),"",IFERROR(INDEX('Tournament List'!$D:$D,MATCH(J58,'Tournament List'!$A:$A,0)),""))</f>
        <v/>
      </c>
      <c r="L58" s="101" t="str">
        <f>IF(E58="Skeet",IFERROR(INDEX('Shooter-Squad Assignment'!$A:$A,MATCH(C58&amp;"-"&amp;D58&amp;"-"&amp;E58&amp;"-Pos4",'Shooter-Squad Assignment'!#REF!,0)),""),IF(E58="Trap",IFERROR(INDEX('Shooter-Squad Assignment'!$A:$A,MATCH(C58&amp;"-"&amp;D58&amp;"-"&amp;E58&amp;"-Pos4",'Shooter-Squad Assignment'!$V:$V,0)),""),IF(E58="Sporting Clays",IFERROR(INDEX('Shooter-Squad Assignment'!$A:$A,MATCH(C58&amp;"-"&amp;D58&amp;"-"&amp;E58&amp;"-Pos4",'Shooter-Squad Assignment'!$Y:$Y,0)),""),"")))</f>
        <v/>
      </c>
      <c r="M58" s="92" t="str">
        <f>IF(ISBLANK(L58),"",IFERROR(INDEX('Tournament List'!$D:$D,MATCH(L58,'Tournament List'!$A:$A,0)),""))</f>
        <v/>
      </c>
      <c r="N58" s="101" t="str">
        <f>IF(E58="Skeet",IFERROR(INDEX('Shooter-Squad Assignment'!$A:$A,MATCH(C58&amp;"-"&amp;D58&amp;"-"&amp;E58&amp;"-Pos5",'Shooter-Squad Assignment'!#REF!,0)),""),IF(E58="Trap",IFERROR(INDEX('Shooter-Squad Assignment'!$A:$A,MATCH(C58&amp;"-"&amp;D58&amp;"-"&amp;E58&amp;"-Pos5",'Shooter-Squad Assignment'!$V:$V,0)),""),IF(E58="Sporting Clays",IFERROR(INDEX('Shooter-Squad Assignment'!$A:$A,MATCH(C58&amp;"-"&amp;D58&amp;"-"&amp;E58&amp;"-Pos5",'Shooter-Squad Assignment'!$Y:$Y,0)),""),"")))</f>
        <v/>
      </c>
      <c r="O58" s="93" t="str">
        <f>IF(ISBLANK(N58),"",IFERROR(INDEX('Tournament List'!$D:$D,MATCH(N58,'Tournament List'!$A:$A,0)),""))</f>
        <v/>
      </c>
    </row>
    <row r="59" spans="1:15" x14ac:dyDescent="0.3">
      <c r="A59" s="91">
        <v>67</v>
      </c>
      <c r="B59" s="92" t="str">
        <f t="shared" si="0"/>
        <v>Rocky Mountain Clay Busters-Intermediate 1-Skeet</v>
      </c>
      <c r="C59" s="92" t="s">
        <v>320</v>
      </c>
      <c r="D59" s="92" t="s">
        <v>340</v>
      </c>
      <c r="E59" s="92" t="s">
        <v>143</v>
      </c>
      <c r="F59" s="101" t="str">
        <f>IF(E59="Skeet",IFERROR(INDEX('Shooter-Squad Assignment'!$A:$A,MATCH(C59&amp;"-"&amp;D59&amp;"-"&amp;E59&amp;"-Pos1",'Shooter-Squad Assignment'!#REF!,0)),""),IF(E59="Trap",IFERROR(INDEX('Shooter-Squad Assignment'!$A:$A,MATCH(C59&amp;"-"&amp;D59&amp;"-"&amp;E59&amp;"-Pos1",'Shooter-Squad Assignment'!$V:$V,0)),""),IF(E59="Sporting Clays",IFERROR(INDEX('Shooter-Squad Assignment'!$A:$A,MATCH(C59&amp;"-"&amp;D59&amp;"-"&amp;E59&amp;"-Pos1",'Shooter-Squad Assignment'!$Y:$Y,0)),""),"")))</f>
        <v/>
      </c>
      <c r="G59" s="92" t="str">
        <f>IF(ISBLANK(F59),"",IFERROR(INDEX('Tournament List'!$D:$D,MATCH(F59,'Tournament List'!$A:$A,0)),""))</f>
        <v/>
      </c>
      <c r="H59" s="101" t="str">
        <f>IF(E59="Skeet",IFERROR(INDEX('Shooter-Squad Assignment'!$A:$A,MATCH(C59&amp;"-"&amp;D59&amp;"-"&amp;E59&amp;"-Pos2",'Shooter-Squad Assignment'!#REF!,0)),""),IF(E59="Trap",IFERROR(INDEX('Shooter-Squad Assignment'!$A:$A,MATCH(C59&amp;"-"&amp;D59&amp;"-"&amp;E59&amp;"-Pos2",'Shooter-Squad Assignment'!$V:$V,0)),""),IF(E59="Sporting Clays",IFERROR(INDEX('Shooter-Squad Assignment'!$A:$A,MATCH(C59&amp;"-"&amp;D59&amp;"-"&amp;E59&amp;"-Pos2",'Shooter-Squad Assignment'!$Y:$Y,0)),""),"")))</f>
        <v/>
      </c>
      <c r="I59" s="92" t="str">
        <f>IF(ISBLANK(H59),"",IFERROR(INDEX('Tournament List'!$D:$D,MATCH(H59,'Tournament List'!$A:$A,0)),""))</f>
        <v/>
      </c>
      <c r="J59" s="101" t="str">
        <f>IF(E59="Skeet",IFERROR(INDEX('Shooter-Squad Assignment'!$A:$A,MATCH(C59&amp;"-"&amp;D59&amp;"-"&amp;E59&amp;"-Pos3",'Shooter-Squad Assignment'!#REF!,0)),""),IF(E59="Trap",IFERROR(INDEX('Shooter-Squad Assignment'!$A:$A,MATCH(C59&amp;"-"&amp;D59&amp;"-"&amp;E59&amp;"-Pos3",'Shooter-Squad Assignment'!$V:$V,0)),""),IF(E59="Sporting Clays",IFERROR(INDEX('Shooter-Squad Assignment'!$A:$A,MATCH(C59&amp;"-"&amp;D59&amp;"-"&amp;E59&amp;"-Pos3",'Shooter-Squad Assignment'!$Y:$Y,0)),""),"")))</f>
        <v/>
      </c>
      <c r="K59" s="92" t="str">
        <f>IF(ISBLANK(J59),"",IFERROR(INDEX('Tournament List'!$D:$D,MATCH(J59,'Tournament List'!$A:$A,0)),""))</f>
        <v/>
      </c>
      <c r="L59" s="101" t="str">
        <f>IF(E59="Skeet",IFERROR(INDEX('Shooter-Squad Assignment'!$A:$A,MATCH(C59&amp;"-"&amp;D59&amp;"-"&amp;E59&amp;"-Pos4",'Shooter-Squad Assignment'!#REF!,0)),""),IF(E59="Trap",IFERROR(INDEX('Shooter-Squad Assignment'!$A:$A,MATCH(C59&amp;"-"&amp;D59&amp;"-"&amp;E59&amp;"-Pos4",'Shooter-Squad Assignment'!$V:$V,0)),""),IF(E59="Sporting Clays",IFERROR(INDEX('Shooter-Squad Assignment'!$A:$A,MATCH(C59&amp;"-"&amp;D59&amp;"-"&amp;E59&amp;"-Pos4",'Shooter-Squad Assignment'!$Y:$Y,0)),""),"")))</f>
        <v/>
      </c>
      <c r="M59" s="92" t="str">
        <f>IF(ISBLANK(L59),"",IFERROR(INDEX('Tournament List'!$D:$D,MATCH(L59,'Tournament List'!$A:$A,0)),""))</f>
        <v/>
      </c>
      <c r="N59" s="101" t="str">
        <f>IF(E59="Skeet",IFERROR(INDEX('Shooter-Squad Assignment'!$A:$A,MATCH(C59&amp;"-"&amp;D59&amp;"-"&amp;E59&amp;"-Pos5",'Shooter-Squad Assignment'!#REF!,0)),""),IF(E59="Trap",IFERROR(INDEX('Shooter-Squad Assignment'!$A:$A,MATCH(C59&amp;"-"&amp;D59&amp;"-"&amp;E59&amp;"-Pos5",'Shooter-Squad Assignment'!$V:$V,0)),""),IF(E59="Sporting Clays",IFERROR(INDEX('Shooter-Squad Assignment'!$A:$A,MATCH(C59&amp;"-"&amp;D59&amp;"-"&amp;E59&amp;"-Pos5",'Shooter-Squad Assignment'!$Y:$Y,0)),""),"")))</f>
        <v/>
      </c>
      <c r="O59" s="93" t="str">
        <f>IF(ISBLANK(N59),"",IFERROR(INDEX('Tournament List'!$D:$D,MATCH(N59,'Tournament List'!$A:$A,0)),""))</f>
        <v/>
      </c>
    </row>
    <row r="60" spans="1:15" x14ac:dyDescent="0.3">
      <c r="A60" s="91">
        <v>68</v>
      </c>
      <c r="B60" s="92" t="str">
        <f t="shared" si="0"/>
        <v>Rocky Mountain Clay Busters-Intermediate 2-Skeet</v>
      </c>
      <c r="C60" s="92" t="s">
        <v>320</v>
      </c>
      <c r="D60" s="92" t="s">
        <v>346</v>
      </c>
      <c r="E60" s="92" t="s">
        <v>143</v>
      </c>
      <c r="F60" s="101" t="str">
        <f>IF(E60="Skeet",IFERROR(INDEX('Shooter-Squad Assignment'!$A:$A,MATCH(C60&amp;"-"&amp;D60&amp;"-"&amp;E60&amp;"-Pos1",'Shooter-Squad Assignment'!#REF!,0)),""),IF(E60="Trap",IFERROR(INDEX('Shooter-Squad Assignment'!$A:$A,MATCH(C60&amp;"-"&amp;D60&amp;"-"&amp;E60&amp;"-Pos1",'Shooter-Squad Assignment'!$V:$V,0)),""),IF(E60="Sporting Clays",IFERROR(INDEX('Shooter-Squad Assignment'!$A:$A,MATCH(C60&amp;"-"&amp;D60&amp;"-"&amp;E60&amp;"-Pos1",'Shooter-Squad Assignment'!$Y:$Y,0)),""),"")))</f>
        <v/>
      </c>
      <c r="G60" s="92" t="str">
        <f>IF(ISBLANK(F60),"",IFERROR(INDEX('Tournament List'!$D:$D,MATCH(F60,'Tournament List'!$A:$A,0)),""))</f>
        <v/>
      </c>
      <c r="H60" s="101" t="str">
        <f>IF(E60="Skeet",IFERROR(INDEX('Shooter-Squad Assignment'!$A:$A,MATCH(C60&amp;"-"&amp;D60&amp;"-"&amp;E60&amp;"-Pos2",'Shooter-Squad Assignment'!#REF!,0)),""),IF(E60="Trap",IFERROR(INDEX('Shooter-Squad Assignment'!$A:$A,MATCH(C60&amp;"-"&amp;D60&amp;"-"&amp;E60&amp;"-Pos2",'Shooter-Squad Assignment'!$V:$V,0)),""),IF(E60="Sporting Clays",IFERROR(INDEX('Shooter-Squad Assignment'!$A:$A,MATCH(C60&amp;"-"&amp;D60&amp;"-"&amp;E60&amp;"-Pos2",'Shooter-Squad Assignment'!$Y:$Y,0)),""),"")))</f>
        <v/>
      </c>
      <c r="I60" s="92" t="str">
        <f>IF(ISBLANK(H60),"",IFERROR(INDEX('Tournament List'!$D:$D,MATCH(H60,'Tournament List'!$A:$A,0)),""))</f>
        <v/>
      </c>
      <c r="J60" s="101" t="str">
        <f>IF(E60="Skeet",IFERROR(INDEX('Shooter-Squad Assignment'!$A:$A,MATCH(C60&amp;"-"&amp;D60&amp;"-"&amp;E60&amp;"-Pos3",'Shooter-Squad Assignment'!#REF!,0)),""),IF(E60="Trap",IFERROR(INDEX('Shooter-Squad Assignment'!$A:$A,MATCH(C60&amp;"-"&amp;D60&amp;"-"&amp;E60&amp;"-Pos3",'Shooter-Squad Assignment'!$V:$V,0)),""),IF(E60="Sporting Clays",IFERROR(INDEX('Shooter-Squad Assignment'!$A:$A,MATCH(C60&amp;"-"&amp;D60&amp;"-"&amp;E60&amp;"-Pos3",'Shooter-Squad Assignment'!$Y:$Y,0)),""),"")))</f>
        <v/>
      </c>
      <c r="K60" s="92" t="str">
        <f>IF(ISBLANK(J60),"",IFERROR(INDEX('Tournament List'!$D:$D,MATCH(J60,'Tournament List'!$A:$A,0)),""))</f>
        <v/>
      </c>
      <c r="L60" s="101" t="str">
        <f>IF(E60="Skeet",IFERROR(INDEX('Shooter-Squad Assignment'!$A:$A,MATCH(C60&amp;"-"&amp;D60&amp;"-"&amp;E60&amp;"-Pos4",'Shooter-Squad Assignment'!#REF!,0)),""),IF(E60="Trap",IFERROR(INDEX('Shooter-Squad Assignment'!$A:$A,MATCH(C60&amp;"-"&amp;D60&amp;"-"&amp;E60&amp;"-Pos4",'Shooter-Squad Assignment'!$V:$V,0)),""),IF(E60="Sporting Clays",IFERROR(INDEX('Shooter-Squad Assignment'!$A:$A,MATCH(C60&amp;"-"&amp;D60&amp;"-"&amp;E60&amp;"-Pos4",'Shooter-Squad Assignment'!$Y:$Y,0)),""),"")))</f>
        <v/>
      </c>
      <c r="M60" s="92" t="str">
        <f>IF(ISBLANK(L60),"",IFERROR(INDEX('Tournament List'!$D:$D,MATCH(L60,'Tournament List'!$A:$A,0)),""))</f>
        <v/>
      </c>
      <c r="N60" s="101" t="str">
        <f>IF(E60="Skeet",IFERROR(INDEX('Shooter-Squad Assignment'!$A:$A,MATCH(C60&amp;"-"&amp;D60&amp;"-"&amp;E60&amp;"-Pos5",'Shooter-Squad Assignment'!#REF!,0)),""),IF(E60="Trap",IFERROR(INDEX('Shooter-Squad Assignment'!$A:$A,MATCH(C60&amp;"-"&amp;D60&amp;"-"&amp;E60&amp;"-Pos5",'Shooter-Squad Assignment'!$V:$V,0)),""),IF(E60="Sporting Clays",IFERROR(INDEX('Shooter-Squad Assignment'!$A:$A,MATCH(C60&amp;"-"&amp;D60&amp;"-"&amp;E60&amp;"-Pos5",'Shooter-Squad Assignment'!$Y:$Y,0)),""),"")))</f>
        <v/>
      </c>
      <c r="O60" s="93" t="str">
        <f>IF(ISBLANK(N60),"",IFERROR(INDEX('Tournament List'!$D:$D,MATCH(N60,'Tournament List'!$A:$A,0)),""))</f>
        <v/>
      </c>
    </row>
    <row r="61" spans="1:15" x14ac:dyDescent="0.3">
      <c r="A61" s="91">
        <v>69</v>
      </c>
      <c r="B61" s="92" t="str">
        <f t="shared" si="0"/>
        <v>Rocky Mountain Clay Busters-Intermediate 3-Skeet</v>
      </c>
      <c r="C61" s="92" t="s">
        <v>320</v>
      </c>
      <c r="D61" s="92" t="s">
        <v>352</v>
      </c>
      <c r="E61" s="92" t="s">
        <v>143</v>
      </c>
      <c r="F61" s="101" t="str">
        <f>IF(E61="Skeet",IFERROR(INDEX('Shooter-Squad Assignment'!$A:$A,MATCH(C61&amp;"-"&amp;D61&amp;"-"&amp;E61&amp;"-Pos1",'Shooter-Squad Assignment'!#REF!,0)),""),IF(E61="Trap",IFERROR(INDEX('Shooter-Squad Assignment'!$A:$A,MATCH(C61&amp;"-"&amp;D61&amp;"-"&amp;E61&amp;"-Pos1",'Shooter-Squad Assignment'!$V:$V,0)),""),IF(E61="Sporting Clays",IFERROR(INDEX('Shooter-Squad Assignment'!$A:$A,MATCH(C61&amp;"-"&amp;D61&amp;"-"&amp;E61&amp;"-Pos1",'Shooter-Squad Assignment'!$Y:$Y,0)),""),"")))</f>
        <v/>
      </c>
      <c r="G61" s="92" t="str">
        <f>IF(ISBLANK(F61),"",IFERROR(INDEX('Tournament List'!$D:$D,MATCH(F61,'Tournament List'!$A:$A,0)),""))</f>
        <v/>
      </c>
      <c r="H61" s="101" t="str">
        <f>IF(E61="Skeet",IFERROR(INDEX('Shooter-Squad Assignment'!$A:$A,MATCH(C61&amp;"-"&amp;D61&amp;"-"&amp;E61&amp;"-Pos2",'Shooter-Squad Assignment'!#REF!,0)),""),IF(E61="Trap",IFERROR(INDEX('Shooter-Squad Assignment'!$A:$A,MATCH(C61&amp;"-"&amp;D61&amp;"-"&amp;E61&amp;"-Pos2",'Shooter-Squad Assignment'!$V:$V,0)),""),IF(E61="Sporting Clays",IFERROR(INDEX('Shooter-Squad Assignment'!$A:$A,MATCH(C61&amp;"-"&amp;D61&amp;"-"&amp;E61&amp;"-Pos2",'Shooter-Squad Assignment'!$Y:$Y,0)),""),"")))</f>
        <v/>
      </c>
      <c r="I61" s="92" t="str">
        <f>IF(ISBLANK(H61),"",IFERROR(INDEX('Tournament List'!$D:$D,MATCH(H61,'Tournament List'!$A:$A,0)),""))</f>
        <v/>
      </c>
      <c r="J61" s="101" t="str">
        <f>IF(E61="Skeet",IFERROR(INDEX('Shooter-Squad Assignment'!$A:$A,MATCH(C61&amp;"-"&amp;D61&amp;"-"&amp;E61&amp;"-Pos3",'Shooter-Squad Assignment'!#REF!,0)),""),IF(E61="Trap",IFERROR(INDEX('Shooter-Squad Assignment'!$A:$A,MATCH(C61&amp;"-"&amp;D61&amp;"-"&amp;E61&amp;"-Pos3",'Shooter-Squad Assignment'!$V:$V,0)),""),IF(E61="Sporting Clays",IFERROR(INDEX('Shooter-Squad Assignment'!$A:$A,MATCH(C61&amp;"-"&amp;D61&amp;"-"&amp;E61&amp;"-Pos3",'Shooter-Squad Assignment'!$Y:$Y,0)),""),"")))</f>
        <v/>
      </c>
      <c r="K61" s="92" t="str">
        <f>IF(ISBLANK(J61),"",IFERROR(INDEX('Tournament List'!$D:$D,MATCH(J61,'Tournament List'!$A:$A,0)),""))</f>
        <v/>
      </c>
      <c r="L61" s="101" t="str">
        <f>IF(E61="Skeet",IFERROR(INDEX('Shooter-Squad Assignment'!$A:$A,MATCH(C61&amp;"-"&amp;D61&amp;"-"&amp;E61&amp;"-Pos4",'Shooter-Squad Assignment'!#REF!,0)),""),IF(E61="Trap",IFERROR(INDEX('Shooter-Squad Assignment'!$A:$A,MATCH(C61&amp;"-"&amp;D61&amp;"-"&amp;E61&amp;"-Pos4",'Shooter-Squad Assignment'!$V:$V,0)),""),IF(E61="Sporting Clays",IFERROR(INDEX('Shooter-Squad Assignment'!$A:$A,MATCH(C61&amp;"-"&amp;D61&amp;"-"&amp;E61&amp;"-Pos4",'Shooter-Squad Assignment'!$Y:$Y,0)),""),"")))</f>
        <v/>
      </c>
      <c r="M61" s="92" t="str">
        <f>IF(ISBLANK(L61),"",IFERROR(INDEX('Tournament List'!$D:$D,MATCH(L61,'Tournament List'!$A:$A,0)),""))</f>
        <v/>
      </c>
      <c r="N61" s="101" t="str">
        <f>IF(E61="Skeet",IFERROR(INDEX('Shooter-Squad Assignment'!$A:$A,MATCH(C61&amp;"-"&amp;D61&amp;"-"&amp;E61&amp;"-Pos5",'Shooter-Squad Assignment'!#REF!,0)),""),IF(E61="Trap",IFERROR(INDEX('Shooter-Squad Assignment'!$A:$A,MATCH(C61&amp;"-"&amp;D61&amp;"-"&amp;E61&amp;"-Pos5",'Shooter-Squad Assignment'!$V:$V,0)),""),IF(E61="Sporting Clays",IFERROR(INDEX('Shooter-Squad Assignment'!$A:$A,MATCH(C61&amp;"-"&amp;D61&amp;"-"&amp;E61&amp;"-Pos5",'Shooter-Squad Assignment'!$Y:$Y,0)),""),"")))</f>
        <v/>
      </c>
      <c r="O61" s="93" t="str">
        <f>IF(ISBLANK(N61),"",IFERROR(INDEX('Tournament List'!$D:$D,MATCH(N61,'Tournament List'!$A:$A,0)),""))</f>
        <v/>
      </c>
    </row>
    <row r="62" spans="1:15" x14ac:dyDescent="0.3">
      <c r="A62" s="91">
        <v>70</v>
      </c>
      <c r="B62" s="92" t="str">
        <f t="shared" si="0"/>
        <v>Rocky Mountain Clay Busters-Junior Varsity 1-Skeet</v>
      </c>
      <c r="C62" s="92" t="s">
        <v>320</v>
      </c>
      <c r="D62" s="92" t="s">
        <v>341</v>
      </c>
      <c r="E62" s="92" t="s">
        <v>143</v>
      </c>
      <c r="F62" s="101" t="str">
        <f>IF(E62="Skeet",IFERROR(INDEX('Shooter-Squad Assignment'!$A:$A,MATCH(C62&amp;"-"&amp;D62&amp;"-"&amp;E62&amp;"-Pos1",'Shooter-Squad Assignment'!#REF!,0)),""),IF(E62="Trap",IFERROR(INDEX('Shooter-Squad Assignment'!$A:$A,MATCH(C62&amp;"-"&amp;D62&amp;"-"&amp;E62&amp;"-Pos1",'Shooter-Squad Assignment'!$V:$V,0)),""),IF(E62="Sporting Clays",IFERROR(INDEX('Shooter-Squad Assignment'!$A:$A,MATCH(C62&amp;"-"&amp;D62&amp;"-"&amp;E62&amp;"-Pos1",'Shooter-Squad Assignment'!$Y:$Y,0)),""),"")))</f>
        <v/>
      </c>
      <c r="G62" s="92" t="str">
        <f>IF(ISBLANK(F62),"",IFERROR(INDEX('Tournament List'!$D:$D,MATCH(F62,'Tournament List'!$A:$A,0)),""))</f>
        <v/>
      </c>
      <c r="H62" s="101" t="str">
        <f>IF(E62="Skeet",IFERROR(INDEX('Shooter-Squad Assignment'!$A:$A,MATCH(C62&amp;"-"&amp;D62&amp;"-"&amp;E62&amp;"-Pos2",'Shooter-Squad Assignment'!#REF!,0)),""),IF(E62="Trap",IFERROR(INDEX('Shooter-Squad Assignment'!$A:$A,MATCH(C62&amp;"-"&amp;D62&amp;"-"&amp;E62&amp;"-Pos2",'Shooter-Squad Assignment'!$V:$V,0)),""),IF(E62="Sporting Clays",IFERROR(INDEX('Shooter-Squad Assignment'!$A:$A,MATCH(C62&amp;"-"&amp;D62&amp;"-"&amp;E62&amp;"-Pos2",'Shooter-Squad Assignment'!$Y:$Y,0)),""),"")))</f>
        <v/>
      </c>
      <c r="I62" s="92" t="str">
        <f>IF(ISBLANK(H62),"",IFERROR(INDEX('Tournament List'!$D:$D,MATCH(H62,'Tournament List'!$A:$A,0)),""))</f>
        <v/>
      </c>
      <c r="J62" s="101" t="str">
        <f>IF(E62="Skeet",IFERROR(INDEX('Shooter-Squad Assignment'!$A:$A,MATCH(C62&amp;"-"&amp;D62&amp;"-"&amp;E62&amp;"-Pos3",'Shooter-Squad Assignment'!#REF!,0)),""),IF(E62="Trap",IFERROR(INDEX('Shooter-Squad Assignment'!$A:$A,MATCH(C62&amp;"-"&amp;D62&amp;"-"&amp;E62&amp;"-Pos3",'Shooter-Squad Assignment'!$V:$V,0)),""),IF(E62="Sporting Clays",IFERROR(INDEX('Shooter-Squad Assignment'!$A:$A,MATCH(C62&amp;"-"&amp;D62&amp;"-"&amp;E62&amp;"-Pos3",'Shooter-Squad Assignment'!$Y:$Y,0)),""),"")))</f>
        <v/>
      </c>
      <c r="K62" s="92" t="str">
        <f>IF(ISBLANK(J62),"",IFERROR(INDEX('Tournament List'!$D:$D,MATCH(J62,'Tournament List'!$A:$A,0)),""))</f>
        <v/>
      </c>
      <c r="L62" s="101" t="str">
        <f>IF(E62="Skeet",IFERROR(INDEX('Shooter-Squad Assignment'!$A:$A,MATCH(C62&amp;"-"&amp;D62&amp;"-"&amp;E62&amp;"-Pos4",'Shooter-Squad Assignment'!#REF!,0)),""),IF(E62="Trap",IFERROR(INDEX('Shooter-Squad Assignment'!$A:$A,MATCH(C62&amp;"-"&amp;D62&amp;"-"&amp;E62&amp;"-Pos4",'Shooter-Squad Assignment'!$V:$V,0)),""),IF(E62="Sporting Clays",IFERROR(INDEX('Shooter-Squad Assignment'!$A:$A,MATCH(C62&amp;"-"&amp;D62&amp;"-"&amp;E62&amp;"-Pos4",'Shooter-Squad Assignment'!$Y:$Y,0)),""),"")))</f>
        <v/>
      </c>
      <c r="M62" s="92" t="str">
        <f>IF(ISBLANK(L62),"",IFERROR(INDEX('Tournament List'!$D:$D,MATCH(L62,'Tournament List'!$A:$A,0)),""))</f>
        <v/>
      </c>
      <c r="N62" s="101" t="str">
        <f>IF(E62="Skeet",IFERROR(INDEX('Shooter-Squad Assignment'!$A:$A,MATCH(C62&amp;"-"&amp;D62&amp;"-"&amp;E62&amp;"-Pos5",'Shooter-Squad Assignment'!#REF!,0)),""),IF(E62="Trap",IFERROR(INDEX('Shooter-Squad Assignment'!$A:$A,MATCH(C62&amp;"-"&amp;D62&amp;"-"&amp;E62&amp;"-Pos5",'Shooter-Squad Assignment'!$V:$V,0)),""),IF(E62="Sporting Clays",IFERROR(INDEX('Shooter-Squad Assignment'!$A:$A,MATCH(C62&amp;"-"&amp;D62&amp;"-"&amp;E62&amp;"-Pos5",'Shooter-Squad Assignment'!$Y:$Y,0)),""),"")))</f>
        <v/>
      </c>
      <c r="O62" s="93" t="str">
        <f>IF(ISBLANK(N62),"",IFERROR(INDEX('Tournament List'!$D:$D,MATCH(N62,'Tournament List'!$A:$A,0)),""))</f>
        <v/>
      </c>
    </row>
    <row r="63" spans="1:15" x14ac:dyDescent="0.3">
      <c r="A63" s="91">
        <v>71</v>
      </c>
      <c r="B63" s="92" t="str">
        <f t="shared" si="0"/>
        <v>Rocky Mountain Clay Busters-Junior Varsity 2-Skeet</v>
      </c>
      <c r="C63" s="92" t="s">
        <v>320</v>
      </c>
      <c r="D63" s="92" t="s">
        <v>347</v>
      </c>
      <c r="E63" s="92" t="s">
        <v>143</v>
      </c>
      <c r="F63" s="101" t="str">
        <f>IF(E63="Skeet",IFERROR(INDEX('Shooter-Squad Assignment'!$A:$A,MATCH(C63&amp;"-"&amp;D63&amp;"-"&amp;E63&amp;"-Pos1",'Shooter-Squad Assignment'!#REF!,0)),""),IF(E63="Trap",IFERROR(INDEX('Shooter-Squad Assignment'!$A:$A,MATCH(C63&amp;"-"&amp;D63&amp;"-"&amp;E63&amp;"-Pos1",'Shooter-Squad Assignment'!$V:$V,0)),""),IF(E63="Sporting Clays",IFERROR(INDEX('Shooter-Squad Assignment'!$A:$A,MATCH(C63&amp;"-"&amp;D63&amp;"-"&amp;E63&amp;"-Pos1",'Shooter-Squad Assignment'!$Y:$Y,0)),""),"")))</f>
        <v/>
      </c>
      <c r="G63" s="92" t="str">
        <f>IF(ISBLANK(F63),"",IFERROR(INDEX('Tournament List'!$D:$D,MATCH(F63,'Tournament List'!$A:$A,0)),""))</f>
        <v/>
      </c>
      <c r="H63" s="101" t="str">
        <f>IF(E63="Skeet",IFERROR(INDEX('Shooter-Squad Assignment'!$A:$A,MATCH(C63&amp;"-"&amp;D63&amp;"-"&amp;E63&amp;"-Pos2",'Shooter-Squad Assignment'!#REF!,0)),""),IF(E63="Trap",IFERROR(INDEX('Shooter-Squad Assignment'!$A:$A,MATCH(C63&amp;"-"&amp;D63&amp;"-"&amp;E63&amp;"-Pos2",'Shooter-Squad Assignment'!$V:$V,0)),""),IF(E63="Sporting Clays",IFERROR(INDEX('Shooter-Squad Assignment'!$A:$A,MATCH(C63&amp;"-"&amp;D63&amp;"-"&amp;E63&amp;"-Pos2",'Shooter-Squad Assignment'!$Y:$Y,0)),""),"")))</f>
        <v/>
      </c>
      <c r="I63" s="92" t="str">
        <f>IF(ISBLANK(H63),"",IFERROR(INDEX('Tournament List'!$D:$D,MATCH(H63,'Tournament List'!$A:$A,0)),""))</f>
        <v/>
      </c>
      <c r="J63" s="101" t="str">
        <f>IF(E63="Skeet",IFERROR(INDEX('Shooter-Squad Assignment'!$A:$A,MATCH(C63&amp;"-"&amp;D63&amp;"-"&amp;E63&amp;"-Pos3",'Shooter-Squad Assignment'!#REF!,0)),""),IF(E63="Trap",IFERROR(INDEX('Shooter-Squad Assignment'!$A:$A,MATCH(C63&amp;"-"&amp;D63&amp;"-"&amp;E63&amp;"-Pos3",'Shooter-Squad Assignment'!$V:$V,0)),""),IF(E63="Sporting Clays",IFERROR(INDEX('Shooter-Squad Assignment'!$A:$A,MATCH(C63&amp;"-"&amp;D63&amp;"-"&amp;E63&amp;"-Pos3",'Shooter-Squad Assignment'!$Y:$Y,0)),""),"")))</f>
        <v/>
      </c>
      <c r="K63" s="92" t="str">
        <f>IF(ISBLANK(J63),"",IFERROR(INDEX('Tournament List'!$D:$D,MATCH(J63,'Tournament List'!$A:$A,0)),""))</f>
        <v/>
      </c>
      <c r="L63" s="101" t="str">
        <f>IF(E63="Skeet",IFERROR(INDEX('Shooter-Squad Assignment'!$A:$A,MATCH(C63&amp;"-"&amp;D63&amp;"-"&amp;E63&amp;"-Pos4",'Shooter-Squad Assignment'!#REF!,0)),""),IF(E63="Trap",IFERROR(INDEX('Shooter-Squad Assignment'!$A:$A,MATCH(C63&amp;"-"&amp;D63&amp;"-"&amp;E63&amp;"-Pos4",'Shooter-Squad Assignment'!$V:$V,0)),""),IF(E63="Sporting Clays",IFERROR(INDEX('Shooter-Squad Assignment'!$A:$A,MATCH(C63&amp;"-"&amp;D63&amp;"-"&amp;E63&amp;"-Pos4",'Shooter-Squad Assignment'!$Y:$Y,0)),""),"")))</f>
        <v/>
      </c>
      <c r="M63" s="92" t="str">
        <f>IF(ISBLANK(L63),"",IFERROR(INDEX('Tournament List'!$D:$D,MATCH(L63,'Tournament List'!$A:$A,0)),""))</f>
        <v/>
      </c>
      <c r="N63" s="101" t="str">
        <f>IF(E63="Skeet",IFERROR(INDEX('Shooter-Squad Assignment'!$A:$A,MATCH(C63&amp;"-"&amp;D63&amp;"-"&amp;E63&amp;"-Pos5",'Shooter-Squad Assignment'!#REF!,0)),""),IF(E63="Trap",IFERROR(INDEX('Shooter-Squad Assignment'!$A:$A,MATCH(C63&amp;"-"&amp;D63&amp;"-"&amp;E63&amp;"-Pos5",'Shooter-Squad Assignment'!$V:$V,0)),""),IF(E63="Sporting Clays",IFERROR(INDEX('Shooter-Squad Assignment'!$A:$A,MATCH(C63&amp;"-"&amp;D63&amp;"-"&amp;E63&amp;"-Pos5",'Shooter-Squad Assignment'!$Y:$Y,0)),""),"")))</f>
        <v/>
      </c>
      <c r="O63" s="93" t="str">
        <f>IF(ISBLANK(N63),"",IFERROR(INDEX('Tournament List'!$D:$D,MATCH(N63,'Tournament List'!$A:$A,0)),""))</f>
        <v/>
      </c>
    </row>
    <row r="64" spans="1:15" x14ac:dyDescent="0.3">
      <c r="A64" s="91">
        <v>72</v>
      </c>
      <c r="B64" s="92" t="str">
        <f t="shared" si="0"/>
        <v>Rocky Mountain Clay Busters-Junior Varsity 3-Skeet</v>
      </c>
      <c r="C64" s="92" t="s">
        <v>320</v>
      </c>
      <c r="D64" s="92" t="s">
        <v>353</v>
      </c>
      <c r="E64" s="92" t="s">
        <v>143</v>
      </c>
      <c r="F64" s="101" t="str">
        <f>IF(E64="Skeet",IFERROR(INDEX('Shooter-Squad Assignment'!$A:$A,MATCH(C64&amp;"-"&amp;D64&amp;"-"&amp;E64&amp;"-Pos1",'Shooter-Squad Assignment'!#REF!,0)),""),IF(E64="Trap",IFERROR(INDEX('Shooter-Squad Assignment'!$A:$A,MATCH(C64&amp;"-"&amp;D64&amp;"-"&amp;E64&amp;"-Pos1",'Shooter-Squad Assignment'!$V:$V,0)),""),IF(E64="Sporting Clays",IFERROR(INDEX('Shooter-Squad Assignment'!$A:$A,MATCH(C64&amp;"-"&amp;D64&amp;"-"&amp;E64&amp;"-Pos1",'Shooter-Squad Assignment'!$Y:$Y,0)),""),"")))</f>
        <v/>
      </c>
      <c r="G64" s="92" t="str">
        <f>IF(ISBLANK(F64),"",IFERROR(INDEX('Tournament List'!$D:$D,MATCH(F64,'Tournament List'!$A:$A,0)),""))</f>
        <v/>
      </c>
      <c r="H64" s="101" t="str">
        <f>IF(E64="Skeet",IFERROR(INDEX('Shooter-Squad Assignment'!$A:$A,MATCH(C64&amp;"-"&amp;D64&amp;"-"&amp;E64&amp;"-Pos2",'Shooter-Squad Assignment'!#REF!,0)),""),IF(E64="Trap",IFERROR(INDEX('Shooter-Squad Assignment'!$A:$A,MATCH(C64&amp;"-"&amp;D64&amp;"-"&amp;E64&amp;"-Pos2",'Shooter-Squad Assignment'!$V:$V,0)),""),IF(E64="Sporting Clays",IFERROR(INDEX('Shooter-Squad Assignment'!$A:$A,MATCH(C64&amp;"-"&amp;D64&amp;"-"&amp;E64&amp;"-Pos2",'Shooter-Squad Assignment'!$Y:$Y,0)),""),"")))</f>
        <v/>
      </c>
      <c r="I64" s="92" t="str">
        <f>IF(ISBLANK(H64),"",IFERROR(INDEX('Tournament List'!$D:$D,MATCH(H64,'Tournament List'!$A:$A,0)),""))</f>
        <v/>
      </c>
      <c r="J64" s="101" t="str">
        <f>IF(E64="Skeet",IFERROR(INDEX('Shooter-Squad Assignment'!$A:$A,MATCH(C64&amp;"-"&amp;D64&amp;"-"&amp;E64&amp;"-Pos3",'Shooter-Squad Assignment'!#REF!,0)),""),IF(E64="Trap",IFERROR(INDEX('Shooter-Squad Assignment'!$A:$A,MATCH(C64&amp;"-"&amp;D64&amp;"-"&amp;E64&amp;"-Pos3",'Shooter-Squad Assignment'!$V:$V,0)),""),IF(E64="Sporting Clays",IFERROR(INDEX('Shooter-Squad Assignment'!$A:$A,MATCH(C64&amp;"-"&amp;D64&amp;"-"&amp;E64&amp;"-Pos3",'Shooter-Squad Assignment'!$Y:$Y,0)),""),"")))</f>
        <v/>
      </c>
      <c r="K64" s="92" t="str">
        <f>IF(ISBLANK(J64),"",IFERROR(INDEX('Tournament List'!$D:$D,MATCH(J64,'Tournament List'!$A:$A,0)),""))</f>
        <v/>
      </c>
      <c r="L64" s="101" t="str">
        <f>IF(E64="Skeet",IFERROR(INDEX('Shooter-Squad Assignment'!$A:$A,MATCH(C64&amp;"-"&amp;D64&amp;"-"&amp;E64&amp;"-Pos4",'Shooter-Squad Assignment'!#REF!,0)),""),IF(E64="Trap",IFERROR(INDEX('Shooter-Squad Assignment'!$A:$A,MATCH(C64&amp;"-"&amp;D64&amp;"-"&amp;E64&amp;"-Pos4",'Shooter-Squad Assignment'!$V:$V,0)),""),IF(E64="Sporting Clays",IFERROR(INDEX('Shooter-Squad Assignment'!$A:$A,MATCH(C64&amp;"-"&amp;D64&amp;"-"&amp;E64&amp;"-Pos4",'Shooter-Squad Assignment'!$Y:$Y,0)),""),"")))</f>
        <v/>
      </c>
      <c r="M64" s="92" t="str">
        <f>IF(ISBLANK(L64),"",IFERROR(INDEX('Tournament List'!$D:$D,MATCH(L64,'Tournament List'!$A:$A,0)),""))</f>
        <v/>
      </c>
      <c r="N64" s="101" t="str">
        <f>IF(E64="Skeet",IFERROR(INDEX('Shooter-Squad Assignment'!$A:$A,MATCH(C64&amp;"-"&amp;D64&amp;"-"&amp;E64&amp;"-Pos5",'Shooter-Squad Assignment'!#REF!,0)),""),IF(E64="Trap",IFERROR(INDEX('Shooter-Squad Assignment'!$A:$A,MATCH(C64&amp;"-"&amp;D64&amp;"-"&amp;E64&amp;"-Pos5",'Shooter-Squad Assignment'!$V:$V,0)),""),IF(E64="Sporting Clays",IFERROR(INDEX('Shooter-Squad Assignment'!$A:$A,MATCH(C64&amp;"-"&amp;D64&amp;"-"&amp;E64&amp;"-Pos5",'Shooter-Squad Assignment'!$Y:$Y,0)),""),"")))</f>
        <v/>
      </c>
      <c r="O64" s="93" t="str">
        <f>IF(ISBLANK(N64),"",IFERROR(INDEX('Tournament List'!$D:$D,MATCH(N64,'Tournament List'!$A:$A,0)),""))</f>
        <v/>
      </c>
    </row>
    <row r="65" spans="1:15" x14ac:dyDescent="0.3">
      <c r="A65" s="91">
        <v>73</v>
      </c>
      <c r="B65" s="92" t="str">
        <f t="shared" si="0"/>
        <v>Rocky Mountain Clay Busters-Novice 1-Skeet</v>
      </c>
      <c r="C65" s="92" t="s">
        <v>320</v>
      </c>
      <c r="D65" s="92" t="s">
        <v>339</v>
      </c>
      <c r="E65" s="92" t="s">
        <v>143</v>
      </c>
      <c r="F65" s="101" t="str">
        <f>IF(E65="Skeet",IFERROR(INDEX('Shooter-Squad Assignment'!$A:$A,MATCH(C65&amp;"-"&amp;D65&amp;"-"&amp;E65&amp;"-Pos1",'Shooter-Squad Assignment'!#REF!,0)),""),IF(E65="Trap",IFERROR(INDEX('Shooter-Squad Assignment'!$A:$A,MATCH(C65&amp;"-"&amp;D65&amp;"-"&amp;E65&amp;"-Pos1",'Shooter-Squad Assignment'!$V:$V,0)),""),IF(E65="Sporting Clays",IFERROR(INDEX('Shooter-Squad Assignment'!$A:$A,MATCH(C65&amp;"-"&amp;D65&amp;"-"&amp;E65&amp;"-Pos1",'Shooter-Squad Assignment'!$Y:$Y,0)),""),"")))</f>
        <v/>
      </c>
      <c r="G65" s="92" t="str">
        <f>IF(ISBLANK(F65),"",IFERROR(INDEX('Tournament List'!$D:$D,MATCH(F65,'Tournament List'!$A:$A,0)),""))</f>
        <v/>
      </c>
      <c r="H65" s="101" t="str">
        <f>IF(E65="Skeet",IFERROR(INDEX('Shooter-Squad Assignment'!$A:$A,MATCH(C65&amp;"-"&amp;D65&amp;"-"&amp;E65&amp;"-Pos2",'Shooter-Squad Assignment'!#REF!,0)),""),IF(E65="Trap",IFERROR(INDEX('Shooter-Squad Assignment'!$A:$A,MATCH(C65&amp;"-"&amp;D65&amp;"-"&amp;E65&amp;"-Pos2",'Shooter-Squad Assignment'!$V:$V,0)),""),IF(E65="Sporting Clays",IFERROR(INDEX('Shooter-Squad Assignment'!$A:$A,MATCH(C65&amp;"-"&amp;D65&amp;"-"&amp;E65&amp;"-Pos2",'Shooter-Squad Assignment'!$Y:$Y,0)),""),"")))</f>
        <v/>
      </c>
      <c r="I65" s="92" t="str">
        <f>IF(ISBLANK(H65),"",IFERROR(INDEX('Tournament List'!$D:$D,MATCH(H65,'Tournament List'!$A:$A,0)),""))</f>
        <v/>
      </c>
      <c r="J65" s="101" t="str">
        <f>IF(E65="Skeet",IFERROR(INDEX('Shooter-Squad Assignment'!$A:$A,MATCH(C65&amp;"-"&amp;D65&amp;"-"&amp;E65&amp;"-Pos3",'Shooter-Squad Assignment'!#REF!,0)),""),IF(E65="Trap",IFERROR(INDEX('Shooter-Squad Assignment'!$A:$A,MATCH(C65&amp;"-"&amp;D65&amp;"-"&amp;E65&amp;"-Pos3",'Shooter-Squad Assignment'!$V:$V,0)),""),IF(E65="Sporting Clays",IFERROR(INDEX('Shooter-Squad Assignment'!$A:$A,MATCH(C65&amp;"-"&amp;D65&amp;"-"&amp;E65&amp;"-Pos3",'Shooter-Squad Assignment'!$Y:$Y,0)),""),"")))</f>
        <v/>
      </c>
      <c r="K65" s="92" t="str">
        <f>IF(ISBLANK(J65),"",IFERROR(INDEX('Tournament List'!$D:$D,MATCH(J65,'Tournament List'!$A:$A,0)),""))</f>
        <v/>
      </c>
      <c r="L65" s="101" t="str">
        <f>IF(E65="Skeet",IFERROR(INDEX('Shooter-Squad Assignment'!$A:$A,MATCH(C65&amp;"-"&amp;D65&amp;"-"&amp;E65&amp;"-Pos4",'Shooter-Squad Assignment'!#REF!,0)),""),IF(E65="Trap",IFERROR(INDEX('Shooter-Squad Assignment'!$A:$A,MATCH(C65&amp;"-"&amp;D65&amp;"-"&amp;E65&amp;"-Pos4",'Shooter-Squad Assignment'!$V:$V,0)),""),IF(E65="Sporting Clays",IFERROR(INDEX('Shooter-Squad Assignment'!$A:$A,MATCH(C65&amp;"-"&amp;D65&amp;"-"&amp;E65&amp;"-Pos4",'Shooter-Squad Assignment'!$Y:$Y,0)),""),"")))</f>
        <v/>
      </c>
      <c r="M65" s="92" t="str">
        <f>IF(ISBLANK(L65),"",IFERROR(INDEX('Tournament List'!$D:$D,MATCH(L65,'Tournament List'!$A:$A,0)),""))</f>
        <v/>
      </c>
      <c r="N65" s="101" t="str">
        <f>IF(E65="Skeet",IFERROR(INDEX('Shooter-Squad Assignment'!$A:$A,MATCH(C65&amp;"-"&amp;D65&amp;"-"&amp;E65&amp;"-Pos5",'Shooter-Squad Assignment'!#REF!,0)),""),IF(E65="Trap",IFERROR(INDEX('Shooter-Squad Assignment'!$A:$A,MATCH(C65&amp;"-"&amp;D65&amp;"-"&amp;E65&amp;"-Pos5",'Shooter-Squad Assignment'!$V:$V,0)),""),IF(E65="Sporting Clays",IFERROR(INDEX('Shooter-Squad Assignment'!$A:$A,MATCH(C65&amp;"-"&amp;D65&amp;"-"&amp;E65&amp;"-Pos5",'Shooter-Squad Assignment'!$Y:$Y,0)),""),"")))</f>
        <v/>
      </c>
      <c r="O65" s="93" t="str">
        <f>IF(ISBLANK(N65),"",IFERROR(INDEX('Tournament List'!$D:$D,MATCH(N65,'Tournament List'!$A:$A,0)),""))</f>
        <v/>
      </c>
    </row>
    <row r="66" spans="1:15" x14ac:dyDescent="0.3">
      <c r="A66" s="91">
        <v>74</v>
      </c>
      <c r="B66" s="92" t="str">
        <f t="shared" si="0"/>
        <v>Rocky Mountain Clay Busters-Novice 2-Skeet</v>
      </c>
      <c r="C66" s="92" t="s">
        <v>320</v>
      </c>
      <c r="D66" s="92" t="s">
        <v>345</v>
      </c>
      <c r="E66" s="92" t="s">
        <v>143</v>
      </c>
      <c r="F66" s="101" t="str">
        <f>IF(E66="Skeet",IFERROR(INDEX('Shooter-Squad Assignment'!$A:$A,MATCH(C66&amp;"-"&amp;D66&amp;"-"&amp;E66&amp;"-Pos1",'Shooter-Squad Assignment'!#REF!,0)),""),IF(E66="Trap",IFERROR(INDEX('Shooter-Squad Assignment'!$A:$A,MATCH(C66&amp;"-"&amp;D66&amp;"-"&amp;E66&amp;"-Pos1",'Shooter-Squad Assignment'!$V:$V,0)),""),IF(E66="Sporting Clays",IFERROR(INDEX('Shooter-Squad Assignment'!$A:$A,MATCH(C66&amp;"-"&amp;D66&amp;"-"&amp;E66&amp;"-Pos1",'Shooter-Squad Assignment'!$Y:$Y,0)),""),"")))</f>
        <v/>
      </c>
      <c r="G66" s="92" t="str">
        <f>IF(ISBLANK(F66),"",IFERROR(INDEX('Tournament List'!$D:$D,MATCH(F66,'Tournament List'!$A:$A,0)),""))</f>
        <v/>
      </c>
      <c r="H66" s="101" t="str">
        <f>IF(E66="Skeet",IFERROR(INDEX('Shooter-Squad Assignment'!$A:$A,MATCH(C66&amp;"-"&amp;D66&amp;"-"&amp;E66&amp;"-Pos2",'Shooter-Squad Assignment'!#REF!,0)),""),IF(E66="Trap",IFERROR(INDEX('Shooter-Squad Assignment'!$A:$A,MATCH(C66&amp;"-"&amp;D66&amp;"-"&amp;E66&amp;"-Pos2",'Shooter-Squad Assignment'!$V:$V,0)),""),IF(E66="Sporting Clays",IFERROR(INDEX('Shooter-Squad Assignment'!$A:$A,MATCH(C66&amp;"-"&amp;D66&amp;"-"&amp;E66&amp;"-Pos2",'Shooter-Squad Assignment'!$Y:$Y,0)),""),"")))</f>
        <v/>
      </c>
      <c r="I66" s="92" t="str">
        <f>IF(ISBLANK(H66),"",IFERROR(INDEX('Tournament List'!$D:$D,MATCH(H66,'Tournament List'!$A:$A,0)),""))</f>
        <v/>
      </c>
      <c r="J66" s="101" t="str">
        <f>IF(E66="Skeet",IFERROR(INDEX('Shooter-Squad Assignment'!$A:$A,MATCH(C66&amp;"-"&amp;D66&amp;"-"&amp;E66&amp;"-Pos3",'Shooter-Squad Assignment'!#REF!,0)),""),IF(E66="Trap",IFERROR(INDEX('Shooter-Squad Assignment'!$A:$A,MATCH(C66&amp;"-"&amp;D66&amp;"-"&amp;E66&amp;"-Pos3",'Shooter-Squad Assignment'!$V:$V,0)),""),IF(E66="Sporting Clays",IFERROR(INDEX('Shooter-Squad Assignment'!$A:$A,MATCH(C66&amp;"-"&amp;D66&amp;"-"&amp;E66&amp;"-Pos3",'Shooter-Squad Assignment'!$Y:$Y,0)),""),"")))</f>
        <v/>
      </c>
      <c r="K66" s="92" t="str">
        <f>IF(ISBLANK(J66),"",IFERROR(INDEX('Tournament List'!$D:$D,MATCH(J66,'Tournament List'!$A:$A,0)),""))</f>
        <v/>
      </c>
      <c r="L66" s="101" t="str">
        <f>IF(E66="Skeet",IFERROR(INDEX('Shooter-Squad Assignment'!$A:$A,MATCH(C66&amp;"-"&amp;D66&amp;"-"&amp;E66&amp;"-Pos4",'Shooter-Squad Assignment'!#REF!,0)),""),IF(E66="Trap",IFERROR(INDEX('Shooter-Squad Assignment'!$A:$A,MATCH(C66&amp;"-"&amp;D66&amp;"-"&amp;E66&amp;"-Pos4",'Shooter-Squad Assignment'!$V:$V,0)),""),IF(E66="Sporting Clays",IFERROR(INDEX('Shooter-Squad Assignment'!$A:$A,MATCH(C66&amp;"-"&amp;D66&amp;"-"&amp;E66&amp;"-Pos4",'Shooter-Squad Assignment'!$Y:$Y,0)),""),"")))</f>
        <v/>
      </c>
      <c r="M66" s="92" t="str">
        <f>IF(ISBLANK(L66),"",IFERROR(INDEX('Tournament List'!$D:$D,MATCH(L66,'Tournament List'!$A:$A,0)),""))</f>
        <v/>
      </c>
      <c r="N66" s="101" t="str">
        <f>IF(E66="Skeet",IFERROR(INDEX('Shooter-Squad Assignment'!$A:$A,MATCH(C66&amp;"-"&amp;D66&amp;"-"&amp;E66&amp;"-Pos5",'Shooter-Squad Assignment'!#REF!,0)),""),IF(E66="Trap",IFERROR(INDEX('Shooter-Squad Assignment'!$A:$A,MATCH(C66&amp;"-"&amp;D66&amp;"-"&amp;E66&amp;"-Pos5",'Shooter-Squad Assignment'!$V:$V,0)),""),IF(E66="Sporting Clays",IFERROR(INDEX('Shooter-Squad Assignment'!$A:$A,MATCH(C66&amp;"-"&amp;D66&amp;"-"&amp;E66&amp;"-Pos5",'Shooter-Squad Assignment'!$Y:$Y,0)),""),"")))</f>
        <v/>
      </c>
      <c r="O66" s="93" t="str">
        <f>IF(ISBLANK(N66),"",IFERROR(INDEX('Tournament List'!$D:$D,MATCH(N66,'Tournament List'!$A:$A,0)),""))</f>
        <v/>
      </c>
    </row>
    <row r="67" spans="1:15" x14ac:dyDescent="0.3">
      <c r="A67" s="91">
        <v>75</v>
      </c>
      <c r="B67" s="92" t="str">
        <f t="shared" ref="B67:B130" si="1">C67&amp;"-"&amp;D67&amp;"-"&amp;E67</f>
        <v>Rocky Mountain Clay Busters-Novice 3-Skeet</v>
      </c>
      <c r="C67" s="92" t="s">
        <v>320</v>
      </c>
      <c r="D67" s="92" t="s">
        <v>351</v>
      </c>
      <c r="E67" s="92" t="s">
        <v>143</v>
      </c>
      <c r="F67" s="101" t="str">
        <f>IF(E67="Skeet",IFERROR(INDEX('Shooter-Squad Assignment'!$A:$A,MATCH(C67&amp;"-"&amp;D67&amp;"-"&amp;E67&amp;"-Pos1",'Shooter-Squad Assignment'!#REF!,0)),""),IF(E67="Trap",IFERROR(INDEX('Shooter-Squad Assignment'!$A:$A,MATCH(C67&amp;"-"&amp;D67&amp;"-"&amp;E67&amp;"-Pos1",'Shooter-Squad Assignment'!$V:$V,0)),""),IF(E67="Sporting Clays",IFERROR(INDEX('Shooter-Squad Assignment'!$A:$A,MATCH(C67&amp;"-"&amp;D67&amp;"-"&amp;E67&amp;"-Pos1",'Shooter-Squad Assignment'!$Y:$Y,0)),""),"")))</f>
        <v/>
      </c>
      <c r="G67" s="92" t="str">
        <f>IF(ISBLANK(F67),"",IFERROR(INDEX('Tournament List'!$D:$D,MATCH(F67,'Tournament List'!$A:$A,0)),""))</f>
        <v/>
      </c>
      <c r="H67" s="101" t="str">
        <f>IF(E67="Skeet",IFERROR(INDEX('Shooter-Squad Assignment'!$A:$A,MATCH(C67&amp;"-"&amp;D67&amp;"-"&amp;E67&amp;"-Pos2",'Shooter-Squad Assignment'!#REF!,0)),""),IF(E67="Trap",IFERROR(INDEX('Shooter-Squad Assignment'!$A:$A,MATCH(C67&amp;"-"&amp;D67&amp;"-"&amp;E67&amp;"-Pos2",'Shooter-Squad Assignment'!$V:$V,0)),""),IF(E67="Sporting Clays",IFERROR(INDEX('Shooter-Squad Assignment'!$A:$A,MATCH(C67&amp;"-"&amp;D67&amp;"-"&amp;E67&amp;"-Pos2",'Shooter-Squad Assignment'!$Y:$Y,0)),""),"")))</f>
        <v/>
      </c>
      <c r="I67" s="92" t="str">
        <f>IF(ISBLANK(H67),"",IFERROR(INDEX('Tournament List'!$D:$D,MATCH(H67,'Tournament List'!$A:$A,0)),""))</f>
        <v/>
      </c>
      <c r="J67" s="101" t="str">
        <f>IF(E67="Skeet",IFERROR(INDEX('Shooter-Squad Assignment'!$A:$A,MATCH(C67&amp;"-"&amp;D67&amp;"-"&amp;E67&amp;"-Pos3",'Shooter-Squad Assignment'!#REF!,0)),""),IF(E67="Trap",IFERROR(INDEX('Shooter-Squad Assignment'!$A:$A,MATCH(C67&amp;"-"&amp;D67&amp;"-"&amp;E67&amp;"-Pos3",'Shooter-Squad Assignment'!$V:$V,0)),""),IF(E67="Sporting Clays",IFERROR(INDEX('Shooter-Squad Assignment'!$A:$A,MATCH(C67&amp;"-"&amp;D67&amp;"-"&amp;E67&amp;"-Pos3",'Shooter-Squad Assignment'!$Y:$Y,0)),""),"")))</f>
        <v/>
      </c>
      <c r="K67" s="92" t="str">
        <f>IF(ISBLANK(J67),"",IFERROR(INDEX('Tournament List'!$D:$D,MATCH(J67,'Tournament List'!$A:$A,0)),""))</f>
        <v/>
      </c>
      <c r="L67" s="101" t="str">
        <f>IF(E67="Skeet",IFERROR(INDEX('Shooter-Squad Assignment'!$A:$A,MATCH(C67&amp;"-"&amp;D67&amp;"-"&amp;E67&amp;"-Pos4",'Shooter-Squad Assignment'!#REF!,0)),""),IF(E67="Trap",IFERROR(INDEX('Shooter-Squad Assignment'!$A:$A,MATCH(C67&amp;"-"&amp;D67&amp;"-"&amp;E67&amp;"-Pos4",'Shooter-Squad Assignment'!$V:$V,0)),""),IF(E67="Sporting Clays",IFERROR(INDEX('Shooter-Squad Assignment'!$A:$A,MATCH(C67&amp;"-"&amp;D67&amp;"-"&amp;E67&amp;"-Pos4",'Shooter-Squad Assignment'!$Y:$Y,0)),""),"")))</f>
        <v/>
      </c>
      <c r="M67" s="92" t="str">
        <f>IF(ISBLANK(L67),"",IFERROR(INDEX('Tournament List'!$D:$D,MATCH(L67,'Tournament List'!$A:$A,0)),""))</f>
        <v/>
      </c>
      <c r="N67" s="101" t="str">
        <f>IF(E67="Skeet",IFERROR(INDEX('Shooter-Squad Assignment'!$A:$A,MATCH(C67&amp;"-"&amp;D67&amp;"-"&amp;E67&amp;"-Pos5",'Shooter-Squad Assignment'!#REF!,0)),""),IF(E67="Trap",IFERROR(INDEX('Shooter-Squad Assignment'!$A:$A,MATCH(C67&amp;"-"&amp;D67&amp;"-"&amp;E67&amp;"-Pos5",'Shooter-Squad Assignment'!$V:$V,0)),""),IF(E67="Sporting Clays",IFERROR(INDEX('Shooter-Squad Assignment'!$A:$A,MATCH(C67&amp;"-"&amp;D67&amp;"-"&amp;E67&amp;"-Pos5",'Shooter-Squad Assignment'!$Y:$Y,0)),""),"")))</f>
        <v/>
      </c>
      <c r="O67" s="93" t="str">
        <f>IF(ISBLANK(N67),"",IFERROR(INDEX('Tournament List'!$D:$D,MATCH(N67,'Tournament List'!$A:$A,0)),""))</f>
        <v/>
      </c>
    </row>
    <row r="68" spans="1:15" x14ac:dyDescent="0.3">
      <c r="A68" s="91">
        <v>76</v>
      </c>
      <c r="B68" s="92" t="str">
        <f t="shared" si="1"/>
        <v>Rocky Mountain Clay Busters-Open 1-Skeet</v>
      </c>
      <c r="C68" s="92" t="s">
        <v>320</v>
      </c>
      <c r="D68" s="92" t="s">
        <v>343</v>
      </c>
      <c r="E68" s="92" t="s">
        <v>143</v>
      </c>
      <c r="F68" s="101" t="str">
        <f>IF(E68="Skeet",IFERROR(INDEX('Shooter-Squad Assignment'!$A:$A,MATCH(C68&amp;"-"&amp;D68&amp;"-"&amp;E68&amp;"-Pos1",'Shooter-Squad Assignment'!#REF!,0)),""),IF(E68="Trap",IFERROR(INDEX('Shooter-Squad Assignment'!$A:$A,MATCH(C68&amp;"-"&amp;D68&amp;"-"&amp;E68&amp;"-Pos1",'Shooter-Squad Assignment'!$V:$V,0)),""),IF(E68="Sporting Clays",IFERROR(INDEX('Shooter-Squad Assignment'!$A:$A,MATCH(C68&amp;"-"&amp;D68&amp;"-"&amp;E68&amp;"-Pos1",'Shooter-Squad Assignment'!$Y:$Y,0)),""),"")))</f>
        <v/>
      </c>
      <c r="G68" s="92" t="str">
        <f>IF(ISBLANK(F68),"",IFERROR(INDEX('Tournament List'!$D:$D,MATCH(F68,'Tournament List'!$A:$A,0)),""))</f>
        <v/>
      </c>
      <c r="H68" s="101" t="str">
        <f>IF(E68="Skeet",IFERROR(INDEX('Shooter-Squad Assignment'!$A:$A,MATCH(C68&amp;"-"&amp;D68&amp;"-"&amp;E68&amp;"-Pos2",'Shooter-Squad Assignment'!#REF!,0)),""),IF(E68="Trap",IFERROR(INDEX('Shooter-Squad Assignment'!$A:$A,MATCH(C68&amp;"-"&amp;D68&amp;"-"&amp;E68&amp;"-Pos2",'Shooter-Squad Assignment'!$V:$V,0)),""),IF(E68="Sporting Clays",IFERROR(INDEX('Shooter-Squad Assignment'!$A:$A,MATCH(C68&amp;"-"&amp;D68&amp;"-"&amp;E68&amp;"-Pos2",'Shooter-Squad Assignment'!$Y:$Y,0)),""),"")))</f>
        <v/>
      </c>
      <c r="I68" s="92" t="str">
        <f>IF(ISBLANK(H68),"",IFERROR(INDEX('Tournament List'!$D:$D,MATCH(H68,'Tournament List'!$A:$A,0)),""))</f>
        <v/>
      </c>
      <c r="J68" s="101" t="str">
        <f>IF(E68="Skeet",IFERROR(INDEX('Shooter-Squad Assignment'!$A:$A,MATCH(C68&amp;"-"&amp;D68&amp;"-"&amp;E68&amp;"-Pos3",'Shooter-Squad Assignment'!#REF!,0)),""),IF(E68="Trap",IFERROR(INDEX('Shooter-Squad Assignment'!$A:$A,MATCH(C68&amp;"-"&amp;D68&amp;"-"&amp;E68&amp;"-Pos3",'Shooter-Squad Assignment'!$V:$V,0)),""),IF(E68="Sporting Clays",IFERROR(INDEX('Shooter-Squad Assignment'!$A:$A,MATCH(C68&amp;"-"&amp;D68&amp;"-"&amp;E68&amp;"-Pos3",'Shooter-Squad Assignment'!$Y:$Y,0)),""),"")))</f>
        <v/>
      </c>
      <c r="K68" s="92" t="str">
        <f>IF(ISBLANK(J68),"",IFERROR(INDEX('Tournament List'!$D:$D,MATCH(J68,'Tournament List'!$A:$A,0)),""))</f>
        <v/>
      </c>
      <c r="L68" s="101" t="str">
        <f>IF(E68="Skeet",IFERROR(INDEX('Shooter-Squad Assignment'!$A:$A,MATCH(C68&amp;"-"&amp;D68&amp;"-"&amp;E68&amp;"-Pos4",'Shooter-Squad Assignment'!#REF!,0)),""),IF(E68="Trap",IFERROR(INDEX('Shooter-Squad Assignment'!$A:$A,MATCH(C68&amp;"-"&amp;D68&amp;"-"&amp;E68&amp;"-Pos4",'Shooter-Squad Assignment'!$V:$V,0)),""),IF(E68="Sporting Clays",IFERROR(INDEX('Shooter-Squad Assignment'!$A:$A,MATCH(C68&amp;"-"&amp;D68&amp;"-"&amp;E68&amp;"-Pos4",'Shooter-Squad Assignment'!$Y:$Y,0)),""),"")))</f>
        <v/>
      </c>
      <c r="M68" s="92" t="str">
        <f>IF(ISBLANK(L68),"",IFERROR(INDEX('Tournament List'!$D:$D,MATCH(L68,'Tournament List'!$A:$A,0)),""))</f>
        <v/>
      </c>
      <c r="N68" s="101" t="str">
        <f>IF(E68="Skeet",IFERROR(INDEX('Shooter-Squad Assignment'!$A:$A,MATCH(C68&amp;"-"&amp;D68&amp;"-"&amp;E68&amp;"-Pos5",'Shooter-Squad Assignment'!#REF!,0)),""),IF(E68="Trap",IFERROR(INDEX('Shooter-Squad Assignment'!$A:$A,MATCH(C68&amp;"-"&amp;D68&amp;"-"&amp;E68&amp;"-Pos5",'Shooter-Squad Assignment'!$V:$V,0)),""),IF(E68="Sporting Clays",IFERROR(INDEX('Shooter-Squad Assignment'!$A:$A,MATCH(C68&amp;"-"&amp;D68&amp;"-"&amp;E68&amp;"-Pos5",'Shooter-Squad Assignment'!$Y:$Y,0)),""),"")))</f>
        <v/>
      </c>
      <c r="O68" s="93" t="str">
        <f>IF(ISBLANK(N68),"",IFERROR(INDEX('Tournament List'!$D:$D,MATCH(N68,'Tournament List'!$A:$A,0)),""))</f>
        <v/>
      </c>
    </row>
    <row r="69" spans="1:15" x14ac:dyDescent="0.3">
      <c r="A69" s="91">
        <v>77</v>
      </c>
      <c r="B69" s="92" t="str">
        <f t="shared" si="1"/>
        <v>Rocky Mountain Clay Busters-Open 2-Skeet</v>
      </c>
      <c r="C69" s="92" t="s">
        <v>320</v>
      </c>
      <c r="D69" s="92" t="s">
        <v>349</v>
      </c>
      <c r="E69" s="92" t="s">
        <v>143</v>
      </c>
      <c r="F69" s="101" t="str">
        <f>IF(E69="Skeet",IFERROR(INDEX('Shooter-Squad Assignment'!$A:$A,MATCH(C69&amp;"-"&amp;D69&amp;"-"&amp;E69&amp;"-Pos1",'Shooter-Squad Assignment'!#REF!,0)),""),IF(E69="Trap",IFERROR(INDEX('Shooter-Squad Assignment'!$A:$A,MATCH(C69&amp;"-"&amp;D69&amp;"-"&amp;E69&amp;"-Pos1",'Shooter-Squad Assignment'!$V:$V,0)),""),IF(E69="Sporting Clays",IFERROR(INDEX('Shooter-Squad Assignment'!$A:$A,MATCH(C69&amp;"-"&amp;D69&amp;"-"&amp;E69&amp;"-Pos1",'Shooter-Squad Assignment'!$Y:$Y,0)),""),"")))</f>
        <v/>
      </c>
      <c r="G69" s="92" t="str">
        <f>IF(ISBLANK(F69),"",IFERROR(INDEX('Tournament List'!$D:$D,MATCH(F69,'Tournament List'!$A:$A,0)),""))</f>
        <v/>
      </c>
      <c r="H69" s="101" t="str">
        <f>IF(E69="Skeet",IFERROR(INDEX('Shooter-Squad Assignment'!$A:$A,MATCH(C69&amp;"-"&amp;D69&amp;"-"&amp;E69&amp;"-Pos2",'Shooter-Squad Assignment'!#REF!,0)),""),IF(E69="Trap",IFERROR(INDEX('Shooter-Squad Assignment'!$A:$A,MATCH(C69&amp;"-"&amp;D69&amp;"-"&amp;E69&amp;"-Pos2",'Shooter-Squad Assignment'!$V:$V,0)),""),IF(E69="Sporting Clays",IFERROR(INDEX('Shooter-Squad Assignment'!$A:$A,MATCH(C69&amp;"-"&amp;D69&amp;"-"&amp;E69&amp;"-Pos2",'Shooter-Squad Assignment'!$Y:$Y,0)),""),"")))</f>
        <v/>
      </c>
      <c r="I69" s="92" t="str">
        <f>IF(ISBLANK(H69),"",IFERROR(INDEX('Tournament List'!$D:$D,MATCH(H69,'Tournament List'!$A:$A,0)),""))</f>
        <v/>
      </c>
      <c r="J69" s="101" t="str">
        <f>IF(E69="Skeet",IFERROR(INDEX('Shooter-Squad Assignment'!$A:$A,MATCH(C69&amp;"-"&amp;D69&amp;"-"&amp;E69&amp;"-Pos3",'Shooter-Squad Assignment'!#REF!,0)),""),IF(E69="Trap",IFERROR(INDEX('Shooter-Squad Assignment'!$A:$A,MATCH(C69&amp;"-"&amp;D69&amp;"-"&amp;E69&amp;"-Pos3",'Shooter-Squad Assignment'!$V:$V,0)),""),IF(E69="Sporting Clays",IFERROR(INDEX('Shooter-Squad Assignment'!$A:$A,MATCH(C69&amp;"-"&amp;D69&amp;"-"&amp;E69&amp;"-Pos3",'Shooter-Squad Assignment'!$Y:$Y,0)),""),"")))</f>
        <v/>
      </c>
      <c r="K69" s="92" t="str">
        <f>IF(ISBLANK(J69),"",IFERROR(INDEX('Tournament List'!$D:$D,MATCH(J69,'Tournament List'!$A:$A,0)),""))</f>
        <v/>
      </c>
      <c r="L69" s="101" t="str">
        <f>IF(E69="Skeet",IFERROR(INDEX('Shooter-Squad Assignment'!$A:$A,MATCH(C69&amp;"-"&amp;D69&amp;"-"&amp;E69&amp;"-Pos4",'Shooter-Squad Assignment'!#REF!,0)),""),IF(E69="Trap",IFERROR(INDEX('Shooter-Squad Assignment'!$A:$A,MATCH(C69&amp;"-"&amp;D69&amp;"-"&amp;E69&amp;"-Pos4",'Shooter-Squad Assignment'!$V:$V,0)),""),IF(E69="Sporting Clays",IFERROR(INDEX('Shooter-Squad Assignment'!$A:$A,MATCH(C69&amp;"-"&amp;D69&amp;"-"&amp;E69&amp;"-Pos4",'Shooter-Squad Assignment'!$Y:$Y,0)),""),"")))</f>
        <v/>
      </c>
      <c r="M69" s="92" t="str">
        <f>IF(ISBLANK(L69),"",IFERROR(INDEX('Tournament List'!$D:$D,MATCH(L69,'Tournament List'!$A:$A,0)),""))</f>
        <v/>
      </c>
      <c r="N69" s="101" t="str">
        <f>IF(E69="Skeet",IFERROR(INDEX('Shooter-Squad Assignment'!$A:$A,MATCH(C69&amp;"-"&amp;D69&amp;"-"&amp;E69&amp;"-Pos5",'Shooter-Squad Assignment'!#REF!,0)),""),IF(E69="Trap",IFERROR(INDEX('Shooter-Squad Assignment'!$A:$A,MATCH(C69&amp;"-"&amp;D69&amp;"-"&amp;E69&amp;"-Pos5",'Shooter-Squad Assignment'!$V:$V,0)),""),IF(E69="Sporting Clays",IFERROR(INDEX('Shooter-Squad Assignment'!$A:$A,MATCH(C69&amp;"-"&amp;D69&amp;"-"&amp;E69&amp;"-Pos5",'Shooter-Squad Assignment'!$Y:$Y,0)),""),"")))</f>
        <v/>
      </c>
      <c r="O69" s="93" t="str">
        <f>IF(ISBLANK(N69),"",IFERROR(INDEX('Tournament List'!$D:$D,MATCH(N69,'Tournament List'!$A:$A,0)),""))</f>
        <v/>
      </c>
    </row>
    <row r="70" spans="1:15" x14ac:dyDescent="0.3">
      <c r="A70" s="91">
        <v>78</v>
      </c>
      <c r="B70" s="92" t="str">
        <f t="shared" si="1"/>
        <v>Rocky Mountain Clay Busters-Open 3-Skeet</v>
      </c>
      <c r="C70" s="92" t="s">
        <v>320</v>
      </c>
      <c r="D70" s="92" t="s">
        <v>355</v>
      </c>
      <c r="E70" s="92" t="s">
        <v>143</v>
      </c>
      <c r="F70" s="101" t="str">
        <f>IF(E70="Skeet",IFERROR(INDEX('Shooter-Squad Assignment'!$A:$A,MATCH(C70&amp;"-"&amp;D70&amp;"-"&amp;E70&amp;"-Pos1",'Shooter-Squad Assignment'!#REF!,0)),""),IF(E70="Trap",IFERROR(INDEX('Shooter-Squad Assignment'!$A:$A,MATCH(C70&amp;"-"&amp;D70&amp;"-"&amp;E70&amp;"-Pos1",'Shooter-Squad Assignment'!$V:$V,0)),""),IF(E70="Sporting Clays",IFERROR(INDEX('Shooter-Squad Assignment'!$A:$A,MATCH(C70&amp;"-"&amp;D70&amp;"-"&amp;E70&amp;"-Pos1",'Shooter-Squad Assignment'!$Y:$Y,0)),""),"")))</f>
        <v/>
      </c>
      <c r="G70" s="92" t="str">
        <f>IF(ISBLANK(F70),"",IFERROR(INDEX('Tournament List'!$D:$D,MATCH(F70,'Tournament List'!$A:$A,0)),""))</f>
        <v/>
      </c>
      <c r="H70" s="101" t="str">
        <f>IF(E70="Skeet",IFERROR(INDEX('Shooter-Squad Assignment'!$A:$A,MATCH(C70&amp;"-"&amp;D70&amp;"-"&amp;E70&amp;"-Pos2",'Shooter-Squad Assignment'!#REF!,0)),""),IF(E70="Trap",IFERROR(INDEX('Shooter-Squad Assignment'!$A:$A,MATCH(C70&amp;"-"&amp;D70&amp;"-"&amp;E70&amp;"-Pos2",'Shooter-Squad Assignment'!$V:$V,0)),""),IF(E70="Sporting Clays",IFERROR(INDEX('Shooter-Squad Assignment'!$A:$A,MATCH(C70&amp;"-"&amp;D70&amp;"-"&amp;E70&amp;"-Pos2",'Shooter-Squad Assignment'!$Y:$Y,0)),""),"")))</f>
        <v/>
      </c>
      <c r="I70" s="92" t="str">
        <f>IF(ISBLANK(H70),"",IFERROR(INDEX('Tournament List'!$D:$D,MATCH(H70,'Tournament List'!$A:$A,0)),""))</f>
        <v/>
      </c>
      <c r="J70" s="101" t="str">
        <f>IF(E70="Skeet",IFERROR(INDEX('Shooter-Squad Assignment'!$A:$A,MATCH(C70&amp;"-"&amp;D70&amp;"-"&amp;E70&amp;"-Pos3",'Shooter-Squad Assignment'!#REF!,0)),""),IF(E70="Trap",IFERROR(INDEX('Shooter-Squad Assignment'!$A:$A,MATCH(C70&amp;"-"&amp;D70&amp;"-"&amp;E70&amp;"-Pos3",'Shooter-Squad Assignment'!$V:$V,0)),""),IF(E70="Sporting Clays",IFERROR(INDEX('Shooter-Squad Assignment'!$A:$A,MATCH(C70&amp;"-"&amp;D70&amp;"-"&amp;E70&amp;"-Pos3",'Shooter-Squad Assignment'!$Y:$Y,0)),""),"")))</f>
        <v/>
      </c>
      <c r="K70" s="92" t="str">
        <f>IF(ISBLANK(J70),"",IFERROR(INDEX('Tournament List'!$D:$D,MATCH(J70,'Tournament List'!$A:$A,0)),""))</f>
        <v/>
      </c>
      <c r="L70" s="101" t="str">
        <f>IF(E70="Skeet",IFERROR(INDEX('Shooter-Squad Assignment'!$A:$A,MATCH(C70&amp;"-"&amp;D70&amp;"-"&amp;E70&amp;"-Pos4",'Shooter-Squad Assignment'!#REF!,0)),""),IF(E70="Trap",IFERROR(INDEX('Shooter-Squad Assignment'!$A:$A,MATCH(C70&amp;"-"&amp;D70&amp;"-"&amp;E70&amp;"-Pos4",'Shooter-Squad Assignment'!$V:$V,0)),""),IF(E70="Sporting Clays",IFERROR(INDEX('Shooter-Squad Assignment'!$A:$A,MATCH(C70&amp;"-"&amp;D70&amp;"-"&amp;E70&amp;"-Pos4",'Shooter-Squad Assignment'!$Y:$Y,0)),""),"")))</f>
        <v/>
      </c>
      <c r="M70" s="92" t="str">
        <f>IF(ISBLANK(L70),"",IFERROR(INDEX('Tournament List'!$D:$D,MATCH(L70,'Tournament List'!$A:$A,0)),""))</f>
        <v/>
      </c>
      <c r="N70" s="101" t="str">
        <f>IF(E70="Skeet",IFERROR(INDEX('Shooter-Squad Assignment'!$A:$A,MATCH(C70&amp;"-"&amp;D70&amp;"-"&amp;E70&amp;"-Pos5",'Shooter-Squad Assignment'!#REF!,0)),""),IF(E70="Trap",IFERROR(INDEX('Shooter-Squad Assignment'!$A:$A,MATCH(C70&amp;"-"&amp;D70&amp;"-"&amp;E70&amp;"-Pos5",'Shooter-Squad Assignment'!$V:$V,0)),""),IF(E70="Sporting Clays",IFERROR(INDEX('Shooter-Squad Assignment'!$A:$A,MATCH(C70&amp;"-"&amp;D70&amp;"-"&amp;E70&amp;"-Pos5",'Shooter-Squad Assignment'!$Y:$Y,0)),""),"")))</f>
        <v/>
      </c>
      <c r="O70" s="93" t="str">
        <f>IF(ISBLANK(N70),"",IFERROR(INDEX('Tournament List'!$D:$D,MATCH(N70,'Tournament List'!$A:$A,0)),""))</f>
        <v/>
      </c>
    </row>
    <row r="71" spans="1:15" x14ac:dyDescent="0.3">
      <c r="A71" s="91">
        <v>79</v>
      </c>
      <c r="B71" s="92" t="str">
        <f t="shared" si="1"/>
        <v>Rocky Mountain Clay Busters-Varsity 1-Skeet</v>
      </c>
      <c r="C71" s="92" t="s">
        <v>320</v>
      </c>
      <c r="D71" s="92" t="s">
        <v>342</v>
      </c>
      <c r="E71" s="92" t="s">
        <v>143</v>
      </c>
      <c r="F71" s="101" t="str">
        <f>IF(E71="Skeet",IFERROR(INDEX('Shooter-Squad Assignment'!$A:$A,MATCH(C71&amp;"-"&amp;D71&amp;"-"&amp;E71&amp;"-Pos1",'Shooter-Squad Assignment'!#REF!,0)),""),IF(E71="Trap",IFERROR(INDEX('Shooter-Squad Assignment'!$A:$A,MATCH(C71&amp;"-"&amp;D71&amp;"-"&amp;E71&amp;"-Pos1",'Shooter-Squad Assignment'!$V:$V,0)),""),IF(E71="Sporting Clays",IFERROR(INDEX('Shooter-Squad Assignment'!$A:$A,MATCH(C71&amp;"-"&amp;D71&amp;"-"&amp;E71&amp;"-Pos1",'Shooter-Squad Assignment'!$Y:$Y,0)),""),"")))</f>
        <v/>
      </c>
      <c r="G71" s="92" t="str">
        <f>IF(ISBLANK(F71),"",IFERROR(INDEX('Tournament List'!$D:$D,MATCH(F71,'Tournament List'!$A:$A,0)),""))</f>
        <v/>
      </c>
      <c r="H71" s="101" t="str">
        <f>IF(E71="Skeet",IFERROR(INDEX('Shooter-Squad Assignment'!$A:$A,MATCH(C71&amp;"-"&amp;D71&amp;"-"&amp;E71&amp;"-Pos2",'Shooter-Squad Assignment'!#REF!,0)),""),IF(E71="Trap",IFERROR(INDEX('Shooter-Squad Assignment'!$A:$A,MATCH(C71&amp;"-"&amp;D71&amp;"-"&amp;E71&amp;"-Pos2",'Shooter-Squad Assignment'!$V:$V,0)),""),IF(E71="Sporting Clays",IFERROR(INDEX('Shooter-Squad Assignment'!$A:$A,MATCH(C71&amp;"-"&amp;D71&amp;"-"&amp;E71&amp;"-Pos2",'Shooter-Squad Assignment'!$Y:$Y,0)),""),"")))</f>
        <v/>
      </c>
      <c r="I71" s="92" t="str">
        <f>IF(ISBLANK(H71),"",IFERROR(INDEX('Tournament List'!$D:$D,MATCH(H71,'Tournament List'!$A:$A,0)),""))</f>
        <v/>
      </c>
      <c r="J71" s="101" t="str">
        <f>IF(E71="Skeet",IFERROR(INDEX('Shooter-Squad Assignment'!$A:$A,MATCH(C71&amp;"-"&amp;D71&amp;"-"&amp;E71&amp;"-Pos3",'Shooter-Squad Assignment'!#REF!,0)),""),IF(E71="Trap",IFERROR(INDEX('Shooter-Squad Assignment'!$A:$A,MATCH(C71&amp;"-"&amp;D71&amp;"-"&amp;E71&amp;"-Pos3",'Shooter-Squad Assignment'!$V:$V,0)),""),IF(E71="Sporting Clays",IFERROR(INDEX('Shooter-Squad Assignment'!$A:$A,MATCH(C71&amp;"-"&amp;D71&amp;"-"&amp;E71&amp;"-Pos3",'Shooter-Squad Assignment'!$Y:$Y,0)),""),"")))</f>
        <v/>
      </c>
      <c r="K71" s="92" t="str">
        <f>IF(ISBLANK(J71),"",IFERROR(INDEX('Tournament List'!$D:$D,MATCH(J71,'Tournament List'!$A:$A,0)),""))</f>
        <v/>
      </c>
      <c r="L71" s="101" t="str">
        <f>IF(E71="Skeet",IFERROR(INDEX('Shooter-Squad Assignment'!$A:$A,MATCH(C71&amp;"-"&amp;D71&amp;"-"&amp;E71&amp;"-Pos4",'Shooter-Squad Assignment'!#REF!,0)),""),IF(E71="Trap",IFERROR(INDEX('Shooter-Squad Assignment'!$A:$A,MATCH(C71&amp;"-"&amp;D71&amp;"-"&amp;E71&amp;"-Pos4",'Shooter-Squad Assignment'!$V:$V,0)),""),IF(E71="Sporting Clays",IFERROR(INDEX('Shooter-Squad Assignment'!$A:$A,MATCH(C71&amp;"-"&amp;D71&amp;"-"&amp;E71&amp;"-Pos4",'Shooter-Squad Assignment'!$Y:$Y,0)),""),"")))</f>
        <v/>
      </c>
      <c r="M71" s="92" t="str">
        <f>IF(ISBLANK(L71),"",IFERROR(INDEX('Tournament List'!$D:$D,MATCH(L71,'Tournament List'!$A:$A,0)),""))</f>
        <v/>
      </c>
      <c r="N71" s="101" t="str">
        <f>IF(E71="Skeet",IFERROR(INDEX('Shooter-Squad Assignment'!$A:$A,MATCH(C71&amp;"-"&amp;D71&amp;"-"&amp;E71&amp;"-Pos5",'Shooter-Squad Assignment'!#REF!,0)),""),IF(E71="Trap",IFERROR(INDEX('Shooter-Squad Assignment'!$A:$A,MATCH(C71&amp;"-"&amp;D71&amp;"-"&amp;E71&amp;"-Pos5",'Shooter-Squad Assignment'!$V:$V,0)),""),IF(E71="Sporting Clays",IFERROR(INDEX('Shooter-Squad Assignment'!$A:$A,MATCH(C71&amp;"-"&amp;D71&amp;"-"&amp;E71&amp;"-Pos5",'Shooter-Squad Assignment'!$Y:$Y,0)),""),"")))</f>
        <v/>
      </c>
      <c r="O71" s="93" t="str">
        <f>IF(ISBLANK(N71),"",IFERROR(INDEX('Tournament List'!$D:$D,MATCH(N71,'Tournament List'!$A:$A,0)),""))</f>
        <v/>
      </c>
    </row>
    <row r="72" spans="1:15" x14ac:dyDescent="0.3">
      <c r="A72" s="91">
        <v>80</v>
      </c>
      <c r="B72" s="92" t="str">
        <f t="shared" si="1"/>
        <v>Rocky Mountain Clay Busters-Varsity 2-Skeet</v>
      </c>
      <c r="C72" s="92" t="s">
        <v>320</v>
      </c>
      <c r="D72" s="92" t="s">
        <v>348</v>
      </c>
      <c r="E72" s="92" t="s">
        <v>143</v>
      </c>
      <c r="F72" s="101" t="str">
        <f>IF(E72="Skeet",IFERROR(INDEX('Shooter-Squad Assignment'!$A:$A,MATCH(C72&amp;"-"&amp;D72&amp;"-"&amp;E72&amp;"-Pos1",'Shooter-Squad Assignment'!#REF!,0)),""),IF(E72="Trap",IFERROR(INDEX('Shooter-Squad Assignment'!$A:$A,MATCH(C72&amp;"-"&amp;D72&amp;"-"&amp;E72&amp;"-Pos1",'Shooter-Squad Assignment'!$V:$V,0)),""),IF(E72="Sporting Clays",IFERROR(INDEX('Shooter-Squad Assignment'!$A:$A,MATCH(C72&amp;"-"&amp;D72&amp;"-"&amp;E72&amp;"-Pos1",'Shooter-Squad Assignment'!$Y:$Y,0)),""),"")))</f>
        <v/>
      </c>
      <c r="G72" s="92" t="str">
        <f>IF(ISBLANK(F72),"",IFERROR(INDEX('Tournament List'!$D:$D,MATCH(F72,'Tournament List'!$A:$A,0)),""))</f>
        <v/>
      </c>
      <c r="H72" s="101" t="str">
        <f>IF(E72="Skeet",IFERROR(INDEX('Shooter-Squad Assignment'!$A:$A,MATCH(C72&amp;"-"&amp;D72&amp;"-"&amp;E72&amp;"-Pos2",'Shooter-Squad Assignment'!#REF!,0)),""),IF(E72="Trap",IFERROR(INDEX('Shooter-Squad Assignment'!$A:$A,MATCH(C72&amp;"-"&amp;D72&amp;"-"&amp;E72&amp;"-Pos2",'Shooter-Squad Assignment'!$V:$V,0)),""),IF(E72="Sporting Clays",IFERROR(INDEX('Shooter-Squad Assignment'!$A:$A,MATCH(C72&amp;"-"&amp;D72&amp;"-"&amp;E72&amp;"-Pos2",'Shooter-Squad Assignment'!$Y:$Y,0)),""),"")))</f>
        <v/>
      </c>
      <c r="I72" s="92" t="str">
        <f>IF(ISBLANK(H72),"",IFERROR(INDEX('Tournament List'!$D:$D,MATCH(H72,'Tournament List'!$A:$A,0)),""))</f>
        <v/>
      </c>
      <c r="J72" s="101" t="str">
        <f>IF(E72="Skeet",IFERROR(INDEX('Shooter-Squad Assignment'!$A:$A,MATCH(C72&amp;"-"&amp;D72&amp;"-"&amp;E72&amp;"-Pos3",'Shooter-Squad Assignment'!#REF!,0)),""),IF(E72="Trap",IFERROR(INDEX('Shooter-Squad Assignment'!$A:$A,MATCH(C72&amp;"-"&amp;D72&amp;"-"&amp;E72&amp;"-Pos3",'Shooter-Squad Assignment'!$V:$V,0)),""),IF(E72="Sporting Clays",IFERROR(INDEX('Shooter-Squad Assignment'!$A:$A,MATCH(C72&amp;"-"&amp;D72&amp;"-"&amp;E72&amp;"-Pos3",'Shooter-Squad Assignment'!$Y:$Y,0)),""),"")))</f>
        <v/>
      </c>
      <c r="K72" s="92" t="str">
        <f>IF(ISBLANK(J72),"",IFERROR(INDEX('Tournament List'!$D:$D,MATCH(J72,'Tournament List'!$A:$A,0)),""))</f>
        <v/>
      </c>
      <c r="L72" s="101" t="str">
        <f>IF(E72="Skeet",IFERROR(INDEX('Shooter-Squad Assignment'!$A:$A,MATCH(C72&amp;"-"&amp;D72&amp;"-"&amp;E72&amp;"-Pos4",'Shooter-Squad Assignment'!#REF!,0)),""),IF(E72="Trap",IFERROR(INDEX('Shooter-Squad Assignment'!$A:$A,MATCH(C72&amp;"-"&amp;D72&amp;"-"&amp;E72&amp;"-Pos4",'Shooter-Squad Assignment'!$V:$V,0)),""),IF(E72="Sporting Clays",IFERROR(INDEX('Shooter-Squad Assignment'!$A:$A,MATCH(C72&amp;"-"&amp;D72&amp;"-"&amp;E72&amp;"-Pos4",'Shooter-Squad Assignment'!$Y:$Y,0)),""),"")))</f>
        <v/>
      </c>
      <c r="M72" s="92" t="str">
        <f>IF(ISBLANK(L72),"",IFERROR(INDEX('Tournament List'!$D:$D,MATCH(L72,'Tournament List'!$A:$A,0)),""))</f>
        <v/>
      </c>
      <c r="N72" s="101" t="str">
        <f>IF(E72="Skeet",IFERROR(INDEX('Shooter-Squad Assignment'!$A:$A,MATCH(C72&amp;"-"&amp;D72&amp;"-"&amp;E72&amp;"-Pos5",'Shooter-Squad Assignment'!#REF!,0)),""),IF(E72="Trap",IFERROR(INDEX('Shooter-Squad Assignment'!$A:$A,MATCH(C72&amp;"-"&amp;D72&amp;"-"&amp;E72&amp;"-Pos5",'Shooter-Squad Assignment'!$V:$V,0)),""),IF(E72="Sporting Clays",IFERROR(INDEX('Shooter-Squad Assignment'!$A:$A,MATCH(C72&amp;"-"&amp;D72&amp;"-"&amp;E72&amp;"-Pos5",'Shooter-Squad Assignment'!$Y:$Y,0)),""),"")))</f>
        <v/>
      </c>
      <c r="O72" s="93" t="str">
        <f>IF(ISBLANK(N72),"",IFERROR(INDEX('Tournament List'!$D:$D,MATCH(N72,'Tournament List'!$A:$A,0)),""))</f>
        <v/>
      </c>
    </row>
    <row r="73" spans="1:15" x14ac:dyDescent="0.3">
      <c r="A73" s="91">
        <v>81</v>
      </c>
      <c r="B73" s="92" t="str">
        <f t="shared" si="1"/>
        <v>Rocky Mountain Clay Busters-Varsity 3-Skeet</v>
      </c>
      <c r="C73" s="92" t="s">
        <v>320</v>
      </c>
      <c r="D73" s="92" t="s">
        <v>354</v>
      </c>
      <c r="E73" s="92" t="s">
        <v>143</v>
      </c>
      <c r="F73" s="101" t="str">
        <f>IF(E73="Skeet",IFERROR(INDEX('Shooter-Squad Assignment'!$A:$A,MATCH(C73&amp;"-"&amp;D73&amp;"-"&amp;E73&amp;"-Pos1",'Shooter-Squad Assignment'!#REF!,0)),""),IF(E73="Trap",IFERROR(INDEX('Shooter-Squad Assignment'!$A:$A,MATCH(C73&amp;"-"&amp;D73&amp;"-"&amp;E73&amp;"-Pos1",'Shooter-Squad Assignment'!$V:$V,0)),""),IF(E73="Sporting Clays",IFERROR(INDEX('Shooter-Squad Assignment'!$A:$A,MATCH(C73&amp;"-"&amp;D73&amp;"-"&amp;E73&amp;"-Pos1",'Shooter-Squad Assignment'!$Y:$Y,0)),""),"")))</f>
        <v/>
      </c>
      <c r="G73" s="92" t="str">
        <f>IF(ISBLANK(F73),"",IFERROR(INDEX('Tournament List'!$D:$D,MATCH(F73,'Tournament List'!$A:$A,0)),""))</f>
        <v/>
      </c>
      <c r="H73" s="101" t="str">
        <f>IF(E73="Skeet",IFERROR(INDEX('Shooter-Squad Assignment'!$A:$A,MATCH(C73&amp;"-"&amp;D73&amp;"-"&amp;E73&amp;"-Pos2",'Shooter-Squad Assignment'!#REF!,0)),""),IF(E73="Trap",IFERROR(INDEX('Shooter-Squad Assignment'!$A:$A,MATCH(C73&amp;"-"&amp;D73&amp;"-"&amp;E73&amp;"-Pos2",'Shooter-Squad Assignment'!$V:$V,0)),""),IF(E73="Sporting Clays",IFERROR(INDEX('Shooter-Squad Assignment'!$A:$A,MATCH(C73&amp;"-"&amp;D73&amp;"-"&amp;E73&amp;"-Pos2",'Shooter-Squad Assignment'!$Y:$Y,0)),""),"")))</f>
        <v/>
      </c>
      <c r="I73" s="92" t="str">
        <f>IF(ISBLANK(H73),"",IFERROR(INDEX('Tournament List'!$D:$D,MATCH(H73,'Tournament List'!$A:$A,0)),""))</f>
        <v/>
      </c>
      <c r="J73" s="101" t="str">
        <f>IF(E73="Skeet",IFERROR(INDEX('Shooter-Squad Assignment'!$A:$A,MATCH(C73&amp;"-"&amp;D73&amp;"-"&amp;E73&amp;"-Pos3",'Shooter-Squad Assignment'!#REF!,0)),""),IF(E73="Trap",IFERROR(INDEX('Shooter-Squad Assignment'!$A:$A,MATCH(C73&amp;"-"&amp;D73&amp;"-"&amp;E73&amp;"-Pos3",'Shooter-Squad Assignment'!$V:$V,0)),""),IF(E73="Sporting Clays",IFERROR(INDEX('Shooter-Squad Assignment'!$A:$A,MATCH(C73&amp;"-"&amp;D73&amp;"-"&amp;E73&amp;"-Pos3",'Shooter-Squad Assignment'!$Y:$Y,0)),""),"")))</f>
        <v/>
      </c>
      <c r="K73" s="92" t="str">
        <f>IF(ISBLANK(J73),"",IFERROR(INDEX('Tournament List'!$D:$D,MATCH(J73,'Tournament List'!$A:$A,0)),""))</f>
        <v/>
      </c>
      <c r="L73" s="101" t="str">
        <f>IF(E73="Skeet",IFERROR(INDEX('Shooter-Squad Assignment'!$A:$A,MATCH(C73&amp;"-"&amp;D73&amp;"-"&amp;E73&amp;"-Pos4",'Shooter-Squad Assignment'!#REF!,0)),""),IF(E73="Trap",IFERROR(INDEX('Shooter-Squad Assignment'!$A:$A,MATCH(C73&amp;"-"&amp;D73&amp;"-"&amp;E73&amp;"-Pos4",'Shooter-Squad Assignment'!$V:$V,0)),""),IF(E73="Sporting Clays",IFERROR(INDEX('Shooter-Squad Assignment'!$A:$A,MATCH(C73&amp;"-"&amp;D73&amp;"-"&amp;E73&amp;"-Pos4",'Shooter-Squad Assignment'!$Y:$Y,0)),""),"")))</f>
        <v/>
      </c>
      <c r="M73" s="92" t="str">
        <f>IF(ISBLANK(L73),"",IFERROR(INDEX('Tournament List'!$D:$D,MATCH(L73,'Tournament List'!$A:$A,0)),""))</f>
        <v/>
      </c>
      <c r="N73" s="101" t="str">
        <f>IF(E73="Skeet",IFERROR(INDEX('Shooter-Squad Assignment'!$A:$A,MATCH(C73&amp;"-"&amp;D73&amp;"-"&amp;E73&amp;"-Pos5",'Shooter-Squad Assignment'!#REF!,0)),""),IF(E73="Trap",IFERROR(INDEX('Shooter-Squad Assignment'!$A:$A,MATCH(C73&amp;"-"&amp;D73&amp;"-"&amp;E73&amp;"-Pos5",'Shooter-Squad Assignment'!$V:$V,0)),""),IF(E73="Sporting Clays",IFERROR(INDEX('Shooter-Squad Assignment'!$A:$A,MATCH(C73&amp;"-"&amp;D73&amp;"-"&amp;E73&amp;"-Pos5",'Shooter-Squad Assignment'!$Y:$Y,0)),""),"")))</f>
        <v/>
      </c>
      <c r="O73" s="93" t="str">
        <f>IF(ISBLANK(N73),"",IFERROR(INDEX('Tournament List'!$D:$D,MATCH(N73,'Tournament List'!$A:$A,0)),""))</f>
        <v/>
      </c>
    </row>
    <row r="74" spans="1:15" x14ac:dyDescent="0.3">
      <c r="A74" s="91">
        <v>82</v>
      </c>
      <c r="B74" s="92" t="str">
        <f t="shared" si="1"/>
        <v>Rocky Mountain Clay Busters-Collegiate 1-Trap</v>
      </c>
      <c r="C74" s="92" t="s">
        <v>320</v>
      </c>
      <c r="D74" s="92" t="s">
        <v>344</v>
      </c>
      <c r="E74" s="92" t="s">
        <v>147</v>
      </c>
      <c r="F74" s="101" t="str">
        <f>IF(E74="Skeet",IFERROR(INDEX('Shooter-Squad Assignment'!$A:$A,MATCH(C74&amp;"-"&amp;D74&amp;"-"&amp;E74&amp;"-Pos1",'Shooter-Squad Assignment'!#REF!,0)),""),IF(E74="Trap",IFERROR(INDEX('Shooter-Squad Assignment'!$A:$A,MATCH(C74&amp;"-"&amp;D74&amp;"-"&amp;E74&amp;"-Pos1",'Shooter-Squad Assignment'!$V:$V,0)),""),IF(E74="Sporting Clays",IFERROR(INDEX('Shooter-Squad Assignment'!$A:$A,MATCH(C74&amp;"-"&amp;D74&amp;"-"&amp;E74&amp;"-Pos1",'Shooter-Squad Assignment'!$Y:$Y,0)),""),"")))</f>
        <v/>
      </c>
      <c r="G74" s="92" t="str">
        <f>IF(ISBLANK(F74),"",IFERROR(INDEX('Tournament List'!$D:$D,MATCH(F74,'Tournament List'!$A:$A,0)),""))</f>
        <v/>
      </c>
      <c r="H74" s="101" t="str">
        <f>IF(E74="Skeet",IFERROR(INDEX('Shooter-Squad Assignment'!$A:$A,MATCH(C74&amp;"-"&amp;D74&amp;"-"&amp;E74&amp;"-Pos2",'Shooter-Squad Assignment'!#REF!,0)),""),IF(E74="Trap",IFERROR(INDEX('Shooter-Squad Assignment'!$A:$A,MATCH(C74&amp;"-"&amp;D74&amp;"-"&amp;E74&amp;"-Pos2",'Shooter-Squad Assignment'!$V:$V,0)),""),IF(E74="Sporting Clays",IFERROR(INDEX('Shooter-Squad Assignment'!$A:$A,MATCH(C74&amp;"-"&amp;D74&amp;"-"&amp;E74&amp;"-Pos2",'Shooter-Squad Assignment'!$Y:$Y,0)),""),"")))</f>
        <v/>
      </c>
      <c r="I74" s="92" t="str">
        <f>IF(ISBLANK(H74),"",IFERROR(INDEX('Tournament List'!$D:$D,MATCH(H74,'Tournament List'!$A:$A,0)),""))</f>
        <v/>
      </c>
      <c r="J74" s="101" t="str">
        <f>IF(E74="Skeet",IFERROR(INDEX('Shooter-Squad Assignment'!$A:$A,MATCH(C74&amp;"-"&amp;D74&amp;"-"&amp;E74&amp;"-Pos3",'Shooter-Squad Assignment'!#REF!,0)),""),IF(E74="Trap",IFERROR(INDEX('Shooter-Squad Assignment'!$A:$A,MATCH(C74&amp;"-"&amp;D74&amp;"-"&amp;E74&amp;"-Pos3",'Shooter-Squad Assignment'!$V:$V,0)),""),IF(E74="Sporting Clays",IFERROR(INDEX('Shooter-Squad Assignment'!$A:$A,MATCH(C74&amp;"-"&amp;D74&amp;"-"&amp;E74&amp;"-Pos3",'Shooter-Squad Assignment'!$Y:$Y,0)),""),"")))</f>
        <v/>
      </c>
      <c r="K74" s="92" t="str">
        <f>IF(ISBLANK(J74),"",IFERROR(INDEX('Tournament List'!$D:$D,MATCH(J74,'Tournament List'!$A:$A,0)),""))</f>
        <v/>
      </c>
      <c r="L74" s="101" t="str">
        <f>IF(E74="Skeet",IFERROR(INDEX('Shooter-Squad Assignment'!$A:$A,MATCH(C74&amp;"-"&amp;D74&amp;"-"&amp;E74&amp;"-Pos4",'Shooter-Squad Assignment'!#REF!,0)),""),IF(E74="Trap",IFERROR(INDEX('Shooter-Squad Assignment'!$A:$A,MATCH(C74&amp;"-"&amp;D74&amp;"-"&amp;E74&amp;"-Pos4",'Shooter-Squad Assignment'!$V:$V,0)),""),IF(E74="Sporting Clays",IFERROR(INDEX('Shooter-Squad Assignment'!$A:$A,MATCH(C74&amp;"-"&amp;D74&amp;"-"&amp;E74&amp;"-Pos4",'Shooter-Squad Assignment'!$Y:$Y,0)),""),"")))</f>
        <v/>
      </c>
      <c r="M74" s="92" t="str">
        <f>IF(ISBLANK(L74),"",IFERROR(INDEX('Tournament List'!$D:$D,MATCH(L74,'Tournament List'!$A:$A,0)),""))</f>
        <v/>
      </c>
      <c r="N74" s="101" t="str">
        <f>IF(E74="Skeet",IFERROR(INDEX('Shooter-Squad Assignment'!$A:$A,MATCH(C74&amp;"-"&amp;D74&amp;"-"&amp;E74&amp;"-Pos5",'Shooter-Squad Assignment'!#REF!,0)),""),IF(E74="Trap",IFERROR(INDEX('Shooter-Squad Assignment'!$A:$A,MATCH(C74&amp;"-"&amp;D74&amp;"-"&amp;E74&amp;"-Pos5",'Shooter-Squad Assignment'!$V:$V,0)),""),IF(E74="Sporting Clays",IFERROR(INDEX('Shooter-Squad Assignment'!$A:$A,MATCH(C74&amp;"-"&amp;D74&amp;"-"&amp;E74&amp;"-Pos5",'Shooter-Squad Assignment'!$Y:$Y,0)),""),"")))</f>
        <v/>
      </c>
      <c r="O74" s="93" t="str">
        <f>IF(ISBLANK(N74),"",IFERROR(INDEX('Tournament List'!$D:$D,MATCH(N74,'Tournament List'!$A:$A,0)),""))</f>
        <v/>
      </c>
    </row>
    <row r="75" spans="1:15" x14ac:dyDescent="0.3">
      <c r="A75" s="91">
        <v>83</v>
      </c>
      <c r="B75" s="92" t="str">
        <f t="shared" si="1"/>
        <v>Rocky Mountain Clay Busters-Collegiate 2-Trap</v>
      </c>
      <c r="C75" s="92" t="s">
        <v>320</v>
      </c>
      <c r="D75" s="92" t="s">
        <v>350</v>
      </c>
      <c r="E75" s="92" t="s">
        <v>147</v>
      </c>
      <c r="F75" s="101" t="str">
        <f>IF(E75="Skeet",IFERROR(INDEX('Shooter-Squad Assignment'!$A:$A,MATCH(C75&amp;"-"&amp;D75&amp;"-"&amp;E75&amp;"-Pos1",'Shooter-Squad Assignment'!#REF!,0)),""),IF(E75="Trap",IFERROR(INDEX('Shooter-Squad Assignment'!$A:$A,MATCH(C75&amp;"-"&amp;D75&amp;"-"&amp;E75&amp;"-Pos1",'Shooter-Squad Assignment'!$V:$V,0)),""),IF(E75="Sporting Clays",IFERROR(INDEX('Shooter-Squad Assignment'!$A:$A,MATCH(C75&amp;"-"&amp;D75&amp;"-"&amp;E75&amp;"-Pos1",'Shooter-Squad Assignment'!$Y:$Y,0)),""),"")))</f>
        <v/>
      </c>
      <c r="G75" s="92" t="str">
        <f>IF(ISBLANK(F75),"",IFERROR(INDEX('Tournament List'!$D:$D,MATCH(F75,'Tournament List'!$A:$A,0)),""))</f>
        <v/>
      </c>
      <c r="H75" s="101" t="str">
        <f>IF(E75="Skeet",IFERROR(INDEX('Shooter-Squad Assignment'!$A:$A,MATCH(C75&amp;"-"&amp;D75&amp;"-"&amp;E75&amp;"-Pos2",'Shooter-Squad Assignment'!#REF!,0)),""),IF(E75="Trap",IFERROR(INDEX('Shooter-Squad Assignment'!$A:$A,MATCH(C75&amp;"-"&amp;D75&amp;"-"&amp;E75&amp;"-Pos2",'Shooter-Squad Assignment'!$V:$V,0)),""),IF(E75="Sporting Clays",IFERROR(INDEX('Shooter-Squad Assignment'!$A:$A,MATCH(C75&amp;"-"&amp;D75&amp;"-"&amp;E75&amp;"-Pos2",'Shooter-Squad Assignment'!$Y:$Y,0)),""),"")))</f>
        <v/>
      </c>
      <c r="I75" s="92" t="str">
        <f>IF(ISBLANK(H75),"",IFERROR(INDEX('Tournament List'!$D:$D,MATCH(H75,'Tournament List'!$A:$A,0)),""))</f>
        <v/>
      </c>
      <c r="J75" s="101" t="str">
        <f>IF(E75="Skeet",IFERROR(INDEX('Shooter-Squad Assignment'!$A:$A,MATCH(C75&amp;"-"&amp;D75&amp;"-"&amp;E75&amp;"-Pos3",'Shooter-Squad Assignment'!#REF!,0)),""),IF(E75="Trap",IFERROR(INDEX('Shooter-Squad Assignment'!$A:$A,MATCH(C75&amp;"-"&amp;D75&amp;"-"&amp;E75&amp;"-Pos3",'Shooter-Squad Assignment'!$V:$V,0)),""),IF(E75="Sporting Clays",IFERROR(INDEX('Shooter-Squad Assignment'!$A:$A,MATCH(C75&amp;"-"&amp;D75&amp;"-"&amp;E75&amp;"-Pos3",'Shooter-Squad Assignment'!$Y:$Y,0)),""),"")))</f>
        <v/>
      </c>
      <c r="K75" s="92" t="str">
        <f>IF(ISBLANK(J75),"",IFERROR(INDEX('Tournament List'!$D:$D,MATCH(J75,'Tournament List'!$A:$A,0)),""))</f>
        <v/>
      </c>
      <c r="L75" s="101" t="str">
        <f>IF(E75="Skeet",IFERROR(INDEX('Shooter-Squad Assignment'!$A:$A,MATCH(C75&amp;"-"&amp;D75&amp;"-"&amp;E75&amp;"-Pos4",'Shooter-Squad Assignment'!#REF!,0)),""),IF(E75="Trap",IFERROR(INDEX('Shooter-Squad Assignment'!$A:$A,MATCH(C75&amp;"-"&amp;D75&amp;"-"&amp;E75&amp;"-Pos4",'Shooter-Squad Assignment'!$V:$V,0)),""),IF(E75="Sporting Clays",IFERROR(INDEX('Shooter-Squad Assignment'!$A:$A,MATCH(C75&amp;"-"&amp;D75&amp;"-"&amp;E75&amp;"-Pos4",'Shooter-Squad Assignment'!$Y:$Y,0)),""),"")))</f>
        <v/>
      </c>
      <c r="M75" s="92" t="str">
        <f>IF(ISBLANK(L75),"",IFERROR(INDEX('Tournament List'!$D:$D,MATCH(L75,'Tournament List'!$A:$A,0)),""))</f>
        <v/>
      </c>
      <c r="N75" s="101" t="str">
        <f>IF(E75="Skeet",IFERROR(INDEX('Shooter-Squad Assignment'!$A:$A,MATCH(C75&amp;"-"&amp;D75&amp;"-"&amp;E75&amp;"-Pos5",'Shooter-Squad Assignment'!#REF!,0)),""),IF(E75="Trap",IFERROR(INDEX('Shooter-Squad Assignment'!$A:$A,MATCH(C75&amp;"-"&amp;D75&amp;"-"&amp;E75&amp;"-Pos5",'Shooter-Squad Assignment'!$V:$V,0)),""),IF(E75="Sporting Clays",IFERROR(INDEX('Shooter-Squad Assignment'!$A:$A,MATCH(C75&amp;"-"&amp;D75&amp;"-"&amp;E75&amp;"-Pos5",'Shooter-Squad Assignment'!$Y:$Y,0)),""),"")))</f>
        <v/>
      </c>
      <c r="O75" s="93" t="str">
        <f>IF(ISBLANK(N75),"",IFERROR(INDEX('Tournament List'!$D:$D,MATCH(N75,'Tournament List'!$A:$A,0)),""))</f>
        <v/>
      </c>
    </row>
    <row r="76" spans="1:15" x14ac:dyDescent="0.3">
      <c r="A76" s="91">
        <v>84</v>
      </c>
      <c r="B76" s="92" t="str">
        <f t="shared" si="1"/>
        <v>Rocky Mountain Clay Busters-Collegiate 3-Trap</v>
      </c>
      <c r="C76" s="92" t="s">
        <v>320</v>
      </c>
      <c r="D76" s="92" t="s">
        <v>356</v>
      </c>
      <c r="E76" s="92" t="s">
        <v>147</v>
      </c>
      <c r="F76" s="101" t="str">
        <f>IF(E76="Skeet",IFERROR(INDEX('Shooter-Squad Assignment'!$A:$A,MATCH(C76&amp;"-"&amp;D76&amp;"-"&amp;E76&amp;"-Pos1",'Shooter-Squad Assignment'!#REF!,0)),""),IF(E76="Trap",IFERROR(INDEX('Shooter-Squad Assignment'!$A:$A,MATCH(C76&amp;"-"&amp;D76&amp;"-"&amp;E76&amp;"-Pos1",'Shooter-Squad Assignment'!$V:$V,0)),""),IF(E76="Sporting Clays",IFERROR(INDEX('Shooter-Squad Assignment'!$A:$A,MATCH(C76&amp;"-"&amp;D76&amp;"-"&amp;E76&amp;"-Pos1",'Shooter-Squad Assignment'!$Y:$Y,0)),""),"")))</f>
        <v/>
      </c>
      <c r="G76" s="92" t="str">
        <f>IF(ISBLANK(F76),"",IFERROR(INDEX('Tournament List'!$D:$D,MATCH(F76,'Tournament List'!$A:$A,0)),""))</f>
        <v/>
      </c>
      <c r="H76" s="101" t="str">
        <f>IF(E76="Skeet",IFERROR(INDEX('Shooter-Squad Assignment'!$A:$A,MATCH(C76&amp;"-"&amp;D76&amp;"-"&amp;E76&amp;"-Pos2",'Shooter-Squad Assignment'!#REF!,0)),""),IF(E76="Trap",IFERROR(INDEX('Shooter-Squad Assignment'!$A:$A,MATCH(C76&amp;"-"&amp;D76&amp;"-"&amp;E76&amp;"-Pos2",'Shooter-Squad Assignment'!$V:$V,0)),""),IF(E76="Sporting Clays",IFERROR(INDEX('Shooter-Squad Assignment'!$A:$A,MATCH(C76&amp;"-"&amp;D76&amp;"-"&amp;E76&amp;"-Pos2",'Shooter-Squad Assignment'!$Y:$Y,0)),""),"")))</f>
        <v/>
      </c>
      <c r="I76" s="92" t="str">
        <f>IF(ISBLANK(H76),"",IFERROR(INDEX('Tournament List'!$D:$D,MATCH(H76,'Tournament List'!$A:$A,0)),""))</f>
        <v/>
      </c>
      <c r="J76" s="101" t="str">
        <f>IF(E76="Skeet",IFERROR(INDEX('Shooter-Squad Assignment'!$A:$A,MATCH(C76&amp;"-"&amp;D76&amp;"-"&amp;E76&amp;"-Pos3",'Shooter-Squad Assignment'!#REF!,0)),""),IF(E76="Trap",IFERROR(INDEX('Shooter-Squad Assignment'!$A:$A,MATCH(C76&amp;"-"&amp;D76&amp;"-"&amp;E76&amp;"-Pos3",'Shooter-Squad Assignment'!$V:$V,0)),""),IF(E76="Sporting Clays",IFERROR(INDEX('Shooter-Squad Assignment'!$A:$A,MATCH(C76&amp;"-"&amp;D76&amp;"-"&amp;E76&amp;"-Pos3",'Shooter-Squad Assignment'!$Y:$Y,0)),""),"")))</f>
        <v/>
      </c>
      <c r="K76" s="92" t="str">
        <f>IF(ISBLANK(J76),"",IFERROR(INDEX('Tournament List'!$D:$D,MATCH(J76,'Tournament List'!$A:$A,0)),""))</f>
        <v/>
      </c>
      <c r="L76" s="101" t="str">
        <f>IF(E76="Skeet",IFERROR(INDEX('Shooter-Squad Assignment'!$A:$A,MATCH(C76&amp;"-"&amp;D76&amp;"-"&amp;E76&amp;"-Pos4",'Shooter-Squad Assignment'!#REF!,0)),""),IF(E76="Trap",IFERROR(INDEX('Shooter-Squad Assignment'!$A:$A,MATCH(C76&amp;"-"&amp;D76&amp;"-"&amp;E76&amp;"-Pos4",'Shooter-Squad Assignment'!$V:$V,0)),""),IF(E76="Sporting Clays",IFERROR(INDEX('Shooter-Squad Assignment'!$A:$A,MATCH(C76&amp;"-"&amp;D76&amp;"-"&amp;E76&amp;"-Pos4",'Shooter-Squad Assignment'!$Y:$Y,0)),""),"")))</f>
        <v/>
      </c>
      <c r="M76" s="92" t="str">
        <f>IF(ISBLANK(L76),"",IFERROR(INDEX('Tournament List'!$D:$D,MATCH(L76,'Tournament List'!$A:$A,0)),""))</f>
        <v/>
      </c>
      <c r="N76" s="101" t="str">
        <f>IF(E76="Skeet",IFERROR(INDEX('Shooter-Squad Assignment'!$A:$A,MATCH(C76&amp;"-"&amp;D76&amp;"-"&amp;E76&amp;"-Pos5",'Shooter-Squad Assignment'!#REF!,0)),""),IF(E76="Trap",IFERROR(INDEX('Shooter-Squad Assignment'!$A:$A,MATCH(C76&amp;"-"&amp;D76&amp;"-"&amp;E76&amp;"-Pos5",'Shooter-Squad Assignment'!$V:$V,0)),""),IF(E76="Sporting Clays",IFERROR(INDEX('Shooter-Squad Assignment'!$A:$A,MATCH(C76&amp;"-"&amp;D76&amp;"-"&amp;E76&amp;"-Pos5",'Shooter-Squad Assignment'!$Y:$Y,0)),""),"")))</f>
        <v/>
      </c>
      <c r="O76" s="93" t="str">
        <f>IF(ISBLANK(N76),"",IFERROR(INDEX('Tournament List'!$D:$D,MATCH(N76,'Tournament List'!$A:$A,0)),""))</f>
        <v/>
      </c>
    </row>
    <row r="77" spans="1:15" x14ac:dyDescent="0.3">
      <c r="A77" s="91">
        <v>85</v>
      </c>
      <c r="B77" s="92" t="str">
        <f t="shared" si="1"/>
        <v>Rocky Mountain Clay Busters-Intermediate 1-Trap</v>
      </c>
      <c r="C77" s="92" t="s">
        <v>320</v>
      </c>
      <c r="D77" s="92" t="s">
        <v>340</v>
      </c>
      <c r="E77" s="92" t="s">
        <v>147</v>
      </c>
      <c r="F77" s="101" t="str">
        <f>IF(E77="Skeet",IFERROR(INDEX('Shooter-Squad Assignment'!$A:$A,MATCH(C77&amp;"-"&amp;D77&amp;"-"&amp;E77&amp;"-Pos1",'Shooter-Squad Assignment'!#REF!,0)),""),IF(E77="Trap",IFERROR(INDEX('Shooter-Squad Assignment'!$A:$A,MATCH(C77&amp;"-"&amp;D77&amp;"-"&amp;E77&amp;"-Pos1",'Shooter-Squad Assignment'!$V:$V,0)),""),IF(E77="Sporting Clays",IFERROR(INDEX('Shooter-Squad Assignment'!$A:$A,MATCH(C77&amp;"-"&amp;D77&amp;"-"&amp;E77&amp;"-Pos1",'Shooter-Squad Assignment'!$Y:$Y,0)),""),"")))</f>
        <v/>
      </c>
      <c r="G77" s="92" t="str">
        <f>IF(ISBLANK(F77),"",IFERROR(INDEX('Tournament List'!$D:$D,MATCH(F77,'Tournament List'!$A:$A,0)),""))</f>
        <v/>
      </c>
      <c r="H77" s="101" t="str">
        <f>IF(E77="Skeet",IFERROR(INDEX('Shooter-Squad Assignment'!$A:$A,MATCH(C77&amp;"-"&amp;D77&amp;"-"&amp;E77&amp;"-Pos2",'Shooter-Squad Assignment'!#REF!,0)),""),IF(E77="Trap",IFERROR(INDEX('Shooter-Squad Assignment'!$A:$A,MATCH(C77&amp;"-"&amp;D77&amp;"-"&amp;E77&amp;"-Pos2",'Shooter-Squad Assignment'!$V:$V,0)),""),IF(E77="Sporting Clays",IFERROR(INDEX('Shooter-Squad Assignment'!$A:$A,MATCH(C77&amp;"-"&amp;D77&amp;"-"&amp;E77&amp;"-Pos2",'Shooter-Squad Assignment'!$Y:$Y,0)),""),"")))</f>
        <v/>
      </c>
      <c r="I77" s="92" t="str">
        <f>IF(ISBLANK(H77),"",IFERROR(INDEX('Tournament List'!$D:$D,MATCH(H77,'Tournament List'!$A:$A,0)),""))</f>
        <v/>
      </c>
      <c r="J77" s="101" t="str">
        <f>IF(E77="Skeet",IFERROR(INDEX('Shooter-Squad Assignment'!$A:$A,MATCH(C77&amp;"-"&amp;D77&amp;"-"&amp;E77&amp;"-Pos3",'Shooter-Squad Assignment'!#REF!,0)),""),IF(E77="Trap",IFERROR(INDEX('Shooter-Squad Assignment'!$A:$A,MATCH(C77&amp;"-"&amp;D77&amp;"-"&amp;E77&amp;"-Pos3",'Shooter-Squad Assignment'!$V:$V,0)),""),IF(E77="Sporting Clays",IFERROR(INDEX('Shooter-Squad Assignment'!$A:$A,MATCH(C77&amp;"-"&amp;D77&amp;"-"&amp;E77&amp;"-Pos3",'Shooter-Squad Assignment'!$Y:$Y,0)),""),"")))</f>
        <v/>
      </c>
      <c r="K77" s="92" t="str">
        <f>IF(ISBLANK(J77),"",IFERROR(INDEX('Tournament List'!$D:$D,MATCH(J77,'Tournament List'!$A:$A,0)),""))</f>
        <v/>
      </c>
      <c r="L77" s="101" t="str">
        <f>IF(E77="Skeet",IFERROR(INDEX('Shooter-Squad Assignment'!$A:$A,MATCH(C77&amp;"-"&amp;D77&amp;"-"&amp;E77&amp;"-Pos4",'Shooter-Squad Assignment'!#REF!,0)),""),IF(E77="Trap",IFERROR(INDEX('Shooter-Squad Assignment'!$A:$A,MATCH(C77&amp;"-"&amp;D77&amp;"-"&amp;E77&amp;"-Pos4",'Shooter-Squad Assignment'!$V:$V,0)),""),IF(E77="Sporting Clays",IFERROR(INDEX('Shooter-Squad Assignment'!$A:$A,MATCH(C77&amp;"-"&amp;D77&amp;"-"&amp;E77&amp;"-Pos4",'Shooter-Squad Assignment'!$Y:$Y,0)),""),"")))</f>
        <v/>
      </c>
      <c r="M77" s="92" t="str">
        <f>IF(ISBLANK(L77),"",IFERROR(INDEX('Tournament List'!$D:$D,MATCH(L77,'Tournament List'!$A:$A,0)),""))</f>
        <v/>
      </c>
      <c r="N77" s="101" t="str">
        <f>IF(E77="Skeet",IFERROR(INDEX('Shooter-Squad Assignment'!$A:$A,MATCH(C77&amp;"-"&amp;D77&amp;"-"&amp;E77&amp;"-Pos5",'Shooter-Squad Assignment'!#REF!,0)),""),IF(E77="Trap",IFERROR(INDEX('Shooter-Squad Assignment'!$A:$A,MATCH(C77&amp;"-"&amp;D77&amp;"-"&amp;E77&amp;"-Pos5",'Shooter-Squad Assignment'!$V:$V,0)),""),IF(E77="Sporting Clays",IFERROR(INDEX('Shooter-Squad Assignment'!$A:$A,MATCH(C77&amp;"-"&amp;D77&amp;"-"&amp;E77&amp;"-Pos5",'Shooter-Squad Assignment'!$Y:$Y,0)),""),"")))</f>
        <v/>
      </c>
      <c r="O77" s="93" t="str">
        <f>IF(ISBLANK(N77),"",IFERROR(INDEX('Tournament List'!$D:$D,MATCH(N77,'Tournament List'!$A:$A,0)),""))</f>
        <v/>
      </c>
    </row>
    <row r="78" spans="1:15" x14ac:dyDescent="0.3">
      <c r="A78" s="91">
        <v>86</v>
      </c>
      <c r="B78" s="92" t="str">
        <f t="shared" si="1"/>
        <v>Rocky Mountain Clay Busters-Intermediate 2-Trap</v>
      </c>
      <c r="C78" s="92" t="s">
        <v>320</v>
      </c>
      <c r="D78" s="92" t="s">
        <v>346</v>
      </c>
      <c r="E78" s="92" t="s">
        <v>147</v>
      </c>
      <c r="F78" s="101" t="str">
        <f>IF(E78="Skeet",IFERROR(INDEX('Shooter-Squad Assignment'!$A:$A,MATCH(C78&amp;"-"&amp;D78&amp;"-"&amp;E78&amp;"-Pos1",'Shooter-Squad Assignment'!#REF!,0)),""),IF(E78="Trap",IFERROR(INDEX('Shooter-Squad Assignment'!$A:$A,MATCH(C78&amp;"-"&amp;D78&amp;"-"&amp;E78&amp;"-Pos1",'Shooter-Squad Assignment'!$V:$V,0)),""),IF(E78="Sporting Clays",IFERROR(INDEX('Shooter-Squad Assignment'!$A:$A,MATCH(C78&amp;"-"&amp;D78&amp;"-"&amp;E78&amp;"-Pos1",'Shooter-Squad Assignment'!$Y:$Y,0)),""),"")))</f>
        <v/>
      </c>
      <c r="G78" s="92" t="str">
        <f>IF(ISBLANK(F78),"",IFERROR(INDEX('Tournament List'!$D:$D,MATCH(F78,'Tournament List'!$A:$A,0)),""))</f>
        <v/>
      </c>
      <c r="H78" s="101" t="str">
        <f>IF(E78="Skeet",IFERROR(INDEX('Shooter-Squad Assignment'!$A:$A,MATCH(C78&amp;"-"&amp;D78&amp;"-"&amp;E78&amp;"-Pos2",'Shooter-Squad Assignment'!#REF!,0)),""),IF(E78="Trap",IFERROR(INDEX('Shooter-Squad Assignment'!$A:$A,MATCH(C78&amp;"-"&amp;D78&amp;"-"&amp;E78&amp;"-Pos2",'Shooter-Squad Assignment'!$V:$V,0)),""),IF(E78="Sporting Clays",IFERROR(INDEX('Shooter-Squad Assignment'!$A:$A,MATCH(C78&amp;"-"&amp;D78&amp;"-"&amp;E78&amp;"-Pos2",'Shooter-Squad Assignment'!$Y:$Y,0)),""),"")))</f>
        <v/>
      </c>
      <c r="I78" s="92" t="str">
        <f>IF(ISBLANK(H78),"",IFERROR(INDEX('Tournament List'!$D:$D,MATCH(H78,'Tournament List'!$A:$A,0)),""))</f>
        <v/>
      </c>
      <c r="J78" s="101" t="str">
        <f>IF(E78="Skeet",IFERROR(INDEX('Shooter-Squad Assignment'!$A:$A,MATCH(C78&amp;"-"&amp;D78&amp;"-"&amp;E78&amp;"-Pos3",'Shooter-Squad Assignment'!#REF!,0)),""),IF(E78="Trap",IFERROR(INDEX('Shooter-Squad Assignment'!$A:$A,MATCH(C78&amp;"-"&amp;D78&amp;"-"&amp;E78&amp;"-Pos3",'Shooter-Squad Assignment'!$V:$V,0)),""),IF(E78="Sporting Clays",IFERROR(INDEX('Shooter-Squad Assignment'!$A:$A,MATCH(C78&amp;"-"&amp;D78&amp;"-"&amp;E78&amp;"-Pos3",'Shooter-Squad Assignment'!$Y:$Y,0)),""),"")))</f>
        <v/>
      </c>
      <c r="K78" s="92" t="str">
        <f>IF(ISBLANK(J78),"",IFERROR(INDEX('Tournament List'!$D:$D,MATCH(J78,'Tournament List'!$A:$A,0)),""))</f>
        <v/>
      </c>
      <c r="L78" s="101" t="str">
        <f>IF(E78="Skeet",IFERROR(INDEX('Shooter-Squad Assignment'!$A:$A,MATCH(C78&amp;"-"&amp;D78&amp;"-"&amp;E78&amp;"-Pos4",'Shooter-Squad Assignment'!#REF!,0)),""),IF(E78="Trap",IFERROR(INDEX('Shooter-Squad Assignment'!$A:$A,MATCH(C78&amp;"-"&amp;D78&amp;"-"&amp;E78&amp;"-Pos4",'Shooter-Squad Assignment'!$V:$V,0)),""),IF(E78="Sporting Clays",IFERROR(INDEX('Shooter-Squad Assignment'!$A:$A,MATCH(C78&amp;"-"&amp;D78&amp;"-"&amp;E78&amp;"-Pos4",'Shooter-Squad Assignment'!$Y:$Y,0)),""),"")))</f>
        <v/>
      </c>
      <c r="M78" s="92" t="str">
        <f>IF(ISBLANK(L78),"",IFERROR(INDEX('Tournament List'!$D:$D,MATCH(L78,'Tournament List'!$A:$A,0)),""))</f>
        <v/>
      </c>
      <c r="N78" s="101" t="str">
        <f>IF(E78="Skeet",IFERROR(INDEX('Shooter-Squad Assignment'!$A:$A,MATCH(C78&amp;"-"&amp;D78&amp;"-"&amp;E78&amp;"-Pos5",'Shooter-Squad Assignment'!#REF!,0)),""),IF(E78="Trap",IFERROR(INDEX('Shooter-Squad Assignment'!$A:$A,MATCH(C78&amp;"-"&amp;D78&amp;"-"&amp;E78&amp;"-Pos5",'Shooter-Squad Assignment'!$V:$V,0)),""),IF(E78="Sporting Clays",IFERROR(INDEX('Shooter-Squad Assignment'!$A:$A,MATCH(C78&amp;"-"&amp;D78&amp;"-"&amp;E78&amp;"-Pos5",'Shooter-Squad Assignment'!$Y:$Y,0)),""),"")))</f>
        <v/>
      </c>
      <c r="O78" s="93" t="str">
        <f>IF(ISBLANK(N78),"",IFERROR(INDEX('Tournament List'!$D:$D,MATCH(N78,'Tournament List'!$A:$A,0)),""))</f>
        <v/>
      </c>
    </row>
    <row r="79" spans="1:15" x14ac:dyDescent="0.3">
      <c r="A79" s="91">
        <v>87</v>
      </c>
      <c r="B79" s="92" t="str">
        <f t="shared" si="1"/>
        <v>Rocky Mountain Clay Busters-Intermediate 3-Trap</v>
      </c>
      <c r="C79" s="92" t="s">
        <v>320</v>
      </c>
      <c r="D79" s="92" t="s">
        <v>352</v>
      </c>
      <c r="E79" s="92" t="s">
        <v>147</v>
      </c>
      <c r="F79" s="101" t="str">
        <f>IF(E79="Skeet",IFERROR(INDEX('Shooter-Squad Assignment'!$A:$A,MATCH(C79&amp;"-"&amp;D79&amp;"-"&amp;E79&amp;"-Pos1",'Shooter-Squad Assignment'!#REF!,0)),""),IF(E79="Trap",IFERROR(INDEX('Shooter-Squad Assignment'!$A:$A,MATCH(C79&amp;"-"&amp;D79&amp;"-"&amp;E79&amp;"-Pos1",'Shooter-Squad Assignment'!$V:$V,0)),""),IF(E79="Sporting Clays",IFERROR(INDEX('Shooter-Squad Assignment'!$A:$A,MATCH(C79&amp;"-"&amp;D79&amp;"-"&amp;E79&amp;"-Pos1",'Shooter-Squad Assignment'!$Y:$Y,0)),""),"")))</f>
        <v/>
      </c>
      <c r="G79" s="92" t="str">
        <f>IF(ISBLANK(F79),"",IFERROR(INDEX('Tournament List'!$D:$D,MATCH(F79,'Tournament List'!$A:$A,0)),""))</f>
        <v/>
      </c>
      <c r="H79" s="101" t="str">
        <f>IF(E79="Skeet",IFERROR(INDEX('Shooter-Squad Assignment'!$A:$A,MATCH(C79&amp;"-"&amp;D79&amp;"-"&amp;E79&amp;"-Pos2",'Shooter-Squad Assignment'!#REF!,0)),""),IF(E79="Trap",IFERROR(INDEX('Shooter-Squad Assignment'!$A:$A,MATCH(C79&amp;"-"&amp;D79&amp;"-"&amp;E79&amp;"-Pos2",'Shooter-Squad Assignment'!$V:$V,0)),""),IF(E79="Sporting Clays",IFERROR(INDEX('Shooter-Squad Assignment'!$A:$A,MATCH(C79&amp;"-"&amp;D79&amp;"-"&amp;E79&amp;"-Pos2",'Shooter-Squad Assignment'!$Y:$Y,0)),""),"")))</f>
        <v/>
      </c>
      <c r="I79" s="92" t="str">
        <f>IF(ISBLANK(H79),"",IFERROR(INDEX('Tournament List'!$D:$D,MATCH(H79,'Tournament List'!$A:$A,0)),""))</f>
        <v/>
      </c>
      <c r="J79" s="101" t="str">
        <f>IF(E79="Skeet",IFERROR(INDEX('Shooter-Squad Assignment'!$A:$A,MATCH(C79&amp;"-"&amp;D79&amp;"-"&amp;E79&amp;"-Pos3",'Shooter-Squad Assignment'!#REF!,0)),""),IF(E79="Trap",IFERROR(INDEX('Shooter-Squad Assignment'!$A:$A,MATCH(C79&amp;"-"&amp;D79&amp;"-"&amp;E79&amp;"-Pos3",'Shooter-Squad Assignment'!$V:$V,0)),""),IF(E79="Sporting Clays",IFERROR(INDEX('Shooter-Squad Assignment'!$A:$A,MATCH(C79&amp;"-"&amp;D79&amp;"-"&amp;E79&amp;"-Pos3",'Shooter-Squad Assignment'!$Y:$Y,0)),""),"")))</f>
        <v/>
      </c>
      <c r="K79" s="92" t="str">
        <f>IF(ISBLANK(J79),"",IFERROR(INDEX('Tournament List'!$D:$D,MATCH(J79,'Tournament List'!$A:$A,0)),""))</f>
        <v/>
      </c>
      <c r="L79" s="101" t="str">
        <f>IF(E79="Skeet",IFERROR(INDEX('Shooter-Squad Assignment'!$A:$A,MATCH(C79&amp;"-"&amp;D79&amp;"-"&amp;E79&amp;"-Pos4",'Shooter-Squad Assignment'!#REF!,0)),""),IF(E79="Trap",IFERROR(INDEX('Shooter-Squad Assignment'!$A:$A,MATCH(C79&amp;"-"&amp;D79&amp;"-"&amp;E79&amp;"-Pos4",'Shooter-Squad Assignment'!$V:$V,0)),""),IF(E79="Sporting Clays",IFERROR(INDEX('Shooter-Squad Assignment'!$A:$A,MATCH(C79&amp;"-"&amp;D79&amp;"-"&amp;E79&amp;"-Pos4",'Shooter-Squad Assignment'!$Y:$Y,0)),""),"")))</f>
        <v/>
      </c>
      <c r="M79" s="92" t="str">
        <f>IF(ISBLANK(L79),"",IFERROR(INDEX('Tournament List'!$D:$D,MATCH(L79,'Tournament List'!$A:$A,0)),""))</f>
        <v/>
      </c>
      <c r="N79" s="101" t="str">
        <f>IF(E79="Skeet",IFERROR(INDEX('Shooter-Squad Assignment'!$A:$A,MATCH(C79&amp;"-"&amp;D79&amp;"-"&amp;E79&amp;"-Pos5",'Shooter-Squad Assignment'!#REF!,0)),""),IF(E79="Trap",IFERROR(INDEX('Shooter-Squad Assignment'!$A:$A,MATCH(C79&amp;"-"&amp;D79&amp;"-"&amp;E79&amp;"-Pos5",'Shooter-Squad Assignment'!$V:$V,0)),""),IF(E79="Sporting Clays",IFERROR(INDEX('Shooter-Squad Assignment'!$A:$A,MATCH(C79&amp;"-"&amp;D79&amp;"-"&amp;E79&amp;"-Pos5",'Shooter-Squad Assignment'!$Y:$Y,0)),""),"")))</f>
        <v/>
      </c>
      <c r="O79" s="93" t="str">
        <f>IF(ISBLANK(N79),"",IFERROR(INDEX('Tournament List'!$D:$D,MATCH(N79,'Tournament List'!$A:$A,0)),""))</f>
        <v/>
      </c>
    </row>
    <row r="80" spans="1:15" x14ac:dyDescent="0.3">
      <c r="A80" s="91">
        <v>88</v>
      </c>
      <c r="B80" s="92" t="str">
        <f t="shared" si="1"/>
        <v>Rocky Mountain Clay Busters-Junior Varsity 1-Trap</v>
      </c>
      <c r="C80" s="92" t="s">
        <v>320</v>
      </c>
      <c r="D80" s="92" t="s">
        <v>341</v>
      </c>
      <c r="E80" s="92" t="s">
        <v>147</v>
      </c>
      <c r="F80" s="101" t="str">
        <f>IF(E80="Skeet",IFERROR(INDEX('Shooter-Squad Assignment'!$A:$A,MATCH(C80&amp;"-"&amp;D80&amp;"-"&amp;E80&amp;"-Pos1",'Shooter-Squad Assignment'!#REF!,0)),""),IF(E80="Trap",IFERROR(INDEX('Shooter-Squad Assignment'!$A:$A,MATCH(C80&amp;"-"&amp;D80&amp;"-"&amp;E80&amp;"-Pos1",'Shooter-Squad Assignment'!$V:$V,0)),""),IF(E80="Sporting Clays",IFERROR(INDEX('Shooter-Squad Assignment'!$A:$A,MATCH(C80&amp;"-"&amp;D80&amp;"-"&amp;E80&amp;"-Pos1",'Shooter-Squad Assignment'!$Y:$Y,0)),""),"")))</f>
        <v/>
      </c>
      <c r="G80" s="92" t="str">
        <f>IF(ISBLANK(F80),"",IFERROR(INDEX('Tournament List'!$D:$D,MATCH(F80,'Tournament List'!$A:$A,0)),""))</f>
        <v/>
      </c>
      <c r="H80" s="101" t="str">
        <f>IF(E80="Skeet",IFERROR(INDEX('Shooter-Squad Assignment'!$A:$A,MATCH(C80&amp;"-"&amp;D80&amp;"-"&amp;E80&amp;"-Pos2",'Shooter-Squad Assignment'!#REF!,0)),""),IF(E80="Trap",IFERROR(INDEX('Shooter-Squad Assignment'!$A:$A,MATCH(C80&amp;"-"&amp;D80&amp;"-"&amp;E80&amp;"-Pos2",'Shooter-Squad Assignment'!$V:$V,0)),""),IF(E80="Sporting Clays",IFERROR(INDEX('Shooter-Squad Assignment'!$A:$A,MATCH(C80&amp;"-"&amp;D80&amp;"-"&amp;E80&amp;"-Pos2",'Shooter-Squad Assignment'!$Y:$Y,0)),""),"")))</f>
        <v/>
      </c>
      <c r="I80" s="92" t="str">
        <f>IF(ISBLANK(H80),"",IFERROR(INDEX('Tournament List'!$D:$D,MATCH(H80,'Tournament List'!$A:$A,0)),""))</f>
        <v/>
      </c>
      <c r="J80" s="101" t="str">
        <f>IF(E80="Skeet",IFERROR(INDEX('Shooter-Squad Assignment'!$A:$A,MATCH(C80&amp;"-"&amp;D80&amp;"-"&amp;E80&amp;"-Pos3",'Shooter-Squad Assignment'!#REF!,0)),""),IF(E80="Trap",IFERROR(INDEX('Shooter-Squad Assignment'!$A:$A,MATCH(C80&amp;"-"&amp;D80&amp;"-"&amp;E80&amp;"-Pos3",'Shooter-Squad Assignment'!$V:$V,0)),""),IF(E80="Sporting Clays",IFERROR(INDEX('Shooter-Squad Assignment'!$A:$A,MATCH(C80&amp;"-"&amp;D80&amp;"-"&amp;E80&amp;"-Pos3",'Shooter-Squad Assignment'!$Y:$Y,0)),""),"")))</f>
        <v/>
      </c>
      <c r="K80" s="92" t="str">
        <f>IF(ISBLANK(J80),"",IFERROR(INDEX('Tournament List'!$D:$D,MATCH(J80,'Tournament List'!$A:$A,0)),""))</f>
        <v/>
      </c>
      <c r="L80" s="101" t="str">
        <f>IF(E80="Skeet",IFERROR(INDEX('Shooter-Squad Assignment'!$A:$A,MATCH(C80&amp;"-"&amp;D80&amp;"-"&amp;E80&amp;"-Pos4",'Shooter-Squad Assignment'!#REF!,0)),""),IF(E80="Trap",IFERROR(INDEX('Shooter-Squad Assignment'!$A:$A,MATCH(C80&amp;"-"&amp;D80&amp;"-"&amp;E80&amp;"-Pos4",'Shooter-Squad Assignment'!$V:$V,0)),""),IF(E80="Sporting Clays",IFERROR(INDEX('Shooter-Squad Assignment'!$A:$A,MATCH(C80&amp;"-"&amp;D80&amp;"-"&amp;E80&amp;"-Pos4",'Shooter-Squad Assignment'!$Y:$Y,0)),""),"")))</f>
        <v/>
      </c>
      <c r="M80" s="92" t="str">
        <f>IF(ISBLANK(L80),"",IFERROR(INDEX('Tournament List'!$D:$D,MATCH(L80,'Tournament List'!$A:$A,0)),""))</f>
        <v/>
      </c>
      <c r="N80" s="101" t="str">
        <f>IF(E80="Skeet",IFERROR(INDEX('Shooter-Squad Assignment'!$A:$A,MATCH(C80&amp;"-"&amp;D80&amp;"-"&amp;E80&amp;"-Pos5",'Shooter-Squad Assignment'!#REF!,0)),""),IF(E80="Trap",IFERROR(INDEX('Shooter-Squad Assignment'!$A:$A,MATCH(C80&amp;"-"&amp;D80&amp;"-"&amp;E80&amp;"-Pos5",'Shooter-Squad Assignment'!$V:$V,0)),""),IF(E80="Sporting Clays",IFERROR(INDEX('Shooter-Squad Assignment'!$A:$A,MATCH(C80&amp;"-"&amp;D80&amp;"-"&amp;E80&amp;"-Pos5",'Shooter-Squad Assignment'!$Y:$Y,0)),""),"")))</f>
        <v/>
      </c>
      <c r="O80" s="93" t="str">
        <f>IF(ISBLANK(N80),"",IFERROR(INDEX('Tournament List'!$D:$D,MATCH(N80,'Tournament List'!$A:$A,0)),""))</f>
        <v/>
      </c>
    </row>
    <row r="81" spans="1:15" x14ac:dyDescent="0.3">
      <c r="A81" s="91">
        <v>89</v>
      </c>
      <c r="B81" s="92" t="str">
        <f t="shared" si="1"/>
        <v>Rocky Mountain Clay Busters-Junior Varsity 2-Trap</v>
      </c>
      <c r="C81" s="92" t="s">
        <v>320</v>
      </c>
      <c r="D81" s="92" t="s">
        <v>347</v>
      </c>
      <c r="E81" s="92" t="s">
        <v>147</v>
      </c>
      <c r="F81" s="101" t="str">
        <f>IF(E81="Skeet",IFERROR(INDEX('Shooter-Squad Assignment'!$A:$A,MATCH(C81&amp;"-"&amp;D81&amp;"-"&amp;E81&amp;"-Pos1",'Shooter-Squad Assignment'!#REF!,0)),""),IF(E81="Trap",IFERROR(INDEX('Shooter-Squad Assignment'!$A:$A,MATCH(C81&amp;"-"&amp;D81&amp;"-"&amp;E81&amp;"-Pos1",'Shooter-Squad Assignment'!$V:$V,0)),""),IF(E81="Sporting Clays",IFERROR(INDEX('Shooter-Squad Assignment'!$A:$A,MATCH(C81&amp;"-"&amp;D81&amp;"-"&amp;E81&amp;"-Pos1",'Shooter-Squad Assignment'!$Y:$Y,0)),""),"")))</f>
        <v/>
      </c>
      <c r="G81" s="92" t="str">
        <f>IF(ISBLANK(F81),"",IFERROR(INDEX('Tournament List'!$D:$D,MATCH(F81,'Tournament List'!$A:$A,0)),""))</f>
        <v/>
      </c>
      <c r="H81" s="101" t="str">
        <f>IF(E81="Skeet",IFERROR(INDEX('Shooter-Squad Assignment'!$A:$A,MATCH(C81&amp;"-"&amp;D81&amp;"-"&amp;E81&amp;"-Pos2",'Shooter-Squad Assignment'!#REF!,0)),""),IF(E81="Trap",IFERROR(INDEX('Shooter-Squad Assignment'!$A:$A,MATCH(C81&amp;"-"&amp;D81&amp;"-"&amp;E81&amp;"-Pos2",'Shooter-Squad Assignment'!$V:$V,0)),""),IF(E81="Sporting Clays",IFERROR(INDEX('Shooter-Squad Assignment'!$A:$A,MATCH(C81&amp;"-"&amp;D81&amp;"-"&amp;E81&amp;"-Pos2",'Shooter-Squad Assignment'!$Y:$Y,0)),""),"")))</f>
        <v/>
      </c>
      <c r="I81" s="92" t="str">
        <f>IF(ISBLANK(H81),"",IFERROR(INDEX('Tournament List'!$D:$D,MATCH(H81,'Tournament List'!$A:$A,0)),""))</f>
        <v/>
      </c>
      <c r="J81" s="101" t="str">
        <f>IF(E81="Skeet",IFERROR(INDEX('Shooter-Squad Assignment'!$A:$A,MATCH(C81&amp;"-"&amp;D81&amp;"-"&amp;E81&amp;"-Pos3",'Shooter-Squad Assignment'!#REF!,0)),""),IF(E81="Trap",IFERROR(INDEX('Shooter-Squad Assignment'!$A:$A,MATCH(C81&amp;"-"&amp;D81&amp;"-"&amp;E81&amp;"-Pos3",'Shooter-Squad Assignment'!$V:$V,0)),""),IF(E81="Sporting Clays",IFERROR(INDEX('Shooter-Squad Assignment'!$A:$A,MATCH(C81&amp;"-"&amp;D81&amp;"-"&amp;E81&amp;"-Pos3",'Shooter-Squad Assignment'!$Y:$Y,0)),""),"")))</f>
        <v/>
      </c>
      <c r="K81" s="92" t="str">
        <f>IF(ISBLANK(J81),"",IFERROR(INDEX('Tournament List'!$D:$D,MATCH(J81,'Tournament List'!$A:$A,0)),""))</f>
        <v/>
      </c>
      <c r="L81" s="101" t="str">
        <f>IF(E81="Skeet",IFERROR(INDEX('Shooter-Squad Assignment'!$A:$A,MATCH(C81&amp;"-"&amp;D81&amp;"-"&amp;E81&amp;"-Pos4",'Shooter-Squad Assignment'!#REF!,0)),""),IF(E81="Trap",IFERROR(INDEX('Shooter-Squad Assignment'!$A:$A,MATCH(C81&amp;"-"&amp;D81&amp;"-"&amp;E81&amp;"-Pos4",'Shooter-Squad Assignment'!$V:$V,0)),""),IF(E81="Sporting Clays",IFERROR(INDEX('Shooter-Squad Assignment'!$A:$A,MATCH(C81&amp;"-"&amp;D81&amp;"-"&amp;E81&amp;"-Pos4",'Shooter-Squad Assignment'!$Y:$Y,0)),""),"")))</f>
        <v/>
      </c>
      <c r="M81" s="92" t="str">
        <f>IF(ISBLANK(L81),"",IFERROR(INDEX('Tournament List'!$D:$D,MATCH(L81,'Tournament List'!$A:$A,0)),""))</f>
        <v/>
      </c>
      <c r="N81" s="101" t="str">
        <f>IF(E81="Skeet",IFERROR(INDEX('Shooter-Squad Assignment'!$A:$A,MATCH(C81&amp;"-"&amp;D81&amp;"-"&amp;E81&amp;"-Pos5",'Shooter-Squad Assignment'!#REF!,0)),""),IF(E81="Trap",IFERROR(INDEX('Shooter-Squad Assignment'!$A:$A,MATCH(C81&amp;"-"&amp;D81&amp;"-"&amp;E81&amp;"-Pos5",'Shooter-Squad Assignment'!$V:$V,0)),""),IF(E81="Sporting Clays",IFERROR(INDEX('Shooter-Squad Assignment'!$A:$A,MATCH(C81&amp;"-"&amp;D81&amp;"-"&amp;E81&amp;"-Pos5",'Shooter-Squad Assignment'!$Y:$Y,0)),""),"")))</f>
        <v/>
      </c>
      <c r="O81" s="93" t="str">
        <f>IF(ISBLANK(N81),"",IFERROR(INDEX('Tournament List'!$D:$D,MATCH(N81,'Tournament List'!$A:$A,0)),""))</f>
        <v/>
      </c>
    </row>
    <row r="82" spans="1:15" x14ac:dyDescent="0.3">
      <c r="A82" s="91">
        <v>90</v>
      </c>
      <c r="B82" s="92" t="str">
        <f t="shared" si="1"/>
        <v>Rocky Mountain Clay Busters-Junior Varsity 3-Trap</v>
      </c>
      <c r="C82" s="92" t="s">
        <v>320</v>
      </c>
      <c r="D82" s="92" t="s">
        <v>353</v>
      </c>
      <c r="E82" s="92" t="s">
        <v>147</v>
      </c>
      <c r="F82" s="101" t="str">
        <f>IF(E82="Skeet",IFERROR(INDEX('Shooter-Squad Assignment'!$A:$A,MATCH(C82&amp;"-"&amp;D82&amp;"-"&amp;E82&amp;"-Pos1",'Shooter-Squad Assignment'!#REF!,0)),""),IF(E82="Trap",IFERROR(INDEX('Shooter-Squad Assignment'!$A:$A,MATCH(C82&amp;"-"&amp;D82&amp;"-"&amp;E82&amp;"-Pos1",'Shooter-Squad Assignment'!$V:$V,0)),""),IF(E82="Sporting Clays",IFERROR(INDEX('Shooter-Squad Assignment'!$A:$A,MATCH(C82&amp;"-"&amp;D82&amp;"-"&amp;E82&amp;"-Pos1",'Shooter-Squad Assignment'!$Y:$Y,0)),""),"")))</f>
        <v/>
      </c>
      <c r="G82" s="92" t="str">
        <f>IF(ISBLANK(F82),"",IFERROR(INDEX('Tournament List'!$D:$D,MATCH(F82,'Tournament List'!$A:$A,0)),""))</f>
        <v/>
      </c>
      <c r="H82" s="101" t="str">
        <f>IF(E82="Skeet",IFERROR(INDEX('Shooter-Squad Assignment'!$A:$A,MATCH(C82&amp;"-"&amp;D82&amp;"-"&amp;E82&amp;"-Pos2",'Shooter-Squad Assignment'!#REF!,0)),""),IF(E82="Trap",IFERROR(INDEX('Shooter-Squad Assignment'!$A:$A,MATCH(C82&amp;"-"&amp;D82&amp;"-"&amp;E82&amp;"-Pos2",'Shooter-Squad Assignment'!$V:$V,0)),""),IF(E82="Sporting Clays",IFERROR(INDEX('Shooter-Squad Assignment'!$A:$A,MATCH(C82&amp;"-"&amp;D82&amp;"-"&amp;E82&amp;"-Pos2",'Shooter-Squad Assignment'!$Y:$Y,0)),""),"")))</f>
        <v/>
      </c>
      <c r="I82" s="92" t="str">
        <f>IF(ISBLANK(H82),"",IFERROR(INDEX('Tournament List'!$D:$D,MATCH(H82,'Tournament List'!$A:$A,0)),""))</f>
        <v/>
      </c>
      <c r="J82" s="101" t="str">
        <f>IF(E82="Skeet",IFERROR(INDEX('Shooter-Squad Assignment'!$A:$A,MATCH(C82&amp;"-"&amp;D82&amp;"-"&amp;E82&amp;"-Pos3",'Shooter-Squad Assignment'!#REF!,0)),""),IF(E82="Trap",IFERROR(INDEX('Shooter-Squad Assignment'!$A:$A,MATCH(C82&amp;"-"&amp;D82&amp;"-"&amp;E82&amp;"-Pos3",'Shooter-Squad Assignment'!$V:$V,0)),""),IF(E82="Sporting Clays",IFERROR(INDEX('Shooter-Squad Assignment'!$A:$A,MATCH(C82&amp;"-"&amp;D82&amp;"-"&amp;E82&amp;"-Pos3",'Shooter-Squad Assignment'!$Y:$Y,0)),""),"")))</f>
        <v/>
      </c>
      <c r="K82" s="92" t="str">
        <f>IF(ISBLANK(J82),"",IFERROR(INDEX('Tournament List'!$D:$D,MATCH(J82,'Tournament List'!$A:$A,0)),""))</f>
        <v/>
      </c>
      <c r="L82" s="101" t="str">
        <f>IF(E82="Skeet",IFERROR(INDEX('Shooter-Squad Assignment'!$A:$A,MATCH(C82&amp;"-"&amp;D82&amp;"-"&amp;E82&amp;"-Pos4",'Shooter-Squad Assignment'!#REF!,0)),""),IF(E82="Trap",IFERROR(INDEX('Shooter-Squad Assignment'!$A:$A,MATCH(C82&amp;"-"&amp;D82&amp;"-"&amp;E82&amp;"-Pos4",'Shooter-Squad Assignment'!$V:$V,0)),""),IF(E82="Sporting Clays",IFERROR(INDEX('Shooter-Squad Assignment'!$A:$A,MATCH(C82&amp;"-"&amp;D82&amp;"-"&amp;E82&amp;"-Pos4",'Shooter-Squad Assignment'!$Y:$Y,0)),""),"")))</f>
        <v/>
      </c>
      <c r="M82" s="92" t="str">
        <f>IF(ISBLANK(L82),"",IFERROR(INDEX('Tournament List'!$D:$D,MATCH(L82,'Tournament List'!$A:$A,0)),""))</f>
        <v/>
      </c>
      <c r="N82" s="101" t="str">
        <f>IF(E82="Skeet",IFERROR(INDEX('Shooter-Squad Assignment'!$A:$A,MATCH(C82&amp;"-"&amp;D82&amp;"-"&amp;E82&amp;"-Pos5",'Shooter-Squad Assignment'!#REF!,0)),""),IF(E82="Trap",IFERROR(INDEX('Shooter-Squad Assignment'!$A:$A,MATCH(C82&amp;"-"&amp;D82&amp;"-"&amp;E82&amp;"-Pos5",'Shooter-Squad Assignment'!$V:$V,0)),""),IF(E82="Sporting Clays",IFERROR(INDEX('Shooter-Squad Assignment'!$A:$A,MATCH(C82&amp;"-"&amp;D82&amp;"-"&amp;E82&amp;"-Pos5",'Shooter-Squad Assignment'!$Y:$Y,0)),""),"")))</f>
        <v/>
      </c>
      <c r="O82" s="93" t="str">
        <f>IF(ISBLANK(N82),"",IFERROR(INDEX('Tournament List'!$D:$D,MATCH(N82,'Tournament List'!$A:$A,0)),""))</f>
        <v/>
      </c>
    </row>
    <row r="83" spans="1:15" x14ac:dyDescent="0.3">
      <c r="A83" s="91">
        <v>91</v>
      </c>
      <c r="B83" s="92" t="str">
        <f t="shared" si="1"/>
        <v>Rocky Mountain Clay Busters-Novice 1-Trap</v>
      </c>
      <c r="C83" s="92" t="s">
        <v>320</v>
      </c>
      <c r="D83" s="92" t="s">
        <v>339</v>
      </c>
      <c r="E83" s="92" t="s">
        <v>147</v>
      </c>
      <c r="F83" s="101" t="str">
        <f>IF(E83="Skeet",IFERROR(INDEX('Shooter-Squad Assignment'!$A:$A,MATCH(C83&amp;"-"&amp;D83&amp;"-"&amp;E83&amp;"-Pos1",'Shooter-Squad Assignment'!#REF!,0)),""),IF(E83="Trap",IFERROR(INDEX('Shooter-Squad Assignment'!$A:$A,MATCH(C83&amp;"-"&amp;D83&amp;"-"&amp;E83&amp;"-Pos1",'Shooter-Squad Assignment'!$V:$V,0)),""),IF(E83="Sporting Clays",IFERROR(INDEX('Shooter-Squad Assignment'!$A:$A,MATCH(C83&amp;"-"&amp;D83&amp;"-"&amp;E83&amp;"-Pos1",'Shooter-Squad Assignment'!$Y:$Y,0)),""),"")))</f>
        <v/>
      </c>
      <c r="G83" s="92" t="str">
        <f>IF(ISBLANK(F83),"",IFERROR(INDEX('Tournament List'!$D:$D,MATCH(F83,'Tournament List'!$A:$A,0)),""))</f>
        <v/>
      </c>
      <c r="H83" s="101" t="str">
        <f>IF(E83="Skeet",IFERROR(INDEX('Shooter-Squad Assignment'!$A:$A,MATCH(C83&amp;"-"&amp;D83&amp;"-"&amp;E83&amp;"-Pos2",'Shooter-Squad Assignment'!#REF!,0)),""),IF(E83="Trap",IFERROR(INDEX('Shooter-Squad Assignment'!$A:$A,MATCH(C83&amp;"-"&amp;D83&amp;"-"&amp;E83&amp;"-Pos2",'Shooter-Squad Assignment'!$V:$V,0)),""),IF(E83="Sporting Clays",IFERROR(INDEX('Shooter-Squad Assignment'!$A:$A,MATCH(C83&amp;"-"&amp;D83&amp;"-"&amp;E83&amp;"-Pos2",'Shooter-Squad Assignment'!$Y:$Y,0)),""),"")))</f>
        <v/>
      </c>
      <c r="I83" s="92" t="str">
        <f>IF(ISBLANK(H83),"",IFERROR(INDEX('Tournament List'!$D:$D,MATCH(H83,'Tournament List'!$A:$A,0)),""))</f>
        <v/>
      </c>
      <c r="J83" s="101" t="str">
        <f>IF(E83="Skeet",IFERROR(INDEX('Shooter-Squad Assignment'!$A:$A,MATCH(C83&amp;"-"&amp;D83&amp;"-"&amp;E83&amp;"-Pos3",'Shooter-Squad Assignment'!#REF!,0)),""),IF(E83="Trap",IFERROR(INDEX('Shooter-Squad Assignment'!$A:$A,MATCH(C83&amp;"-"&amp;D83&amp;"-"&amp;E83&amp;"-Pos3",'Shooter-Squad Assignment'!$V:$V,0)),""),IF(E83="Sporting Clays",IFERROR(INDEX('Shooter-Squad Assignment'!$A:$A,MATCH(C83&amp;"-"&amp;D83&amp;"-"&amp;E83&amp;"-Pos3",'Shooter-Squad Assignment'!$Y:$Y,0)),""),"")))</f>
        <v/>
      </c>
      <c r="K83" s="92" t="str">
        <f>IF(ISBLANK(J83),"",IFERROR(INDEX('Tournament List'!$D:$D,MATCH(J83,'Tournament List'!$A:$A,0)),""))</f>
        <v/>
      </c>
      <c r="L83" s="101" t="str">
        <f>IF(E83="Skeet",IFERROR(INDEX('Shooter-Squad Assignment'!$A:$A,MATCH(C83&amp;"-"&amp;D83&amp;"-"&amp;E83&amp;"-Pos4",'Shooter-Squad Assignment'!#REF!,0)),""),IF(E83="Trap",IFERROR(INDEX('Shooter-Squad Assignment'!$A:$A,MATCH(C83&amp;"-"&amp;D83&amp;"-"&amp;E83&amp;"-Pos4",'Shooter-Squad Assignment'!$V:$V,0)),""),IF(E83="Sporting Clays",IFERROR(INDEX('Shooter-Squad Assignment'!$A:$A,MATCH(C83&amp;"-"&amp;D83&amp;"-"&amp;E83&amp;"-Pos4",'Shooter-Squad Assignment'!$Y:$Y,0)),""),"")))</f>
        <v/>
      </c>
      <c r="M83" s="92" t="str">
        <f>IF(ISBLANK(L83),"",IFERROR(INDEX('Tournament List'!$D:$D,MATCH(L83,'Tournament List'!$A:$A,0)),""))</f>
        <v/>
      </c>
      <c r="N83" s="101" t="str">
        <f>IF(E83="Skeet",IFERROR(INDEX('Shooter-Squad Assignment'!$A:$A,MATCH(C83&amp;"-"&amp;D83&amp;"-"&amp;E83&amp;"-Pos5",'Shooter-Squad Assignment'!#REF!,0)),""),IF(E83="Trap",IFERROR(INDEX('Shooter-Squad Assignment'!$A:$A,MATCH(C83&amp;"-"&amp;D83&amp;"-"&amp;E83&amp;"-Pos5",'Shooter-Squad Assignment'!$V:$V,0)),""),IF(E83="Sporting Clays",IFERROR(INDEX('Shooter-Squad Assignment'!$A:$A,MATCH(C83&amp;"-"&amp;D83&amp;"-"&amp;E83&amp;"-Pos5",'Shooter-Squad Assignment'!$Y:$Y,0)),""),"")))</f>
        <v/>
      </c>
      <c r="O83" s="93" t="str">
        <f>IF(ISBLANK(N83),"",IFERROR(INDEX('Tournament List'!$D:$D,MATCH(N83,'Tournament List'!$A:$A,0)),""))</f>
        <v/>
      </c>
    </row>
    <row r="84" spans="1:15" x14ac:dyDescent="0.3">
      <c r="A84" s="91">
        <v>92</v>
      </c>
      <c r="B84" s="92" t="str">
        <f t="shared" si="1"/>
        <v>Rocky Mountain Clay Busters-Novice 2-Trap</v>
      </c>
      <c r="C84" s="92" t="s">
        <v>320</v>
      </c>
      <c r="D84" s="92" t="s">
        <v>345</v>
      </c>
      <c r="E84" s="92" t="s">
        <v>147</v>
      </c>
      <c r="F84" s="101" t="str">
        <f>IF(E84="Skeet",IFERROR(INDEX('Shooter-Squad Assignment'!$A:$A,MATCH(C84&amp;"-"&amp;D84&amp;"-"&amp;E84&amp;"-Pos1",'Shooter-Squad Assignment'!#REF!,0)),""),IF(E84="Trap",IFERROR(INDEX('Shooter-Squad Assignment'!$A:$A,MATCH(C84&amp;"-"&amp;D84&amp;"-"&amp;E84&amp;"-Pos1",'Shooter-Squad Assignment'!$V:$V,0)),""),IF(E84="Sporting Clays",IFERROR(INDEX('Shooter-Squad Assignment'!$A:$A,MATCH(C84&amp;"-"&amp;D84&amp;"-"&amp;E84&amp;"-Pos1",'Shooter-Squad Assignment'!$Y:$Y,0)),""),"")))</f>
        <v/>
      </c>
      <c r="G84" s="92" t="str">
        <f>IF(ISBLANK(F84),"",IFERROR(INDEX('Tournament List'!$D:$D,MATCH(F84,'Tournament List'!$A:$A,0)),""))</f>
        <v/>
      </c>
      <c r="H84" s="101" t="str">
        <f>IF(E84="Skeet",IFERROR(INDEX('Shooter-Squad Assignment'!$A:$A,MATCH(C84&amp;"-"&amp;D84&amp;"-"&amp;E84&amp;"-Pos2",'Shooter-Squad Assignment'!#REF!,0)),""),IF(E84="Trap",IFERROR(INDEX('Shooter-Squad Assignment'!$A:$A,MATCH(C84&amp;"-"&amp;D84&amp;"-"&amp;E84&amp;"-Pos2",'Shooter-Squad Assignment'!$V:$V,0)),""),IF(E84="Sporting Clays",IFERROR(INDEX('Shooter-Squad Assignment'!$A:$A,MATCH(C84&amp;"-"&amp;D84&amp;"-"&amp;E84&amp;"-Pos2",'Shooter-Squad Assignment'!$Y:$Y,0)),""),"")))</f>
        <v/>
      </c>
      <c r="I84" s="92" t="str">
        <f>IF(ISBLANK(H84),"",IFERROR(INDEX('Tournament List'!$D:$D,MATCH(H84,'Tournament List'!$A:$A,0)),""))</f>
        <v/>
      </c>
      <c r="J84" s="101" t="str">
        <f>IF(E84="Skeet",IFERROR(INDEX('Shooter-Squad Assignment'!$A:$A,MATCH(C84&amp;"-"&amp;D84&amp;"-"&amp;E84&amp;"-Pos3",'Shooter-Squad Assignment'!#REF!,0)),""),IF(E84="Trap",IFERROR(INDEX('Shooter-Squad Assignment'!$A:$A,MATCH(C84&amp;"-"&amp;D84&amp;"-"&amp;E84&amp;"-Pos3",'Shooter-Squad Assignment'!$V:$V,0)),""),IF(E84="Sporting Clays",IFERROR(INDEX('Shooter-Squad Assignment'!$A:$A,MATCH(C84&amp;"-"&amp;D84&amp;"-"&amp;E84&amp;"-Pos3",'Shooter-Squad Assignment'!$Y:$Y,0)),""),"")))</f>
        <v/>
      </c>
      <c r="K84" s="92" t="str">
        <f>IF(ISBLANK(J84),"",IFERROR(INDEX('Tournament List'!$D:$D,MATCH(J84,'Tournament List'!$A:$A,0)),""))</f>
        <v/>
      </c>
      <c r="L84" s="101" t="str">
        <f>IF(E84="Skeet",IFERROR(INDEX('Shooter-Squad Assignment'!$A:$A,MATCH(C84&amp;"-"&amp;D84&amp;"-"&amp;E84&amp;"-Pos4",'Shooter-Squad Assignment'!#REF!,0)),""),IF(E84="Trap",IFERROR(INDEX('Shooter-Squad Assignment'!$A:$A,MATCH(C84&amp;"-"&amp;D84&amp;"-"&amp;E84&amp;"-Pos4",'Shooter-Squad Assignment'!$V:$V,0)),""),IF(E84="Sporting Clays",IFERROR(INDEX('Shooter-Squad Assignment'!$A:$A,MATCH(C84&amp;"-"&amp;D84&amp;"-"&amp;E84&amp;"-Pos4",'Shooter-Squad Assignment'!$Y:$Y,0)),""),"")))</f>
        <v/>
      </c>
      <c r="M84" s="92" t="str">
        <f>IF(ISBLANK(L84),"",IFERROR(INDEX('Tournament List'!$D:$D,MATCH(L84,'Tournament List'!$A:$A,0)),""))</f>
        <v/>
      </c>
      <c r="N84" s="101" t="str">
        <f>IF(E84="Skeet",IFERROR(INDEX('Shooter-Squad Assignment'!$A:$A,MATCH(C84&amp;"-"&amp;D84&amp;"-"&amp;E84&amp;"-Pos5",'Shooter-Squad Assignment'!#REF!,0)),""),IF(E84="Trap",IFERROR(INDEX('Shooter-Squad Assignment'!$A:$A,MATCH(C84&amp;"-"&amp;D84&amp;"-"&amp;E84&amp;"-Pos5",'Shooter-Squad Assignment'!$V:$V,0)),""),IF(E84="Sporting Clays",IFERROR(INDEX('Shooter-Squad Assignment'!$A:$A,MATCH(C84&amp;"-"&amp;D84&amp;"-"&amp;E84&amp;"-Pos5",'Shooter-Squad Assignment'!$Y:$Y,0)),""),"")))</f>
        <v/>
      </c>
      <c r="O84" s="93" t="str">
        <f>IF(ISBLANK(N84),"",IFERROR(INDEX('Tournament List'!$D:$D,MATCH(N84,'Tournament List'!$A:$A,0)),""))</f>
        <v/>
      </c>
    </row>
    <row r="85" spans="1:15" x14ac:dyDescent="0.3">
      <c r="A85" s="91">
        <v>93</v>
      </c>
      <c r="B85" s="92" t="str">
        <f t="shared" si="1"/>
        <v>Rocky Mountain Clay Busters-Novice 3-Trap</v>
      </c>
      <c r="C85" s="92" t="s">
        <v>320</v>
      </c>
      <c r="D85" s="92" t="s">
        <v>351</v>
      </c>
      <c r="E85" s="92" t="s">
        <v>147</v>
      </c>
      <c r="F85" s="101" t="str">
        <f>IF(E85="Skeet",IFERROR(INDEX('Shooter-Squad Assignment'!$A:$A,MATCH(C85&amp;"-"&amp;D85&amp;"-"&amp;E85&amp;"-Pos1",'Shooter-Squad Assignment'!#REF!,0)),""),IF(E85="Trap",IFERROR(INDEX('Shooter-Squad Assignment'!$A:$A,MATCH(C85&amp;"-"&amp;D85&amp;"-"&amp;E85&amp;"-Pos1",'Shooter-Squad Assignment'!$V:$V,0)),""),IF(E85="Sporting Clays",IFERROR(INDEX('Shooter-Squad Assignment'!$A:$A,MATCH(C85&amp;"-"&amp;D85&amp;"-"&amp;E85&amp;"-Pos1",'Shooter-Squad Assignment'!$Y:$Y,0)),""),"")))</f>
        <v/>
      </c>
      <c r="G85" s="92" t="str">
        <f>IF(ISBLANK(F85),"",IFERROR(INDEX('Tournament List'!$D:$D,MATCH(F85,'Tournament List'!$A:$A,0)),""))</f>
        <v/>
      </c>
      <c r="H85" s="101" t="str">
        <f>IF(E85="Skeet",IFERROR(INDEX('Shooter-Squad Assignment'!$A:$A,MATCH(C85&amp;"-"&amp;D85&amp;"-"&amp;E85&amp;"-Pos2",'Shooter-Squad Assignment'!#REF!,0)),""),IF(E85="Trap",IFERROR(INDEX('Shooter-Squad Assignment'!$A:$A,MATCH(C85&amp;"-"&amp;D85&amp;"-"&amp;E85&amp;"-Pos2",'Shooter-Squad Assignment'!$V:$V,0)),""),IF(E85="Sporting Clays",IFERROR(INDEX('Shooter-Squad Assignment'!$A:$A,MATCH(C85&amp;"-"&amp;D85&amp;"-"&amp;E85&amp;"-Pos2",'Shooter-Squad Assignment'!$Y:$Y,0)),""),"")))</f>
        <v/>
      </c>
      <c r="I85" s="92" t="str">
        <f>IF(ISBLANK(H85),"",IFERROR(INDEX('Tournament List'!$D:$D,MATCH(H85,'Tournament List'!$A:$A,0)),""))</f>
        <v/>
      </c>
      <c r="J85" s="101" t="str">
        <f>IF(E85="Skeet",IFERROR(INDEX('Shooter-Squad Assignment'!$A:$A,MATCH(C85&amp;"-"&amp;D85&amp;"-"&amp;E85&amp;"-Pos3",'Shooter-Squad Assignment'!#REF!,0)),""),IF(E85="Trap",IFERROR(INDEX('Shooter-Squad Assignment'!$A:$A,MATCH(C85&amp;"-"&amp;D85&amp;"-"&amp;E85&amp;"-Pos3",'Shooter-Squad Assignment'!$V:$V,0)),""),IF(E85="Sporting Clays",IFERROR(INDEX('Shooter-Squad Assignment'!$A:$A,MATCH(C85&amp;"-"&amp;D85&amp;"-"&amp;E85&amp;"-Pos3",'Shooter-Squad Assignment'!$Y:$Y,0)),""),"")))</f>
        <v/>
      </c>
      <c r="K85" s="92" t="str">
        <f>IF(ISBLANK(J85),"",IFERROR(INDEX('Tournament List'!$D:$D,MATCH(J85,'Tournament List'!$A:$A,0)),""))</f>
        <v/>
      </c>
      <c r="L85" s="101" t="str">
        <f>IF(E85="Skeet",IFERROR(INDEX('Shooter-Squad Assignment'!$A:$A,MATCH(C85&amp;"-"&amp;D85&amp;"-"&amp;E85&amp;"-Pos4",'Shooter-Squad Assignment'!#REF!,0)),""),IF(E85="Trap",IFERROR(INDEX('Shooter-Squad Assignment'!$A:$A,MATCH(C85&amp;"-"&amp;D85&amp;"-"&amp;E85&amp;"-Pos4",'Shooter-Squad Assignment'!$V:$V,0)),""),IF(E85="Sporting Clays",IFERROR(INDEX('Shooter-Squad Assignment'!$A:$A,MATCH(C85&amp;"-"&amp;D85&amp;"-"&amp;E85&amp;"-Pos4",'Shooter-Squad Assignment'!$Y:$Y,0)),""),"")))</f>
        <v/>
      </c>
      <c r="M85" s="92" t="str">
        <f>IF(ISBLANK(L85),"",IFERROR(INDEX('Tournament List'!$D:$D,MATCH(L85,'Tournament List'!$A:$A,0)),""))</f>
        <v/>
      </c>
      <c r="N85" s="101" t="str">
        <f>IF(E85="Skeet",IFERROR(INDEX('Shooter-Squad Assignment'!$A:$A,MATCH(C85&amp;"-"&amp;D85&amp;"-"&amp;E85&amp;"-Pos5",'Shooter-Squad Assignment'!#REF!,0)),""),IF(E85="Trap",IFERROR(INDEX('Shooter-Squad Assignment'!$A:$A,MATCH(C85&amp;"-"&amp;D85&amp;"-"&amp;E85&amp;"-Pos5",'Shooter-Squad Assignment'!$V:$V,0)),""),IF(E85="Sporting Clays",IFERROR(INDEX('Shooter-Squad Assignment'!$A:$A,MATCH(C85&amp;"-"&amp;D85&amp;"-"&amp;E85&amp;"-Pos5",'Shooter-Squad Assignment'!$Y:$Y,0)),""),"")))</f>
        <v/>
      </c>
      <c r="O85" s="93" t="str">
        <f>IF(ISBLANK(N85),"",IFERROR(INDEX('Tournament List'!$D:$D,MATCH(N85,'Tournament List'!$A:$A,0)),""))</f>
        <v/>
      </c>
    </row>
    <row r="86" spans="1:15" x14ac:dyDescent="0.3">
      <c r="A86" s="91">
        <v>94</v>
      </c>
      <c r="B86" s="92" t="str">
        <f t="shared" si="1"/>
        <v>Rocky Mountain Clay Busters-Open 1-Trap</v>
      </c>
      <c r="C86" s="92" t="s">
        <v>320</v>
      </c>
      <c r="D86" s="92" t="s">
        <v>343</v>
      </c>
      <c r="E86" s="92" t="s">
        <v>147</v>
      </c>
      <c r="F86" s="101" t="str">
        <f>IF(E86="Skeet",IFERROR(INDEX('Shooter-Squad Assignment'!$A:$A,MATCH(C86&amp;"-"&amp;D86&amp;"-"&amp;E86&amp;"-Pos1",'Shooter-Squad Assignment'!#REF!,0)),""),IF(E86="Trap",IFERROR(INDEX('Shooter-Squad Assignment'!$A:$A,MATCH(C86&amp;"-"&amp;D86&amp;"-"&amp;E86&amp;"-Pos1",'Shooter-Squad Assignment'!$V:$V,0)),""),IF(E86="Sporting Clays",IFERROR(INDEX('Shooter-Squad Assignment'!$A:$A,MATCH(C86&amp;"-"&amp;D86&amp;"-"&amp;E86&amp;"-Pos1",'Shooter-Squad Assignment'!$Y:$Y,0)),""),"")))</f>
        <v/>
      </c>
      <c r="G86" s="92" t="str">
        <f>IF(ISBLANK(F86),"",IFERROR(INDEX('Tournament List'!$D:$D,MATCH(F86,'Tournament List'!$A:$A,0)),""))</f>
        <v/>
      </c>
      <c r="H86" s="101" t="str">
        <f>IF(E86="Skeet",IFERROR(INDEX('Shooter-Squad Assignment'!$A:$A,MATCH(C86&amp;"-"&amp;D86&amp;"-"&amp;E86&amp;"-Pos2",'Shooter-Squad Assignment'!#REF!,0)),""),IF(E86="Trap",IFERROR(INDEX('Shooter-Squad Assignment'!$A:$A,MATCH(C86&amp;"-"&amp;D86&amp;"-"&amp;E86&amp;"-Pos2",'Shooter-Squad Assignment'!$V:$V,0)),""),IF(E86="Sporting Clays",IFERROR(INDEX('Shooter-Squad Assignment'!$A:$A,MATCH(C86&amp;"-"&amp;D86&amp;"-"&amp;E86&amp;"-Pos2",'Shooter-Squad Assignment'!$Y:$Y,0)),""),"")))</f>
        <v/>
      </c>
      <c r="I86" s="92" t="str">
        <f>IF(ISBLANK(H86),"",IFERROR(INDEX('Tournament List'!$D:$D,MATCH(H86,'Tournament List'!$A:$A,0)),""))</f>
        <v/>
      </c>
      <c r="J86" s="101" t="str">
        <f>IF(E86="Skeet",IFERROR(INDEX('Shooter-Squad Assignment'!$A:$A,MATCH(C86&amp;"-"&amp;D86&amp;"-"&amp;E86&amp;"-Pos3",'Shooter-Squad Assignment'!#REF!,0)),""),IF(E86="Trap",IFERROR(INDEX('Shooter-Squad Assignment'!$A:$A,MATCH(C86&amp;"-"&amp;D86&amp;"-"&amp;E86&amp;"-Pos3",'Shooter-Squad Assignment'!$V:$V,0)),""),IF(E86="Sporting Clays",IFERROR(INDEX('Shooter-Squad Assignment'!$A:$A,MATCH(C86&amp;"-"&amp;D86&amp;"-"&amp;E86&amp;"-Pos3",'Shooter-Squad Assignment'!$Y:$Y,0)),""),"")))</f>
        <v/>
      </c>
      <c r="K86" s="92" t="str">
        <f>IF(ISBLANK(J86),"",IFERROR(INDEX('Tournament List'!$D:$D,MATCH(J86,'Tournament List'!$A:$A,0)),""))</f>
        <v/>
      </c>
      <c r="L86" s="101" t="str">
        <f>IF(E86="Skeet",IFERROR(INDEX('Shooter-Squad Assignment'!$A:$A,MATCH(C86&amp;"-"&amp;D86&amp;"-"&amp;E86&amp;"-Pos4",'Shooter-Squad Assignment'!#REF!,0)),""),IF(E86="Trap",IFERROR(INDEX('Shooter-Squad Assignment'!$A:$A,MATCH(C86&amp;"-"&amp;D86&amp;"-"&amp;E86&amp;"-Pos4",'Shooter-Squad Assignment'!$V:$V,0)),""),IF(E86="Sporting Clays",IFERROR(INDEX('Shooter-Squad Assignment'!$A:$A,MATCH(C86&amp;"-"&amp;D86&amp;"-"&amp;E86&amp;"-Pos4",'Shooter-Squad Assignment'!$Y:$Y,0)),""),"")))</f>
        <v/>
      </c>
      <c r="M86" s="92" t="str">
        <f>IF(ISBLANK(L86),"",IFERROR(INDEX('Tournament List'!$D:$D,MATCH(L86,'Tournament List'!$A:$A,0)),""))</f>
        <v/>
      </c>
      <c r="N86" s="101" t="str">
        <f>IF(E86="Skeet",IFERROR(INDEX('Shooter-Squad Assignment'!$A:$A,MATCH(C86&amp;"-"&amp;D86&amp;"-"&amp;E86&amp;"-Pos5",'Shooter-Squad Assignment'!#REF!,0)),""),IF(E86="Trap",IFERROR(INDEX('Shooter-Squad Assignment'!$A:$A,MATCH(C86&amp;"-"&amp;D86&amp;"-"&amp;E86&amp;"-Pos5",'Shooter-Squad Assignment'!$V:$V,0)),""),IF(E86="Sporting Clays",IFERROR(INDEX('Shooter-Squad Assignment'!$A:$A,MATCH(C86&amp;"-"&amp;D86&amp;"-"&amp;E86&amp;"-Pos5",'Shooter-Squad Assignment'!$Y:$Y,0)),""),"")))</f>
        <v/>
      </c>
      <c r="O86" s="93" t="str">
        <f>IF(ISBLANK(N86),"",IFERROR(INDEX('Tournament List'!$D:$D,MATCH(N86,'Tournament List'!$A:$A,0)),""))</f>
        <v/>
      </c>
    </row>
    <row r="87" spans="1:15" x14ac:dyDescent="0.3">
      <c r="A87" s="91">
        <v>95</v>
      </c>
      <c r="B87" s="92" t="str">
        <f t="shared" si="1"/>
        <v>Rocky Mountain Clay Busters-Open 2-Trap</v>
      </c>
      <c r="C87" s="92" t="s">
        <v>320</v>
      </c>
      <c r="D87" s="92" t="s">
        <v>349</v>
      </c>
      <c r="E87" s="92" t="s">
        <v>147</v>
      </c>
      <c r="F87" s="101" t="str">
        <f>IF(E87="Skeet",IFERROR(INDEX('Shooter-Squad Assignment'!$A:$A,MATCH(C87&amp;"-"&amp;D87&amp;"-"&amp;E87&amp;"-Pos1",'Shooter-Squad Assignment'!#REF!,0)),""),IF(E87="Trap",IFERROR(INDEX('Shooter-Squad Assignment'!$A:$A,MATCH(C87&amp;"-"&amp;D87&amp;"-"&amp;E87&amp;"-Pos1",'Shooter-Squad Assignment'!$V:$V,0)),""),IF(E87="Sporting Clays",IFERROR(INDEX('Shooter-Squad Assignment'!$A:$A,MATCH(C87&amp;"-"&amp;D87&amp;"-"&amp;E87&amp;"-Pos1",'Shooter-Squad Assignment'!$Y:$Y,0)),""),"")))</f>
        <v/>
      </c>
      <c r="G87" s="92" t="str">
        <f>IF(ISBLANK(F87),"",IFERROR(INDEX('Tournament List'!$D:$D,MATCH(F87,'Tournament List'!$A:$A,0)),""))</f>
        <v/>
      </c>
      <c r="H87" s="101" t="str">
        <f>IF(E87="Skeet",IFERROR(INDEX('Shooter-Squad Assignment'!$A:$A,MATCH(C87&amp;"-"&amp;D87&amp;"-"&amp;E87&amp;"-Pos2",'Shooter-Squad Assignment'!#REF!,0)),""),IF(E87="Trap",IFERROR(INDEX('Shooter-Squad Assignment'!$A:$A,MATCH(C87&amp;"-"&amp;D87&amp;"-"&amp;E87&amp;"-Pos2",'Shooter-Squad Assignment'!$V:$V,0)),""),IF(E87="Sporting Clays",IFERROR(INDEX('Shooter-Squad Assignment'!$A:$A,MATCH(C87&amp;"-"&amp;D87&amp;"-"&amp;E87&amp;"-Pos2",'Shooter-Squad Assignment'!$Y:$Y,0)),""),"")))</f>
        <v/>
      </c>
      <c r="I87" s="92" t="str">
        <f>IF(ISBLANK(H87),"",IFERROR(INDEX('Tournament List'!$D:$D,MATCH(H87,'Tournament List'!$A:$A,0)),""))</f>
        <v/>
      </c>
      <c r="J87" s="101" t="str">
        <f>IF(E87="Skeet",IFERROR(INDEX('Shooter-Squad Assignment'!$A:$A,MATCH(C87&amp;"-"&amp;D87&amp;"-"&amp;E87&amp;"-Pos3",'Shooter-Squad Assignment'!#REF!,0)),""),IF(E87="Trap",IFERROR(INDEX('Shooter-Squad Assignment'!$A:$A,MATCH(C87&amp;"-"&amp;D87&amp;"-"&amp;E87&amp;"-Pos3",'Shooter-Squad Assignment'!$V:$V,0)),""),IF(E87="Sporting Clays",IFERROR(INDEX('Shooter-Squad Assignment'!$A:$A,MATCH(C87&amp;"-"&amp;D87&amp;"-"&amp;E87&amp;"-Pos3",'Shooter-Squad Assignment'!$Y:$Y,0)),""),"")))</f>
        <v/>
      </c>
      <c r="K87" s="92" t="str">
        <f>IF(ISBLANK(J87),"",IFERROR(INDEX('Tournament List'!$D:$D,MATCH(J87,'Tournament List'!$A:$A,0)),""))</f>
        <v/>
      </c>
      <c r="L87" s="101" t="str">
        <f>IF(E87="Skeet",IFERROR(INDEX('Shooter-Squad Assignment'!$A:$A,MATCH(C87&amp;"-"&amp;D87&amp;"-"&amp;E87&amp;"-Pos4",'Shooter-Squad Assignment'!#REF!,0)),""),IF(E87="Trap",IFERROR(INDEX('Shooter-Squad Assignment'!$A:$A,MATCH(C87&amp;"-"&amp;D87&amp;"-"&amp;E87&amp;"-Pos4",'Shooter-Squad Assignment'!$V:$V,0)),""),IF(E87="Sporting Clays",IFERROR(INDEX('Shooter-Squad Assignment'!$A:$A,MATCH(C87&amp;"-"&amp;D87&amp;"-"&amp;E87&amp;"-Pos4",'Shooter-Squad Assignment'!$Y:$Y,0)),""),"")))</f>
        <v/>
      </c>
      <c r="M87" s="92" t="str">
        <f>IF(ISBLANK(L87),"",IFERROR(INDEX('Tournament List'!$D:$D,MATCH(L87,'Tournament List'!$A:$A,0)),""))</f>
        <v/>
      </c>
      <c r="N87" s="101" t="str">
        <f>IF(E87="Skeet",IFERROR(INDEX('Shooter-Squad Assignment'!$A:$A,MATCH(C87&amp;"-"&amp;D87&amp;"-"&amp;E87&amp;"-Pos5",'Shooter-Squad Assignment'!#REF!,0)),""),IF(E87="Trap",IFERROR(INDEX('Shooter-Squad Assignment'!$A:$A,MATCH(C87&amp;"-"&amp;D87&amp;"-"&amp;E87&amp;"-Pos5",'Shooter-Squad Assignment'!$V:$V,0)),""),IF(E87="Sporting Clays",IFERROR(INDEX('Shooter-Squad Assignment'!$A:$A,MATCH(C87&amp;"-"&amp;D87&amp;"-"&amp;E87&amp;"-Pos5",'Shooter-Squad Assignment'!$Y:$Y,0)),""),"")))</f>
        <v/>
      </c>
      <c r="O87" s="93" t="str">
        <f>IF(ISBLANK(N87),"",IFERROR(INDEX('Tournament List'!$D:$D,MATCH(N87,'Tournament List'!$A:$A,0)),""))</f>
        <v/>
      </c>
    </row>
    <row r="88" spans="1:15" x14ac:dyDescent="0.3">
      <c r="A88" s="91">
        <v>96</v>
      </c>
      <c r="B88" s="92" t="str">
        <f t="shared" si="1"/>
        <v>Rocky Mountain Clay Busters-Open 3-Trap</v>
      </c>
      <c r="C88" s="92" t="s">
        <v>320</v>
      </c>
      <c r="D88" s="92" t="s">
        <v>355</v>
      </c>
      <c r="E88" s="92" t="s">
        <v>147</v>
      </c>
      <c r="F88" s="101" t="str">
        <f>IF(E88="Skeet",IFERROR(INDEX('Shooter-Squad Assignment'!$A:$A,MATCH(C88&amp;"-"&amp;D88&amp;"-"&amp;E88&amp;"-Pos1",'Shooter-Squad Assignment'!#REF!,0)),""),IF(E88="Trap",IFERROR(INDEX('Shooter-Squad Assignment'!$A:$A,MATCH(C88&amp;"-"&amp;D88&amp;"-"&amp;E88&amp;"-Pos1",'Shooter-Squad Assignment'!$V:$V,0)),""),IF(E88="Sporting Clays",IFERROR(INDEX('Shooter-Squad Assignment'!$A:$A,MATCH(C88&amp;"-"&amp;D88&amp;"-"&amp;E88&amp;"-Pos1",'Shooter-Squad Assignment'!$Y:$Y,0)),""),"")))</f>
        <v/>
      </c>
      <c r="G88" s="92" t="str">
        <f>IF(ISBLANK(F88),"",IFERROR(INDEX('Tournament List'!$D:$D,MATCH(F88,'Tournament List'!$A:$A,0)),""))</f>
        <v/>
      </c>
      <c r="H88" s="101" t="str">
        <f>IF(E88="Skeet",IFERROR(INDEX('Shooter-Squad Assignment'!$A:$A,MATCH(C88&amp;"-"&amp;D88&amp;"-"&amp;E88&amp;"-Pos2",'Shooter-Squad Assignment'!#REF!,0)),""),IF(E88="Trap",IFERROR(INDEX('Shooter-Squad Assignment'!$A:$A,MATCH(C88&amp;"-"&amp;D88&amp;"-"&amp;E88&amp;"-Pos2",'Shooter-Squad Assignment'!$V:$V,0)),""),IF(E88="Sporting Clays",IFERROR(INDEX('Shooter-Squad Assignment'!$A:$A,MATCH(C88&amp;"-"&amp;D88&amp;"-"&amp;E88&amp;"-Pos2",'Shooter-Squad Assignment'!$Y:$Y,0)),""),"")))</f>
        <v/>
      </c>
      <c r="I88" s="92" t="str">
        <f>IF(ISBLANK(H88),"",IFERROR(INDEX('Tournament List'!$D:$D,MATCH(H88,'Tournament List'!$A:$A,0)),""))</f>
        <v/>
      </c>
      <c r="J88" s="101" t="str">
        <f>IF(E88="Skeet",IFERROR(INDEX('Shooter-Squad Assignment'!$A:$A,MATCH(C88&amp;"-"&amp;D88&amp;"-"&amp;E88&amp;"-Pos3",'Shooter-Squad Assignment'!#REF!,0)),""),IF(E88="Trap",IFERROR(INDEX('Shooter-Squad Assignment'!$A:$A,MATCH(C88&amp;"-"&amp;D88&amp;"-"&amp;E88&amp;"-Pos3",'Shooter-Squad Assignment'!$V:$V,0)),""),IF(E88="Sporting Clays",IFERROR(INDEX('Shooter-Squad Assignment'!$A:$A,MATCH(C88&amp;"-"&amp;D88&amp;"-"&amp;E88&amp;"-Pos3",'Shooter-Squad Assignment'!$Y:$Y,0)),""),"")))</f>
        <v/>
      </c>
      <c r="K88" s="92" t="str">
        <f>IF(ISBLANK(J88),"",IFERROR(INDEX('Tournament List'!$D:$D,MATCH(J88,'Tournament List'!$A:$A,0)),""))</f>
        <v/>
      </c>
      <c r="L88" s="101" t="str">
        <f>IF(E88="Skeet",IFERROR(INDEX('Shooter-Squad Assignment'!$A:$A,MATCH(C88&amp;"-"&amp;D88&amp;"-"&amp;E88&amp;"-Pos4",'Shooter-Squad Assignment'!#REF!,0)),""),IF(E88="Trap",IFERROR(INDEX('Shooter-Squad Assignment'!$A:$A,MATCH(C88&amp;"-"&amp;D88&amp;"-"&amp;E88&amp;"-Pos4",'Shooter-Squad Assignment'!$V:$V,0)),""),IF(E88="Sporting Clays",IFERROR(INDEX('Shooter-Squad Assignment'!$A:$A,MATCH(C88&amp;"-"&amp;D88&amp;"-"&amp;E88&amp;"-Pos4",'Shooter-Squad Assignment'!$Y:$Y,0)),""),"")))</f>
        <v/>
      </c>
      <c r="M88" s="92" t="str">
        <f>IF(ISBLANK(L88),"",IFERROR(INDEX('Tournament List'!$D:$D,MATCH(L88,'Tournament List'!$A:$A,0)),""))</f>
        <v/>
      </c>
      <c r="N88" s="101" t="str">
        <f>IF(E88="Skeet",IFERROR(INDEX('Shooter-Squad Assignment'!$A:$A,MATCH(C88&amp;"-"&amp;D88&amp;"-"&amp;E88&amp;"-Pos5",'Shooter-Squad Assignment'!#REF!,0)),""),IF(E88="Trap",IFERROR(INDEX('Shooter-Squad Assignment'!$A:$A,MATCH(C88&amp;"-"&amp;D88&amp;"-"&amp;E88&amp;"-Pos5",'Shooter-Squad Assignment'!$V:$V,0)),""),IF(E88="Sporting Clays",IFERROR(INDEX('Shooter-Squad Assignment'!$A:$A,MATCH(C88&amp;"-"&amp;D88&amp;"-"&amp;E88&amp;"-Pos5",'Shooter-Squad Assignment'!$Y:$Y,0)),""),"")))</f>
        <v/>
      </c>
      <c r="O88" s="93" t="str">
        <f>IF(ISBLANK(N88),"",IFERROR(INDEX('Tournament List'!$D:$D,MATCH(N88,'Tournament List'!$A:$A,0)),""))</f>
        <v/>
      </c>
    </row>
    <row r="89" spans="1:15" x14ac:dyDescent="0.3">
      <c r="A89" s="91">
        <v>97</v>
      </c>
      <c r="B89" s="92" t="str">
        <f t="shared" si="1"/>
        <v>Rocky Mountain Clay Busters-Varsity 1-Trap</v>
      </c>
      <c r="C89" s="92" t="s">
        <v>320</v>
      </c>
      <c r="D89" s="92" t="s">
        <v>342</v>
      </c>
      <c r="E89" s="92" t="s">
        <v>147</v>
      </c>
      <c r="F89" s="101" t="str">
        <f>IF(E89="Skeet",IFERROR(INDEX('Shooter-Squad Assignment'!$A:$A,MATCH(C89&amp;"-"&amp;D89&amp;"-"&amp;E89&amp;"-Pos1",'Shooter-Squad Assignment'!#REF!,0)),""),IF(E89="Trap",IFERROR(INDEX('Shooter-Squad Assignment'!$A:$A,MATCH(C89&amp;"-"&amp;D89&amp;"-"&amp;E89&amp;"-Pos1",'Shooter-Squad Assignment'!$V:$V,0)),""),IF(E89="Sporting Clays",IFERROR(INDEX('Shooter-Squad Assignment'!$A:$A,MATCH(C89&amp;"-"&amp;D89&amp;"-"&amp;E89&amp;"-Pos1",'Shooter-Squad Assignment'!$Y:$Y,0)),""),"")))</f>
        <v/>
      </c>
      <c r="G89" s="92" t="str">
        <f>IF(ISBLANK(F89),"",IFERROR(INDEX('Tournament List'!$D:$D,MATCH(F89,'Tournament List'!$A:$A,0)),""))</f>
        <v/>
      </c>
      <c r="H89" s="101" t="str">
        <f>IF(E89="Skeet",IFERROR(INDEX('Shooter-Squad Assignment'!$A:$A,MATCH(C89&amp;"-"&amp;D89&amp;"-"&amp;E89&amp;"-Pos2",'Shooter-Squad Assignment'!#REF!,0)),""),IF(E89="Trap",IFERROR(INDEX('Shooter-Squad Assignment'!$A:$A,MATCH(C89&amp;"-"&amp;D89&amp;"-"&amp;E89&amp;"-Pos2",'Shooter-Squad Assignment'!$V:$V,0)),""),IF(E89="Sporting Clays",IFERROR(INDEX('Shooter-Squad Assignment'!$A:$A,MATCH(C89&amp;"-"&amp;D89&amp;"-"&amp;E89&amp;"-Pos2",'Shooter-Squad Assignment'!$Y:$Y,0)),""),"")))</f>
        <v/>
      </c>
      <c r="I89" s="92" t="str">
        <f>IF(ISBLANK(H89),"",IFERROR(INDEX('Tournament List'!$D:$D,MATCH(H89,'Tournament List'!$A:$A,0)),""))</f>
        <v/>
      </c>
      <c r="J89" s="101" t="str">
        <f>IF(E89="Skeet",IFERROR(INDEX('Shooter-Squad Assignment'!$A:$A,MATCH(C89&amp;"-"&amp;D89&amp;"-"&amp;E89&amp;"-Pos3",'Shooter-Squad Assignment'!#REF!,0)),""),IF(E89="Trap",IFERROR(INDEX('Shooter-Squad Assignment'!$A:$A,MATCH(C89&amp;"-"&amp;D89&amp;"-"&amp;E89&amp;"-Pos3",'Shooter-Squad Assignment'!$V:$V,0)),""),IF(E89="Sporting Clays",IFERROR(INDEX('Shooter-Squad Assignment'!$A:$A,MATCH(C89&amp;"-"&amp;D89&amp;"-"&amp;E89&amp;"-Pos3",'Shooter-Squad Assignment'!$Y:$Y,0)),""),"")))</f>
        <v/>
      </c>
      <c r="K89" s="92" t="str">
        <f>IF(ISBLANK(J89),"",IFERROR(INDEX('Tournament List'!$D:$D,MATCH(J89,'Tournament List'!$A:$A,0)),""))</f>
        <v/>
      </c>
      <c r="L89" s="101" t="str">
        <f>IF(E89="Skeet",IFERROR(INDEX('Shooter-Squad Assignment'!$A:$A,MATCH(C89&amp;"-"&amp;D89&amp;"-"&amp;E89&amp;"-Pos4",'Shooter-Squad Assignment'!#REF!,0)),""),IF(E89="Trap",IFERROR(INDEX('Shooter-Squad Assignment'!$A:$A,MATCH(C89&amp;"-"&amp;D89&amp;"-"&amp;E89&amp;"-Pos4",'Shooter-Squad Assignment'!$V:$V,0)),""),IF(E89="Sporting Clays",IFERROR(INDEX('Shooter-Squad Assignment'!$A:$A,MATCH(C89&amp;"-"&amp;D89&amp;"-"&amp;E89&amp;"-Pos4",'Shooter-Squad Assignment'!$Y:$Y,0)),""),"")))</f>
        <v/>
      </c>
      <c r="M89" s="92" t="str">
        <f>IF(ISBLANK(L89),"",IFERROR(INDEX('Tournament List'!$D:$D,MATCH(L89,'Tournament List'!$A:$A,0)),""))</f>
        <v/>
      </c>
      <c r="N89" s="101" t="str">
        <f>IF(E89="Skeet",IFERROR(INDEX('Shooter-Squad Assignment'!$A:$A,MATCH(C89&amp;"-"&amp;D89&amp;"-"&amp;E89&amp;"-Pos5",'Shooter-Squad Assignment'!#REF!,0)),""),IF(E89="Trap",IFERROR(INDEX('Shooter-Squad Assignment'!$A:$A,MATCH(C89&amp;"-"&amp;D89&amp;"-"&amp;E89&amp;"-Pos5",'Shooter-Squad Assignment'!$V:$V,0)),""),IF(E89="Sporting Clays",IFERROR(INDEX('Shooter-Squad Assignment'!$A:$A,MATCH(C89&amp;"-"&amp;D89&amp;"-"&amp;E89&amp;"-Pos5",'Shooter-Squad Assignment'!$Y:$Y,0)),""),"")))</f>
        <v/>
      </c>
      <c r="O89" s="93" t="str">
        <f>IF(ISBLANK(N89),"",IFERROR(INDEX('Tournament List'!$D:$D,MATCH(N89,'Tournament List'!$A:$A,0)),""))</f>
        <v/>
      </c>
    </row>
    <row r="90" spans="1:15" x14ac:dyDescent="0.3">
      <c r="A90" s="91">
        <v>98</v>
      </c>
      <c r="B90" s="92" t="str">
        <f t="shared" si="1"/>
        <v>Rocky Mountain Clay Busters-Varsity 2-Trap</v>
      </c>
      <c r="C90" s="92" t="s">
        <v>320</v>
      </c>
      <c r="D90" s="92" t="s">
        <v>348</v>
      </c>
      <c r="E90" s="92" t="s">
        <v>147</v>
      </c>
      <c r="F90" s="101" t="str">
        <f>IF(E90="Skeet",IFERROR(INDEX('Shooter-Squad Assignment'!$A:$A,MATCH(C90&amp;"-"&amp;D90&amp;"-"&amp;E90&amp;"-Pos1",'Shooter-Squad Assignment'!#REF!,0)),""),IF(E90="Trap",IFERROR(INDEX('Shooter-Squad Assignment'!$A:$A,MATCH(C90&amp;"-"&amp;D90&amp;"-"&amp;E90&amp;"-Pos1",'Shooter-Squad Assignment'!$V:$V,0)),""),IF(E90="Sporting Clays",IFERROR(INDEX('Shooter-Squad Assignment'!$A:$A,MATCH(C90&amp;"-"&amp;D90&amp;"-"&amp;E90&amp;"-Pos1",'Shooter-Squad Assignment'!$Y:$Y,0)),""),"")))</f>
        <v/>
      </c>
      <c r="G90" s="92" t="str">
        <f>IF(ISBLANK(F90),"",IFERROR(INDEX('Tournament List'!$D:$D,MATCH(F90,'Tournament List'!$A:$A,0)),""))</f>
        <v/>
      </c>
      <c r="H90" s="101" t="str">
        <f>IF(E90="Skeet",IFERROR(INDEX('Shooter-Squad Assignment'!$A:$A,MATCH(C90&amp;"-"&amp;D90&amp;"-"&amp;E90&amp;"-Pos2",'Shooter-Squad Assignment'!#REF!,0)),""),IF(E90="Trap",IFERROR(INDEX('Shooter-Squad Assignment'!$A:$A,MATCH(C90&amp;"-"&amp;D90&amp;"-"&amp;E90&amp;"-Pos2",'Shooter-Squad Assignment'!$V:$V,0)),""),IF(E90="Sporting Clays",IFERROR(INDEX('Shooter-Squad Assignment'!$A:$A,MATCH(C90&amp;"-"&amp;D90&amp;"-"&amp;E90&amp;"-Pos2",'Shooter-Squad Assignment'!$Y:$Y,0)),""),"")))</f>
        <v/>
      </c>
      <c r="I90" s="92" t="str">
        <f>IF(ISBLANK(H90),"",IFERROR(INDEX('Tournament List'!$D:$D,MATCH(H90,'Tournament List'!$A:$A,0)),""))</f>
        <v/>
      </c>
      <c r="J90" s="101" t="str">
        <f>IF(E90="Skeet",IFERROR(INDEX('Shooter-Squad Assignment'!$A:$A,MATCH(C90&amp;"-"&amp;D90&amp;"-"&amp;E90&amp;"-Pos3",'Shooter-Squad Assignment'!#REF!,0)),""),IF(E90="Trap",IFERROR(INDEX('Shooter-Squad Assignment'!$A:$A,MATCH(C90&amp;"-"&amp;D90&amp;"-"&amp;E90&amp;"-Pos3",'Shooter-Squad Assignment'!$V:$V,0)),""),IF(E90="Sporting Clays",IFERROR(INDEX('Shooter-Squad Assignment'!$A:$A,MATCH(C90&amp;"-"&amp;D90&amp;"-"&amp;E90&amp;"-Pos3",'Shooter-Squad Assignment'!$Y:$Y,0)),""),"")))</f>
        <v/>
      </c>
      <c r="K90" s="92" t="str">
        <f>IF(ISBLANK(J90),"",IFERROR(INDEX('Tournament List'!$D:$D,MATCH(J90,'Tournament List'!$A:$A,0)),""))</f>
        <v/>
      </c>
      <c r="L90" s="101" t="str">
        <f>IF(E90="Skeet",IFERROR(INDEX('Shooter-Squad Assignment'!$A:$A,MATCH(C90&amp;"-"&amp;D90&amp;"-"&amp;E90&amp;"-Pos4",'Shooter-Squad Assignment'!#REF!,0)),""),IF(E90="Trap",IFERROR(INDEX('Shooter-Squad Assignment'!$A:$A,MATCH(C90&amp;"-"&amp;D90&amp;"-"&amp;E90&amp;"-Pos4",'Shooter-Squad Assignment'!$V:$V,0)),""),IF(E90="Sporting Clays",IFERROR(INDEX('Shooter-Squad Assignment'!$A:$A,MATCH(C90&amp;"-"&amp;D90&amp;"-"&amp;E90&amp;"-Pos4",'Shooter-Squad Assignment'!$Y:$Y,0)),""),"")))</f>
        <v/>
      </c>
      <c r="M90" s="92" t="str">
        <f>IF(ISBLANK(L90),"",IFERROR(INDEX('Tournament List'!$D:$D,MATCH(L90,'Tournament List'!$A:$A,0)),""))</f>
        <v/>
      </c>
      <c r="N90" s="101" t="str">
        <f>IF(E90="Skeet",IFERROR(INDEX('Shooter-Squad Assignment'!$A:$A,MATCH(C90&amp;"-"&amp;D90&amp;"-"&amp;E90&amp;"-Pos5",'Shooter-Squad Assignment'!#REF!,0)),""),IF(E90="Trap",IFERROR(INDEX('Shooter-Squad Assignment'!$A:$A,MATCH(C90&amp;"-"&amp;D90&amp;"-"&amp;E90&amp;"-Pos5",'Shooter-Squad Assignment'!$V:$V,0)),""),IF(E90="Sporting Clays",IFERROR(INDEX('Shooter-Squad Assignment'!$A:$A,MATCH(C90&amp;"-"&amp;D90&amp;"-"&amp;E90&amp;"-Pos5",'Shooter-Squad Assignment'!$Y:$Y,0)),""),"")))</f>
        <v/>
      </c>
      <c r="O90" s="93" t="str">
        <f>IF(ISBLANK(N90),"",IFERROR(INDEX('Tournament List'!$D:$D,MATCH(N90,'Tournament List'!$A:$A,0)),""))</f>
        <v/>
      </c>
    </row>
    <row r="91" spans="1:15" x14ac:dyDescent="0.3">
      <c r="A91" s="91">
        <v>99</v>
      </c>
      <c r="B91" s="92" t="str">
        <f t="shared" si="1"/>
        <v>Rocky Mountain Clay Busters-Varsity 3-Trap</v>
      </c>
      <c r="C91" s="92" t="s">
        <v>320</v>
      </c>
      <c r="D91" s="92" t="s">
        <v>354</v>
      </c>
      <c r="E91" s="92" t="s">
        <v>147</v>
      </c>
      <c r="F91" s="101" t="str">
        <f>IF(E91="Skeet",IFERROR(INDEX('Shooter-Squad Assignment'!$A:$A,MATCH(C91&amp;"-"&amp;D91&amp;"-"&amp;E91&amp;"-Pos1",'Shooter-Squad Assignment'!#REF!,0)),""),IF(E91="Trap",IFERROR(INDEX('Shooter-Squad Assignment'!$A:$A,MATCH(C91&amp;"-"&amp;D91&amp;"-"&amp;E91&amp;"-Pos1",'Shooter-Squad Assignment'!$V:$V,0)),""),IF(E91="Sporting Clays",IFERROR(INDEX('Shooter-Squad Assignment'!$A:$A,MATCH(C91&amp;"-"&amp;D91&amp;"-"&amp;E91&amp;"-Pos1",'Shooter-Squad Assignment'!$Y:$Y,0)),""),"")))</f>
        <v/>
      </c>
      <c r="G91" s="92" t="str">
        <f>IF(ISBLANK(F91),"",IFERROR(INDEX('Tournament List'!$D:$D,MATCH(F91,'Tournament List'!$A:$A,0)),""))</f>
        <v/>
      </c>
      <c r="H91" s="101" t="str">
        <f>IF(E91="Skeet",IFERROR(INDEX('Shooter-Squad Assignment'!$A:$A,MATCH(C91&amp;"-"&amp;D91&amp;"-"&amp;E91&amp;"-Pos2",'Shooter-Squad Assignment'!#REF!,0)),""),IF(E91="Trap",IFERROR(INDEX('Shooter-Squad Assignment'!$A:$A,MATCH(C91&amp;"-"&amp;D91&amp;"-"&amp;E91&amp;"-Pos2",'Shooter-Squad Assignment'!$V:$V,0)),""),IF(E91="Sporting Clays",IFERROR(INDEX('Shooter-Squad Assignment'!$A:$A,MATCH(C91&amp;"-"&amp;D91&amp;"-"&amp;E91&amp;"-Pos2",'Shooter-Squad Assignment'!$Y:$Y,0)),""),"")))</f>
        <v/>
      </c>
      <c r="I91" s="92" t="str">
        <f>IF(ISBLANK(H91),"",IFERROR(INDEX('Tournament List'!$D:$D,MATCH(H91,'Tournament List'!$A:$A,0)),""))</f>
        <v/>
      </c>
      <c r="J91" s="101" t="str">
        <f>IF(E91="Skeet",IFERROR(INDEX('Shooter-Squad Assignment'!$A:$A,MATCH(C91&amp;"-"&amp;D91&amp;"-"&amp;E91&amp;"-Pos3",'Shooter-Squad Assignment'!#REF!,0)),""),IF(E91="Trap",IFERROR(INDEX('Shooter-Squad Assignment'!$A:$A,MATCH(C91&amp;"-"&amp;D91&amp;"-"&amp;E91&amp;"-Pos3",'Shooter-Squad Assignment'!$V:$V,0)),""),IF(E91="Sporting Clays",IFERROR(INDEX('Shooter-Squad Assignment'!$A:$A,MATCH(C91&amp;"-"&amp;D91&amp;"-"&amp;E91&amp;"-Pos3",'Shooter-Squad Assignment'!$Y:$Y,0)),""),"")))</f>
        <v/>
      </c>
      <c r="K91" s="92" t="str">
        <f>IF(ISBLANK(J91),"",IFERROR(INDEX('Tournament List'!$D:$D,MATCH(J91,'Tournament List'!$A:$A,0)),""))</f>
        <v/>
      </c>
      <c r="L91" s="101" t="str">
        <f>IF(E91="Skeet",IFERROR(INDEX('Shooter-Squad Assignment'!$A:$A,MATCH(C91&amp;"-"&amp;D91&amp;"-"&amp;E91&amp;"-Pos4",'Shooter-Squad Assignment'!#REF!,0)),""),IF(E91="Trap",IFERROR(INDEX('Shooter-Squad Assignment'!$A:$A,MATCH(C91&amp;"-"&amp;D91&amp;"-"&amp;E91&amp;"-Pos4",'Shooter-Squad Assignment'!$V:$V,0)),""),IF(E91="Sporting Clays",IFERROR(INDEX('Shooter-Squad Assignment'!$A:$A,MATCH(C91&amp;"-"&amp;D91&amp;"-"&amp;E91&amp;"-Pos4",'Shooter-Squad Assignment'!$Y:$Y,0)),""),"")))</f>
        <v/>
      </c>
      <c r="M91" s="92" t="str">
        <f>IF(ISBLANK(L91),"",IFERROR(INDEX('Tournament List'!$D:$D,MATCH(L91,'Tournament List'!$A:$A,0)),""))</f>
        <v/>
      </c>
      <c r="N91" s="101" t="str">
        <f>IF(E91="Skeet",IFERROR(INDEX('Shooter-Squad Assignment'!$A:$A,MATCH(C91&amp;"-"&amp;D91&amp;"-"&amp;E91&amp;"-Pos5",'Shooter-Squad Assignment'!#REF!,0)),""),IF(E91="Trap",IFERROR(INDEX('Shooter-Squad Assignment'!$A:$A,MATCH(C91&amp;"-"&amp;D91&amp;"-"&amp;E91&amp;"-Pos5",'Shooter-Squad Assignment'!$V:$V,0)),""),IF(E91="Sporting Clays",IFERROR(INDEX('Shooter-Squad Assignment'!$A:$A,MATCH(C91&amp;"-"&amp;D91&amp;"-"&amp;E91&amp;"-Pos5",'Shooter-Squad Assignment'!$Y:$Y,0)),""),"")))</f>
        <v/>
      </c>
      <c r="O91" s="93" t="str">
        <f>IF(ISBLANK(N91),"",IFERROR(INDEX('Tournament List'!$D:$D,MATCH(N91,'Tournament List'!$A:$A,0)),""))</f>
        <v/>
      </c>
    </row>
    <row r="92" spans="1:15" x14ac:dyDescent="0.3">
      <c r="A92" s="91">
        <v>100</v>
      </c>
      <c r="B92" s="92" t="str">
        <f t="shared" si="1"/>
        <v>Rocky Mountain Clay Busters-Collegiate 1-Sporting Clays</v>
      </c>
      <c r="C92" s="92" t="s">
        <v>320</v>
      </c>
      <c r="D92" s="92" t="s">
        <v>344</v>
      </c>
      <c r="E92" s="92" t="s">
        <v>148</v>
      </c>
      <c r="F92" s="101" t="str">
        <f>IF(E92="Skeet",IFERROR(INDEX('Shooter-Squad Assignment'!$A:$A,MATCH(C92&amp;"-"&amp;D92&amp;"-"&amp;E92&amp;"-Pos1",'Shooter-Squad Assignment'!#REF!,0)),""),IF(E92="Trap",IFERROR(INDEX('Shooter-Squad Assignment'!$A:$A,MATCH(C92&amp;"-"&amp;D92&amp;"-"&amp;E92&amp;"-Pos1",'Shooter-Squad Assignment'!$V:$V,0)),""),IF(E92="Sporting Clays",IFERROR(INDEX('Shooter-Squad Assignment'!$A:$A,MATCH(C92&amp;"-"&amp;D92&amp;"-"&amp;E92&amp;"-Pos1",'Shooter-Squad Assignment'!$Y:$Y,0)),""),"")))</f>
        <v/>
      </c>
      <c r="G92" s="92" t="str">
        <f>IF(ISBLANK(F92),"",IFERROR(INDEX('Tournament List'!$D:$D,MATCH(F92,'Tournament List'!$A:$A,0)),""))</f>
        <v/>
      </c>
      <c r="H92" s="101" t="str">
        <f>IF(E92="Skeet",IFERROR(INDEX('Shooter-Squad Assignment'!$A:$A,MATCH(C92&amp;"-"&amp;D92&amp;"-"&amp;E92&amp;"-Pos2",'Shooter-Squad Assignment'!#REF!,0)),""),IF(E92="Trap",IFERROR(INDEX('Shooter-Squad Assignment'!$A:$A,MATCH(C92&amp;"-"&amp;D92&amp;"-"&amp;E92&amp;"-Pos2",'Shooter-Squad Assignment'!$V:$V,0)),""),IF(E92="Sporting Clays",IFERROR(INDEX('Shooter-Squad Assignment'!$A:$A,MATCH(C92&amp;"-"&amp;D92&amp;"-"&amp;E92&amp;"-Pos2",'Shooter-Squad Assignment'!$Y:$Y,0)),""),"")))</f>
        <v/>
      </c>
      <c r="I92" s="92" t="str">
        <f>IF(ISBLANK(H92),"",IFERROR(INDEX('Tournament List'!$D:$D,MATCH(H92,'Tournament List'!$A:$A,0)),""))</f>
        <v/>
      </c>
      <c r="J92" s="101" t="str">
        <f>IF(E92="Skeet",IFERROR(INDEX('Shooter-Squad Assignment'!$A:$A,MATCH(C92&amp;"-"&amp;D92&amp;"-"&amp;E92&amp;"-Pos3",'Shooter-Squad Assignment'!#REF!,0)),""),IF(E92="Trap",IFERROR(INDEX('Shooter-Squad Assignment'!$A:$A,MATCH(C92&amp;"-"&amp;D92&amp;"-"&amp;E92&amp;"-Pos3",'Shooter-Squad Assignment'!$V:$V,0)),""),IF(E92="Sporting Clays",IFERROR(INDEX('Shooter-Squad Assignment'!$A:$A,MATCH(C92&amp;"-"&amp;D92&amp;"-"&amp;E92&amp;"-Pos3",'Shooter-Squad Assignment'!$Y:$Y,0)),""),"")))</f>
        <v/>
      </c>
      <c r="K92" s="92" t="str">
        <f>IF(ISBLANK(J92),"",IFERROR(INDEX('Tournament List'!$D:$D,MATCH(J92,'Tournament List'!$A:$A,0)),""))</f>
        <v/>
      </c>
      <c r="L92" s="101" t="str">
        <f>IF(E92="Skeet",IFERROR(INDEX('Shooter-Squad Assignment'!$A:$A,MATCH(C92&amp;"-"&amp;D92&amp;"-"&amp;E92&amp;"-Pos4",'Shooter-Squad Assignment'!#REF!,0)),""),IF(E92="Trap",IFERROR(INDEX('Shooter-Squad Assignment'!$A:$A,MATCH(C92&amp;"-"&amp;D92&amp;"-"&amp;E92&amp;"-Pos4",'Shooter-Squad Assignment'!$V:$V,0)),""),IF(E92="Sporting Clays",IFERROR(INDEX('Shooter-Squad Assignment'!$A:$A,MATCH(C92&amp;"-"&amp;D92&amp;"-"&amp;E92&amp;"-Pos4",'Shooter-Squad Assignment'!$Y:$Y,0)),""),"")))</f>
        <v/>
      </c>
      <c r="M92" s="92" t="str">
        <f>IF(ISBLANK(L92),"",IFERROR(INDEX('Tournament List'!$D:$D,MATCH(L92,'Tournament List'!$A:$A,0)),""))</f>
        <v/>
      </c>
      <c r="N92" s="101" t="str">
        <f>IF(E92="Skeet",IFERROR(INDEX('Shooter-Squad Assignment'!$A:$A,MATCH(C92&amp;"-"&amp;D92&amp;"-"&amp;E92&amp;"-Pos5",'Shooter-Squad Assignment'!#REF!,0)),""),IF(E92="Trap",IFERROR(INDEX('Shooter-Squad Assignment'!$A:$A,MATCH(C92&amp;"-"&amp;D92&amp;"-"&amp;E92&amp;"-Pos5",'Shooter-Squad Assignment'!$V:$V,0)),""),IF(E92="Sporting Clays",IFERROR(INDEX('Shooter-Squad Assignment'!$A:$A,MATCH(C92&amp;"-"&amp;D92&amp;"-"&amp;E92&amp;"-Pos5",'Shooter-Squad Assignment'!$Y:$Y,0)),""),"")))</f>
        <v/>
      </c>
      <c r="O92" s="93" t="str">
        <f>IF(ISBLANK(N92),"",IFERROR(INDEX('Tournament List'!$D:$D,MATCH(N92,'Tournament List'!$A:$A,0)),""))</f>
        <v/>
      </c>
    </row>
    <row r="93" spans="1:15" x14ac:dyDescent="0.3">
      <c r="A93" s="91">
        <v>101</v>
      </c>
      <c r="B93" s="92" t="str">
        <f t="shared" si="1"/>
        <v>Rocky Mountain Clay Busters-Collegiate 2-Sporting Clays</v>
      </c>
      <c r="C93" s="92" t="s">
        <v>320</v>
      </c>
      <c r="D93" s="92" t="s">
        <v>350</v>
      </c>
      <c r="E93" s="92" t="s">
        <v>148</v>
      </c>
      <c r="F93" s="101" t="str">
        <f>IF(E93="Skeet",IFERROR(INDEX('Shooter-Squad Assignment'!$A:$A,MATCH(C93&amp;"-"&amp;D93&amp;"-"&amp;E93&amp;"-Pos1",'Shooter-Squad Assignment'!#REF!,0)),""),IF(E93="Trap",IFERROR(INDEX('Shooter-Squad Assignment'!$A:$A,MATCH(C93&amp;"-"&amp;D93&amp;"-"&amp;E93&amp;"-Pos1",'Shooter-Squad Assignment'!$V:$V,0)),""),IF(E93="Sporting Clays",IFERROR(INDEX('Shooter-Squad Assignment'!$A:$A,MATCH(C93&amp;"-"&amp;D93&amp;"-"&amp;E93&amp;"-Pos1",'Shooter-Squad Assignment'!$Y:$Y,0)),""),"")))</f>
        <v/>
      </c>
      <c r="G93" s="92" t="str">
        <f>IF(ISBLANK(F93),"",IFERROR(INDEX('Tournament List'!$D:$D,MATCH(F93,'Tournament List'!$A:$A,0)),""))</f>
        <v/>
      </c>
      <c r="H93" s="101" t="str">
        <f>IF(E93="Skeet",IFERROR(INDEX('Shooter-Squad Assignment'!$A:$A,MATCH(C93&amp;"-"&amp;D93&amp;"-"&amp;E93&amp;"-Pos2",'Shooter-Squad Assignment'!#REF!,0)),""),IF(E93="Trap",IFERROR(INDEX('Shooter-Squad Assignment'!$A:$A,MATCH(C93&amp;"-"&amp;D93&amp;"-"&amp;E93&amp;"-Pos2",'Shooter-Squad Assignment'!$V:$V,0)),""),IF(E93="Sporting Clays",IFERROR(INDEX('Shooter-Squad Assignment'!$A:$A,MATCH(C93&amp;"-"&amp;D93&amp;"-"&amp;E93&amp;"-Pos2",'Shooter-Squad Assignment'!$Y:$Y,0)),""),"")))</f>
        <v/>
      </c>
      <c r="I93" s="92" t="str">
        <f>IF(ISBLANK(H93),"",IFERROR(INDEX('Tournament List'!$D:$D,MATCH(H93,'Tournament List'!$A:$A,0)),""))</f>
        <v/>
      </c>
      <c r="J93" s="101" t="str">
        <f>IF(E93="Skeet",IFERROR(INDEX('Shooter-Squad Assignment'!$A:$A,MATCH(C93&amp;"-"&amp;D93&amp;"-"&amp;E93&amp;"-Pos3",'Shooter-Squad Assignment'!#REF!,0)),""),IF(E93="Trap",IFERROR(INDEX('Shooter-Squad Assignment'!$A:$A,MATCH(C93&amp;"-"&amp;D93&amp;"-"&amp;E93&amp;"-Pos3",'Shooter-Squad Assignment'!$V:$V,0)),""),IF(E93="Sporting Clays",IFERROR(INDEX('Shooter-Squad Assignment'!$A:$A,MATCH(C93&amp;"-"&amp;D93&amp;"-"&amp;E93&amp;"-Pos3",'Shooter-Squad Assignment'!$Y:$Y,0)),""),"")))</f>
        <v/>
      </c>
      <c r="K93" s="92" t="str">
        <f>IF(ISBLANK(J93),"",IFERROR(INDEX('Tournament List'!$D:$D,MATCH(J93,'Tournament List'!$A:$A,0)),""))</f>
        <v/>
      </c>
      <c r="L93" s="101" t="str">
        <f>IF(E93="Skeet",IFERROR(INDEX('Shooter-Squad Assignment'!$A:$A,MATCH(C93&amp;"-"&amp;D93&amp;"-"&amp;E93&amp;"-Pos4",'Shooter-Squad Assignment'!#REF!,0)),""),IF(E93="Trap",IFERROR(INDEX('Shooter-Squad Assignment'!$A:$A,MATCH(C93&amp;"-"&amp;D93&amp;"-"&amp;E93&amp;"-Pos4",'Shooter-Squad Assignment'!$V:$V,0)),""),IF(E93="Sporting Clays",IFERROR(INDEX('Shooter-Squad Assignment'!$A:$A,MATCH(C93&amp;"-"&amp;D93&amp;"-"&amp;E93&amp;"-Pos4",'Shooter-Squad Assignment'!$Y:$Y,0)),""),"")))</f>
        <v/>
      </c>
      <c r="M93" s="92" t="str">
        <f>IF(ISBLANK(L93),"",IFERROR(INDEX('Tournament List'!$D:$D,MATCH(L93,'Tournament List'!$A:$A,0)),""))</f>
        <v/>
      </c>
      <c r="N93" s="101" t="str">
        <f>IF(E93="Skeet",IFERROR(INDEX('Shooter-Squad Assignment'!$A:$A,MATCH(C93&amp;"-"&amp;D93&amp;"-"&amp;E93&amp;"-Pos5",'Shooter-Squad Assignment'!#REF!,0)),""),IF(E93="Trap",IFERROR(INDEX('Shooter-Squad Assignment'!$A:$A,MATCH(C93&amp;"-"&amp;D93&amp;"-"&amp;E93&amp;"-Pos5",'Shooter-Squad Assignment'!$V:$V,0)),""),IF(E93="Sporting Clays",IFERROR(INDEX('Shooter-Squad Assignment'!$A:$A,MATCH(C93&amp;"-"&amp;D93&amp;"-"&amp;E93&amp;"-Pos5",'Shooter-Squad Assignment'!$Y:$Y,0)),""),"")))</f>
        <v/>
      </c>
      <c r="O93" s="93" t="str">
        <f>IF(ISBLANK(N93),"",IFERROR(INDEX('Tournament List'!$D:$D,MATCH(N93,'Tournament List'!$A:$A,0)),""))</f>
        <v/>
      </c>
    </row>
    <row r="94" spans="1:15" x14ac:dyDescent="0.3">
      <c r="A94" s="91">
        <v>102</v>
      </c>
      <c r="B94" s="92" t="str">
        <f t="shared" si="1"/>
        <v>Rocky Mountain Clay Busters-Collegiate 3-Sporting Clays</v>
      </c>
      <c r="C94" s="92" t="s">
        <v>320</v>
      </c>
      <c r="D94" s="92" t="s">
        <v>356</v>
      </c>
      <c r="E94" s="92" t="s">
        <v>148</v>
      </c>
      <c r="F94" s="101" t="str">
        <f>IF(E94="Skeet",IFERROR(INDEX('Shooter-Squad Assignment'!$A:$A,MATCH(C94&amp;"-"&amp;D94&amp;"-"&amp;E94&amp;"-Pos1",'Shooter-Squad Assignment'!#REF!,0)),""),IF(E94="Trap",IFERROR(INDEX('Shooter-Squad Assignment'!$A:$A,MATCH(C94&amp;"-"&amp;D94&amp;"-"&amp;E94&amp;"-Pos1",'Shooter-Squad Assignment'!$V:$V,0)),""),IF(E94="Sporting Clays",IFERROR(INDEX('Shooter-Squad Assignment'!$A:$A,MATCH(C94&amp;"-"&amp;D94&amp;"-"&amp;E94&amp;"-Pos1",'Shooter-Squad Assignment'!$Y:$Y,0)),""),"")))</f>
        <v/>
      </c>
      <c r="G94" s="92" t="str">
        <f>IF(ISBLANK(F94),"",IFERROR(INDEX('Tournament List'!$D:$D,MATCH(F94,'Tournament List'!$A:$A,0)),""))</f>
        <v/>
      </c>
      <c r="H94" s="101" t="str">
        <f>IF(E94="Skeet",IFERROR(INDEX('Shooter-Squad Assignment'!$A:$A,MATCH(C94&amp;"-"&amp;D94&amp;"-"&amp;E94&amp;"-Pos2",'Shooter-Squad Assignment'!#REF!,0)),""),IF(E94="Trap",IFERROR(INDEX('Shooter-Squad Assignment'!$A:$A,MATCH(C94&amp;"-"&amp;D94&amp;"-"&amp;E94&amp;"-Pos2",'Shooter-Squad Assignment'!$V:$V,0)),""),IF(E94="Sporting Clays",IFERROR(INDEX('Shooter-Squad Assignment'!$A:$A,MATCH(C94&amp;"-"&amp;D94&amp;"-"&amp;E94&amp;"-Pos2",'Shooter-Squad Assignment'!$Y:$Y,0)),""),"")))</f>
        <v/>
      </c>
      <c r="I94" s="92" t="str">
        <f>IF(ISBLANK(H94),"",IFERROR(INDEX('Tournament List'!$D:$D,MATCH(H94,'Tournament List'!$A:$A,0)),""))</f>
        <v/>
      </c>
      <c r="J94" s="101" t="str">
        <f>IF(E94="Skeet",IFERROR(INDEX('Shooter-Squad Assignment'!$A:$A,MATCH(C94&amp;"-"&amp;D94&amp;"-"&amp;E94&amp;"-Pos3",'Shooter-Squad Assignment'!#REF!,0)),""),IF(E94="Trap",IFERROR(INDEX('Shooter-Squad Assignment'!$A:$A,MATCH(C94&amp;"-"&amp;D94&amp;"-"&amp;E94&amp;"-Pos3",'Shooter-Squad Assignment'!$V:$V,0)),""),IF(E94="Sporting Clays",IFERROR(INDEX('Shooter-Squad Assignment'!$A:$A,MATCH(C94&amp;"-"&amp;D94&amp;"-"&amp;E94&amp;"-Pos3",'Shooter-Squad Assignment'!$Y:$Y,0)),""),"")))</f>
        <v/>
      </c>
      <c r="K94" s="92" t="str">
        <f>IF(ISBLANK(J94),"",IFERROR(INDEX('Tournament List'!$D:$D,MATCH(J94,'Tournament List'!$A:$A,0)),""))</f>
        <v/>
      </c>
      <c r="L94" s="101" t="str">
        <f>IF(E94="Skeet",IFERROR(INDEX('Shooter-Squad Assignment'!$A:$A,MATCH(C94&amp;"-"&amp;D94&amp;"-"&amp;E94&amp;"-Pos4",'Shooter-Squad Assignment'!#REF!,0)),""),IF(E94="Trap",IFERROR(INDEX('Shooter-Squad Assignment'!$A:$A,MATCH(C94&amp;"-"&amp;D94&amp;"-"&amp;E94&amp;"-Pos4",'Shooter-Squad Assignment'!$V:$V,0)),""),IF(E94="Sporting Clays",IFERROR(INDEX('Shooter-Squad Assignment'!$A:$A,MATCH(C94&amp;"-"&amp;D94&amp;"-"&amp;E94&amp;"-Pos4",'Shooter-Squad Assignment'!$Y:$Y,0)),""),"")))</f>
        <v/>
      </c>
      <c r="M94" s="92" t="str">
        <f>IF(ISBLANK(L94),"",IFERROR(INDEX('Tournament List'!$D:$D,MATCH(L94,'Tournament List'!$A:$A,0)),""))</f>
        <v/>
      </c>
      <c r="N94" s="101" t="str">
        <f>IF(E94="Skeet",IFERROR(INDEX('Shooter-Squad Assignment'!$A:$A,MATCH(C94&amp;"-"&amp;D94&amp;"-"&amp;E94&amp;"-Pos5",'Shooter-Squad Assignment'!#REF!,0)),""),IF(E94="Trap",IFERROR(INDEX('Shooter-Squad Assignment'!$A:$A,MATCH(C94&amp;"-"&amp;D94&amp;"-"&amp;E94&amp;"-Pos5",'Shooter-Squad Assignment'!$V:$V,0)),""),IF(E94="Sporting Clays",IFERROR(INDEX('Shooter-Squad Assignment'!$A:$A,MATCH(C94&amp;"-"&amp;D94&amp;"-"&amp;E94&amp;"-Pos5",'Shooter-Squad Assignment'!$Y:$Y,0)),""),"")))</f>
        <v/>
      </c>
      <c r="O94" s="93" t="str">
        <f>IF(ISBLANK(N94),"",IFERROR(INDEX('Tournament List'!$D:$D,MATCH(N94,'Tournament List'!$A:$A,0)),""))</f>
        <v/>
      </c>
    </row>
    <row r="95" spans="1:15" x14ac:dyDescent="0.3">
      <c r="A95" s="91">
        <v>103</v>
      </c>
      <c r="B95" s="92" t="str">
        <f t="shared" si="1"/>
        <v>Rocky Mountain Clay Busters-Intermediate 1-Sporting Clays</v>
      </c>
      <c r="C95" s="92" t="s">
        <v>320</v>
      </c>
      <c r="D95" s="92" t="s">
        <v>340</v>
      </c>
      <c r="E95" s="92" t="s">
        <v>148</v>
      </c>
      <c r="F95" s="101" t="str">
        <f>IF(E95="Skeet",IFERROR(INDEX('Shooter-Squad Assignment'!$A:$A,MATCH(C95&amp;"-"&amp;D95&amp;"-"&amp;E95&amp;"-Pos1",'Shooter-Squad Assignment'!#REF!,0)),""),IF(E95="Trap",IFERROR(INDEX('Shooter-Squad Assignment'!$A:$A,MATCH(C95&amp;"-"&amp;D95&amp;"-"&amp;E95&amp;"-Pos1",'Shooter-Squad Assignment'!$V:$V,0)),""),IF(E95="Sporting Clays",IFERROR(INDEX('Shooter-Squad Assignment'!$A:$A,MATCH(C95&amp;"-"&amp;D95&amp;"-"&amp;E95&amp;"-Pos1",'Shooter-Squad Assignment'!$Y:$Y,0)),""),"")))</f>
        <v/>
      </c>
      <c r="G95" s="92" t="str">
        <f>IF(ISBLANK(F95),"",IFERROR(INDEX('Tournament List'!$D:$D,MATCH(F95,'Tournament List'!$A:$A,0)),""))</f>
        <v/>
      </c>
      <c r="H95" s="101" t="str">
        <f>IF(E95="Skeet",IFERROR(INDEX('Shooter-Squad Assignment'!$A:$A,MATCH(C95&amp;"-"&amp;D95&amp;"-"&amp;E95&amp;"-Pos2",'Shooter-Squad Assignment'!#REF!,0)),""),IF(E95="Trap",IFERROR(INDEX('Shooter-Squad Assignment'!$A:$A,MATCH(C95&amp;"-"&amp;D95&amp;"-"&amp;E95&amp;"-Pos2",'Shooter-Squad Assignment'!$V:$V,0)),""),IF(E95="Sporting Clays",IFERROR(INDEX('Shooter-Squad Assignment'!$A:$A,MATCH(C95&amp;"-"&amp;D95&amp;"-"&amp;E95&amp;"-Pos2",'Shooter-Squad Assignment'!$Y:$Y,0)),""),"")))</f>
        <v/>
      </c>
      <c r="I95" s="92" t="str">
        <f>IF(ISBLANK(H95),"",IFERROR(INDEX('Tournament List'!$D:$D,MATCH(H95,'Tournament List'!$A:$A,0)),""))</f>
        <v/>
      </c>
      <c r="J95" s="101" t="str">
        <f>IF(E95="Skeet",IFERROR(INDEX('Shooter-Squad Assignment'!$A:$A,MATCH(C95&amp;"-"&amp;D95&amp;"-"&amp;E95&amp;"-Pos3",'Shooter-Squad Assignment'!#REF!,0)),""),IF(E95="Trap",IFERROR(INDEX('Shooter-Squad Assignment'!$A:$A,MATCH(C95&amp;"-"&amp;D95&amp;"-"&amp;E95&amp;"-Pos3",'Shooter-Squad Assignment'!$V:$V,0)),""),IF(E95="Sporting Clays",IFERROR(INDEX('Shooter-Squad Assignment'!$A:$A,MATCH(C95&amp;"-"&amp;D95&amp;"-"&amp;E95&amp;"-Pos3",'Shooter-Squad Assignment'!$Y:$Y,0)),""),"")))</f>
        <v/>
      </c>
      <c r="K95" s="92" t="str">
        <f>IF(ISBLANK(J95),"",IFERROR(INDEX('Tournament List'!$D:$D,MATCH(J95,'Tournament List'!$A:$A,0)),""))</f>
        <v/>
      </c>
      <c r="L95" s="101" t="str">
        <f>IF(E95="Skeet",IFERROR(INDEX('Shooter-Squad Assignment'!$A:$A,MATCH(C95&amp;"-"&amp;D95&amp;"-"&amp;E95&amp;"-Pos4",'Shooter-Squad Assignment'!#REF!,0)),""),IF(E95="Trap",IFERROR(INDEX('Shooter-Squad Assignment'!$A:$A,MATCH(C95&amp;"-"&amp;D95&amp;"-"&amp;E95&amp;"-Pos4",'Shooter-Squad Assignment'!$V:$V,0)),""),IF(E95="Sporting Clays",IFERROR(INDEX('Shooter-Squad Assignment'!$A:$A,MATCH(C95&amp;"-"&amp;D95&amp;"-"&amp;E95&amp;"-Pos4",'Shooter-Squad Assignment'!$Y:$Y,0)),""),"")))</f>
        <v/>
      </c>
      <c r="M95" s="92" t="str">
        <f>IF(ISBLANK(L95),"",IFERROR(INDEX('Tournament List'!$D:$D,MATCH(L95,'Tournament List'!$A:$A,0)),""))</f>
        <v/>
      </c>
      <c r="N95" s="101" t="str">
        <f>IF(E95="Skeet",IFERROR(INDEX('Shooter-Squad Assignment'!$A:$A,MATCH(C95&amp;"-"&amp;D95&amp;"-"&amp;E95&amp;"-Pos5",'Shooter-Squad Assignment'!#REF!,0)),""),IF(E95="Trap",IFERROR(INDEX('Shooter-Squad Assignment'!$A:$A,MATCH(C95&amp;"-"&amp;D95&amp;"-"&amp;E95&amp;"-Pos5",'Shooter-Squad Assignment'!$V:$V,0)),""),IF(E95="Sporting Clays",IFERROR(INDEX('Shooter-Squad Assignment'!$A:$A,MATCH(C95&amp;"-"&amp;D95&amp;"-"&amp;E95&amp;"-Pos5",'Shooter-Squad Assignment'!$Y:$Y,0)),""),"")))</f>
        <v/>
      </c>
      <c r="O95" s="93" t="str">
        <f>IF(ISBLANK(N95),"",IFERROR(INDEX('Tournament List'!$D:$D,MATCH(N95,'Tournament List'!$A:$A,0)),""))</f>
        <v/>
      </c>
    </row>
    <row r="96" spans="1:15" x14ac:dyDescent="0.3">
      <c r="A96" s="91">
        <v>104</v>
      </c>
      <c r="B96" s="92" t="str">
        <f t="shared" si="1"/>
        <v>Rocky Mountain Clay Busters-Intermediate 2-Sporting Clays</v>
      </c>
      <c r="C96" s="92" t="s">
        <v>320</v>
      </c>
      <c r="D96" s="92" t="s">
        <v>346</v>
      </c>
      <c r="E96" s="92" t="s">
        <v>148</v>
      </c>
      <c r="F96" s="101" t="str">
        <f>IF(E96="Skeet",IFERROR(INDEX('Shooter-Squad Assignment'!$A:$A,MATCH(C96&amp;"-"&amp;D96&amp;"-"&amp;E96&amp;"-Pos1",'Shooter-Squad Assignment'!#REF!,0)),""),IF(E96="Trap",IFERROR(INDEX('Shooter-Squad Assignment'!$A:$A,MATCH(C96&amp;"-"&amp;D96&amp;"-"&amp;E96&amp;"-Pos1",'Shooter-Squad Assignment'!$V:$V,0)),""),IF(E96="Sporting Clays",IFERROR(INDEX('Shooter-Squad Assignment'!$A:$A,MATCH(C96&amp;"-"&amp;D96&amp;"-"&amp;E96&amp;"-Pos1",'Shooter-Squad Assignment'!$Y:$Y,0)),""),"")))</f>
        <v/>
      </c>
      <c r="G96" s="92" t="str">
        <f>IF(ISBLANK(F96),"",IFERROR(INDEX('Tournament List'!$D:$D,MATCH(F96,'Tournament List'!$A:$A,0)),""))</f>
        <v/>
      </c>
      <c r="H96" s="101" t="str">
        <f>IF(E96="Skeet",IFERROR(INDEX('Shooter-Squad Assignment'!$A:$A,MATCH(C96&amp;"-"&amp;D96&amp;"-"&amp;E96&amp;"-Pos2",'Shooter-Squad Assignment'!#REF!,0)),""),IF(E96="Trap",IFERROR(INDEX('Shooter-Squad Assignment'!$A:$A,MATCH(C96&amp;"-"&amp;D96&amp;"-"&amp;E96&amp;"-Pos2",'Shooter-Squad Assignment'!$V:$V,0)),""),IF(E96="Sporting Clays",IFERROR(INDEX('Shooter-Squad Assignment'!$A:$A,MATCH(C96&amp;"-"&amp;D96&amp;"-"&amp;E96&amp;"-Pos2",'Shooter-Squad Assignment'!$Y:$Y,0)),""),"")))</f>
        <v/>
      </c>
      <c r="I96" s="92" t="str">
        <f>IF(ISBLANK(H96),"",IFERROR(INDEX('Tournament List'!$D:$D,MATCH(H96,'Tournament List'!$A:$A,0)),""))</f>
        <v/>
      </c>
      <c r="J96" s="101" t="str">
        <f>IF(E96="Skeet",IFERROR(INDEX('Shooter-Squad Assignment'!$A:$A,MATCH(C96&amp;"-"&amp;D96&amp;"-"&amp;E96&amp;"-Pos3",'Shooter-Squad Assignment'!#REF!,0)),""),IF(E96="Trap",IFERROR(INDEX('Shooter-Squad Assignment'!$A:$A,MATCH(C96&amp;"-"&amp;D96&amp;"-"&amp;E96&amp;"-Pos3",'Shooter-Squad Assignment'!$V:$V,0)),""),IF(E96="Sporting Clays",IFERROR(INDEX('Shooter-Squad Assignment'!$A:$A,MATCH(C96&amp;"-"&amp;D96&amp;"-"&amp;E96&amp;"-Pos3",'Shooter-Squad Assignment'!$Y:$Y,0)),""),"")))</f>
        <v/>
      </c>
      <c r="K96" s="92" t="str">
        <f>IF(ISBLANK(J96),"",IFERROR(INDEX('Tournament List'!$D:$D,MATCH(J96,'Tournament List'!$A:$A,0)),""))</f>
        <v/>
      </c>
      <c r="L96" s="101" t="str">
        <f>IF(E96="Skeet",IFERROR(INDEX('Shooter-Squad Assignment'!$A:$A,MATCH(C96&amp;"-"&amp;D96&amp;"-"&amp;E96&amp;"-Pos4",'Shooter-Squad Assignment'!#REF!,0)),""),IF(E96="Trap",IFERROR(INDEX('Shooter-Squad Assignment'!$A:$A,MATCH(C96&amp;"-"&amp;D96&amp;"-"&amp;E96&amp;"-Pos4",'Shooter-Squad Assignment'!$V:$V,0)),""),IF(E96="Sporting Clays",IFERROR(INDEX('Shooter-Squad Assignment'!$A:$A,MATCH(C96&amp;"-"&amp;D96&amp;"-"&amp;E96&amp;"-Pos4",'Shooter-Squad Assignment'!$Y:$Y,0)),""),"")))</f>
        <v/>
      </c>
      <c r="M96" s="92" t="str">
        <f>IF(ISBLANK(L96),"",IFERROR(INDEX('Tournament List'!$D:$D,MATCH(L96,'Tournament List'!$A:$A,0)),""))</f>
        <v/>
      </c>
      <c r="N96" s="101" t="str">
        <f>IF(E96="Skeet",IFERROR(INDEX('Shooter-Squad Assignment'!$A:$A,MATCH(C96&amp;"-"&amp;D96&amp;"-"&amp;E96&amp;"-Pos5",'Shooter-Squad Assignment'!#REF!,0)),""),IF(E96="Trap",IFERROR(INDEX('Shooter-Squad Assignment'!$A:$A,MATCH(C96&amp;"-"&amp;D96&amp;"-"&amp;E96&amp;"-Pos5",'Shooter-Squad Assignment'!$V:$V,0)),""),IF(E96="Sporting Clays",IFERROR(INDEX('Shooter-Squad Assignment'!$A:$A,MATCH(C96&amp;"-"&amp;D96&amp;"-"&amp;E96&amp;"-Pos5",'Shooter-Squad Assignment'!$Y:$Y,0)),""),"")))</f>
        <v/>
      </c>
      <c r="O96" s="93" t="str">
        <f>IF(ISBLANK(N96),"",IFERROR(INDEX('Tournament List'!$D:$D,MATCH(N96,'Tournament List'!$A:$A,0)),""))</f>
        <v/>
      </c>
    </row>
    <row r="97" spans="1:15" x14ac:dyDescent="0.3">
      <c r="A97" s="91">
        <v>105</v>
      </c>
      <c r="B97" s="92" t="str">
        <f t="shared" si="1"/>
        <v>Rocky Mountain Clay Busters-Intermediate 3-Sporting Clays</v>
      </c>
      <c r="C97" s="92" t="s">
        <v>320</v>
      </c>
      <c r="D97" s="92" t="s">
        <v>352</v>
      </c>
      <c r="E97" s="92" t="s">
        <v>148</v>
      </c>
      <c r="F97" s="101" t="str">
        <f>IF(E97="Skeet",IFERROR(INDEX('Shooter-Squad Assignment'!$A:$A,MATCH(C97&amp;"-"&amp;D97&amp;"-"&amp;E97&amp;"-Pos1",'Shooter-Squad Assignment'!#REF!,0)),""),IF(E97="Trap",IFERROR(INDEX('Shooter-Squad Assignment'!$A:$A,MATCH(C97&amp;"-"&amp;D97&amp;"-"&amp;E97&amp;"-Pos1",'Shooter-Squad Assignment'!$V:$V,0)),""),IF(E97="Sporting Clays",IFERROR(INDEX('Shooter-Squad Assignment'!$A:$A,MATCH(C97&amp;"-"&amp;D97&amp;"-"&amp;E97&amp;"-Pos1",'Shooter-Squad Assignment'!$Y:$Y,0)),""),"")))</f>
        <v/>
      </c>
      <c r="G97" s="92" t="str">
        <f>IF(ISBLANK(F97),"",IFERROR(INDEX('Tournament List'!$D:$D,MATCH(F97,'Tournament List'!$A:$A,0)),""))</f>
        <v/>
      </c>
      <c r="H97" s="101" t="str">
        <f>IF(E97="Skeet",IFERROR(INDEX('Shooter-Squad Assignment'!$A:$A,MATCH(C97&amp;"-"&amp;D97&amp;"-"&amp;E97&amp;"-Pos2",'Shooter-Squad Assignment'!#REF!,0)),""),IF(E97="Trap",IFERROR(INDEX('Shooter-Squad Assignment'!$A:$A,MATCH(C97&amp;"-"&amp;D97&amp;"-"&amp;E97&amp;"-Pos2",'Shooter-Squad Assignment'!$V:$V,0)),""),IF(E97="Sporting Clays",IFERROR(INDEX('Shooter-Squad Assignment'!$A:$A,MATCH(C97&amp;"-"&amp;D97&amp;"-"&amp;E97&amp;"-Pos2",'Shooter-Squad Assignment'!$Y:$Y,0)),""),"")))</f>
        <v/>
      </c>
      <c r="I97" s="92" t="str">
        <f>IF(ISBLANK(H97),"",IFERROR(INDEX('Tournament List'!$D:$D,MATCH(H97,'Tournament List'!$A:$A,0)),""))</f>
        <v/>
      </c>
      <c r="J97" s="101" t="str">
        <f>IF(E97="Skeet",IFERROR(INDEX('Shooter-Squad Assignment'!$A:$A,MATCH(C97&amp;"-"&amp;D97&amp;"-"&amp;E97&amp;"-Pos3",'Shooter-Squad Assignment'!#REF!,0)),""),IF(E97="Trap",IFERROR(INDEX('Shooter-Squad Assignment'!$A:$A,MATCH(C97&amp;"-"&amp;D97&amp;"-"&amp;E97&amp;"-Pos3",'Shooter-Squad Assignment'!$V:$V,0)),""),IF(E97="Sporting Clays",IFERROR(INDEX('Shooter-Squad Assignment'!$A:$A,MATCH(C97&amp;"-"&amp;D97&amp;"-"&amp;E97&amp;"-Pos3",'Shooter-Squad Assignment'!$Y:$Y,0)),""),"")))</f>
        <v/>
      </c>
      <c r="K97" s="92" t="str">
        <f>IF(ISBLANK(J97),"",IFERROR(INDEX('Tournament List'!$D:$D,MATCH(J97,'Tournament List'!$A:$A,0)),""))</f>
        <v/>
      </c>
      <c r="L97" s="101" t="str">
        <f>IF(E97="Skeet",IFERROR(INDEX('Shooter-Squad Assignment'!$A:$A,MATCH(C97&amp;"-"&amp;D97&amp;"-"&amp;E97&amp;"-Pos4",'Shooter-Squad Assignment'!#REF!,0)),""),IF(E97="Trap",IFERROR(INDEX('Shooter-Squad Assignment'!$A:$A,MATCH(C97&amp;"-"&amp;D97&amp;"-"&amp;E97&amp;"-Pos4",'Shooter-Squad Assignment'!$V:$V,0)),""),IF(E97="Sporting Clays",IFERROR(INDEX('Shooter-Squad Assignment'!$A:$A,MATCH(C97&amp;"-"&amp;D97&amp;"-"&amp;E97&amp;"-Pos4",'Shooter-Squad Assignment'!$Y:$Y,0)),""),"")))</f>
        <v/>
      </c>
      <c r="M97" s="92" t="str">
        <f>IF(ISBLANK(L97),"",IFERROR(INDEX('Tournament List'!$D:$D,MATCH(L97,'Tournament List'!$A:$A,0)),""))</f>
        <v/>
      </c>
      <c r="N97" s="101" t="str">
        <f>IF(E97="Skeet",IFERROR(INDEX('Shooter-Squad Assignment'!$A:$A,MATCH(C97&amp;"-"&amp;D97&amp;"-"&amp;E97&amp;"-Pos5",'Shooter-Squad Assignment'!#REF!,0)),""),IF(E97="Trap",IFERROR(INDEX('Shooter-Squad Assignment'!$A:$A,MATCH(C97&amp;"-"&amp;D97&amp;"-"&amp;E97&amp;"-Pos5",'Shooter-Squad Assignment'!$V:$V,0)),""),IF(E97="Sporting Clays",IFERROR(INDEX('Shooter-Squad Assignment'!$A:$A,MATCH(C97&amp;"-"&amp;D97&amp;"-"&amp;E97&amp;"-Pos5",'Shooter-Squad Assignment'!$Y:$Y,0)),""),"")))</f>
        <v/>
      </c>
      <c r="O97" s="93" t="str">
        <f>IF(ISBLANK(N97),"",IFERROR(INDEX('Tournament List'!$D:$D,MATCH(N97,'Tournament List'!$A:$A,0)),""))</f>
        <v/>
      </c>
    </row>
    <row r="98" spans="1:15" x14ac:dyDescent="0.3">
      <c r="A98" s="91">
        <v>106</v>
      </c>
      <c r="B98" s="92" t="str">
        <f t="shared" si="1"/>
        <v>Rocky Mountain Clay Busters-Junior Varsity 1-Sporting Clays</v>
      </c>
      <c r="C98" s="92" t="s">
        <v>320</v>
      </c>
      <c r="D98" s="92" t="s">
        <v>341</v>
      </c>
      <c r="E98" s="92" t="s">
        <v>148</v>
      </c>
      <c r="F98" s="101" t="str">
        <f>IF(E98="Skeet",IFERROR(INDEX('Shooter-Squad Assignment'!$A:$A,MATCH(C98&amp;"-"&amp;D98&amp;"-"&amp;E98&amp;"-Pos1",'Shooter-Squad Assignment'!#REF!,0)),""),IF(E98="Trap",IFERROR(INDEX('Shooter-Squad Assignment'!$A:$A,MATCH(C98&amp;"-"&amp;D98&amp;"-"&amp;E98&amp;"-Pos1",'Shooter-Squad Assignment'!$V:$V,0)),""),IF(E98="Sporting Clays",IFERROR(INDEX('Shooter-Squad Assignment'!$A:$A,MATCH(C98&amp;"-"&amp;D98&amp;"-"&amp;E98&amp;"-Pos1",'Shooter-Squad Assignment'!$Y:$Y,0)),""),"")))</f>
        <v/>
      </c>
      <c r="G98" s="92" t="str">
        <f>IF(ISBLANK(F98),"",IFERROR(INDEX('Tournament List'!$D:$D,MATCH(F98,'Tournament List'!$A:$A,0)),""))</f>
        <v/>
      </c>
      <c r="H98" s="101" t="str">
        <f>IF(E98="Skeet",IFERROR(INDEX('Shooter-Squad Assignment'!$A:$A,MATCH(C98&amp;"-"&amp;D98&amp;"-"&amp;E98&amp;"-Pos2",'Shooter-Squad Assignment'!#REF!,0)),""),IF(E98="Trap",IFERROR(INDEX('Shooter-Squad Assignment'!$A:$A,MATCH(C98&amp;"-"&amp;D98&amp;"-"&amp;E98&amp;"-Pos2",'Shooter-Squad Assignment'!$V:$V,0)),""),IF(E98="Sporting Clays",IFERROR(INDEX('Shooter-Squad Assignment'!$A:$A,MATCH(C98&amp;"-"&amp;D98&amp;"-"&amp;E98&amp;"-Pos2",'Shooter-Squad Assignment'!$Y:$Y,0)),""),"")))</f>
        <v/>
      </c>
      <c r="I98" s="92" t="str">
        <f>IF(ISBLANK(H98),"",IFERROR(INDEX('Tournament List'!$D:$D,MATCH(H98,'Tournament List'!$A:$A,0)),""))</f>
        <v/>
      </c>
      <c r="J98" s="101" t="str">
        <f>IF(E98="Skeet",IFERROR(INDEX('Shooter-Squad Assignment'!$A:$A,MATCH(C98&amp;"-"&amp;D98&amp;"-"&amp;E98&amp;"-Pos3",'Shooter-Squad Assignment'!#REF!,0)),""),IF(E98="Trap",IFERROR(INDEX('Shooter-Squad Assignment'!$A:$A,MATCH(C98&amp;"-"&amp;D98&amp;"-"&amp;E98&amp;"-Pos3",'Shooter-Squad Assignment'!$V:$V,0)),""),IF(E98="Sporting Clays",IFERROR(INDEX('Shooter-Squad Assignment'!$A:$A,MATCH(C98&amp;"-"&amp;D98&amp;"-"&amp;E98&amp;"-Pos3",'Shooter-Squad Assignment'!$Y:$Y,0)),""),"")))</f>
        <v/>
      </c>
      <c r="K98" s="92" t="str">
        <f>IF(ISBLANK(J98),"",IFERROR(INDEX('Tournament List'!$D:$D,MATCH(J98,'Tournament List'!$A:$A,0)),""))</f>
        <v/>
      </c>
      <c r="L98" s="101" t="str">
        <f>IF(E98="Skeet",IFERROR(INDEX('Shooter-Squad Assignment'!$A:$A,MATCH(C98&amp;"-"&amp;D98&amp;"-"&amp;E98&amp;"-Pos4",'Shooter-Squad Assignment'!#REF!,0)),""),IF(E98="Trap",IFERROR(INDEX('Shooter-Squad Assignment'!$A:$A,MATCH(C98&amp;"-"&amp;D98&amp;"-"&amp;E98&amp;"-Pos4",'Shooter-Squad Assignment'!$V:$V,0)),""),IF(E98="Sporting Clays",IFERROR(INDEX('Shooter-Squad Assignment'!$A:$A,MATCH(C98&amp;"-"&amp;D98&amp;"-"&amp;E98&amp;"-Pos4",'Shooter-Squad Assignment'!$Y:$Y,0)),""),"")))</f>
        <v/>
      </c>
      <c r="M98" s="92" t="str">
        <f>IF(ISBLANK(L98),"",IFERROR(INDEX('Tournament List'!$D:$D,MATCH(L98,'Tournament List'!$A:$A,0)),""))</f>
        <v/>
      </c>
      <c r="N98" s="101" t="str">
        <f>IF(E98="Skeet",IFERROR(INDEX('Shooter-Squad Assignment'!$A:$A,MATCH(C98&amp;"-"&amp;D98&amp;"-"&amp;E98&amp;"-Pos5",'Shooter-Squad Assignment'!#REF!,0)),""),IF(E98="Trap",IFERROR(INDEX('Shooter-Squad Assignment'!$A:$A,MATCH(C98&amp;"-"&amp;D98&amp;"-"&amp;E98&amp;"-Pos5",'Shooter-Squad Assignment'!$V:$V,0)),""),IF(E98="Sporting Clays",IFERROR(INDEX('Shooter-Squad Assignment'!$A:$A,MATCH(C98&amp;"-"&amp;D98&amp;"-"&amp;E98&amp;"-Pos5",'Shooter-Squad Assignment'!$Y:$Y,0)),""),"")))</f>
        <v/>
      </c>
      <c r="O98" s="93" t="str">
        <f>IF(ISBLANK(N98),"",IFERROR(INDEX('Tournament List'!$D:$D,MATCH(N98,'Tournament List'!$A:$A,0)),""))</f>
        <v/>
      </c>
    </row>
    <row r="99" spans="1:15" x14ac:dyDescent="0.3">
      <c r="A99" s="91">
        <v>107</v>
      </c>
      <c r="B99" s="92" t="str">
        <f t="shared" si="1"/>
        <v>Rocky Mountain Clay Busters-Junior Varsity 2-Sporting Clays</v>
      </c>
      <c r="C99" s="92" t="s">
        <v>320</v>
      </c>
      <c r="D99" s="92" t="s">
        <v>347</v>
      </c>
      <c r="E99" s="92" t="s">
        <v>148</v>
      </c>
      <c r="F99" s="101" t="str">
        <f>IF(E99="Skeet",IFERROR(INDEX('Shooter-Squad Assignment'!$A:$A,MATCH(C99&amp;"-"&amp;D99&amp;"-"&amp;E99&amp;"-Pos1",'Shooter-Squad Assignment'!#REF!,0)),""),IF(E99="Trap",IFERROR(INDEX('Shooter-Squad Assignment'!$A:$A,MATCH(C99&amp;"-"&amp;D99&amp;"-"&amp;E99&amp;"-Pos1",'Shooter-Squad Assignment'!$V:$V,0)),""),IF(E99="Sporting Clays",IFERROR(INDEX('Shooter-Squad Assignment'!$A:$A,MATCH(C99&amp;"-"&amp;D99&amp;"-"&amp;E99&amp;"-Pos1",'Shooter-Squad Assignment'!$Y:$Y,0)),""),"")))</f>
        <v/>
      </c>
      <c r="G99" s="92" t="str">
        <f>IF(ISBLANK(F99),"",IFERROR(INDEX('Tournament List'!$D:$D,MATCH(F99,'Tournament List'!$A:$A,0)),""))</f>
        <v/>
      </c>
      <c r="H99" s="101" t="str">
        <f>IF(E99="Skeet",IFERROR(INDEX('Shooter-Squad Assignment'!$A:$A,MATCH(C99&amp;"-"&amp;D99&amp;"-"&amp;E99&amp;"-Pos2",'Shooter-Squad Assignment'!#REF!,0)),""),IF(E99="Trap",IFERROR(INDEX('Shooter-Squad Assignment'!$A:$A,MATCH(C99&amp;"-"&amp;D99&amp;"-"&amp;E99&amp;"-Pos2",'Shooter-Squad Assignment'!$V:$V,0)),""),IF(E99="Sporting Clays",IFERROR(INDEX('Shooter-Squad Assignment'!$A:$A,MATCH(C99&amp;"-"&amp;D99&amp;"-"&amp;E99&amp;"-Pos2",'Shooter-Squad Assignment'!$Y:$Y,0)),""),"")))</f>
        <v/>
      </c>
      <c r="I99" s="92" t="str">
        <f>IF(ISBLANK(H99),"",IFERROR(INDEX('Tournament List'!$D:$D,MATCH(H99,'Tournament List'!$A:$A,0)),""))</f>
        <v/>
      </c>
      <c r="J99" s="101" t="str">
        <f>IF(E99="Skeet",IFERROR(INDEX('Shooter-Squad Assignment'!$A:$A,MATCH(C99&amp;"-"&amp;D99&amp;"-"&amp;E99&amp;"-Pos3",'Shooter-Squad Assignment'!#REF!,0)),""),IF(E99="Trap",IFERROR(INDEX('Shooter-Squad Assignment'!$A:$A,MATCH(C99&amp;"-"&amp;D99&amp;"-"&amp;E99&amp;"-Pos3",'Shooter-Squad Assignment'!$V:$V,0)),""),IF(E99="Sporting Clays",IFERROR(INDEX('Shooter-Squad Assignment'!$A:$A,MATCH(C99&amp;"-"&amp;D99&amp;"-"&amp;E99&amp;"-Pos3",'Shooter-Squad Assignment'!$Y:$Y,0)),""),"")))</f>
        <v/>
      </c>
      <c r="K99" s="92" t="str">
        <f>IF(ISBLANK(J99),"",IFERROR(INDEX('Tournament List'!$D:$D,MATCH(J99,'Tournament List'!$A:$A,0)),""))</f>
        <v/>
      </c>
      <c r="L99" s="101" t="str">
        <f>IF(E99="Skeet",IFERROR(INDEX('Shooter-Squad Assignment'!$A:$A,MATCH(C99&amp;"-"&amp;D99&amp;"-"&amp;E99&amp;"-Pos4",'Shooter-Squad Assignment'!#REF!,0)),""),IF(E99="Trap",IFERROR(INDEX('Shooter-Squad Assignment'!$A:$A,MATCH(C99&amp;"-"&amp;D99&amp;"-"&amp;E99&amp;"-Pos4",'Shooter-Squad Assignment'!$V:$V,0)),""),IF(E99="Sporting Clays",IFERROR(INDEX('Shooter-Squad Assignment'!$A:$A,MATCH(C99&amp;"-"&amp;D99&amp;"-"&amp;E99&amp;"-Pos4",'Shooter-Squad Assignment'!$Y:$Y,0)),""),"")))</f>
        <v/>
      </c>
      <c r="M99" s="92" t="str">
        <f>IF(ISBLANK(L99),"",IFERROR(INDEX('Tournament List'!$D:$D,MATCH(L99,'Tournament List'!$A:$A,0)),""))</f>
        <v/>
      </c>
      <c r="N99" s="101" t="str">
        <f>IF(E99="Skeet",IFERROR(INDEX('Shooter-Squad Assignment'!$A:$A,MATCH(C99&amp;"-"&amp;D99&amp;"-"&amp;E99&amp;"-Pos5",'Shooter-Squad Assignment'!#REF!,0)),""),IF(E99="Trap",IFERROR(INDEX('Shooter-Squad Assignment'!$A:$A,MATCH(C99&amp;"-"&amp;D99&amp;"-"&amp;E99&amp;"-Pos5",'Shooter-Squad Assignment'!$V:$V,0)),""),IF(E99="Sporting Clays",IFERROR(INDEX('Shooter-Squad Assignment'!$A:$A,MATCH(C99&amp;"-"&amp;D99&amp;"-"&amp;E99&amp;"-Pos5",'Shooter-Squad Assignment'!$Y:$Y,0)),""),"")))</f>
        <v/>
      </c>
      <c r="O99" s="93" t="str">
        <f>IF(ISBLANK(N99),"",IFERROR(INDEX('Tournament List'!$D:$D,MATCH(N99,'Tournament List'!$A:$A,0)),""))</f>
        <v/>
      </c>
    </row>
    <row r="100" spans="1:15" x14ac:dyDescent="0.3">
      <c r="A100" s="91">
        <v>108</v>
      </c>
      <c r="B100" s="92" t="str">
        <f t="shared" si="1"/>
        <v>Rocky Mountain Clay Busters-Junior Varsity 3-Sporting Clays</v>
      </c>
      <c r="C100" s="92" t="s">
        <v>320</v>
      </c>
      <c r="D100" s="92" t="s">
        <v>353</v>
      </c>
      <c r="E100" s="92" t="s">
        <v>148</v>
      </c>
      <c r="F100" s="101" t="str">
        <f>IF(E100="Skeet",IFERROR(INDEX('Shooter-Squad Assignment'!$A:$A,MATCH(C100&amp;"-"&amp;D100&amp;"-"&amp;E100&amp;"-Pos1",'Shooter-Squad Assignment'!#REF!,0)),""),IF(E100="Trap",IFERROR(INDEX('Shooter-Squad Assignment'!$A:$A,MATCH(C100&amp;"-"&amp;D100&amp;"-"&amp;E100&amp;"-Pos1",'Shooter-Squad Assignment'!$V:$V,0)),""),IF(E100="Sporting Clays",IFERROR(INDEX('Shooter-Squad Assignment'!$A:$A,MATCH(C100&amp;"-"&amp;D100&amp;"-"&amp;E100&amp;"-Pos1",'Shooter-Squad Assignment'!$Y:$Y,0)),""),"")))</f>
        <v/>
      </c>
      <c r="G100" s="92" t="str">
        <f>IF(ISBLANK(F100),"",IFERROR(INDEX('Tournament List'!$D:$D,MATCH(F100,'Tournament List'!$A:$A,0)),""))</f>
        <v/>
      </c>
      <c r="H100" s="101" t="str">
        <f>IF(E100="Skeet",IFERROR(INDEX('Shooter-Squad Assignment'!$A:$A,MATCH(C100&amp;"-"&amp;D100&amp;"-"&amp;E100&amp;"-Pos2",'Shooter-Squad Assignment'!#REF!,0)),""),IF(E100="Trap",IFERROR(INDEX('Shooter-Squad Assignment'!$A:$A,MATCH(C100&amp;"-"&amp;D100&amp;"-"&amp;E100&amp;"-Pos2",'Shooter-Squad Assignment'!$V:$V,0)),""),IF(E100="Sporting Clays",IFERROR(INDEX('Shooter-Squad Assignment'!$A:$A,MATCH(C100&amp;"-"&amp;D100&amp;"-"&amp;E100&amp;"-Pos2",'Shooter-Squad Assignment'!$Y:$Y,0)),""),"")))</f>
        <v/>
      </c>
      <c r="I100" s="92" t="str">
        <f>IF(ISBLANK(H100),"",IFERROR(INDEX('Tournament List'!$D:$D,MATCH(H100,'Tournament List'!$A:$A,0)),""))</f>
        <v/>
      </c>
      <c r="J100" s="101" t="str">
        <f>IF(E100="Skeet",IFERROR(INDEX('Shooter-Squad Assignment'!$A:$A,MATCH(C100&amp;"-"&amp;D100&amp;"-"&amp;E100&amp;"-Pos3",'Shooter-Squad Assignment'!#REF!,0)),""),IF(E100="Trap",IFERROR(INDEX('Shooter-Squad Assignment'!$A:$A,MATCH(C100&amp;"-"&amp;D100&amp;"-"&amp;E100&amp;"-Pos3",'Shooter-Squad Assignment'!$V:$V,0)),""),IF(E100="Sporting Clays",IFERROR(INDEX('Shooter-Squad Assignment'!$A:$A,MATCH(C100&amp;"-"&amp;D100&amp;"-"&amp;E100&amp;"-Pos3",'Shooter-Squad Assignment'!$Y:$Y,0)),""),"")))</f>
        <v/>
      </c>
      <c r="K100" s="92" t="str">
        <f>IF(ISBLANK(J100),"",IFERROR(INDEX('Tournament List'!$D:$D,MATCH(J100,'Tournament List'!$A:$A,0)),""))</f>
        <v/>
      </c>
      <c r="L100" s="101" t="str">
        <f>IF(E100="Skeet",IFERROR(INDEX('Shooter-Squad Assignment'!$A:$A,MATCH(C100&amp;"-"&amp;D100&amp;"-"&amp;E100&amp;"-Pos4",'Shooter-Squad Assignment'!#REF!,0)),""),IF(E100="Trap",IFERROR(INDEX('Shooter-Squad Assignment'!$A:$A,MATCH(C100&amp;"-"&amp;D100&amp;"-"&amp;E100&amp;"-Pos4",'Shooter-Squad Assignment'!$V:$V,0)),""),IF(E100="Sporting Clays",IFERROR(INDEX('Shooter-Squad Assignment'!$A:$A,MATCH(C100&amp;"-"&amp;D100&amp;"-"&amp;E100&amp;"-Pos4",'Shooter-Squad Assignment'!$Y:$Y,0)),""),"")))</f>
        <v/>
      </c>
      <c r="M100" s="92" t="str">
        <f>IF(ISBLANK(L100),"",IFERROR(INDEX('Tournament List'!$D:$D,MATCH(L100,'Tournament List'!$A:$A,0)),""))</f>
        <v/>
      </c>
      <c r="N100" s="101" t="str">
        <f>IF(E100="Skeet",IFERROR(INDEX('Shooter-Squad Assignment'!$A:$A,MATCH(C100&amp;"-"&amp;D100&amp;"-"&amp;E100&amp;"-Pos5",'Shooter-Squad Assignment'!#REF!,0)),""),IF(E100="Trap",IFERROR(INDEX('Shooter-Squad Assignment'!$A:$A,MATCH(C100&amp;"-"&amp;D100&amp;"-"&amp;E100&amp;"-Pos5",'Shooter-Squad Assignment'!$V:$V,0)),""),IF(E100="Sporting Clays",IFERROR(INDEX('Shooter-Squad Assignment'!$A:$A,MATCH(C100&amp;"-"&amp;D100&amp;"-"&amp;E100&amp;"-Pos5",'Shooter-Squad Assignment'!$Y:$Y,0)),""),"")))</f>
        <v/>
      </c>
      <c r="O100" s="93" t="str">
        <f>IF(ISBLANK(N100),"",IFERROR(INDEX('Tournament List'!$D:$D,MATCH(N100,'Tournament List'!$A:$A,0)),""))</f>
        <v/>
      </c>
    </row>
    <row r="101" spans="1:15" x14ac:dyDescent="0.3">
      <c r="A101" s="91">
        <v>109</v>
      </c>
      <c r="B101" s="92" t="str">
        <f t="shared" si="1"/>
        <v>Rocky Mountain Clay Busters-Novice 1-Sporting Clays</v>
      </c>
      <c r="C101" s="92" t="s">
        <v>320</v>
      </c>
      <c r="D101" s="92" t="s">
        <v>339</v>
      </c>
      <c r="E101" s="92" t="s">
        <v>148</v>
      </c>
      <c r="F101" s="101" t="str">
        <f>IF(E101="Skeet",IFERROR(INDEX('Shooter-Squad Assignment'!$A:$A,MATCH(C101&amp;"-"&amp;D101&amp;"-"&amp;E101&amp;"-Pos1",'Shooter-Squad Assignment'!#REF!,0)),""),IF(E101="Trap",IFERROR(INDEX('Shooter-Squad Assignment'!$A:$A,MATCH(C101&amp;"-"&amp;D101&amp;"-"&amp;E101&amp;"-Pos1",'Shooter-Squad Assignment'!$V:$V,0)),""),IF(E101="Sporting Clays",IFERROR(INDEX('Shooter-Squad Assignment'!$A:$A,MATCH(C101&amp;"-"&amp;D101&amp;"-"&amp;E101&amp;"-Pos1",'Shooter-Squad Assignment'!$Y:$Y,0)),""),"")))</f>
        <v/>
      </c>
      <c r="G101" s="92" t="str">
        <f>IF(ISBLANK(F101),"",IFERROR(INDEX('Tournament List'!$D:$D,MATCH(F101,'Tournament List'!$A:$A,0)),""))</f>
        <v/>
      </c>
      <c r="H101" s="101" t="str">
        <f>IF(E101="Skeet",IFERROR(INDEX('Shooter-Squad Assignment'!$A:$A,MATCH(C101&amp;"-"&amp;D101&amp;"-"&amp;E101&amp;"-Pos2",'Shooter-Squad Assignment'!#REF!,0)),""),IF(E101="Trap",IFERROR(INDEX('Shooter-Squad Assignment'!$A:$A,MATCH(C101&amp;"-"&amp;D101&amp;"-"&amp;E101&amp;"-Pos2",'Shooter-Squad Assignment'!$V:$V,0)),""),IF(E101="Sporting Clays",IFERROR(INDEX('Shooter-Squad Assignment'!$A:$A,MATCH(C101&amp;"-"&amp;D101&amp;"-"&amp;E101&amp;"-Pos2",'Shooter-Squad Assignment'!$Y:$Y,0)),""),"")))</f>
        <v/>
      </c>
      <c r="I101" s="92" t="str">
        <f>IF(ISBLANK(H101),"",IFERROR(INDEX('Tournament List'!$D:$D,MATCH(H101,'Tournament List'!$A:$A,0)),""))</f>
        <v/>
      </c>
      <c r="J101" s="101" t="str">
        <f>IF(E101="Skeet",IFERROR(INDEX('Shooter-Squad Assignment'!$A:$A,MATCH(C101&amp;"-"&amp;D101&amp;"-"&amp;E101&amp;"-Pos3",'Shooter-Squad Assignment'!#REF!,0)),""),IF(E101="Trap",IFERROR(INDEX('Shooter-Squad Assignment'!$A:$A,MATCH(C101&amp;"-"&amp;D101&amp;"-"&amp;E101&amp;"-Pos3",'Shooter-Squad Assignment'!$V:$V,0)),""),IF(E101="Sporting Clays",IFERROR(INDEX('Shooter-Squad Assignment'!$A:$A,MATCH(C101&amp;"-"&amp;D101&amp;"-"&amp;E101&amp;"-Pos3",'Shooter-Squad Assignment'!$Y:$Y,0)),""),"")))</f>
        <v/>
      </c>
      <c r="K101" s="92" t="str">
        <f>IF(ISBLANK(J101),"",IFERROR(INDEX('Tournament List'!$D:$D,MATCH(J101,'Tournament List'!$A:$A,0)),""))</f>
        <v/>
      </c>
      <c r="L101" s="101" t="str">
        <f>IF(E101="Skeet",IFERROR(INDEX('Shooter-Squad Assignment'!$A:$A,MATCH(C101&amp;"-"&amp;D101&amp;"-"&amp;E101&amp;"-Pos4",'Shooter-Squad Assignment'!#REF!,0)),""),IF(E101="Trap",IFERROR(INDEX('Shooter-Squad Assignment'!$A:$A,MATCH(C101&amp;"-"&amp;D101&amp;"-"&amp;E101&amp;"-Pos4",'Shooter-Squad Assignment'!$V:$V,0)),""),IF(E101="Sporting Clays",IFERROR(INDEX('Shooter-Squad Assignment'!$A:$A,MATCH(C101&amp;"-"&amp;D101&amp;"-"&amp;E101&amp;"-Pos4",'Shooter-Squad Assignment'!$Y:$Y,0)),""),"")))</f>
        <v/>
      </c>
      <c r="M101" s="92" t="str">
        <f>IF(ISBLANK(L101),"",IFERROR(INDEX('Tournament List'!$D:$D,MATCH(L101,'Tournament List'!$A:$A,0)),""))</f>
        <v/>
      </c>
      <c r="N101" s="101" t="str">
        <f>IF(E101="Skeet",IFERROR(INDEX('Shooter-Squad Assignment'!$A:$A,MATCH(C101&amp;"-"&amp;D101&amp;"-"&amp;E101&amp;"-Pos5",'Shooter-Squad Assignment'!#REF!,0)),""),IF(E101="Trap",IFERROR(INDEX('Shooter-Squad Assignment'!$A:$A,MATCH(C101&amp;"-"&amp;D101&amp;"-"&amp;E101&amp;"-Pos5",'Shooter-Squad Assignment'!$V:$V,0)),""),IF(E101="Sporting Clays",IFERROR(INDEX('Shooter-Squad Assignment'!$A:$A,MATCH(C101&amp;"-"&amp;D101&amp;"-"&amp;E101&amp;"-Pos5",'Shooter-Squad Assignment'!$Y:$Y,0)),""),"")))</f>
        <v/>
      </c>
      <c r="O101" s="93" t="str">
        <f>IF(ISBLANK(N101),"",IFERROR(INDEX('Tournament List'!$D:$D,MATCH(N101,'Tournament List'!$A:$A,0)),""))</f>
        <v/>
      </c>
    </row>
    <row r="102" spans="1:15" x14ac:dyDescent="0.3">
      <c r="A102" s="91">
        <v>110</v>
      </c>
      <c r="B102" s="92" t="str">
        <f t="shared" si="1"/>
        <v>Rocky Mountain Clay Busters-Novice 2-Sporting Clays</v>
      </c>
      <c r="C102" s="92" t="s">
        <v>320</v>
      </c>
      <c r="D102" s="92" t="s">
        <v>345</v>
      </c>
      <c r="E102" s="92" t="s">
        <v>148</v>
      </c>
      <c r="F102" s="101" t="str">
        <f>IF(E102="Skeet",IFERROR(INDEX('Shooter-Squad Assignment'!$A:$A,MATCH(C102&amp;"-"&amp;D102&amp;"-"&amp;E102&amp;"-Pos1",'Shooter-Squad Assignment'!#REF!,0)),""),IF(E102="Trap",IFERROR(INDEX('Shooter-Squad Assignment'!$A:$A,MATCH(C102&amp;"-"&amp;D102&amp;"-"&amp;E102&amp;"-Pos1",'Shooter-Squad Assignment'!$V:$V,0)),""),IF(E102="Sporting Clays",IFERROR(INDEX('Shooter-Squad Assignment'!$A:$A,MATCH(C102&amp;"-"&amp;D102&amp;"-"&amp;E102&amp;"-Pos1",'Shooter-Squad Assignment'!$Y:$Y,0)),""),"")))</f>
        <v/>
      </c>
      <c r="G102" s="92" t="str">
        <f>IF(ISBLANK(F102),"",IFERROR(INDEX('Tournament List'!$D:$D,MATCH(F102,'Tournament List'!$A:$A,0)),""))</f>
        <v/>
      </c>
      <c r="H102" s="101" t="str">
        <f>IF(E102="Skeet",IFERROR(INDEX('Shooter-Squad Assignment'!$A:$A,MATCH(C102&amp;"-"&amp;D102&amp;"-"&amp;E102&amp;"-Pos2",'Shooter-Squad Assignment'!#REF!,0)),""),IF(E102="Trap",IFERROR(INDEX('Shooter-Squad Assignment'!$A:$A,MATCH(C102&amp;"-"&amp;D102&amp;"-"&amp;E102&amp;"-Pos2",'Shooter-Squad Assignment'!$V:$V,0)),""),IF(E102="Sporting Clays",IFERROR(INDEX('Shooter-Squad Assignment'!$A:$A,MATCH(C102&amp;"-"&amp;D102&amp;"-"&amp;E102&amp;"-Pos2",'Shooter-Squad Assignment'!$Y:$Y,0)),""),"")))</f>
        <v/>
      </c>
      <c r="I102" s="92" t="str">
        <f>IF(ISBLANK(H102),"",IFERROR(INDEX('Tournament List'!$D:$D,MATCH(H102,'Tournament List'!$A:$A,0)),""))</f>
        <v/>
      </c>
      <c r="J102" s="101" t="str">
        <f>IF(E102="Skeet",IFERROR(INDEX('Shooter-Squad Assignment'!$A:$A,MATCH(C102&amp;"-"&amp;D102&amp;"-"&amp;E102&amp;"-Pos3",'Shooter-Squad Assignment'!#REF!,0)),""),IF(E102="Trap",IFERROR(INDEX('Shooter-Squad Assignment'!$A:$A,MATCH(C102&amp;"-"&amp;D102&amp;"-"&amp;E102&amp;"-Pos3",'Shooter-Squad Assignment'!$V:$V,0)),""),IF(E102="Sporting Clays",IFERROR(INDEX('Shooter-Squad Assignment'!$A:$A,MATCH(C102&amp;"-"&amp;D102&amp;"-"&amp;E102&amp;"-Pos3",'Shooter-Squad Assignment'!$Y:$Y,0)),""),"")))</f>
        <v/>
      </c>
      <c r="K102" s="92" t="str">
        <f>IF(ISBLANK(J102),"",IFERROR(INDEX('Tournament List'!$D:$D,MATCH(J102,'Tournament List'!$A:$A,0)),""))</f>
        <v/>
      </c>
      <c r="L102" s="101" t="str">
        <f>IF(E102="Skeet",IFERROR(INDEX('Shooter-Squad Assignment'!$A:$A,MATCH(C102&amp;"-"&amp;D102&amp;"-"&amp;E102&amp;"-Pos4",'Shooter-Squad Assignment'!#REF!,0)),""),IF(E102="Trap",IFERROR(INDEX('Shooter-Squad Assignment'!$A:$A,MATCH(C102&amp;"-"&amp;D102&amp;"-"&amp;E102&amp;"-Pos4",'Shooter-Squad Assignment'!$V:$V,0)),""),IF(E102="Sporting Clays",IFERROR(INDEX('Shooter-Squad Assignment'!$A:$A,MATCH(C102&amp;"-"&amp;D102&amp;"-"&amp;E102&amp;"-Pos4",'Shooter-Squad Assignment'!$Y:$Y,0)),""),"")))</f>
        <v/>
      </c>
      <c r="M102" s="92" t="str">
        <f>IF(ISBLANK(L102),"",IFERROR(INDEX('Tournament List'!$D:$D,MATCH(L102,'Tournament List'!$A:$A,0)),""))</f>
        <v/>
      </c>
      <c r="N102" s="101" t="str">
        <f>IF(E102="Skeet",IFERROR(INDEX('Shooter-Squad Assignment'!$A:$A,MATCH(C102&amp;"-"&amp;D102&amp;"-"&amp;E102&amp;"-Pos5",'Shooter-Squad Assignment'!#REF!,0)),""),IF(E102="Trap",IFERROR(INDEX('Shooter-Squad Assignment'!$A:$A,MATCH(C102&amp;"-"&amp;D102&amp;"-"&amp;E102&amp;"-Pos5",'Shooter-Squad Assignment'!$V:$V,0)),""),IF(E102="Sporting Clays",IFERROR(INDEX('Shooter-Squad Assignment'!$A:$A,MATCH(C102&amp;"-"&amp;D102&amp;"-"&amp;E102&amp;"-Pos5",'Shooter-Squad Assignment'!$Y:$Y,0)),""),"")))</f>
        <v/>
      </c>
      <c r="O102" s="93" t="str">
        <f>IF(ISBLANK(N102),"",IFERROR(INDEX('Tournament List'!$D:$D,MATCH(N102,'Tournament List'!$A:$A,0)),""))</f>
        <v/>
      </c>
    </row>
    <row r="103" spans="1:15" x14ac:dyDescent="0.3">
      <c r="A103" s="91">
        <v>111</v>
      </c>
      <c r="B103" s="92" t="str">
        <f t="shared" si="1"/>
        <v>Rocky Mountain Clay Busters-Novice 3-Sporting Clays</v>
      </c>
      <c r="C103" s="92" t="s">
        <v>320</v>
      </c>
      <c r="D103" s="92" t="s">
        <v>351</v>
      </c>
      <c r="E103" s="92" t="s">
        <v>148</v>
      </c>
      <c r="F103" s="101" t="str">
        <f>IF(E103="Skeet",IFERROR(INDEX('Shooter-Squad Assignment'!$A:$A,MATCH(C103&amp;"-"&amp;D103&amp;"-"&amp;E103&amp;"-Pos1",'Shooter-Squad Assignment'!#REF!,0)),""),IF(E103="Trap",IFERROR(INDEX('Shooter-Squad Assignment'!$A:$A,MATCH(C103&amp;"-"&amp;D103&amp;"-"&amp;E103&amp;"-Pos1",'Shooter-Squad Assignment'!$V:$V,0)),""),IF(E103="Sporting Clays",IFERROR(INDEX('Shooter-Squad Assignment'!$A:$A,MATCH(C103&amp;"-"&amp;D103&amp;"-"&amp;E103&amp;"-Pos1",'Shooter-Squad Assignment'!$Y:$Y,0)),""),"")))</f>
        <v/>
      </c>
      <c r="G103" s="92" t="str">
        <f>IF(ISBLANK(F103),"",IFERROR(INDEX('Tournament List'!$D:$D,MATCH(F103,'Tournament List'!$A:$A,0)),""))</f>
        <v/>
      </c>
      <c r="H103" s="101" t="str">
        <f>IF(E103="Skeet",IFERROR(INDEX('Shooter-Squad Assignment'!$A:$A,MATCH(C103&amp;"-"&amp;D103&amp;"-"&amp;E103&amp;"-Pos2",'Shooter-Squad Assignment'!#REF!,0)),""),IF(E103="Trap",IFERROR(INDEX('Shooter-Squad Assignment'!$A:$A,MATCH(C103&amp;"-"&amp;D103&amp;"-"&amp;E103&amp;"-Pos2",'Shooter-Squad Assignment'!$V:$V,0)),""),IF(E103="Sporting Clays",IFERROR(INDEX('Shooter-Squad Assignment'!$A:$A,MATCH(C103&amp;"-"&amp;D103&amp;"-"&amp;E103&amp;"-Pos2",'Shooter-Squad Assignment'!$Y:$Y,0)),""),"")))</f>
        <v/>
      </c>
      <c r="I103" s="92" t="str">
        <f>IF(ISBLANK(H103),"",IFERROR(INDEX('Tournament List'!$D:$D,MATCH(H103,'Tournament List'!$A:$A,0)),""))</f>
        <v/>
      </c>
      <c r="J103" s="101" t="str">
        <f>IF(E103="Skeet",IFERROR(INDEX('Shooter-Squad Assignment'!$A:$A,MATCH(C103&amp;"-"&amp;D103&amp;"-"&amp;E103&amp;"-Pos3",'Shooter-Squad Assignment'!#REF!,0)),""),IF(E103="Trap",IFERROR(INDEX('Shooter-Squad Assignment'!$A:$A,MATCH(C103&amp;"-"&amp;D103&amp;"-"&amp;E103&amp;"-Pos3",'Shooter-Squad Assignment'!$V:$V,0)),""),IF(E103="Sporting Clays",IFERROR(INDEX('Shooter-Squad Assignment'!$A:$A,MATCH(C103&amp;"-"&amp;D103&amp;"-"&amp;E103&amp;"-Pos3",'Shooter-Squad Assignment'!$Y:$Y,0)),""),"")))</f>
        <v/>
      </c>
      <c r="K103" s="92" t="str">
        <f>IF(ISBLANK(J103),"",IFERROR(INDEX('Tournament List'!$D:$D,MATCH(J103,'Tournament List'!$A:$A,0)),""))</f>
        <v/>
      </c>
      <c r="L103" s="101" t="str">
        <f>IF(E103="Skeet",IFERROR(INDEX('Shooter-Squad Assignment'!$A:$A,MATCH(C103&amp;"-"&amp;D103&amp;"-"&amp;E103&amp;"-Pos4",'Shooter-Squad Assignment'!#REF!,0)),""),IF(E103="Trap",IFERROR(INDEX('Shooter-Squad Assignment'!$A:$A,MATCH(C103&amp;"-"&amp;D103&amp;"-"&amp;E103&amp;"-Pos4",'Shooter-Squad Assignment'!$V:$V,0)),""),IF(E103="Sporting Clays",IFERROR(INDEX('Shooter-Squad Assignment'!$A:$A,MATCH(C103&amp;"-"&amp;D103&amp;"-"&amp;E103&amp;"-Pos4",'Shooter-Squad Assignment'!$Y:$Y,0)),""),"")))</f>
        <v/>
      </c>
      <c r="M103" s="92" t="str">
        <f>IF(ISBLANK(L103),"",IFERROR(INDEX('Tournament List'!$D:$D,MATCH(L103,'Tournament List'!$A:$A,0)),""))</f>
        <v/>
      </c>
      <c r="N103" s="101" t="str">
        <f>IF(E103="Skeet",IFERROR(INDEX('Shooter-Squad Assignment'!$A:$A,MATCH(C103&amp;"-"&amp;D103&amp;"-"&amp;E103&amp;"-Pos5",'Shooter-Squad Assignment'!#REF!,0)),""),IF(E103="Trap",IFERROR(INDEX('Shooter-Squad Assignment'!$A:$A,MATCH(C103&amp;"-"&amp;D103&amp;"-"&amp;E103&amp;"-Pos5",'Shooter-Squad Assignment'!$V:$V,0)),""),IF(E103="Sporting Clays",IFERROR(INDEX('Shooter-Squad Assignment'!$A:$A,MATCH(C103&amp;"-"&amp;D103&amp;"-"&amp;E103&amp;"-Pos5",'Shooter-Squad Assignment'!$Y:$Y,0)),""),"")))</f>
        <v/>
      </c>
      <c r="O103" s="93" t="str">
        <f>IF(ISBLANK(N103),"",IFERROR(INDEX('Tournament List'!$D:$D,MATCH(N103,'Tournament List'!$A:$A,0)),""))</f>
        <v/>
      </c>
    </row>
    <row r="104" spans="1:15" x14ac:dyDescent="0.3">
      <c r="A104" s="91">
        <v>112</v>
      </c>
      <c r="B104" s="92" t="str">
        <f t="shared" si="1"/>
        <v>Rocky Mountain Clay Busters-Open 1-Sporting Clays</v>
      </c>
      <c r="C104" s="92" t="s">
        <v>320</v>
      </c>
      <c r="D104" s="92" t="s">
        <v>343</v>
      </c>
      <c r="E104" s="92" t="s">
        <v>148</v>
      </c>
      <c r="F104" s="101" t="str">
        <f>IF(E104="Skeet",IFERROR(INDEX('Shooter-Squad Assignment'!$A:$A,MATCH(C104&amp;"-"&amp;D104&amp;"-"&amp;E104&amp;"-Pos1",'Shooter-Squad Assignment'!#REF!,0)),""),IF(E104="Trap",IFERROR(INDEX('Shooter-Squad Assignment'!$A:$A,MATCH(C104&amp;"-"&amp;D104&amp;"-"&amp;E104&amp;"-Pos1",'Shooter-Squad Assignment'!$V:$V,0)),""),IF(E104="Sporting Clays",IFERROR(INDEX('Shooter-Squad Assignment'!$A:$A,MATCH(C104&amp;"-"&amp;D104&amp;"-"&amp;E104&amp;"-Pos1",'Shooter-Squad Assignment'!$Y:$Y,0)),""),"")))</f>
        <v/>
      </c>
      <c r="G104" s="92" t="str">
        <f>IF(ISBLANK(F104),"",IFERROR(INDEX('Tournament List'!$D:$D,MATCH(F104,'Tournament List'!$A:$A,0)),""))</f>
        <v/>
      </c>
      <c r="H104" s="101" t="str">
        <f>IF(E104="Skeet",IFERROR(INDEX('Shooter-Squad Assignment'!$A:$A,MATCH(C104&amp;"-"&amp;D104&amp;"-"&amp;E104&amp;"-Pos2",'Shooter-Squad Assignment'!#REF!,0)),""),IF(E104="Trap",IFERROR(INDEX('Shooter-Squad Assignment'!$A:$A,MATCH(C104&amp;"-"&amp;D104&amp;"-"&amp;E104&amp;"-Pos2",'Shooter-Squad Assignment'!$V:$V,0)),""),IF(E104="Sporting Clays",IFERROR(INDEX('Shooter-Squad Assignment'!$A:$A,MATCH(C104&amp;"-"&amp;D104&amp;"-"&amp;E104&amp;"-Pos2",'Shooter-Squad Assignment'!$Y:$Y,0)),""),"")))</f>
        <v/>
      </c>
      <c r="I104" s="92" t="str">
        <f>IF(ISBLANK(H104),"",IFERROR(INDEX('Tournament List'!$D:$D,MATCH(H104,'Tournament List'!$A:$A,0)),""))</f>
        <v/>
      </c>
      <c r="J104" s="101" t="str">
        <f>IF(E104="Skeet",IFERROR(INDEX('Shooter-Squad Assignment'!$A:$A,MATCH(C104&amp;"-"&amp;D104&amp;"-"&amp;E104&amp;"-Pos3",'Shooter-Squad Assignment'!#REF!,0)),""),IF(E104="Trap",IFERROR(INDEX('Shooter-Squad Assignment'!$A:$A,MATCH(C104&amp;"-"&amp;D104&amp;"-"&amp;E104&amp;"-Pos3",'Shooter-Squad Assignment'!$V:$V,0)),""),IF(E104="Sporting Clays",IFERROR(INDEX('Shooter-Squad Assignment'!$A:$A,MATCH(C104&amp;"-"&amp;D104&amp;"-"&amp;E104&amp;"-Pos3",'Shooter-Squad Assignment'!$Y:$Y,0)),""),"")))</f>
        <v/>
      </c>
      <c r="K104" s="92" t="str">
        <f>IF(ISBLANK(J104),"",IFERROR(INDEX('Tournament List'!$D:$D,MATCH(J104,'Tournament List'!$A:$A,0)),""))</f>
        <v/>
      </c>
      <c r="L104" s="101" t="str">
        <f>IF(E104="Skeet",IFERROR(INDEX('Shooter-Squad Assignment'!$A:$A,MATCH(C104&amp;"-"&amp;D104&amp;"-"&amp;E104&amp;"-Pos4",'Shooter-Squad Assignment'!#REF!,0)),""),IF(E104="Trap",IFERROR(INDEX('Shooter-Squad Assignment'!$A:$A,MATCH(C104&amp;"-"&amp;D104&amp;"-"&amp;E104&amp;"-Pos4",'Shooter-Squad Assignment'!$V:$V,0)),""),IF(E104="Sporting Clays",IFERROR(INDEX('Shooter-Squad Assignment'!$A:$A,MATCH(C104&amp;"-"&amp;D104&amp;"-"&amp;E104&amp;"-Pos4",'Shooter-Squad Assignment'!$Y:$Y,0)),""),"")))</f>
        <v/>
      </c>
      <c r="M104" s="92" t="str">
        <f>IF(ISBLANK(L104),"",IFERROR(INDEX('Tournament List'!$D:$D,MATCH(L104,'Tournament List'!$A:$A,0)),""))</f>
        <v/>
      </c>
      <c r="N104" s="101" t="str">
        <f>IF(E104="Skeet",IFERROR(INDEX('Shooter-Squad Assignment'!$A:$A,MATCH(C104&amp;"-"&amp;D104&amp;"-"&amp;E104&amp;"-Pos5",'Shooter-Squad Assignment'!#REF!,0)),""),IF(E104="Trap",IFERROR(INDEX('Shooter-Squad Assignment'!$A:$A,MATCH(C104&amp;"-"&amp;D104&amp;"-"&amp;E104&amp;"-Pos5",'Shooter-Squad Assignment'!$V:$V,0)),""),IF(E104="Sporting Clays",IFERROR(INDEX('Shooter-Squad Assignment'!$A:$A,MATCH(C104&amp;"-"&amp;D104&amp;"-"&amp;E104&amp;"-Pos5",'Shooter-Squad Assignment'!$Y:$Y,0)),""),"")))</f>
        <v/>
      </c>
      <c r="O104" s="93" t="str">
        <f>IF(ISBLANK(N104),"",IFERROR(INDEX('Tournament List'!$D:$D,MATCH(N104,'Tournament List'!$A:$A,0)),""))</f>
        <v/>
      </c>
    </row>
    <row r="105" spans="1:15" x14ac:dyDescent="0.3">
      <c r="A105" s="91">
        <v>113</v>
      </c>
      <c r="B105" s="92" t="str">
        <f t="shared" si="1"/>
        <v>Rocky Mountain Clay Busters-Open 2-Sporting Clays</v>
      </c>
      <c r="C105" s="92" t="s">
        <v>320</v>
      </c>
      <c r="D105" s="92" t="s">
        <v>349</v>
      </c>
      <c r="E105" s="92" t="s">
        <v>148</v>
      </c>
      <c r="F105" s="101" t="str">
        <f>IF(E105="Skeet",IFERROR(INDEX('Shooter-Squad Assignment'!$A:$A,MATCH(C105&amp;"-"&amp;D105&amp;"-"&amp;E105&amp;"-Pos1",'Shooter-Squad Assignment'!#REF!,0)),""),IF(E105="Trap",IFERROR(INDEX('Shooter-Squad Assignment'!$A:$A,MATCH(C105&amp;"-"&amp;D105&amp;"-"&amp;E105&amp;"-Pos1",'Shooter-Squad Assignment'!$V:$V,0)),""),IF(E105="Sporting Clays",IFERROR(INDEX('Shooter-Squad Assignment'!$A:$A,MATCH(C105&amp;"-"&amp;D105&amp;"-"&amp;E105&amp;"-Pos1",'Shooter-Squad Assignment'!$Y:$Y,0)),""),"")))</f>
        <v/>
      </c>
      <c r="G105" s="92" t="str">
        <f>IF(ISBLANK(F105),"",IFERROR(INDEX('Tournament List'!$D:$D,MATCH(F105,'Tournament List'!$A:$A,0)),""))</f>
        <v/>
      </c>
      <c r="H105" s="101" t="str">
        <f>IF(E105="Skeet",IFERROR(INDEX('Shooter-Squad Assignment'!$A:$A,MATCH(C105&amp;"-"&amp;D105&amp;"-"&amp;E105&amp;"-Pos2",'Shooter-Squad Assignment'!#REF!,0)),""),IF(E105="Trap",IFERROR(INDEX('Shooter-Squad Assignment'!$A:$A,MATCH(C105&amp;"-"&amp;D105&amp;"-"&amp;E105&amp;"-Pos2",'Shooter-Squad Assignment'!$V:$V,0)),""),IF(E105="Sporting Clays",IFERROR(INDEX('Shooter-Squad Assignment'!$A:$A,MATCH(C105&amp;"-"&amp;D105&amp;"-"&amp;E105&amp;"-Pos2",'Shooter-Squad Assignment'!$Y:$Y,0)),""),"")))</f>
        <v/>
      </c>
      <c r="I105" s="92" t="str">
        <f>IF(ISBLANK(H105),"",IFERROR(INDEX('Tournament List'!$D:$D,MATCH(H105,'Tournament List'!$A:$A,0)),""))</f>
        <v/>
      </c>
      <c r="J105" s="101" t="str">
        <f>IF(E105="Skeet",IFERROR(INDEX('Shooter-Squad Assignment'!$A:$A,MATCH(C105&amp;"-"&amp;D105&amp;"-"&amp;E105&amp;"-Pos3",'Shooter-Squad Assignment'!#REF!,0)),""),IF(E105="Trap",IFERROR(INDEX('Shooter-Squad Assignment'!$A:$A,MATCH(C105&amp;"-"&amp;D105&amp;"-"&amp;E105&amp;"-Pos3",'Shooter-Squad Assignment'!$V:$V,0)),""),IF(E105="Sporting Clays",IFERROR(INDEX('Shooter-Squad Assignment'!$A:$A,MATCH(C105&amp;"-"&amp;D105&amp;"-"&amp;E105&amp;"-Pos3",'Shooter-Squad Assignment'!$Y:$Y,0)),""),"")))</f>
        <v/>
      </c>
      <c r="K105" s="92" t="str">
        <f>IF(ISBLANK(J105),"",IFERROR(INDEX('Tournament List'!$D:$D,MATCH(J105,'Tournament List'!$A:$A,0)),""))</f>
        <v/>
      </c>
      <c r="L105" s="101" t="str">
        <f>IF(E105="Skeet",IFERROR(INDEX('Shooter-Squad Assignment'!$A:$A,MATCH(C105&amp;"-"&amp;D105&amp;"-"&amp;E105&amp;"-Pos4",'Shooter-Squad Assignment'!#REF!,0)),""),IF(E105="Trap",IFERROR(INDEX('Shooter-Squad Assignment'!$A:$A,MATCH(C105&amp;"-"&amp;D105&amp;"-"&amp;E105&amp;"-Pos4",'Shooter-Squad Assignment'!$V:$V,0)),""),IF(E105="Sporting Clays",IFERROR(INDEX('Shooter-Squad Assignment'!$A:$A,MATCH(C105&amp;"-"&amp;D105&amp;"-"&amp;E105&amp;"-Pos4",'Shooter-Squad Assignment'!$Y:$Y,0)),""),"")))</f>
        <v/>
      </c>
      <c r="M105" s="92" t="str">
        <f>IF(ISBLANK(L105),"",IFERROR(INDEX('Tournament List'!$D:$D,MATCH(L105,'Tournament List'!$A:$A,0)),""))</f>
        <v/>
      </c>
      <c r="N105" s="101" t="str">
        <f>IF(E105="Skeet",IFERROR(INDEX('Shooter-Squad Assignment'!$A:$A,MATCH(C105&amp;"-"&amp;D105&amp;"-"&amp;E105&amp;"-Pos5",'Shooter-Squad Assignment'!#REF!,0)),""),IF(E105="Trap",IFERROR(INDEX('Shooter-Squad Assignment'!$A:$A,MATCH(C105&amp;"-"&amp;D105&amp;"-"&amp;E105&amp;"-Pos5",'Shooter-Squad Assignment'!$V:$V,0)),""),IF(E105="Sporting Clays",IFERROR(INDEX('Shooter-Squad Assignment'!$A:$A,MATCH(C105&amp;"-"&amp;D105&amp;"-"&amp;E105&amp;"-Pos5",'Shooter-Squad Assignment'!$Y:$Y,0)),""),"")))</f>
        <v/>
      </c>
      <c r="O105" s="93" t="str">
        <f>IF(ISBLANK(N105),"",IFERROR(INDEX('Tournament List'!$D:$D,MATCH(N105,'Tournament List'!$A:$A,0)),""))</f>
        <v/>
      </c>
    </row>
    <row r="106" spans="1:15" x14ac:dyDescent="0.3">
      <c r="A106" s="91">
        <v>114</v>
      </c>
      <c r="B106" s="92" t="str">
        <f t="shared" si="1"/>
        <v>Rocky Mountain Clay Busters-Open 3-Sporting Clays</v>
      </c>
      <c r="C106" s="92" t="s">
        <v>320</v>
      </c>
      <c r="D106" s="92" t="s">
        <v>355</v>
      </c>
      <c r="E106" s="92" t="s">
        <v>148</v>
      </c>
      <c r="F106" s="101" t="str">
        <f>IF(E106="Skeet",IFERROR(INDEX('Shooter-Squad Assignment'!$A:$A,MATCH(C106&amp;"-"&amp;D106&amp;"-"&amp;E106&amp;"-Pos1",'Shooter-Squad Assignment'!#REF!,0)),""),IF(E106="Trap",IFERROR(INDEX('Shooter-Squad Assignment'!$A:$A,MATCH(C106&amp;"-"&amp;D106&amp;"-"&amp;E106&amp;"-Pos1",'Shooter-Squad Assignment'!$V:$V,0)),""),IF(E106="Sporting Clays",IFERROR(INDEX('Shooter-Squad Assignment'!$A:$A,MATCH(C106&amp;"-"&amp;D106&amp;"-"&amp;E106&amp;"-Pos1",'Shooter-Squad Assignment'!$Y:$Y,0)),""),"")))</f>
        <v/>
      </c>
      <c r="G106" s="92" t="str">
        <f>IF(ISBLANK(F106),"",IFERROR(INDEX('Tournament List'!$D:$D,MATCH(F106,'Tournament List'!$A:$A,0)),""))</f>
        <v/>
      </c>
      <c r="H106" s="101" t="str">
        <f>IF(E106="Skeet",IFERROR(INDEX('Shooter-Squad Assignment'!$A:$A,MATCH(C106&amp;"-"&amp;D106&amp;"-"&amp;E106&amp;"-Pos2",'Shooter-Squad Assignment'!#REF!,0)),""),IF(E106="Trap",IFERROR(INDEX('Shooter-Squad Assignment'!$A:$A,MATCH(C106&amp;"-"&amp;D106&amp;"-"&amp;E106&amp;"-Pos2",'Shooter-Squad Assignment'!$V:$V,0)),""),IF(E106="Sporting Clays",IFERROR(INDEX('Shooter-Squad Assignment'!$A:$A,MATCH(C106&amp;"-"&amp;D106&amp;"-"&amp;E106&amp;"-Pos2",'Shooter-Squad Assignment'!$Y:$Y,0)),""),"")))</f>
        <v/>
      </c>
      <c r="I106" s="92" t="str">
        <f>IF(ISBLANK(H106),"",IFERROR(INDEX('Tournament List'!$D:$D,MATCH(H106,'Tournament List'!$A:$A,0)),""))</f>
        <v/>
      </c>
      <c r="J106" s="101" t="str">
        <f>IF(E106="Skeet",IFERROR(INDEX('Shooter-Squad Assignment'!$A:$A,MATCH(C106&amp;"-"&amp;D106&amp;"-"&amp;E106&amp;"-Pos3",'Shooter-Squad Assignment'!#REF!,0)),""),IF(E106="Trap",IFERROR(INDEX('Shooter-Squad Assignment'!$A:$A,MATCH(C106&amp;"-"&amp;D106&amp;"-"&amp;E106&amp;"-Pos3",'Shooter-Squad Assignment'!$V:$V,0)),""),IF(E106="Sporting Clays",IFERROR(INDEX('Shooter-Squad Assignment'!$A:$A,MATCH(C106&amp;"-"&amp;D106&amp;"-"&amp;E106&amp;"-Pos3",'Shooter-Squad Assignment'!$Y:$Y,0)),""),"")))</f>
        <v/>
      </c>
      <c r="K106" s="92" t="str">
        <f>IF(ISBLANK(J106),"",IFERROR(INDEX('Tournament List'!$D:$D,MATCH(J106,'Tournament List'!$A:$A,0)),""))</f>
        <v/>
      </c>
      <c r="L106" s="101" t="str">
        <f>IF(E106="Skeet",IFERROR(INDEX('Shooter-Squad Assignment'!$A:$A,MATCH(C106&amp;"-"&amp;D106&amp;"-"&amp;E106&amp;"-Pos4",'Shooter-Squad Assignment'!#REF!,0)),""),IF(E106="Trap",IFERROR(INDEX('Shooter-Squad Assignment'!$A:$A,MATCH(C106&amp;"-"&amp;D106&amp;"-"&amp;E106&amp;"-Pos4",'Shooter-Squad Assignment'!$V:$V,0)),""),IF(E106="Sporting Clays",IFERROR(INDEX('Shooter-Squad Assignment'!$A:$A,MATCH(C106&amp;"-"&amp;D106&amp;"-"&amp;E106&amp;"-Pos4",'Shooter-Squad Assignment'!$Y:$Y,0)),""),"")))</f>
        <v/>
      </c>
      <c r="M106" s="92" t="str">
        <f>IF(ISBLANK(L106),"",IFERROR(INDEX('Tournament List'!$D:$D,MATCH(L106,'Tournament List'!$A:$A,0)),""))</f>
        <v/>
      </c>
      <c r="N106" s="101" t="str">
        <f>IF(E106="Skeet",IFERROR(INDEX('Shooter-Squad Assignment'!$A:$A,MATCH(C106&amp;"-"&amp;D106&amp;"-"&amp;E106&amp;"-Pos5",'Shooter-Squad Assignment'!#REF!,0)),""),IF(E106="Trap",IFERROR(INDEX('Shooter-Squad Assignment'!$A:$A,MATCH(C106&amp;"-"&amp;D106&amp;"-"&amp;E106&amp;"-Pos5",'Shooter-Squad Assignment'!$V:$V,0)),""),IF(E106="Sporting Clays",IFERROR(INDEX('Shooter-Squad Assignment'!$A:$A,MATCH(C106&amp;"-"&amp;D106&amp;"-"&amp;E106&amp;"-Pos5",'Shooter-Squad Assignment'!$Y:$Y,0)),""),"")))</f>
        <v/>
      </c>
      <c r="O106" s="93" t="str">
        <f>IF(ISBLANK(N106),"",IFERROR(INDEX('Tournament List'!$D:$D,MATCH(N106,'Tournament List'!$A:$A,0)),""))</f>
        <v/>
      </c>
    </row>
    <row r="107" spans="1:15" x14ac:dyDescent="0.3">
      <c r="A107" s="91">
        <v>115</v>
      </c>
      <c r="B107" s="92" t="str">
        <f t="shared" si="1"/>
        <v>Rocky Mountain Clay Busters-Varsity 1-Sporting Clays</v>
      </c>
      <c r="C107" s="92" t="s">
        <v>320</v>
      </c>
      <c r="D107" s="92" t="s">
        <v>342</v>
      </c>
      <c r="E107" s="92" t="s">
        <v>148</v>
      </c>
      <c r="F107" s="101" t="str">
        <f>IF(E107="Skeet",IFERROR(INDEX('Shooter-Squad Assignment'!$A:$A,MATCH(C107&amp;"-"&amp;D107&amp;"-"&amp;E107&amp;"-Pos1",'Shooter-Squad Assignment'!#REF!,0)),""),IF(E107="Trap",IFERROR(INDEX('Shooter-Squad Assignment'!$A:$A,MATCH(C107&amp;"-"&amp;D107&amp;"-"&amp;E107&amp;"-Pos1",'Shooter-Squad Assignment'!$V:$V,0)),""),IF(E107="Sporting Clays",IFERROR(INDEX('Shooter-Squad Assignment'!$A:$A,MATCH(C107&amp;"-"&amp;D107&amp;"-"&amp;E107&amp;"-Pos1",'Shooter-Squad Assignment'!$Y:$Y,0)),""),"")))</f>
        <v/>
      </c>
      <c r="G107" s="92" t="str">
        <f>IF(ISBLANK(F107),"",IFERROR(INDEX('Tournament List'!$D:$D,MATCH(F107,'Tournament List'!$A:$A,0)),""))</f>
        <v/>
      </c>
      <c r="H107" s="101" t="str">
        <f>IF(E107="Skeet",IFERROR(INDEX('Shooter-Squad Assignment'!$A:$A,MATCH(C107&amp;"-"&amp;D107&amp;"-"&amp;E107&amp;"-Pos2",'Shooter-Squad Assignment'!#REF!,0)),""),IF(E107="Trap",IFERROR(INDEX('Shooter-Squad Assignment'!$A:$A,MATCH(C107&amp;"-"&amp;D107&amp;"-"&amp;E107&amp;"-Pos2",'Shooter-Squad Assignment'!$V:$V,0)),""),IF(E107="Sporting Clays",IFERROR(INDEX('Shooter-Squad Assignment'!$A:$A,MATCH(C107&amp;"-"&amp;D107&amp;"-"&amp;E107&amp;"-Pos2",'Shooter-Squad Assignment'!$Y:$Y,0)),""),"")))</f>
        <v/>
      </c>
      <c r="I107" s="92" t="str">
        <f>IF(ISBLANK(H107),"",IFERROR(INDEX('Tournament List'!$D:$D,MATCH(H107,'Tournament List'!$A:$A,0)),""))</f>
        <v/>
      </c>
      <c r="J107" s="101" t="str">
        <f>IF(E107="Skeet",IFERROR(INDEX('Shooter-Squad Assignment'!$A:$A,MATCH(C107&amp;"-"&amp;D107&amp;"-"&amp;E107&amp;"-Pos3",'Shooter-Squad Assignment'!#REF!,0)),""),IF(E107="Trap",IFERROR(INDEX('Shooter-Squad Assignment'!$A:$A,MATCH(C107&amp;"-"&amp;D107&amp;"-"&amp;E107&amp;"-Pos3",'Shooter-Squad Assignment'!$V:$V,0)),""),IF(E107="Sporting Clays",IFERROR(INDEX('Shooter-Squad Assignment'!$A:$A,MATCH(C107&amp;"-"&amp;D107&amp;"-"&amp;E107&amp;"-Pos3",'Shooter-Squad Assignment'!$Y:$Y,0)),""),"")))</f>
        <v/>
      </c>
      <c r="K107" s="92" t="str">
        <f>IF(ISBLANK(J107),"",IFERROR(INDEX('Tournament List'!$D:$D,MATCH(J107,'Tournament List'!$A:$A,0)),""))</f>
        <v/>
      </c>
      <c r="L107" s="101" t="str">
        <f>IF(E107="Skeet",IFERROR(INDEX('Shooter-Squad Assignment'!$A:$A,MATCH(C107&amp;"-"&amp;D107&amp;"-"&amp;E107&amp;"-Pos4",'Shooter-Squad Assignment'!#REF!,0)),""),IF(E107="Trap",IFERROR(INDEX('Shooter-Squad Assignment'!$A:$A,MATCH(C107&amp;"-"&amp;D107&amp;"-"&amp;E107&amp;"-Pos4",'Shooter-Squad Assignment'!$V:$V,0)),""),IF(E107="Sporting Clays",IFERROR(INDEX('Shooter-Squad Assignment'!$A:$A,MATCH(C107&amp;"-"&amp;D107&amp;"-"&amp;E107&amp;"-Pos4",'Shooter-Squad Assignment'!$Y:$Y,0)),""),"")))</f>
        <v/>
      </c>
      <c r="M107" s="92" t="str">
        <f>IF(ISBLANK(L107),"",IFERROR(INDEX('Tournament List'!$D:$D,MATCH(L107,'Tournament List'!$A:$A,0)),""))</f>
        <v/>
      </c>
      <c r="N107" s="101" t="str">
        <f>IF(E107="Skeet",IFERROR(INDEX('Shooter-Squad Assignment'!$A:$A,MATCH(C107&amp;"-"&amp;D107&amp;"-"&amp;E107&amp;"-Pos5",'Shooter-Squad Assignment'!#REF!,0)),""),IF(E107="Trap",IFERROR(INDEX('Shooter-Squad Assignment'!$A:$A,MATCH(C107&amp;"-"&amp;D107&amp;"-"&amp;E107&amp;"-Pos5",'Shooter-Squad Assignment'!$V:$V,0)),""),IF(E107="Sporting Clays",IFERROR(INDEX('Shooter-Squad Assignment'!$A:$A,MATCH(C107&amp;"-"&amp;D107&amp;"-"&amp;E107&amp;"-Pos5",'Shooter-Squad Assignment'!$Y:$Y,0)),""),"")))</f>
        <v/>
      </c>
      <c r="O107" s="93" t="str">
        <f>IF(ISBLANK(N107),"",IFERROR(INDEX('Tournament List'!$D:$D,MATCH(N107,'Tournament List'!$A:$A,0)),""))</f>
        <v/>
      </c>
    </row>
    <row r="108" spans="1:15" x14ac:dyDescent="0.3">
      <c r="A108" s="91">
        <v>116</v>
      </c>
      <c r="B108" s="92" t="str">
        <f t="shared" si="1"/>
        <v>Rocky Mountain Clay Busters-Varsity 2-Sporting Clays</v>
      </c>
      <c r="C108" s="92" t="s">
        <v>320</v>
      </c>
      <c r="D108" s="92" t="s">
        <v>348</v>
      </c>
      <c r="E108" s="92" t="s">
        <v>148</v>
      </c>
      <c r="F108" s="101" t="str">
        <f>IF(E108="Skeet",IFERROR(INDEX('Shooter-Squad Assignment'!$A:$A,MATCH(C108&amp;"-"&amp;D108&amp;"-"&amp;E108&amp;"-Pos1",'Shooter-Squad Assignment'!#REF!,0)),""),IF(E108="Trap",IFERROR(INDEX('Shooter-Squad Assignment'!$A:$A,MATCH(C108&amp;"-"&amp;D108&amp;"-"&amp;E108&amp;"-Pos1",'Shooter-Squad Assignment'!$V:$V,0)),""),IF(E108="Sporting Clays",IFERROR(INDEX('Shooter-Squad Assignment'!$A:$A,MATCH(C108&amp;"-"&amp;D108&amp;"-"&amp;E108&amp;"-Pos1",'Shooter-Squad Assignment'!$Y:$Y,0)),""),"")))</f>
        <v/>
      </c>
      <c r="G108" s="92" t="str">
        <f>IF(ISBLANK(F108),"",IFERROR(INDEX('Tournament List'!$D:$D,MATCH(F108,'Tournament List'!$A:$A,0)),""))</f>
        <v/>
      </c>
      <c r="H108" s="101" t="str">
        <f>IF(E108="Skeet",IFERROR(INDEX('Shooter-Squad Assignment'!$A:$A,MATCH(C108&amp;"-"&amp;D108&amp;"-"&amp;E108&amp;"-Pos2",'Shooter-Squad Assignment'!#REF!,0)),""),IF(E108="Trap",IFERROR(INDEX('Shooter-Squad Assignment'!$A:$A,MATCH(C108&amp;"-"&amp;D108&amp;"-"&amp;E108&amp;"-Pos2",'Shooter-Squad Assignment'!$V:$V,0)),""),IF(E108="Sporting Clays",IFERROR(INDEX('Shooter-Squad Assignment'!$A:$A,MATCH(C108&amp;"-"&amp;D108&amp;"-"&amp;E108&amp;"-Pos2",'Shooter-Squad Assignment'!$Y:$Y,0)),""),"")))</f>
        <v/>
      </c>
      <c r="I108" s="92" t="str">
        <f>IF(ISBLANK(H108),"",IFERROR(INDEX('Tournament List'!$D:$D,MATCH(H108,'Tournament List'!$A:$A,0)),""))</f>
        <v/>
      </c>
      <c r="J108" s="101" t="str">
        <f>IF(E108="Skeet",IFERROR(INDEX('Shooter-Squad Assignment'!$A:$A,MATCH(C108&amp;"-"&amp;D108&amp;"-"&amp;E108&amp;"-Pos3",'Shooter-Squad Assignment'!#REF!,0)),""),IF(E108="Trap",IFERROR(INDEX('Shooter-Squad Assignment'!$A:$A,MATCH(C108&amp;"-"&amp;D108&amp;"-"&amp;E108&amp;"-Pos3",'Shooter-Squad Assignment'!$V:$V,0)),""),IF(E108="Sporting Clays",IFERROR(INDEX('Shooter-Squad Assignment'!$A:$A,MATCH(C108&amp;"-"&amp;D108&amp;"-"&amp;E108&amp;"-Pos3",'Shooter-Squad Assignment'!$Y:$Y,0)),""),"")))</f>
        <v/>
      </c>
      <c r="K108" s="92" t="str">
        <f>IF(ISBLANK(J108),"",IFERROR(INDEX('Tournament List'!$D:$D,MATCH(J108,'Tournament List'!$A:$A,0)),""))</f>
        <v/>
      </c>
      <c r="L108" s="101" t="str">
        <f>IF(E108="Skeet",IFERROR(INDEX('Shooter-Squad Assignment'!$A:$A,MATCH(C108&amp;"-"&amp;D108&amp;"-"&amp;E108&amp;"-Pos4",'Shooter-Squad Assignment'!#REF!,0)),""),IF(E108="Trap",IFERROR(INDEX('Shooter-Squad Assignment'!$A:$A,MATCH(C108&amp;"-"&amp;D108&amp;"-"&amp;E108&amp;"-Pos4",'Shooter-Squad Assignment'!$V:$V,0)),""),IF(E108="Sporting Clays",IFERROR(INDEX('Shooter-Squad Assignment'!$A:$A,MATCH(C108&amp;"-"&amp;D108&amp;"-"&amp;E108&amp;"-Pos4",'Shooter-Squad Assignment'!$Y:$Y,0)),""),"")))</f>
        <v/>
      </c>
      <c r="M108" s="92" t="str">
        <f>IF(ISBLANK(L108),"",IFERROR(INDEX('Tournament List'!$D:$D,MATCH(L108,'Tournament List'!$A:$A,0)),""))</f>
        <v/>
      </c>
      <c r="N108" s="101" t="str">
        <f>IF(E108="Skeet",IFERROR(INDEX('Shooter-Squad Assignment'!$A:$A,MATCH(C108&amp;"-"&amp;D108&amp;"-"&amp;E108&amp;"-Pos5",'Shooter-Squad Assignment'!#REF!,0)),""),IF(E108="Trap",IFERROR(INDEX('Shooter-Squad Assignment'!$A:$A,MATCH(C108&amp;"-"&amp;D108&amp;"-"&amp;E108&amp;"-Pos5",'Shooter-Squad Assignment'!$V:$V,0)),""),IF(E108="Sporting Clays",IFERROR(INDEX('Shooter-Squad Assignment'!$A:$A,MATCH(C108&amp;"-"&amp;D108&amp;"-"&amp;E108&amp;"-Pos5",'Shooter-Squad Assignment'!$Y:$Y,0)),""),"")))</f>
        <v/>
      </c>
      <c r="O108" s="93" t="str">
        <f>IF(ISBLANK(N108),"",IFERROR(INDEX('Tournament List'!$D:$D,MATCH(N108,'Tournament List'!$A:$A,0)),""))</f>
        <v/>
      </c>
    </row>
    <row r="109" spans="1:15" ht="15" thickBot="1" x14ac:dyDescent="0.35">
      <c r="A109" s="94">
        <v>117</v>
      </c>
      <c r="B109" s="95" t="str">
        <f t="shared" si="1"/>
        <v>Rocky Mountain Clay Busters-Varsity 3-Sporting Clays</v>
      </c>
      <c r="C109" s="95" t="s">
        <v>320</v>
      </c>
      <c r="D109" s="95" t="s">
        <v>354</v>
      </c>
      <c r="E109" s="95" t="s">
        <v>148</v>
      </c>
      <c r="F109" s="102" t="str">
        <f>IF(E109="Skeet",IFERROR(INDEX('Shooter-Squad Assignment'!$A:$A,MATCH(C109&amp;"-"&amp;D109&amp;"-"&amp;E109&amp;"-Pos1",'Shooter-Squad Assignment'!#REF!,0)),""),IF(E109="Trap",IFERROR(INDEX('Shooter-Squad Assignment'!$A:$A,MATCH(C109&amp;"-"&amp;D109&amp;"-"&amp;E109&amp;"-Pos1",'Shooter-Squad Assignment'!$V:$V,0)),""),IF(E109="Sporting Clays",IFERROR(INDEX('Shooter-Squad Assignment'!$A:$A,MATCH(C109&amp;"-"&amp;D109&amp;"-"&amp;E109&amp;"-Pos1",'Shooter-Squad Assignment'!$Y:$Y,0)),""),"")))</f>
        <v/>
      </c>
      <c r="G109" s="95" t="str">
        <f>IF(ISBLANK(F109),"",IFERROR(INDEX('Tournament List'!$D:$D,MATCH(F109,'Tournament List'!$A:$A,0)),""))</f>
        <v/>
      </c>
      <c r="H109" s="102" t="str">
        <f>IF(E109="Skeet",IFERROR(INDEX('Shooter-Squad Assignment'!$A:$A,MATCH(C109&amp;"-"&amp;D109&amp;"-"&amp;E109&amp;"-Pos2",'Shooter-Squad Assignment'!#REF!,0)),""),IF(E109="Trap",IFERROR(INDEX('Shooter-Squad Assignment'!$A:$A,MATCH(C109&amp;"-"&amp;D109&amp;"-"&amp;E109&amp;"-Pos2",'Shooter-Squad Assignment'!$V:$V,0)),""),IF(E109="Sporting Clays",IFERROR(INDEX('Shooter-Squad Assignment'!$A:$A,MATCH(C109&amp;"-"&amp;D109&amp;"-"&amp;E109&amp;"-Pos2",'Shooter-Squad Assignment'!$Y:$Y,0)),""),"")))</f>
        <v/>
      </c>
      <c r="I109" s="95" t="str">
        <f>IF(ISBLANK(H109),"",IFERROR(INDEX('Tournament List'!$D:$D,MATCH(H109,'Tournament List'!$A:$A,0)),""))</f>
        <v/>
      </c>
      <c r="J109" s="102" t="str">
        <f>IF(E109="Skeet",IFERROR(INDEX('Shooter-Squad Assignment'!$A:$A,MATCH(C109&amp;"-"&amp;D109&amp;"-"&amp;E109&amp;"-Pos3",'Shooter-Squad Assignment'!#REF!,0)),""),IF(E109="Trap",IFERROR(INDEX('Shooter-Squad Assignment'!$A:$A,MATCH(C109&amp;"-"&amp;D109&amp;"-"&amp;E109&amp;"-Pos3",'Shooter-Squad Assignment'!$V:$V,0)),""),IF(E109="Sporting Clays",IFERROR(INDEX('Shooter-Squad Assignment'!$A:$A,MATCH(C109&amp;"-"&amp;D109&amp;"-"&amp;E109&amp;"-Pos3",'Shooter-Squad Assignment'!$Y:$Y,0)),""),"")))</f>
        <v/>
      </c>
      <c r="K109" s="95" t="str">
        <f>IF(ISBLANK(J109),"",IFERROR(INDEX('Tournament List'!$D:$D,MATCH(J109,'Tournament List'!$A:$A,0)),""))</f>
        <v/>
      </c>
      <c r="L109" s="102" t="str">
        <f>IF(E109="Skeet",IFERROR(INDEX('Shooter-Squad Assignment'!$A:$A,MATCH(C109&amp;"-"&amp;D109&amp;"-"&amp;E109&amp;"-Pos4",'Shooter-Squad Assignment'!#REF!,0)),""),IF(E109="Trap",IFERROR(INDEX('Shooter-Squad Assignment'!$A:$A,MATCH(C109&amp;"-"&amp;D109&amp;"-"&amp;E109&amp;"-Pos4",'Shooter-Squad Assignment'!$V:$V,0)),""),IF(E109="Sporting Clays",IFERROR(INDEX('Shooter-Squad Assignment'!$A:$A,MATCH(C109&amp;"-"&amp;D109&amp;"-"&amp;E109&amp;"-Pos4",'Shooter-Squad Assignment'!$Y:$Y,0)),""),"")))</f>
        <v/>
      </c>
      <c r="M109" s="95" t="str">
        <f>IF(ISBLANK(L109),"",IFERROR(INDEX('Tournament List'!$D:$D,MATCH(L109,'Tournament List'!$A:$A,0)),""))</f>
        <v/>
      </c>
      <c r="N109" s="102" t="str">
        <f>IF(E109="Skeet",IFERROR(INDEX('Shooter-Squad Assignment'!$A:$A,MATCH(C109&amp;"-"&amp;D109&amp;"-"&amp;E109&amp;"-Pos5",'Shooter-Squad Assignment'!#REF!,0)),""),IF(E109="Trap",IFERROR(INDEX('Shooter-Squad Assignment'!$A:$A,MATCH(C109&amp;"-"&amp;D109&amp;"-"&amp;E109&amp;"-Pos5",'Shooter-Squad Assignment'!$V:$V,0)),""),IF(E109="Sporting Clays",IFERROR(INDEX('Shooter-Squad Assignment'!$A:$A,MATCH(C109&amp;"-"&amp;D109&amp;"-"&amp;E109&amp;"-Pos5",'Shooter-Squad Assignment'!$Y:$Y,0)),""),"")))</f>
        <v/>
      </c>
      <c r="O109" s="96" t="str">
        <f>IF(ISBLANK(N109),"",IFERROR(INDEX('Tournament List'!$D:$D,MATCH(N109,'Tournament List'!$A:$A,0)),""))</f>
        <v/>
      </c>
    </row>
    <row r="110" spans="1:15" x14ac:dyDescent="0.3">
      <c r="A110" s="76">
        <v>118</v>
      </c>
      <c r="B110" s="77" t="str">
        <f t="shared" si="1"/>
        <v>Wiggins Tigers Sporting Club-Collegiate 1-Skeet</v>
      </c>
      <c r="C110" s="77" t="s">
        <v>321</v>
      </c>
      <c r="D110" s="77" t="s">
        <v>344</v>
      </c>
      <c r="E110" s="77" t="s">
        <v>143</v>
      </c>
      <c r="F110" s="97" t="str">
        <f>IF(E110="Skeet",IFERROR(INDEX('Shooter-Squad Assignment'!$A:$A,MATCH(C110&amp;"-"&amp;D110&amp;"-"&amp;E110&amp;"-Pos1",'Shooter-Squad Assignment'!#REF!,0)),""),IF(E110="Trap",IFERROR(INDEX('Shooter-Squad Assignment'!$A:$A,MATCH(C110&amp;"-"&amp;D110&amp;"-"&amp;E110&amp;"-Pos1",'Shooter-Squad Assignment'!$V:$V,0)),""),IF(E110="Sporting Clays",IFERROR(INDEX('Shooter-Squad Assignment'!$A:$A,MATCH(C110&amp;"-"&amp;D110&amp;"-"&amp;E110&amp;"-Pos1",'Shooter-Squad Assignment'!$Y:$Y,0)),""),"")))</f>
        <v/>
      </c>
      <c r="G110" s="77" t="str">
        <f>IF(ISBLANK(F110),"",IFERROR(INDEX('Tournament List'!$D:$D,MATCH(F110,'Tournament List'!$A:$A,0)),""))</f>
        <v/>
      </c>
      <c r="H110" s="97" t="str">
        <f>IF(E110="Skeet",IFERROR(INDEX('Shooter-Squad Assignment'!$A:$A,MATCH(C110&amp;"-"&amp;D110&amp;"-"&amp;E110&amp;"-Pos2",'Shooter-Squad Assignment'!#REF!,0)),""),IF(E110="Trap",IFERROR(INDEX('Shooter-Squad Assignment'!$A:$A,MATCH(C110&amp;"-"&amp;D110&amp;"-"&amp;E110&amp;"-Pos2",'Shooter-Squad Assignment'!$V:$V,0)),""),IF(E110="Sporting Clays",IFERROR(INDEX('Shooter-Squad Assignment'!$A:$A,MATCH(C110&amp;"-"&amp;D110&amp;"-"&amp;E110&amp;"-Pos2",'Shooter-Squad Assignment'!$Y:$Y,0)),""),"")))</f>
        <v/>
      </c>
      <c r="I110" s="77" t="str">
        <f>IF(ISBLANK(H110),"",IFERROR(INDEX('Tournament List'!$D:$D,MATCH(H110,'Tournament List'!$A:$A,0)),""))</f>
        <v/>
      </c>
      <c r="J110" s="97" t="str">
        <f>IF(E110="Skeet",IFERROR(INDEX('Shooter-Squad Assignment'!$A:$A,MATCH(C110&amp;"-"&amp;D110&amp;"-"&amp;E110&amp;"-Pos3",'Shooter-Squad Assignment'!#REF!,0)),""),IF(E110="Trap",IFERROR(INDEX('Shooter-Squad Assignment'!$A:$A,MATCH(C110&amp;"-"&amp;D110&amp;"-"&amp;E110&amp;"-Pos3",'Shooter-Squad Assignment'!$V:$V,0)),""),IF(E110="Sporting Clays",IFERROR(INDEX('Shooter-Squad Assignment'!$A:$A,MATCH(C110&amp;"-"&amp;D110&amp;"-"&amp;E110&amp;"-Pos3",'Shooter-Squad Assignment'!$Y:$Y,0)),""),"")))</f>
        <v/>
      </c>
      <c r="K110" s="77" t="str">
        <f>IF(ISBLANK(J110),"",IFERROR(INDEX('Tournament List'!$D:$D,MATCH(J110,'Tournament List'!$A:$A,0)),""))</f>
        <v/>
      </c>
      <c r="L110" s="97" t="str">
        <f>IF(E110="Skeet",IFERROR(INDEX('Shooter-Squad Assignment'!$A:$A,MATCH(C110&amp;"-"&amp;D110&amp;"-"&amp;E110&amp;"-Pos4",'Shooter-Squad Assignment'!#REF!,0)),""),IF(E110="Trap",IFERROR(INDEX('Shooter-Squad Assignment'!$A:$A,MATCH(C110&amp;"-"&amp;D110&amp;"-"&amp;E110&amp;"-Pos4",'Shooter-Squad Assignment'!$V:$V,0)),""),IF(E110="Sporting Clays",IFERROR(INDEX('Shooter-Squad Assignment'!$A:$A,MATCH(C110&amp;"-"&amp;D110&amp;"-"&amp;E110&amp;"-Pos4",'Shooter-Squad Assignment'!$Y:$Y,0)),""),"")))</f>
        <v/>
      </c>
      <c r="M110" s="77" t="str">
        <f>IF(ISBLANK(L110),"",IFERROR(INDEX('Tournament List'!$D:$D,MATCH(L110,'Tournament List'!$A:$A,0)),""))</f>
        <v/>
      </c>
      <c r="N110" s="97" t="str">
        <f>IF(E110="Skeet",IFERROR(INDEX('Shooter-Squad Assignment'!$A:$A,MATCH(C110&amp;"-"&amp;D110&amp;"-"&amp;E110&amp;"-Pos5",'Shooter-Squad Assignment'!#REF!,0)),""),IF(E110="Trap",IFERROR(INDEX('Shooter-Squad Assignment'!$A:$A,MATCH(C110&amp;"-"&amp;D110&amp;"-"&amp;E110&amp;"-Pos5",'Shooter-Squad Assignment'!$V:$V,0)),""),IF(E110="Sporting Clays",IFERROR(INDEX('Shooter-Squad Assignment'!$A:$A,MATCH(C110&amp;"-"&amp;D110&amp;"-"&amp;E110&amp;"-Pos5",'Shooter-Squad Assignment'!$Y:$Y,0)),""),"")))</f>
        <v/>
      </c>
      <c r="O110" s="78" t="str">
        <f>IF(ISBLANK(N110),"",IFERROR(INDEX('Tournament List'!$D:$D,MATCH(N110,'Tournament List'!$A:$A,0)),""))</f>
        <v/>
      </c>
    </row>
    <row r="111" spans="1:15" x14ac:dyDescent="0.3">
      <c r="A111" s="79">
        <v>119</v>
      </c>
      <c r="B111" s="73" t="str">
        <f t="shared" si="1"/>
        <v>Wiggins Tigers Sporting Club-Collegiate 2-Skeet</v>
      </c>
      <c r="C111" s="73" t="s">
        <v>321</v>
      </c>
      <c r="D111" s="73" t="s">
        <v>350</v>
      </c>
      <c r="E111" s="73" t="s">
        <v>143</v>
      </c>
      <c r="F111" s="98" t="str">
        <f>IF(E111="Skeet",IFERROR(INDEX('Shooter-Squad Assignment'!$A:$A,MATCH(C111&amp;"-"&amp;D111&amp;"-"&amp;E111&amp;"-Pos1",'Shooter-Squad Assignment'!#REF!,0)),""),IF(E111="Trap",IFERROR(INDEX('Shooter-Squad Assignment'!$A:$A,MATCH(C111&amp;"-"&amp;D111&amp;"-"&amp;E111&amp;"-Pos1",'Shooter-Squad Assignment'!$V:$V,0)),""),IF(E111="Sporting Clays",IFERROR(INDEX('Shooter-Squad Assignment'!$A:$A,MATCH(C111&amp;"-"&amp;D111&amp;"-"&amp;E111&amp;"-Pos1",'Shooter-Squad Assignment'!$Y:$Y,0)),""),"")))</f>
        <v/>
      </c>
      <c r="G111" s="73" t="str">
        <f>IF(ISBLANK(F111),"",IFERROR(INDEX('Tournament List'!$D:$D,MATCH(F111,'Tournament List'!$A:$A,0)),""))</f>
        <v/>
      </c>
      <c r="H111" s="98" t="str">
        <f>IF(E111="Skeet",IFERROR(INDEX('Shooter-Squad Assignment'!$A:$A,MATCH(C111&amp;"-"&amp;D111&amp;"-"&amp;E111&amp;"-Pos2",'Shooter-Squad Assignment'!#REF!,0)),""),IF(E111="Trap",IFERROR(INDEX('Shooter-Squad Assignment'!$A:$A,MATCH(C111&amp;"-"&amp;D111&amp;"-"&amp;E111&amp;"-Pos2",'Shooter-Squad Assignment'!$V:$V,0)),""),IF(E111="Sporting Clays",IFERROR(INDEX('Shooter-Squad Assignment'!$A:$A,MATCH(C111&amp;"-"&amp;D111&amp;"-"&amp;E111&amp;"-Pos2",'Shooter-Squad Assignment'!$Y:$Y,0)),""),"")))</f>
        <v/>
      </c>
      <c r="I111" s="73" t="str">
        <f>IF(ISBLANK(H111),"",IFERROR(INDEX('Tournament List'!$D:$D,MATCH(H111,'Tournament List'!$A:$A,0)),""))</f>
        <v/>
      </c>
      <c r="J111" s="98" t="str">
        <f>IF(E111="Skeet",IFERROR(INDEX('Shooter-Squad Assignment'!$A:$A,MATCH(C111&amp;"-"&amp;D111&amp;"-"&amp;E111&amp;"-Pos3",'Shooter-Squad Assignment'!#REF!,0)),""),IF(E111="Trap",IFERROR(INDEX('Shooter-Squad Assignment'!$A:$A,MATCH(C111&amp;"-"&amp;D111&amp;"-"&amp;E111&amp;"-Pos3",'Shooter-Squad Assignment'!$V:$V,0)),""),IF(E111="Sporting Clays",IFERROR(INDEX('Shooter-Squad Assignment'!$A:$A,MATCH(C111&amp;"-"&amp;D111&amp;"-"&amp;E111&amp;"-Pos3",'Shooter-Squad Assignment'!$Y:$Y,0)),""),"")))</f>
        <v/>
      </c>
      <c r="K111" s="73" t="str">
        <f>IF(ISBLANK(J111),"",IFERROR(INDEX('Tournament List'!$D:$D,MATCH(J111,'Tournament List'!$A:$A,0)),""))</f>
        <v/>
      </c>
      <c r="L111" s="98" t="str">
        <f>IF(E111="Skeet",IFERROR(INDEX('Shooter-Squad Assignment'!$A:$A,MATCH(C111&amp;"-"&amp;D111&amp;"-"&amp;E111&amp;"-Pos4",'Shooter-Squad Assignment'!#REF!,0)),""),IF(E111="Trap",IFERROR(INDEX('Shooter-Squad Assignment'!$A:$A,MATCH(C111&amp;"-"&amp;D111&amp;"-"&amp;E111&amp;"-Pos4",'Shooter-Squad Assignment'!$V:$V,0)),""),IF(E111="Sporting Clays",IFERROR(INDEX('Shooter-Squad Assignment'!$A:$A,MATCH(C111&amp;"-"&amp;D111&amp;"-"&amp;E111&amp;"-Pos4",'Shooter-Squad Assignment'!$Y:$Y,0)),""),"")))</f>
        <v/>
      </c>
      <c r="M111" s="73" t="str">
        <f>IF(ISBLANK(L111),"",IFERROR(INDEX('Tournament List'!$D:$D,MATCH(L111,'Tournament List'!$A:$A,0)),""))</f>
        <v/>
      </c>
      <c r="N111" s="98" t="str">
        <f>IF(E111="Skeet",IFERROR(INDEX('Shooter-Squad Assignment'!$A:$A,MATCH(C111&amp;"-"&amp;D111&amp;"-"&amp;E111&amp;"-Pos5",'Shooter-Squad Assignment'!#REF!,0)),""),IF(E111="Trap",IFERROR(INDEX('Shooter-Squad Assignment'!$A:$A,MATCH(C111&amp;"-"&amp;D111&amp;"-"&amp;E111&amp;"-Pos5",'Shooter-Squad Assignment'!$V:$V,0)),""),IF(E111="Sporting Clays",IFERROR(INDEX('Shooter-Squad Assignment'!$A:$A,MATCH(C111&amp;"-"&amp;D111&amp;"-"&amp;E111&amp;"-Pos5",'Shooter-Squad Assignment'!$Y:$Y,0)),""),"")))</f>
        <v/>
      </c>
      <c r="O111" s="80" t="str">
        <f>IF(ISBLANK(N111),"",IFERROR(INDEX('Tournament List'!$D:$D,MATCH(N111,'Tournament List'!$A:$A,0)),""))</f>
        <v/>
      </c>
    </row>
    <row r="112" spans="1:15" x14ac:dyDescent="0.3">
      <c r="A112" s="79">
        <v>120</v>
      </c>
      <c r="B112" s="73" t="str">
        <f t="shared" si="1"/>
        <v>Wiggins Tigers Sporting Club-Collegiate 3-Skeet</v>
      </c>
      <c r="C112" s="73" t="s">
        <v>321</v>
      </c>
      <c r="D112" s="73" t="s">
        <v>356</v>
      </c>
      <c r="E112" s="73" t="s">
        <v>143</v>
      </c>
      <c r="F112" s="98" t="str">
        <f>IF(E112="Skeet",IFERROR(INDEX('Shooter-Squad Assignment'!$A:$A,MATCH(C112&amp;"-"&amp;D112&amp;"-"&amp;E112&amp;"-Pos1",'Shooter-Squad Assignment'!#REF!,0)),""),IF(E112="Trap",IFERROR(INDEX('Shooter-Squad Assignment'!$A:$A,MATCH(C112&amp;"-"&amp;D112&amp;"-"&amp;E112&amp;"-Pos1",'Shooter-Squad Assignment'!$V:$V,0)),""),IF(E112="Sporting Clays",IFERROR(INDEX('Shooter-Squad Assignment'!$A:$A,MATCH(C112&amp;"-"&amp;D112&amp;"-"&amp;E112&amp;"-Pos1",'Shooter-Squad Assignment'!$Y:$Y,0)),""),"")))</f>
        <v/>
      </c>
      <c r="G112" s="73" t="str">
        <f>IF(ISBLANK(F112),"",IFERROR(INDEX('Tournament List'!$D:$D,MATCH(F112,'Tournament List'!$A:$A,0)),""))</f>
        <v/>
      </c>
      <c r="H112" s="98" t="str">
        <f>IF(E112="Skeet",IFERROR(INDEX('Shooter-Squad Assignment'!$A:$A,MATCH(C112&amp;"-"&amp;D112&amp;"-"&amp;E112&amp;"-Pos2",'Shooter-Squad Assignment'!#REF!,0)),""),IF(E112="Trap",IFERROR(INDEX('Shooter-Squad Assignment'!$A:$A,MATCH(C112&amp;"-"&amp;D112&amp;"-"&amp;E112&amp;"-Pos2",'Shooter-Squad Assignment'!$V:$V,0)),""),IF(E112="Sporting Clays",IFERROR(INDEX('Shooter-Squad Assignment'!$A:$A,MATCH(C112&amp;"-"&amp;D112&amp;"-"&amp;E112&amp;"-Pos2",'Shooter-Squad Assignment'!$Y:$Y,0)),""),"")))</f>
        <v/>
      </c>
      <c r="I112" s="73" t="str">
        <f>IF(ISBLANK(H112),"",IFERROR(INDEX('Tournament List'!$D:$D,MATCH(H112,'Tournament List'!$A:$A,0)),""))</f>
        <v/>
      </c>
      <c r="J112" s="98" t="str">
        <f>IF(E112="Skeet",IFERROR(INDEX('Shooter-Squad Assignment'!$A:$A,MATCH(C112&amp;"-"&amp;D112&amp;"-"&amp;E112&amp;"-Pos3",'Shooter-Squad Assignment'!#REF!,0)),""),IF(E112="Trap",IFERROR(INDEX('Shooter-Squad Assignment'!$A:$A,MATCH(C112&amp;"-"&amp;D112&amp;"-"&amp;E112&amp;"-Pos3",'Shooter-Squad Assignment'!$V:$V,0)),""),IF(E112="Sporting Clays",IFERROR(INDEX('Shooter-Squad Assignment'!$A:$A,MATCH(C112&amp;"-"&amp;D112&amp;"-"&amp;E112&amp;"-Pos3",'Shooter-Squad Assignment'!$Y:$Y,0)),""),"")))</f>
        <v/>
      </c>
      <c r="K112" s="73" t="str">
        <f>IF(ISBLANK(J112),"",IFERROR(INDEX('Tournament List'!$D:$D,MATCH(J112,'Tournament List'!$A:$A,0)),""))</f>
        <v/>
      </c>
      <c r="L112" s="98" t="str">
        <f>IF(E112="Skeet",IFERROR(INDEX('Shooter-Squad Assignment'!$A:$A,MATCH(C112&amp;"-"&amp;D112&amp;"-"&amp;E112&amp;"-Pos4",'Shooter-Squad Assignment'!#REF!,0)),""),IF(E112="Trap",IFERROR(INDEX('Shooter-Squad Assignment'!$A:$A,MATCH(C112&amp;"-"&amp;D112&amp;"-"&amp;E112&amp;"-Pos4",'Shooter-Squad Assignment'!$V:$V,0)),""),IF(E112="Sporting Clays",IFERROR(INDEX('Shooter-Squad Assignment'!$A:$A,MATCH(C112&amp;"-"&amp;D112&amp;"-"&amp;E112&amp;"-Pos4",'Shooter-Squad Assignment'!$Y:$Y,0)),""),"")))</f>
        <v/>
      </c>
      <c r="M112" s="73" t="str">
        <f>IF(ISBLANK(L112),"",IFERROR(INDEX('Tournament List'!$D:$D,MATCH(L112,'Tournament List'!$A:$A,0)),""))</f>
        <v/>
      </c>
      <c r="N112" s="98" t="str">
        <f>IF(E112="Skeet",IFERROR(INDEX('Shooter-Squad Assignment'!$A:$A,MATCH(C112&amp;"-"&amp;D112&amp;"-"&amp;E112&amp;"-Pos5",'Shooter-Squad Assignment'!#REF!,0)),""),IF(E112="Trap",IFERROR(INDEX('Shooter-Squad Assignment'!$A:$A,MATCH(C112&amp;"-"&amp;D112&amp;"-"&amp;E112&amp;"-Pos5",'Shooter-Squad Assignment'!$V:$V,0)),""),IF(E112="Sporting Clays",IFERROR(INDEX('Shooter-Squad Assignment'!$A:$A,MATCH(C112&amp;"-"&amp;D112&amp;"-"&amp;E112&amp;"-Pos5",'Shooter-Squad Assignment'!$Y:$Y,0)),""),"")))</f>
        <v/>
      </c>
      <c r="O112" s="80" t="str">
        <f>IF(ISBLANK(N112),"",IFERROR(INDEX('Tournament List'!$D:$D,MATCH(N112,'Tournament List'!$A:$A,0)),""))</f>
        <v/>
      </c>
    </row>
    <row r="113" spans="1:15" x14ac:dyDescent="0.3">
      <c r="A113" s="79">
        <v>121</v>
      </c>
      <c r="B113" s="73" t="str">
        <f t="shared" si="1"/>
        <v>Wiggins Tigers Sporting Club-Intermediate 1-Skeet</v>
      </c>
      <c r="C113" s="73" t="s">
        <v>321</v>
      </c>
      <c r="D113" s="73" t="s">
        <v>340</v>
      </c>
      <c r="E113" s="73" t="s">
        <v>143</v>
      </c>
      <c r="F113" s="98" t="str">
        <f>IF(E113="Skeet",IFERROR(INDEX('Shooter-Squad Assignment'!$A:$A,MATCH(C113&amp;"-"&amp;D113&amp;"-"&amp;E113&amp;"-Pos1",'Shooter-Squad Assignment'!#REF!,0)),""),IF(E113="Trap",IFERROR(INDEX('Shooter-Squad Assignment'!$A:$A,MATCH(C113&amp;"-"&amp;D113&amp;"-"&amp;E113&amp;"-Pos1",'Shooter-Squad Assignment'!$V:$V,0)),""),IF(E113="Sporting Clays",IFERROR(INDEX('Shooter-Squad Assignment'!$A:$A,MATCH(C113&amp;"-"&amp;D113&amp;"-"&amp;E113&amp;"-Pos1",'Shooter-Squad Assignment'!$Y:$Y,0)),""),"")))</f>
        <v/>
      </c>
      <c r="G113" s="73" t="str">
        <f>IF(ISBLANK(F113),"",IFERROR(INDEX('Tournament List'!$D:$D,MATCH(F113,'Tournament List'!$A:$A,0)),""))</f>
        <v/>
      </c>
      <c r="H113" s="98" t="str">
        <f>IF(E113="Skeet",IFERROR(INDEX('Shooter-Squad Assignment'!$A:$A,MATCH(C113&amp;"-"&amp;D113&amp;"-"&amp;E113&amp;"-Pos2",'Shooter-Squad Assignment'!#REF!,0)),""),IF(E113="Trap",IFERROR(INDEX('Shooter-Squad Assignment'!$A:$A,MATCH(C113&amp;"-"&amp;D113&amp;"-"&amp;E113&amp;"-Pos2",'Shooter-Squad Assignment'!$V:$V,0)),""),IF(E113="Sporting Clays",IFERROR(INDEX('Shooter-Squad Assignment'!$A:$A,MATCH(C113&amp;"-"&amp;D113&amp;"-"&amp;E113&amp;"-Pos2",'Shooter-Squad Assignment'!$Y:$Y,0)),""),"")))</f>
        <v/>
      </c>
      <c r="I113" s="73" t="str">
        <f>IF(ISBLANK(H113),"",IFERROR(INDEX('Tournament List'!$D:$D,MATCH(H113,'Tournament List'!$A:$A,0)),""))</f>
        <v/>
      </c>
      <c r="J113" s="98" t="str">
        <f>IF(E113="Skeet",IFERROR(INDEX('Shooter-Squad Assignment'!$A:$A,MATCH(C113&amp;"-"&amp;D113&amp;"-"&amp;E113&amp;"-Pos3",'Shooter-Squad Assignment'!#REF!,0)),""),IF(E113="Trap",IFERROR(INDEX('Shooter-Squad Assignment'!$A:$A,MATCH(C113&amp;"-"&amp;D113&amp;"-"&amp;E113&amp;"-Pos3",'Shooter-Squad Assignment'!$V:$V,0)),""),IF(E113="Sporting Clays",IFERROR(INDEX('Shooter-Squad Assignment'!$A:$A,MATCH(C113&amp;"-"&amp;D113&amp;"-"&amp;E113&amp;"-Pos3",'Shooter-Squad Assignment'!$Y:$Y,0)),""),"")))</f>
        <v/>
      </c>
      <c r="K113" s="73" t="str">
        <f>IF(ISBLANK(J113),"",IFERROR(INDEX('Tournament List'!$D:$D,MATCH(J113,'Tournament List'!$A:$A,0)),""))</f>
        <v/>
      </c>
      <c r="L113" s="98" t="str">
        <f>IF(E113="Skeet",IFERROR(INDEX('Shooter-Squad Assignment'!$A:$A,MATCH(C113&amp;"-"&amp;D113&amp;"-"&amp;E113&amp;"-Pos4",'Shooter-Squad Assignment'!#REF!,0)),""),IF(E113="Trap",IFERROR(INDEX('Shooter-Squad Assignment'!$A:$A,MATCH(C113&amp;"-"&amp;D113&amp;"-"&amp;E113&amp;"-Pos4",'Shooter-Squad Assignment'!$V:$V,0)),""),IF(E113="Sporting Clays",IFERROR(INDEX('Shooter-Squad Assignment'!$A:$A,MATCH(C113&amp;"-"&amp;D113&amp;"-"&amp;E113&amp;"-Pos4",'Shooter-Squad Assignment'!$Y:$Y,0)),""),"")))</f>
        <v/>
      </c>
      <c r="M113" s="73" t="str">
        <f>IF(ISBLANK(L113),"",IFERROR(INDEX('Tournament List'!$D:$D,MATCH(L113,'Tournament List'!$A:$A,0)),""))</f>
        <v/>
      </c>
      <c r="N113" s="98" t="str">
        <f>IF(E113="Skeet",IFERROR(INDEX('Shooter-Squad Assignment'!$A:$A,MATCH(C113&amp;"-"&amp;D113&amp;"-"&amp;E113&amp;"-Pos5",'Shooter-Squad Assignment'!#REF!,0)),""),IF(E113="Trap",IFERROR(INDEX('Shooter-Squad Assignment'!$A:$A,MATCH(C113&amp;"-"&amp;D113&amp;"-"&amp;E113&amp;"-Pos5",'Shooter-Squad Assignment'!$V:$V,0)),""),IF(E113="Sporting Clays",IFERROR(INDEX('Shooter-Squad Assignment'!$A:$A,MATCH(C113&amp;"-"&amp;D113&amp;"-"&amp;E113&amp;"-Pos5",'Shooter-Squad Assignment'!$Y:$Y,0)),""),"")))</f>
        <v/>
      </c>
      <c r="O113" s="80" t="str">
        <f>IF(ISBLANK(N113),"",IFERROR(INDEX('Tournament List'!$D:$D,MATCH(N113,'Tournament List'!$A:$A,0)),""))</f>
        <v/>
      </c>
    </row>
    <row r="114" spans="1:15" x14ac:dyDescent="0.3">
      <c r="A114" s="79">
        <v>122</v>
      </c>
      <c r="B114" s="73" t="str">
        <f t="shared" si="1"/>
        <v>Wiggins Tigers Sporting Club-Intermediate 2-Skeet</v>
      </c>
      <c r="C114" s="73" t="s">
        <v>321</v>
      </c>
      <c r="D114" s="73" t="s">
        <v>346</v>
      </c>
      <c r="E114" s="73" t="s">
        <v>143</v>
      </c>
      <c r="F114" s="98" t="str">
        <f>IF(E114="Skeet",IFERROR(INDEX('Shooter-Squad Assignment'!$A:$A,MATCH(C114&amp;"-"&amp;D114&amp;"-"&amp;E114&amp;"-Pos1",'Shooter-Squad Assignment'!#REF!,0)),""),IF(E114="Trap",IFERROR(INDEX('Shooter-Squad Assignment'!$A:$A,MATCH(C114&amp;"-"&amp;D114&amp;"-"&amp;E114&amp;"-Pos1",'Shooter-Squad Assignment'!$V:$V,0)),""),IF(E114="Sporting Clays",IFERROR(INDEX('Shooter-Squad Assignment'!$A:$A,MATCH(C114&amp;"-"&amp;D114&amp;"-"&amp;E114&amp;"-Pos1",'Shooter-Squad Assignment'!$Y:$Y,0)),""),"")))</f>
        <v/>
      </c>
      <c r="G114" s="73" t="str">
        <f>IF(ISBLANK(F114),"",IFERROR(INDEX('Tournament List'!$D:$D,MATCH(F114,'Tournament List'!$A:$A,0)),""))</f>
        <v/>
      </c>
      <c r="H114" s="98" t="str">
        <f>IF(E114="Skeet",IFERROR(INDEX('Shooter-Squad Assignment'!$A:$A,MATCH(C114&amp;"-"&amp;D114&amp;"-"&amp;E114&amp;"-Pos2",'Shooter-Squad Assignment'!#REF!,0)),""),IF(E114="Trap",IFERROR(INDEX('Shooter-Squad Assignment'!$A:$A,MATCH(C114&amp;"-"&amp;D114&amp;"-"&amp;E114&amp;"-Pos2",'Shooter-Squad Assignment'!$V:$V,0)),""),IF(E114="Sporting Clays",IFERROR(INDEX('Shooter-Squad Assignment'!$A:$A,MATCH(C114&amp;"-"&amp;D114&amp;"-"&amp;E114&amp;"-Pos2",'Shooter-Squad Assignment'!$Y:$Y,0)),""),"")))</f>
        <v/>
      </c>
      <c r="I114" s="73" t="str">
        <f>IF(ISBLANK(H114),"",IFERROR(INDEX('Tournament List'!$D:$D,MATCH(H114,'Tournament List'!$A:$A,0)),""))</f>
        <v/>
      </c>
      <c r="J114" s="98" t="str">
        <f>IF(E114="Skeet",IFERROR(INDEX('Shooter-Squad Assignment'!$A:$A,MATCH(C114&amp;"-"&amp;D114&amp;"-"&amp;E114&amp;"-Pos3",'Shooter-Squad Assignment'!#REF!,0)),""),IF(E114="Trap",IFERROR(INDEX('Shooter-Squad Assignment'!$A:$A,MATCH(C114&amp;"-"&amp;D114&amp;"-"&amp;E114&amp;"-Pos3",'Shooter-Squad Assignment'!$V:$V,0)),""),IF(E114="Sporting Clays",IFERROR(INDEX('Shooter-Squad Assignment'!$A:$A,MATCH(C114&amp;"-"&amp;D114&amp;"-"&amp;E114&amp;"-Pos3",'Shooter-Squad Assignment'!$Y:$Y,0)),""),"")))</f>
        <v/>
      </c>
      <c r="K114" s="73" t="str">
        <f>IF(ISBLANK(J114),"",IFERROR(INDEX('Tournament List'!$D:$D,MATCH(J114,'Tournament List'!$A:$A,0)),""))</f>
        <v/>
      </c>
      <c r="L114" s="98" t="str">
        <f>IF(E114="Skeet",IFERROR(INDEX('Shooter-Squad Assignment'!$A:$A,MATCH(C114&amp;"-"&amp;D114&amp;"-"&amp;E114&amp;"-Pos4",'Shooter-Squad Assignment'!#REF!,0)),""),IF(E114="Trap",IFERROR(INDEX('Shooter-Squad Assignment'!$A:$A,MATCH(C114&amp;"-"&amp;D114&amp;"-"&amp;E114&amp;"-Pos4",'Shooter-Squad Assignment'!$V:$V,0)),""),IF(E114="Sporting Clays",IFERROR(INDEX('Shooter-Squad Assignment'!$A:$A,MATCH(C114&amp;"-"&amp;D114&amp;"-"&amp;E114&amp;"-Pos4",'Shooter-Squad Assignment'!$Y:$Y,0)),""),"")))</f>
        <v/>
      </c>
      <c r="M114" s="73" t="str">
        <f>IF(ISBLANK(L114),"",IFERROR(INDEX('Tournament List'!$D:$D,MATCH(L114,'Tournament List'!$A:$A,0)),""))</f>
        <v/>
      </c>
      <c r="N114" s="98" t="str">
        <f>IF(E114="Skeet",IFERROR(INDEX('Shooter-Squad Assignment'!$A:$A,MATCH(C114&amp;"-"&amp;D114&amp;"-"&amp;E114&amp;"-Pos5",'Shooter-Squad Assignment'!#REF!,0)),""),IF(E114="Trap",IFERROR(INDEX('Shooter-Squad Assignment'!$A:$A,MATCH(C114&amp;"-"&amp;D114&amp;"-"&amp;E114&amp;"-Pos5",'Shooter-Squad Assignment'!$V:$V,0)),""),IF(E114="Sporting Clays",IFERROR(INDEX('Shooter-Squad Assignment'!$A:$A,MATCH(C114&amp;"-"&amp;D114&amp;"-"&amp;E114&amp;"-Pos5",'Shooter-Squad Assignment'!$Y:$Y,0)),""),"")))</f>
        <v/>
      </c>
      <c r="O114" s="80" t="str">
        <f>IF(ISBLANK(N114),"",IFERROR(INDEX('Tournament List'!$D:$D,MATCH(N114,'Tournament List'!$A:$A,0)),""))</f>
        <v/>
      </c>
    </row>
    <row r="115" spans="1:15" x14ac:dyDescent="0.3">
      <c r="A115" s="79">
        <v>123</v>
      </c>
      <c r="B115" s="73" t="str">
        <f t="shared" si="1"/>
        <v>Wiggins Tigers Sporting Club-Intermediate 3-Skeet</v>
      </c>
      <c r="C115" s="73" t="s">
        <v>321</v>
      </c>
      <c r="D115" s="73" t="s">
        <v>352</v>
      </c>
      <c r="E115" s="73" t="s">
        <v>143</v>
      </c>
      <c r="F115" s="98" t="str">
        <f>IF(E115="Skeet",IFERROR(INDEX('Shooter-Squad Assignment'!$A:$A,MATCH(C115&amp;"-"&amp;D115&amp;"-"&amp;E115&amp;"-Pos1",'Shooter-Squad Assignment'!#REF!,0)),""),IF(E115="Trap",IFERROR(INDEX('Shooter-Squad Assignment'!$A:$A,MATCH(C115&amp;"-"&amp;D115&amp;"-"&amp;E115&amp;"-Pos1",'Shooter-Squad Assignment'!$V:$V,0)),""),IF(E115="Sporting Clays",IFERROR(INDEX('Shooter-Squad Assignment'!$A:$A,MATCH(C115&amp;"-"&amp;D115&amp;"-"&amp;E115&amp;"-Pos1",'Shooter-Squad Assignment'!$Y:$Y,0)),""),"")))</f>
        <v/>
      </c>
      <c r="G115" s="73" t="str">
        <f>IF(ISBLANK(F115),"",IFERROR(INDEX('Tournament List'!$D:$D,MATCH(F115,'Tournament List'!$A:$A,0)),""))</f>
        <v/>
      </c>
      <c r="H115" s="98" t="str">
        <f>IF(E115="Skeet",IFERROR(INDEX('Shooter-Squad Assignment'!$A:$A,MATCH(C115&amp;"-"&amp;D115&amp;"-"&amp;E115&amp;"-Pos2",'Shooter-Squad Assignment'!#REF!,0)),""),IF(E115="Trap",IFERROR(INDEX('Shooter-Squad Assignment'!$A:$A,MATCH(C115&amp;"-"&amp;D115&amp;"-"&amp;E115&amp;"-Pos2",'Shooter-Squad Assignment'!$V:$V,0)),""),IF(E115="Sporting Clays",IFERROR(INDEX('Shooter-Squad Assignment'!$A:$A,MATCH(C115&amp;"-"&amp;D115&amp;"-"&amp;E115&amp;"-Pos2",'Shooter-Squad Assignment'!$Y:$Y,0)),""),"")))</f>
        <v/>
      </c>
      <c r="I115" s="73" t="str">
        <f>IF(ISBLANK(H115),"",IFERROR(INDEX('Tournament List'!$D:$D,MATCH(H115,'Tournament List'!$A:$A,0)),""))</f>
        <v/>
      </c>
      <c r="J115" s="98" t="str">
        <f>IF(E115="Skeet",IFERROR(INDEX('Shooter-Squad Assignment'!$A:$A,MATCH(C115&amp;"-"&amp;D115&amp;"-"&amp;E115&amp;"-Pos3",'Shooter-Squad Assignment'!#REF!,0)),""),IF(E115="Trap",IFERROR(INDEX('Shooter-Squad Assignment'!$A:$A,MATCH(C115&amp;"-"&amp;D115&amp;"-"&amp;E115&amp;"-Pos3",'Shooter-Squad Assignment'!$V:$V,0)),""),IF(E115="Sporting Clays",IFERROR(INDEX('Shooter-Squad Assignment'!$A:$A,MATCH(C115&amp;"-"&amp;D115&amp;"-"&amp;E115&amp;"-Pos3",'Shooter-Squad Assignment'!$Y:$Y,0)),""),"")))</f>
        <v/>
      </c>
      <c r="K115" s="73" t="str">
        <f>IF(ISBLANK(J115),"",IFERROR(INDEX('Tournament List'!$D:$D,MATCH(J115,'Tournament List'!$A:$A,0)),""))</f>
        <v/>
      </c>
      <c r="L115" s="98" t="str">
        <f>IF(E115="Skeet",IFERROR(INDEX('Shooter-Squad Assignment'!$A:$A,MATCH(C115&amp;"-"&amp;D115&amp;"-"&amp;E115&amp;"-Pos4",'Shooter-Squad Assignment'!#REF!,0)),""),IF(E115="Trap",IFERROR(INDEX('Shooter-Squad Assignment'!$A:$A,MATCH(C115&amp;"-"&amp;D115&amp;"-"&amp;E115&amp;"-Pos4",'Shooter-Squad Assignment'!$V:$V,0)),""),IF(E115="Sporting Clays",IFERROR(INDEX('Shooter-Squad Assignment'!$A:$A,MATCH(C115&amp;"-"&amp;D115&amp;"-"&amp;E115&amp;"-Pos4",'Shooter-Squad Assignment'!$Y:$Y,0)),""),"")))</f>
        <v/>
      </c>
      <c r="M115" s="73" t="str">
        <f>IF(ISBLANK(L115),"",IFERROR(INDEX('Tournament List'!$D:$D,MATCH(L115,'Tournament List'!$A:$A,0)),""))</f>
        <v/>
      </c>
      <c r="N115" s="98" t="str">
        <f>IF(E115="Skeet",IFERROR(INDEX('Shooter-Squad Assignment'!$A:$A,MATCH(C115&amp;"-"&amp;D115&amp;"-"&amp;E115&amp;"-Pos5",'Shooter-Squad Assignment'!#REF!,0)),""),IF(E115="Trap",IFERROR(INDEX('Shooter-Squad Assignment'!$A:$A,MATCH(C115&amp;"-"&amp;D115&amp;"-"&amp;E115&amp;"-Pos5",'Shooter-Squad Assignment'!$V:$V,0)),""),IF(E115="Sporting Clays",IFERROR(INDEX('Shooter-Squad Assignment'!$A:$A,MATCH(C115&amp;"-"&amp;D115&amp;"-"&amp;E115&amp;"-Pos5",'Shooter-Squad Assignment'!$Y:$Y,0)),""),"")))</f>
        <v/>
      </c>
      <c r="O115" s="80" t="str">
        <f>IF(ISBLANK(N115),"",IFERROR(INDEX('Tournament List'!$D:$D,MATCH(N115,'Tournament List'!$A:$A,0)),""))</f>
        <v/>
      </c>
    </row>
    <row r="116" spans="1:15" x14ac:dyDescent="0.3">
      <c r="A116" s="79">
        <v>124</v>
      </c>
      <c r="B116" s="73" t="str">
        <f t="shared" si="1"/>
        <v>Wiggins Tigers Sporting Club-Junior Varsity 1-Skeet</v>
      </c>
      <c r="C116" s="73" t="s">
        <v>321</v>
      </c>
      <c r="D116" s="73" t="s">
        <v>341</v>
      </c>
      <c r="E116" s="73" t="s">
        <v>143</v>
      </c>
      <c r="F116" s="98" t="str">
        <f>IF(E116="Skeet",IFERROR(INDEX('Shooter-Squad Assignment'!$A:$A,MATCH(C116&amp;"-"&amp;D116&amp;"-"&amp;E116&amp;"-Pos1",'Shooter-Squad Assignment'!#REF!,0)),""),IF(E116="Trap",IFERROR(INDEX('Shooter-Squad Assignment'!$A:$A,MATCH(C116&amp;"-"&amp;D116&amp;"-"&amp;E116&amp;"-Pos1",'Shooter-Squad Assignment'!$V:$V,0)),""),IF(E116="Sporting Clays",IFERROR(INDEX('Shooter-Squad Assignment'!$A:$A,MATCH(C116&amp;"-"&amp;D116&amp;"-"&amp;E116&amp;"-Pos1",'Shooter-Squad Assignment'!$Y:$Y,0)),""),"")))</f>
        <v/>
      </c>
      <c r="G116" s="73" t="str">
        <f>IF(ISBLANK(F116),"",IFERROR(INDEX('Tournament List'!$D:$D,MATCH(F116,'Tournament List'!$A:$A,0)),""))</f>
        <v/>
      </c>
      <c r="H116" s="98" t="str">
        <f>IF(E116="Skeet",IFERROR(INDEX('Shooter-Squad Assignment'!$A:$A,MATCH(C116&amp;"-"&amp;D116&amp;"-"&amp;E116&amp;"-Pos2",'Shooter-Squad Assignment'!#REF!,0)),""),IF(E116="Trap",IFERROR(INDEX('Shooter-Squad Assignment'!$A:$A,MATCH(C116&amp;"-"&amp;D116&amp;"-"&amp;E116&amp;"-Pos2",'Shooter-Squad Assignment'!$V:$V,0)),""),IF(E116="Sporting Clays",IFERROR(INDEX('Shooter-Squad Assignment'!$A:$A,MATCH(C116&amp;"-"&amp;D116&amp;"-"&amp;E116&amp;"-Pos2",'Shooter-Squad Assignment'!$Y:$Y,0)),""),"")))</f>
        <v/>
      </c>
      <c r="I116" s="73" t="str">
        <f>IF(ISBLANK(H116),"",IFERROR(INDEX('Tournament List'!$D:$D,MATCH(H116,'Tournament List'!$A:$A,0)),""))</f>
        <v/>
      </c>
      <c r="J116" s="98" t="str">
        <f>IF(E116="Skeet",IFERROR(INDEX('Shooter-Squad Assignment'!$A:$A,MATCH(C116&amp;"-"&amp;D116&amp;"-"&amp;E116&amp;"-Pos3",'Shooter-Squad Assignment'!#REF!,0)),""),IF(E116="Trap",IFERROR(INDEX('Shooter-Squad Assignment'!$A:$A,MATCH(C116&amp;"-"&amp;D116&amp;"-"&amp;E116&amp;"-Pos3",'Shooter-Squad Assignment'!$V:$V,0)),""),IF(E116="Sporting Clays",IFERROR(INDEX('Shooter-Squad Assignment'!$A:$A,MATCH(C116&amp;"-"&amp;D116&amp;"-"&amp;E116&amp;"-Pos3",'Shooter-Squad Assignment'!$Y:$Y,0)),""),"")))</f>
        <v/>
      </c>
      <c r="K116" s="73" t="str">
        <f>IF(ISBLANK(J116),"",IFERROR(INDEX('Tournament List'!$D:$D,MATCH(J116,'Tournament List'!$A:$A,0)),""))</f>
        <v/>
      </c>
      <c r="L116" s="98" t="str">
        <f>IF(E116="Skeet",IFERROR(INDEX('Shooter-Squad Assignment'!$A:$A,MATCH(C116&amp;"-"&amp;D116&amp;"-"&amp;E116&amp;"-Pos4",'Shooter-Squad Assignment'!#REF!,0)),""),IF(E116="Trap",IFERROR(INDEX('Shooter-Squad Assignment'!$A:$A,MATCH(C116&amp;"-"&amp;D116&amp;"-"&amp;E116&amp;"-Pos4",'Shooter-Squad Assignment'!$V:$V,0)),""),IF(E116="Sporting Clays",IFERROR(INDEX('Shooter-Squad Assignment'!$A:$A,MATCH(C116&amp;"-"&amp;D116&amp;"-"&amp;E116&amp;"-Pos4",'Shooter-Squad Assignment'!$Y:$Y,0)),""),"")))</f>
        <v/>
      </c>
      <c r="M116" s="73" t="str">
        <f>IF(ISBLANK(L116),"",IFERROR(INDEX('Tournament List'!$D:$D,MATCH(L116,'Tournament List'!$A:$A,0)),""))</f>
        <v/>
      </c>
      <c r="N116" s="98" t="str">
        <f>IF(E116="Skeet",IFERROR(INDEX('Shooter-Squad Assignment'!$A:$A,MATCH(C116&amp;"-"&amp;D116&amp;"-"&amp;E116&amp;"-Pos5",'Shooter-Squad Assignment'!#REF!,0)),""),IF(E116="Trap",IFERROR(INDEX('Shooter-Squad Assignment'!$A:$A,MATCH(C116&amp;"-"&amp;D116&amp;"-"&amp;E116&amp;"-Pos5",'Shooter-Squad Assignment'!$V:$V,0)),""),IF(E116="Sporting Clays",IFERROR(INDEX('Shooter-Squad Assignment'!$A:$A,MATCH(C116&amp;"-"&amp;D116&amp;"-"&amp;E116&amp;"-Pos5",'Shooter-Squad Assignment'!$Y:$Y,0)),""),"")))</f>
        <v/>
      </c>
      <c r="O116" s="80" t="str">
        <f>IF(ISBLANK(N116),"",IFERROR(INDEX('Tournament List'!$D:$D,MATCH(N116,'Tournament List'!$A:$A,0)),""))</f>
        <v/>
      </c>
    </row>
    <row r="117" spans="1:15" x14ac:dyDescent="0.3">
      <c r="A117" s="79">
        <v>125</v>
      </c>
      <c r="B117" s="73" t="str">
        <f t="shared" si="1"/>
        <v>Wiggins Tigers Sporting Club-Junior Varsity 2-Skeet</v>
      </c>
      <c r="C117" s="73" t="s">
        <v>321</v>
      </c>
      <c r="D117" s="73" t="s">
        <v>347</v>
      </c>
      <c r="E117" s="73" t="s">
        <v>143</v>
      </c>
      <c r="F117" s="98" t="str">
        <f>IF(E117="Skeet",IFERROR(INDEX('Shooter-Squad Assignment'!$A:$A,MATCH(C117&amp;"-"&amp;D117&amp;"-"&amp;E117&amp;"-Pos1",'Shooter-Squad Assignment'!#REF!,0)),""),IF(E117="Trap",IFERROR(INDEX('Shooter-Squad Assignment'!$A:$A,MATCH(C117&amp;"-"&amp;D117&amp;"-"&amp;E117&amp;"-Pos1",'Shooter-Squad Assignment'!$V:$V,0)),""),IF(E117="Sporting Clays",IFERROR(INDEX('Shooter-Squad Assignment'!$A:$A,MATCH(C117&amp;"-"&amp;D117&amp;"-"&amp;E117&amp;"-Pos1",'Shooter-Squad Assignment'!$Y:$Y,0)),""),"")))</f>
        <v/>
      </c>
      <c r="G117" s="73" t="str">
        <f>IF(ISBLANK(F117),"",IFERROR(INDEX('Tournament List'!$D:$D,MATCH(F117,'Tournament List'!$A:$A,0)),""))</f>
        <v/>
      </c>
      <c r="H117" s="98" t="str">
        <f>IF(E117="Skeet",IFERROR(INDEX('Shooter-Squad Assignment'!$A:$A,MATCH(C117&amp;"-"&amp;D117&amp;"-"&amp;E117&amp;"-Pos2",'Shooter-Squad Assignment'!#REF!,0)),""),IF(E117="Trap",IFERROR(INDEX('Shooter-Squad Assignment'!$A:$A,MATCH(C117&amp;"-"&amp;D117&amp;"-"&amp;E117&amp;"-Pos2",'Shooter-Squad Assignment'!$V:$V,0)),""),IF(E117="Sporting Clays",IFERROR(INDEX('Shooter-Squad Assignment'!$A:$A,MATCH(C117&amp;"-"&amp;D117&amp;"-"&amp;E117&amp;"-Pos2",'Shooter-Squad Assignment'!$Y:$Y,0)),""),"")))</f>
        <v/>
      </c>
      <c r="I117" s="73" t="str">
        <f>IF(ISBLANK(H117),"",IFERROR(INDEX('Tournament List'!$D:$D,MATCH(H117,'Tournament List'!$A:$A,0)),""))</f>
        <v/>
      </c>
      <c r="J117" s="98" t="str">
        <f>IF(E117="Skeet",IFERROR(INDEX('Shooter-Squad Assignment'!$A:$A,MATCH(C117&amp;"-"&amp;D117&amp;"-"&amp;E117&amp;"-Pos3",'Shooter-Squad Assignment'!#REF!,0)),""),IF(E117="Trap",IFERROR(INDEX('Shooter-Squad Assignment'!$A:$A,MATCH(C117&amp;"-"&amp;D117&amp;"-"&amp;E117&amp;"-Pos3",'Shooter-Squad Assignment'!$V:$V,0)),""),IF(E117="Sporting Clays",IFERROR(INDEX('Shooter-Squad Assignment'!$A:$A,MATCH(C117&amp;"-"&amp;D117&amp;"-"&amp;E117&amp;"-Pos3",'Shooter-Squad Assignment'!$Y:$Y,0)),""),"")))</f>
        <v/>
      </c>
      <c r="K117" s="73" t="str">
        <f>IF(ISBLANK(J117),"",IFERROR(INDEX('Tournament List'!$D:$D,MATCH(J117,'Tournament List'!$A:$A,0)),""))</f>
        <v/>
      </c>
      <c r="L117" s="98" t="str">
        <f>IF(E117="Skeet",IFERROR(INDEX('Shooter-Squad Assignment'!$A:$A,MATCH(C117&amp;"-"&amp;D117&amp;"-"&amp;E117&amp;"-Pos4",'Shooter-Squad Assignment'!#REF!,0)),""),IF(E117="Trap",IFERROR(INDEX('Shooter-Squad Assignment'!$A:$A,MATCH(C117&amp;"-"&amp;D117&amp;"-"&amp;E117&amp;"-Pos4",'Shooter-Squad Assignment'!$V:$V,0)),""),IF(E117="Sporting Clays",IFERROR(INDEX('Shooter-Squad Assignment'!$A:$A,MATCH(C117&amp;"-"&amp;D117&amp;"-"&amp;E117&amp;"-Pos4",'Shooter-Squad Assignment'!$Y:$Y,0)),""),"")))</f>
        <v/>
      </c>
      <c r="M117" s="73" t="str">
        <f>IF(ISBLANK(L117),"",IFERROR(INDEX('Tournament List'!$D:$D,MATCH(L117,'Tournament List'!$A:$A,0)),""))</f>
        <v/>
      </c>
      <c r="N117" s="98" t="str">
        <f>IF(E117="Skeet",IFERROR(INDEX('Shooter-Squad Assignment'!$A:$A,MATCH(C117&amp;"-"&amp;D117&amp;"-"&amp;E117&amp;"-Pos5",'Shooter-Squad Assignment'!#REF!,0)),""),IF(E117="Trap",IFERROR(INDEX('Shooter-Squad Assignment'!$A:$A,MATCH(C117&amp;"-"&amp;D117&amp;"-"&amp;E117&amp;"-Pos5",'Shooter-Squad Assignment'!$V:$V,0)),""),IF(E117="Sporting Clays",IFERROR(INDEX('Shooter-Squad Assignment'!$A:$A,MATCH(C117&amp;"-"&amp;D117&amp;"-"&amp;E117&amp;"-Pos5",'Shooter-Squad Assignment'!$Y:$Y,0)),""),"")))</f>
        <v/>
      </c>
      <c r="O117" s="80" t="str">
        <f>IF(ISBLANK(N117),"",IFERROR(INDEX('Tournament List'!$D:$D,MATCH(N117,'Tournament List'!$A:$A,0)),""))</f>
        <v/>
      </c>
    </row>
    <row r="118" spans="1:15" x14ac:dyDescent="0.3">
      <c r="A118" s="79">
        <v>126</v>
      </c>
      <c r="B118" s="73" t="str">
        <f t="shared" si="1"/>
        <v>Wiggins Tigers Sporting Club-Junior Varsity 3-Skeet</v>
      </c>
      <c r="C118" s="73" t="s">
        <v>321</v>
      </c>
      <c r="D118" s="73" t="s">
        <v>353</v>
      </c>
      <c r="E118" s="73" t="s">
        <v>143</v>
      </c>
      <c r="F118" s="98" t="str">
        <f>IF(E118="Skeet",IFERROR(INDEX('Shooter-Squad Assignment'!$A:$A,MATCH(C118&amp;"-"&amp;D118&amp;"-"&amp;E118&amp;"-Pos1",'Shooter-Squad Assignment'!#REF!,0)),""),IF(E118="Trap",IFERROR(INDEX('Shooter-Squad Assignment'!$A:$A,MATCH(C118&amp;"-"&amp;D118&amp;"-"&amp;E118&amp;"-Pos1",'Shooter-Squad Assignment'!$V:$V,0)),""),IF(E118="Sporting Clays",IFERROR(INDEX('Shooter-Squad Assignment'!$A:$A,MATCH(C118&amp;"-"&amp;D118&amp;"-"&amp;E118&amp;"-Pos1",'Shooter-Squad Assignment'!$Y:$Y,0)),""),"")))</f>
        <v/>
      </c>
      <c r="G118" s="73" t="str">
        <f>IF(ISBLANK(F118),"",IFERROR(INDEX('Tournament List'!$D:$D,MATCH(F118,'Tournament List'!$A:$A,0)),""))</f>
        <v/>
      </c>
      <c r="H118" s="98" t="str">
        <f>IF(E118="Skeet",IFERROR(INDEX('Shooter-Squad Assignment'!$A:$A,MATCH(C118&amp;"-"&amp;D118&amp;"-"&amp;E118&amp;"-Pos2",'Shooter-Squad Assignment'!#REF!,0)),""),IF(E118="Trap",IFERROR(INDEX('Shooter-Squad Assignment'!$A:$A,MATCH(C118&amp;"-"&amp;D118&amp;"-"&amp;E118&amp;"-Pos2",'Shooter-Squad Assignment'!$V:$V,0)),""),IF(E118="Sporting Clays",IFERROR(INDEX('Shooter-Squad Assignment'!$A:$A,MATCH(C118&amp;"-"&amp;D118&amp;"-"&amp;E118&amp;"-Pos2",'Shooter-Squad Assignment'!$Y:$Y,0)),""),"")))</f>
        <v/>
      </c>
      <c r="I118" s="73" t="str">
        <f>IF(ISBLANK(H118),"",IFERROR(INDEX('Tournament List'!$D:$D,MATCH(H118,'Tournament List'!$A:$A,0)),""))</f>
        <v/>
      </c>
      <c r="J118" s="98" t="str">
        <f>IF(E118="Skeet",IFERROR(INDEX('Shooter-Squad Assignment'!$A:$A,MATCH(C118&amp;"-"&amp;D118&amp;"-"&amp;E118&amp;"-Pos3",'Shooter-Squad Assignment'!#REF!,0)),""),IF(E118="Trap",IFERROR(INDEX('Shooter-Squad Assignment'!$A:$A,MATCH(C118&amp;"-"&amp;D118&amp;"-"&amp;E118&amp;"-Pos3",'Shooter-Squad Assignment'!$V:$V,0)),""),IF(E118="Sporting Clays",IFERROR(INDEX('Shooter-Squad Assignment'!$A:$A,MATCH(C118&amp;"-"&amp;D118&amp;"-"&amp;E118&amp;"-Pos3",'Shooter-Squad Assignment'!$Y:$Y,0)),""),"")))</f>
        <v/>
      </c>
      <c r="K118" s="73" t="str">
        <f>IF(ISBLANK(J118),"",IFERROR(INDEX('Tournament List'!$D:$D,MATCH(J118,'Tournament List'!$A:$A,0)),""))</f>
        <v/>
      </c>
      <c r="L118" s="98" t="str">
        <f>IF(E118="Skeet",IFERROR(INDEX('Shooter-Squad Assignment'!$A:$A,MATCH(C118&amp;"-"&amp;D118&amp;"-"&amp;E118&amp;"-Pos4",'Shooter-Squad Assignment'!#REF!,0)),""),IF(E118="Trap",IFERROR(INDEX('Shooter-Squad Assignment'!$A:$A,MATCH(C118&amp;"-"&amp;D118&amp;"-"&amp;E118&amp;"-Pos4",'Shooter-Squad Assignment'!$V:$V,0)),""),IF(E118="Sporting Clays",IFERROR(INDEX('Shooter-Squad Assignment'!$A:$A,MATCH(C118&amp;"-"&amp;D118&amp;"-"&amp;E118&amp;"-Pos4",'Shooter-Squad Assignment'!$Y:$Y,0)),""),"")))</f>
        <v/>
      </c>
      <c r="M118" s="73" t="str">
        <f>IF(ISBLANK(L118),"",IFERROR(INDEX('Tournament List'!$D:$D,MATCH(L118,'Tournament List'!$A:$A,0)),""))</f>
        <v/>
      </c>
      <c r="N118" s="98" t="str">
        <f>IF(E118="Skeet",IFERROR(INDEX('Shooter-Squad Assignment'!$A:$A,MATCH(C118&amp;"-"&amp;D118&amp;"-"&amp;E118&amp;"-Pos5",'Shooter-Squad Assignment'!#REF!,0)),""),IF(E118="Trap",IFERROR(INDEX('Shooter-Squad Assignment'!$A:$A,MATCH(C118&amp;"-"&amp;D118&amp;"-"&amp;E118&amp;"-Pos5",'Shooter-Squad Assignment'!$V:$V,0)),""),IF(E118="Sporting Clays",IFERROR(INDEX('Shooter-Squad Assignment'!$A:$A,MATCH(C118&amp;"-"&amp;D118&amp;"-"&amp;E118&amp;"-Pos5",'Shooter-Squad Assignment'!$Y:$Y,0)),""),"")))</f>
        <v/>
      </c>
      <c r="O118" s="80" t="str">
        <f>IF(ISBLANK(N118),"",IFERROR(INDEX('Tournament List'!$D:$D,MATCH(N118,'Tournament List'!$A:$A,0)),""))</f>
        <v/>
      </c>
    </row>
    <row r="119" spans="1:15" x14ac:dyDescent="0.3">
      <c r="A119" s="79">
        <v>127</v>
      </c>
      <c r="B119" s="73" t="str">
        <f t="shared" si="1"/>
        <v>Wiggins Tigers Sporting Club-Novice 1-Skeet</v>
      </c>
      <c r="C119" s="73" t="s">
        <v>321</v>
      </c>
      <c r="D119" s="73" t="s">
        <v>339</v>
      </c>
      <c r="E119" s="73" t="s">
        <v>143</v>
      </c>
      <c r="F119" s="98" t="str">
        <f>IF(E119="Skeet",IFERROR(INDEX('Shooter-Squad Assignment'!$A:$A,MATCH(C119&amp;"-"&amp;D119&amp;"-"&amp;E119&amp;"-Pos1",'Shooter-Squad Assignment'!#REF!,0)),""),IF(E119="Trap",IFERROR(INDEX('Shooter-Squad Assignment'!$A:$A,MATCH(C119&amp;"-"&amp;D119&amp;"-"&amp;E119&amp;"-Pos1",'Shooter-Squad Assignment'!$V:$V,0)),""),IF(E119="Sporting Clays",IFERROR(INDEX('Shooter-Squad Assignment'!$A:$A,MATCH(C119&amp;"-"&amp;D119&amp;"-"&amp;E119&amp;"-Pos1",'Shooter-Squad Assignment'!$Y:$Y,0)),""),"")))</f>
        <v/>
      </c>
      <c r="G119" s="73" t="str">
        <f>IF(ISBLANK(F119),"",IFERROR(INDEX('Tournament List'!$D:$D,MATCH(F119,'Tournament List'!$A:$A,0)),""))</f>
        <v/>
      </c>
      <c r="H119" s="98" t="str">
        <f>IF(E119="Skeet",IFERROR(INDEX('Shooter-Squad Assignment'!$A:$A,MATCH(C119&amp;"-"&amp;D119&amp;"-"&amp;E119&amp;"-Pos2",'Shooter-Squad Assignment'!#REF!,0)),""),IF(E119="Trap",IFERROR(INDEX('Shooter-Squad Assignment'!$A:$A,MATCH(C119&amp;"-"&amp;D119&amp;"-"&amp;E119&amp;"-Pos2",'Shooter-Squad Assignment'!$V:$V,0)),""),IF(E119="Sporting Clays",IFERROR(INDEX('Shooter-Squad Assignment'!$A:$A,MATCH(C119&amp;"-"&amp;D119&amp;"-"&amp;E119&amp;"-Pos2",'Shooter-Squad Assignment'!$Y:$Y,0)),""),"")))</f>
        <v/>
      </c>
      <c r="I119" s="73" t="str">
        <f>IF(ISBLANK(H119),"",IFERROR(INDEX('Tournament List'!$D:$D,MATCH(H119,'Tournament List'!$A:$A,0)),""))</f>
        <v/>
      </c>
      <c r="J119" s="98" t="str">
        <f>IF(E119="Skeet",IFERROR(INDEX('Shooter-Squad Assignment'!$A:$A,MATCH(C119&amp;"-"&amp;D119&amp;"-"&amp;E119&amp;"-Pos3",'Shooter-Squad Assignment'!#REF!,0)),""),IF(E119="Trap",IFERROR(INDEX('Shooter-Squad Assignment'!$A:$A,MATCH(C119&amp;"-"&amp;D119&amp;"-"&amp;E119&amp;"-Pos3",'Shooter-Squad Assignment'!$V:$V,0)),""),IF(E119="Sporting Clays",IFERROR(INDEX('Shooter-Squad Assignment'!$A:$A,MATCH(C119&amp;"-"&amp;D119&amp;"-"&amp;E119&amp;"-Pos3",'Shooter-Squad Assignment'!$Y:$Y,0)),""),"")))</f>
        <v/>
      </c>
      <c r="K119" s="73" t="str">
        <f>IF(ISBLANK(J119),"",IFERROR(INDEX('Tournament List'!$D:$D,MATCH(J119,'Tournament List'!$A:$A,0)),""))</f>
        <v/>
      </c>
      <c r="L119" s="98" t="str">
        <f>IF(E119="Skeet",IFERROR(INDEX('Shooter-Squad Assignment'!$A:$A,MATCH(C119&amp;"-"&amp;D119&amp;"-"&amp;E119&amp;"-Pos4",'Shooter-Squad Assignment'!#REF!,0)),""),IF(E119="Trap",IFERROR(INDEX('Shooter-Squad Assignment'!$A:$A,MATCH(C119&amp;"-"&amp;D119&amp;"-"&amp;E119&amp;"-Pos4",'Shooter-Squad Assignment'!$V:$V,0)),""),IF(E119="Sporting Clays",IFERROR(INDEX('Shooter-Squad Assignment'!$A:$A,MATCH(C119&amp;"-"&amp;D119&amp;"-"&amp;E119&amp;"-Pos4",'Shooter-Squad Assignment'!$Y:$Y,0)),""),"")))</f>
        <v/>
      </c>
      <c r="M119" s="73" t="str">
        <f>IF(ISBLANK(L119),"",IFERROR(INDEX('Tournament List'!$D:$D,MATCH(L119,'Tournament List'!$A:$A,0)),""))</f>
        <v/>
      </c>
      <c r="N119" s="98" t="str">
        <f>IF(E119="Skeet",IFERROR(INDEX('Shooter-Squad Assignment'!$A:$A,MATCH(C119&amp;"-"&amp;D119&amp;"-"&amp;E119&amp;"-Pos5",'Shooter-Squad Assignment'!#REF!,0)),""),IF(E119="Trap",IFERROR(INDEX('Shooter-Squad Assignment'!$A:$A,MATCH(C119&amp;"-"&amp;D119&amp;"-"&amp;E119&amp;"-Pos5",'Shooter-Squad Assignment'!$V:$V,0)),""),IF(E119="Sporting Clays",IFERROR(INDEX('Shooter-Squad Assignment'!$A:$A,MATCH(C119&amp;"-"&amp;D119&amp;"-"&amp;E119&amp;"-Pos5",'Shooter-Squad Assignment'!$Y:$Y,0)),""),"")))</f>
        <v/>
      </c>
      <c r="O119" s="80" t="str">
        <f>IF(ISBLANK(N119),"",IFERROR(INDEX('Tournament List'!$D:$D,MATCH(N119,'Tournament List'!$A:$A,0)),""))</f>
        <v/>
      </c>
    </row>
    <row r="120" spans="1:15" x14ac:dyDescent="0.3">
      <c r="A120" s="79">
        <v>128</v>
      </c>
      <c r="B120" s="73" t="str">
        <f t="shared" si="1"/>
        <v>Wiggins Tigers Sporting Club-Novice 2-Skeet</v>
      </c>
      <c r="C120" s="73" t="s">
        <v>321</v>
      </c>
      <c r="D120" s="73" t="s">
        <v>345</v>
      </c>
      <c r="E120" s="73" t="s">
        <v>143</v>
      </c>
      <c r="F120" s="98" t="str">
        <f>IF(E120="Skeet",IFERROR(INDEX('Shooter-Squad Assignment'!$A:$A,MATCH(C120&amp;"-"&amp;D120&amp;"-"&amp;E120&amp;"-Pos1",'Shooter-Squad Assignment'!#REF!,0)),""),IF(E120="Trap",IFERROR(INDEX('Shooter-Squad Assignment'!$A:$A,MATCH(C120&amp;"-"&amp;D120&amp;"-"&amp;E120&amp;"-Pos1",'Shooter-Squad Assignment'!$V:$V,0)),""),IF(E120="Sporting Clays",IFERROR(INDEX('Shooter-Squad Assignment'!$A:$A,MATCH(C120&amp;"-"&amp;D120&amp;"-"&amp;E120&amp;"-Pos1",'Shooter-Squad Assignment'!$Y:$Y,0)),""),"")))</f>
        <v/>
      </c>
      <c r="G120" s="73" t="str">
        <f>IF(ISBLANK(F120),"",IFERROR(INDEX('Tournament List'!$D:$D,MATCH(F120,'Tournament List'!$A:$A,0)),""))</f>
        <v/>
      </c>
      <c r="H120" s="98" t="str">
        <f>IF(E120="Skeet",IFERROR(INDEX('Shooter-Squad Assignment'!$A:$A,MATCH(C120&amp;"-"&amp;D120&amp;"-"&amp;E120&amp;"-Pos2",'Shooter-Squad Assignment'!#REF!,0)),""),IF(E120="Trap",IFERROR(INDEX('Shooter-Squad Assignment'!$A:$A,MATCH(C120&amp;"-"&amp;D120&amp;"-"&amp;E120&amp;"-Pos2",'Shooter-Squad Assignment'!$V:$V,0)),""),IF(E120="Sporting Clays",IFERROR(INDEX('Shooter-Squad Assignment'!$A:$A,MATCH(C120&amp;"-"&amp;D120&amp;"-"&amp;E120&amp;"-Pos2",'Shooter-Squad Assignment'!$Y:$Y,0)),""),"")))</f>
        <v/>
      </c>
      <c r="I120" s="73" t="str">
        <f>IF(ISBLANK(H120),"",IFERROR(INDEX('Tournament List'!$D:$D,MATCH(H120,'Tournament List'!$A:$A,0)),""))</f>
        <v/>
      </c>
      <c r="J120" s="98" t="str">
        <f>IF(E120="Skeet",IFERROR(INDEX('Shooter-Squad Assignment'!$A:$A,MATCH(C120&amp;"-"&amp;D120&amp;"-"&amp;E120&amp;"-Pos3",'Shooter-Squad Assignment'!#REF!,0)),""),IF(E120="Trap",IFERROR(INDEX('Shooter-Squad Assignment'!$A:$A,MATCH(C120&amp;"-"&amp;D120&amp;"-"&amp;E120&amp;"-Pos3",'Shooter-Squad Assignment'!$V:$V,0)),""),IF(E120="Sporting Clays",IFERROR(INDEX('Shooter-Squad Assignment'!$A:$A,MATCH(C120&amp;"-"&amp;D120&amp;"-"&amp;E120&amp;"-Pos3",'Shooter-Squad Assignment'!$Y:$Y,0)),""),"")))</f>
        <v/>
      </c>
      <c r="K120" s="73" t="str">
        <f>IF(ISBLANK(J120),"",IFERROR(INDEX('Tournament List'!$D:$D,MATCH(J120,'Tournament List'!$A:$A,0)),""))</f>
        <v/>
      </c>
      <c r="L120" s="98" t="str">
        <f>IF(E120="Skeet",IFERROR(INDEX('Shooter-Squad Assignment'!$A:$A,MATCH(C120&amp;"-"&amp;D120&amp;"-"&amp;E120&amp;"-Pos4",'Shooter-Squad Assignment'!#REF!,0)),""),IF(E120="Trap",IFERROR(INDEX('Shooter-Squad Assignment'!$A:$A,MATCH(C120&amp;"-"&amp;D120&amp;"-"&amp;E120&amp;"-Pos4",'Shooter-Squad Assignment'!$V:$V,0)),""),IF(E120="Sporting Clays",IFERROR(INDEX('Shooter-Squad Assignment'!$A:$A,MATCH(C120&amp;"-"&amp;D120&amp;"-"&amp;E120&amp;"-Pos4",'Shooter-Squad Assignment'!$Y:$Y,0)),""),"")))</f>
        <v/>
      </c>
      <c r="M120" s="73" t="str">
        <f>IF(ISBLANK(L120),"",IFERROR(INDEX('Tournament List'!$D:$D,MATCH(L120,'Tournament List'!$A:$A,0)),""))</f>
        <v/>
      </c>
      <c r="N120" s="98" t="str">
        <f>IF(E120="Skeet",IFERROR(INDEX('Shooter-Squad Assignment'!$A:$A,MATCH(C120&amp;"-"&amp;D120&amp;"-"&amp;E120&amp;"-Pos5",'Shooter-Squad Assignment'!#REF!,0)),""),IF(E120="Trap",IFERROR(INDEX('Shooter-Squad Assignment'!$A:$A,MATCH(C120&amp;"-"&amp;D120&amp;"-"&amp;E120&amp;"-Pos5",'Shooter-Squad Assignment'!$V:$V,0)),""),IF(E120="Sporting Clays",IFERROR(INDEX('Shooter-Squad Assignment'!$A:$A,MATCH(C120&amp;"-"&amp;D120&amp;"-"&amp;E120&amp;"-Pos5",'Shooter-Squad Assignment'!$Y:$Y,0)),""),"")))</f>
        <v/>
      </c>
      <c r="O120" s="80" t="str">
        <f>IF(ISBLANK(N120),"",IFERROR(INDEX('Tournament List'!$D:$D,MATCH(N120,'Tournament List'!$A:$A,0)),""))</f>
        <v/>
      </c>
    </row>
    <row r="121" spans="1:15" x14ac:dyDescent="0.3">
      <c r="A121" s="79">
        <v>129</v>
      </c>
      <c r="B121" s="73" t="str">
        <f t="shared" si="1"/>
        <v>Wiggins Tigers Sporting Club-Novice 3-Skeet</v>
      </c>
      <c r="C121" s="73" t="s">
        <v>321</v>
      </c>
      <c r="D121" s="73" t="s">
        <v>351</v>
      </c>
      <c r="E121" s="73" t="s">
        <v>143</v>
      </c>
      <c r="F121" s="98" t="str">
        <f>IF(E121="Skeet",IFERROR(INDEX('Shooter-Squad Assignment'!$A:$A,MATCH(C121&amp;"-"&amp;D121&amp;"-"&amp;E121&amp;"-Pos1",'Shooter-Squad Assignment'!#REF!,0)),""),IF(E121="Trap",IFERROR(INDEX('Shooter-Squad Assignment'!$A:$A,MATCH(C121&amp;"-"&amp;D121&amp;"-"&amp;E121&amp;"-Pos1",'Shooter-Squad Assignment'!$V:$V,0)),""),IF(E121="Sporting Clays",IFERROR(INDEX('Shooter-Squad Assignment'!$A:$A,MATCH(C121&amp;"-"&amp;D121&amp;"-"&amp;E121&amp;"-Pos1",'Shooter-Squad Assignment'!$Y:$Y,0)),""),"")))</f>
        <v/>
      </c>
      <c r="G121" s="73" t="str">
        <f>IF(ISBLANK(F121),"",IFERROR(INDEX('Tournament List'!$D:$D,MATCH(F121,'Tournament List'!$A:$A,0)),""))</f>
        <v/>
      </c>
      <c r="H121" s="98" t="str">
        <f>IF(E121="Skeet",IFERROR(INDEX('Shooter-Squad Assignment'!$A:$A,MATCH(C121&amp;"-"&amp;D121&amp;"-"&amp;E121&amp;"-Pos2",'Shooter-Squad Assignment'!#REF!,0)),""),IF(E121="Trap",IFERROR(INDEX('Shooter-Squad Assignment'!$A:$A,MATCH(C121&amp;"-"&amp;D121&amp;"-"&amp;E121&amp;"-Pos2",'Shooter-Squad Assignment'!$V:$V,0)),""),IF(E121="Sporting Clays",IFERROR(INDEX('Shooter-Squad Assignment'!$A:$A,MATCH(C121&amp;"-"&amp;D121&amp;"-"&amp;E121&amp;"-Pos2",'Shooter-Squad Assignment'!$Y:$Y,0)),""),"")))</f>
        <v/>
      </c>
      <c r="I121" s="73" t="str">
        <f>IF(ISBLANK(H121),"",IFERROR(INDEX('Tournament List'!$D:$D,MATCH(H121,'Tournament List'!$A:$A,0)),""))</f>
        <v/>
      </c>
      <c r="J121" s="98" t="str">
        <f>IF(E121="Skeet",IFERROR(INDEX('Shooter-Squad Assignment'!$A:$A,MATCH(C121&amp;"-"&amp;D121&amp;"-"&amp;E121&amp;"-Pos3",'Shooter-Squad Assignment'!#REF!,0)),""),IF(E121="Trap",IFERROR(INDEX('Shooter-Squad Assignment'!$A:$A,MATCH(C121&amp;"-"&amp;D121&amp;"-"&amp;E121&amp;"-Pos3",'Shooter-Squad Assignment'!$V:$V,0)),""),IF(E121="Sporting Clays",IFERROR(INDEX('Shooter-Squad Assignment'!$A:$A,MATCH(C121&amp;"-"&amp;D121&amp;"-"&amp;E121&amp;"-Pos3",'Shooter-Squad Assignment'!$Y:$Y,0)),""),"")))</f>
        <v/>
      </c>
      <c r="K121" s="73" t="str">
        <f>IF(ISBLANK(J121),"",IFERROR(INDEX('Tournament List'!$D:$D,MATCH(J121,'Tournament List'!$A:$A,0)),""))</f>
        <v/>
      </c>
      <c r="L121" s="98" t="str">
        <f>IF(E121="Skeet",IFERROR(INDEX('Shooter-Squad Assignment'!$A:$A,MATCH(C121&amp;"-"&amp;D121&amp;"-"&amp;E121&amp;"-Pos4",'Shooter-Squad Assignment'!#REF!,0)),""),IF(E121="Trap",IFERROR(INDEX('Shooter-Squad Assignment'!$A:$A,MATCH(C121&amp;"-"&amp;D121&amp;"-"&amp;E121&amp;"-Pos4",'Shooter-Squad Assignment'!$V:$V,0)),""),IF(E121="Sporting Clays",IFERROR(INDEX('Shooter-Squad Assignment'!$A:$A,MATCH(C121&amp;"-"&amp;D121&amp;"-"&amp;E121&amp;"-Pos4",'Shooter-Squad Assignment'!$Y:$Y,0)),""),"")))</f>
        <v/>
      </c>
      <c r="M121" s="73" t="str">
        <f>IF(ISBLANK(L121),"",IFERROR(INDEX('Tournament List'!$D:$D,MATCH(L121,'Tournament List'!$A:$A,0)),""))</f>
        <v/>
      </c>
      <c r="N121" s="98" t="str">
        <f>IF(E121="Skeet",IFERROR(INDEX('Shooter-Squad Assignment'!$A:$A,MATCH(C121&amp;"-"&amp;D121&amp;"-"&amp;E121&amp;"-Pos5",'Shooter-Squad Assignment'!#REF!,0)),""),IF(E121="Trap",IFERROR(INDEX('Shooter-Squad Assignment'!$A:$A,MATCH(C121&amp;"-"&amp;D121&amp;"-"&amp;E121&amp;"-Pos5",'Shooter-Squad Assignment'!$V:$V,0)),""),IF(E121="Sporting Clays",IFERROR(INDEX('Shooter-Squad Assignment'!$A:$A,MATCH(C121&amp;"-"&amp;D121&amp;"-"&amp;E121&amp;"-Pos5",'Shooter-Squad Assignment'!$Y:$Y,0)),""),"")))</f>
        <v/>
      </c>
      <c r="O121" s="80" t="str">
        <f>IF(ISBLANK(N121),"",IFERROR(INDEX('Tournament List'!$D:$D,MATCH(N121,'Tournament List'!$A:$A,0)),""))</f>
        <v/>
      </c>
    </row>
    <row r="122" spans="1:15" x14ac:dyDescent="0.3">
      <c r="A122" s="79">
        <v>130</v>
      </c>
      <c r="B122" s="73" t="str">
        <f t="shared" si="1"/>
        <v>Wiggins Tigers Sporting Club-Open 1-Skeet</v>
      </c>
      <c r="C122" s="73" t="s">
        <v>321</v>
      </c>
      <c r="D122" s="73" t="s">
        <v>343</v>
      </c>
      <c r="E122" s="73" t="s">
        <v>143</v>
      </c>
      <c r="F122" s="98" t="str">
        <f>IF(E122="Skeet",IFERROR(INDEX('Shooter-Squad Assignment'!$A:$A,MATCH(C122&amp;"-"&amp;D122&amp;"-"&amp;E122&amp;"-Pos1",'Shooter-Squad Assignment'!#REF!,0)),""),IF(E122="Trap",IFERROR(INDEX('Shooter-Squad Assignment'!$A:$A,MATCH(C122&amp;"-"&amp;D122&amp;"-"&amp;E122&amp;"-Pos1",'Shooter-Squad Assignment'!$V:$V,0)),""),IF(E122="Sporting Clays",IFERROR(INDEX('Shooter-Squad Assignment'!$A:$A,MATCH(C122&amp;"-"&amp;D122&amp;"-"&amp;E122&amp;"-Pos1",'Shooter-Squad Assignment'!$Y:$Y,0)),""),"")))</f>
        <v/>
      </c>
      <c r="G122" s="73" t="str">
        <f>IF(ISBLANK(F122),"",IFERROR(INDEX('Tournament List'!$D:$D,MATCH(F122,'Tournament List'!$A:$A,0)),""))</f>
        <v/>
      </c>
      <c r="H122" s="98" t="str">
        <f>IF(E122="Skeet",IFERROR(INDEX('Shooter-Squad Assignment'!$A:$A,MATCH(C122&amp;"-"&amp;D122&amp;"-"&amp;E122&amp;"-Pos2",'Shooter-Squad Assignment'!#REF!,0)),""),IF(E122="Trap",IFERROR(INDEX('Shooter-Squad Assignment'!$A:$A,MATCH(C122&amp;"-"&amp;D122&amp;"-"&amp;E122&amp;"-Pos2",'Shooter-Squad Assignment'!$V:$V,0)),""),IF(E122="Sporting Clays",IFERROR(INDEX('Shooter-Squad Assignment'!$A:$A,MATCH(C122&amp;"-"&amp;D122&amp;"-"&amp;E122&amp;"-Pos2",'Shooter-Squad Assignment'!$Y:$Y,0)),""),"")))</f>
        <v/>
      </c>
      <c r="I122" s="73" t="str">
        <f>IF(ISBLANK(H122),"",IFERROR(INDEX('Tournament List'!$D:$D,MATCH(H122,'Tournament List'!$A:$A,0)),""))</f>
        <v/>
      </c>
      <c r="J122" s="98" t="str">
        <f>IF(E122="Skeet",IFERROR(INDEX('Shooter-Squad Assignment'!$A:$A,MATCH(C122&amp;"-"&amp;D122&amp;"-"&amp;E122&amp;"-Pos3",'Shooter-Squad Assignment'!#REF!,0)),""),IF(E122="Trap",IFERROR(INDEX('Shooter-Squad Assignment'!$A:$A,MATCH(C122&amp;"-"&amp;D122&amp;"-"&amp;E122&amp;"-Pos3",'Shooter-Squad Assignment'!$V:$V,0)),""),IF(E122="Sporting Clays",IFERROR(INDEX('Shooter-Squad Assignment'!$A:$A,MATCH(C122&amp;"-"&amp;D122&amp;"-"&amp;E122&amp;"-Pos3",'Shooter-Squad Assignment'!$Y:$Y,0)),""),"")))</f>
        <v/>
      </c>
      <c r="K122" s="73" t="str">
        <f>IF(ISBLANK(J122),"",IFERROR(INDEX('Tournament List'!$D:$D,MATCH(J122,'Tournament List'!$A:$A,0)),""))</f>
        <v/>
      </c>
      <c r="L122" s="98" t="str">
        <f>IF(E122="Skeet",IFERROR(INDEX('Shooter-Squad Assignment'!$A:$A,MATCH(C122&amp;"-"&amp;D122&amp;"-"&amp;E122&amp;"-Pos4",'Shooter-Squad Assignment'!#REF!,0)),""),IF(E122="Trap",IFERROR(INDEX('Shooter-Squad Assignment'!$A:$A,MATCH(C122&amp;"-"&amp;D122&amp;"-"&amp;E122&amp;"-Pos4",'Shooter-Squad Assignment'!$V:$V,0)),""),IF(E122="Sporting Clays",IFERROR(INDEX('Shooter-Squad Assignment'!$A:$A,MATCH(C122&amp;"-"&amp;D122&amp;"-"&amp;E122&amp;"-Pos4",'Shooter-Squad Assignment'!$Y:$Y,0)),""),"")))</f>
        <v/>
      </c>
      <c r="M122" s="73" t="str">
        <f>IF(ISBLANK(L122),"",IFERROR(INDEX('Tournament List'!$D:$D,MATCH(L122,'Tournament List'!$A:$A,0)),""))</f>
        <v/>
      </c>
      <c r="N122" s="98" t="str">
        <f>IF(E122="Skeet",IFERROR(INDEX('Shooter-Squad Assignment'!$A:$A,MATCH(C122&amp;"-"&amp;D122&amp;"-"&amp;E122&amp;"-Pos5",'Shooter-Squad Assignment'!#REF!,0)),""),IF(E122="Trap",IFERROR(INDEX('Shooter-Squad Assignment'!$A:$A,MATCH(C122&amp;"-"&amp;D122&amp;"-"&amp;E122&amp;"-Pos5",'Shooter-Squad Assignment'!$V:$V,0)),""),IF(E122="Sporting Clays",IFERROR(INDEX('Shooter-Squad Assignment'!$A:$A,MATCH(C122&amp;"-"&amp;D122&amp;"-"&amp;E122&amp;"-Pos5",'Shooter-Squad Assignment'!$Y:$Y,0)),""),"")))</f>
        <v/>
      </c>
      <c r="O122" s="80" t="str">
        <f>IF(ISBLANK(N122),"",IFERROR(INDEX('Tournament List'!$D:$D,MATCH(N122,'Tournament List'!$A:$A,0)),""))</f>
        <v/>
      </c>
    </row>
    <row r="123" spans="1:15" x14ac:dyDescent="0.3">
      <c r="A123" s="79">
        <v>131</v>
      </c>
      <c r="B123" s="73" t="str">
        <f t="shared" si="1"/>
        <v>Wiggins Tigers Sporting Club-Open 2-Skeet</v>
      </c>
      <c r="C123" s="73" t="s">
        <v>321</v>
      </c>
      <c r="D123" s="73" t="s">
        <v>349</v>
      </c>
      <c r="E123" s="73" t="s">
        <v>143</v>
      </c>
      <c r="F123" s="98" t="str">
        <f>IF(E123="Skeet",IFERROR(INDEX('Shooter-Squad Assignment'!$A:$A,MATCH(C123&amp;"-"&amp;D123&amp;"-"&amp;E123&amp;"-Pos1",'Shooter-Squad Assignment'!#REF!,0)),""),IF(E123="Trap",IFERROR(INDEX('Shooter-Squad Assignment'!$A:$A,MATCH(C123&amp;"-"&amp;D123&amp;"-"&amp;E123&amp;"-Pos1",'Shooter-Squad Assignment'!$V:$V,0)),""),IF(E123="Sporting Clays",IFERROR(INDEX('Shooter-Squad Assignment'!$A:$A,MATCH(C123&amp;"-"&amp;D123&amp;"-"&amp;E123&amp;"-Pos1",'Shooter-Squad Assignment'!$Y:$Y,0)),""),"")))</f>
        <v/>
      </c>
      <c r="G123" s="73" t="str">
        <f>IF(ISBLANK(F123),"",IFERROR(INDEX('Tournament List'!$D:$D,MATCH(F123,'Tournament List'!$A:$A,0)),""))</f>
        <v/>
      </c>
      <c r="H123" s="98" t="str">
        <f>IF(E123="Skeet",IFERROR(INDEX('Shooter-Squad Assignment'!$A:$A,MATCH(C123&amp;"-"&amp;D123&amp;"-"&amp;E123&amp;"-Pos2",'Shooter-Squad Assignment'!#REF!,0)),""),IF(E123="Trap",IFERROR(INDEX('Shooter-Squad Assignment'!$A:$A,MATCH(C123&amp;"-"&amp;D123&amp;"-"&amp;E123&amp;"-Pos2",'Shooter-Squad Assignment'!$V:$V,0)),""),IF(E123="Sporting Clays",IFERROR(INDEX('Shooter-Squad Assignment'!$A:$A,MATCH(C123&amp;"-"&amp;D123&amp;"-"&amp;E123&amp;"-Pos2",'Shooter-Squad Assignment'!$Y:$Y,0)),""),"")))</f>
        <v/>
      </c>
      <c r="I123" s="73" t="str">
        <f>IF(ISBLANK(H123),"",IFERROR(INDEX('Tournament List'!$D:$D,MATCH(H123,'Tournament List'!$A:$A,0)),""))</f>
        <v/>
      </c>
      <c r="J123" s="98" t="str">
        <f>IF(E123="Skeet",IFERROR(INDEX('Shooter-Squad Assignment'!$A:$A,MATCH(C123&amp;"-"&amp;D123&amp;"-"&amp;E123&amp;"-Pos3",'Shooter-Squad Assignment'!#REF!,0)),""),IF(E123="Trap",IFERROR(INDEX('Shooter-Squad Assignment'!$A:$A,MATCH(C123&amp;"-"&amp;D123&amp;"-"&amp;E123&amp;"-Pos3",'Shooter-Squad Assignment'!$V:$V,0)),""),IF(E123="Sporting Clays",IFERROR(INDEX('Shooter-Squad Assignment'!$A:$A,MATCH(C123&amp;"-"&amp;D123&amp;"-"&amp;E123&amp;"-Pos3",'Shooter-Squad Assignment'!$Y:$Y,0)),""),"")))</f>
        <v/>
      </c>
      <c r="K123" s="73" t="str">
        <f>IF(ISBLANK(J123),"",IFERROR(INDEX('Tournament List'!$D:$D,MATCH(J123,'Tournament List'!$A:$A,0)),""))</f>
        <v/>
      </c>
      <c r="L123" s="98" t="str">
        <f>IF(E123="Skeet",IFERROR(INDEX('Shooter-Squad Assignment'!$A:$A,MATCH(C123&amp;"-"&amp;D123&amp;"-"&amp;E123&amp;"-Pos4",'Shooter-Squad Assignment'!#REF!,0)),""),IF(E123="Trap",IFERROR(INDEX('Shooter-Squad Assignment'!$A:$A,MATCH(C123&amp;"-"&amp;D123&amp;"-"&amp;E123&amp;"-Pos4",'Shooter-Squad Assignment'!$V:$V,0)),""),IF(E123="Sporting Clays",IFERROR(INDEX('Shooter-Squad Assignment'!$A:$A,MATCH(C123&amp;"-"&amp;D123&amp;"-"&amp;E123&amp;"-Pos4",'Shooter-Squad Assignment'!$Y:$Y,0)),""),"")))</f>
        <v/>
      </c>
      <c r="M123" s="73" t="str">
        <f>IF(ISBLANK(L123),"",IFERROR(INDEX('Tournament List'!$D:$D,MATCH(L123,'Tournament List'!$A:$A,0)),""))</f>
        <v/>
      </c>
      <c r="N123" s="98" t="str">
        <f>IF(E123="Skeet",IFERROR(INDEX('Shooter-Squad Assignment'!$A:$A,MATCH(C123&amp;"-"&amp;D123&amp;"-"&amp;E123&amp;"-Pos5",'Shooter-Squad Assignment'!#REF!,0)),""),IF(E123="Trap",IFERROR(INDEX('Shooter-Squad Assignment'!$A:$A,MATCH(C123&amp;"-"&amp;D123&amp;"-"&amp;E123&amp;"-Pos5",'Shooter-Squad Assignment'!$V:$V,0)),""),IF(E123="Sporting Clays",IFERROR(INDEX('Shooter-Squad Assignment'!$A:$A,MATCH(C123&amp;"-"&amp;D123&amp;"-"&amp;E123&amp;"-Pos5",'Shooter-Squad Assignment'!$Y:$Y,0)),""),"")))</f>
        <v/>
      </c>
      <c r="O123" s="80" t="str">
        <f>IF(ISBLANK(N123),"",IFERROR(INDEX('Tournament List'!$D:$D,MATCH(N123,'Tournament List'!$A:$A,0)),""))</f>
        <v/>
      </c>
    </row>
    <row r="124" spans="1:15" x14ac:dyDescent="0.3">
      <c r="A124" s="79">
        <v>132</v>
      </c>
      <c r="B124" s="73" t="str">
        <f t="shared" si="1"/>
        <v>Wiggins Tigers Sporting Club-Open 3-Skeet</v>
      </c>
      <c r="C124" s="73" t="s">
        <v>321</v>
      </c>
      <c r="D124" s="73" t="s">
        <v>355</v>
      </c>
      <c r="E124" s="73" t="s">
        <v>143</v>
      </c>
      <c r="F124" s="98" t="str">
        <f>IF(E124="Skeet",IFERROR(INDEX('Shooter-Squad Assignment'!$A:$A,MATCH(C124&amp;"-"&amp;D124&amp;"-"&amp;E124&amp;"-Pos1",'Shooter-Squad Assignment'!#REF!,0)),""),IF(E124="Trap",IFERROR(INDEX('Shooter-Squad Assignment'!$A:$A,MATCH(C124&amp;"-"&amp;D124&amp;"-"&amp;E124&amp;"-Pos1",'Shooter-Squad Assignment'!$V:$V,0)),""),IF(E124="Sporting Clays",IFERROR(INDEX('Shooter-Squad Assignment'!$A:$A,MATCH(C124&amp;"-"&amp;D124&amp;"-"&amp;E124&amp;"-Pos1",'Shooter-Squad Assignment'!$Y:$Y,0)),""),"")))</f>
        <v/>
      </c>
      <c r="G124" s="73" t="str">
        <f>IF(ISBLANK(F124),"",IFERROR(INDEX('Tournament List'!$D:$D,MATCH(F124,'Tournament List'!$A:$A,0)),""))</f>
        <v/>
      </c>
      <c r="H124" s="98" t="str">
        <f>IF(E124="Skeet",IFERROR(INDEX('Shooter-Squad Assignment'!$A:$A,MATCH(C124&amp;"-"&amp;D124&amp;"-"&amp;E124&amp;"-Pos2",'Shooter-Squad Assignment'!#REF!,0)),""),IF(E124="Trap",IFERROR(INDEX('Shooter-Squad Assignment'!$A:$A,MATCH(C124&amp;"-"&amp;D124&amp;"-"&amp;E124&amp;"-Pos2",'Shooter-Squad Assignment'!$V:$V,0)),""),IF(E124="Sporting Clays",IFERROR(INDEX('Shooter-Squad Assignment'!$A:$A,MATCH(C124&amp;"-"&amp;D124&amp;"-"&amp;E124&amp;"-Pos2",'Shooter-Squad Assignment'!$Y:$Y,0)),""),"")))</f>
        <v/>
      </c>
      <c r="I124" s="73" t="str">
        <f>IF(ISBLANK(H124),"",IFERROR(INDEX('Tournament List'!$D:$D,MATCH(H124,'Tournament List'!$A:$A,0)),""))</f>
        <v/>
      </c>
      <c r="J124" s="98" t="str">
        <f>IF(E124="Skeet",IFERROR(INDEX('Shooter-Squad Assignment'!$A:$A,MATCH(C124&amp;"-"&amp;D124&amp;"-"&amp;E124&amp;"-Pos3",'Shooter-Squad Assignment'!#REF!,0)),""),IF(E124="Trap",IFERROR(INDEX('Shooter-Squad Assignment'!$A:$A,MATCH(C124&amp;"-"&amp;D124&amp;"-"&amp;E124&amp;"-Pos3",'Shooter-Squad Assignment'!$V:$V,0)),""),IF(E124="Sporting Clays",IFERROR(INDEX('Shooter-Squad Assignment'!$A:$A,MATCH(C124&amp;"-"&amp;D124&amp;"-"&amp;E124&amp;"-Pos3",'Shooter-Squad Assignment'!$Y:$Y,0)),""),"")))</f>
        <v/>
      </c>
      <c r="K124" s="73" t="str">
        <f>IF(ISBLANK(J124),"",IFERROR(INDEX('Tournament List'!$D:$D,MATCH(J124,'Tournament List'!$A:$A,0)),""))</f>
        <v/>
      </c>
      <c r="L124" s="98" t="str">
        <f>IF(E124="Skeet",IFERROR(INDEX('Shooter-Squad Assignment'!$A:$A,MATCH(C124&amp;"-"&amp;D124&amp;"-"&amp;E124&amp;"-Pos4",'Shooter-Squad Assignment'!#REF!,0)),""),IF(E124="Trap",IFERROR(INDEX('Shooter-Squad Assignment'!$A:$A,MATCH(C124&amp;"-"&amp;D124&amp;"-"&amp;E124&amp;"-Pos4",'Shooter-Squad Assignment'!$V:$V,0)),""),IF(E124="Sporting Clays",IFERROR(INDEX('Shooter-Squad Assignment'!$A:$A,MATCH(C124&amp;"-"&amp;D124&amp;"-"&amp;E124&amp;"-Pos4",'Shooter-Squad Assignment'!$Y:$Y,0)),""),"")))</f>
        <v/>
      </c>
      <c r="M124" s="73" t="str">
        <f>IF(ISBLANK(L124),"",IFERROR(INDEX('Tournament List'!$D:$D,MATCH(L124,'Tournament List'!$A:$A,0)),""))</f>
        <v/>
      </c>
      <c r="N124" s="98" t="str">
        <f>IF(E124="Skeet",IFERROR(INDEX('Shooter-Squad Assignment'!$A:$A,MATCH(C124&amp;"-"&amp;D124&amp;"-"&amp;E124&amp;"-Pos5",'Shooter-Squad Assignment'!#REF!,0)),""),IF(E124="Trap",IFERROR(INDEX('Shooter-Squad Assignment'!$A:$A,MATCH(C124&amp;"-"&amp;D124&amp;"-"&amp;E124&amp;"-Pos5",'Shooter-Squad Assignment'!$V:$V,0)),""),IF(E124="Sporting Clays",IFERROR(INDEX('Shooter-Squad Assignment'!$A:$A,MATCH(C124&amp;"-"&amp;D124&amp;"-"&amp;E124&amp;"-Pos5",'Shooter-Squad Assignment'!$Y:$Y,0)),""),"")))</f>
        <v/>
      </c>
      <c r="O124" s="80" t="str">
        <f>IF(ISBLANK(N124),"",IFERROR(INDEX('Tournament List'!$D:$D,MATCH(N124,'Tournament List'!$A:$A,0)),""))</f>
        <v/>
      </c>
    </row>
    <row r="125" spans="1:15" x14ac:dyDescent="0.3">
      <c r="A125" s="79">
        <v>133</v>
      </c>
      <c r="B125" s="73" t="str">
        <f t="shared" si="1"/>
        <v>Wiggins Tigers Sporting Club-Varsity 1-Skeet</v>
      </c>
      <c r="C125" s="73" t="s">
        <v>321</v>
      </c>
      <c r="D125" s="73" t="s">
        <v>342</v>
      </c>
      <c r="E125" s="73" t="s">
        <v>143</v>
      </c>
      <c r="F125" s="98" t="str">
        <f>IF(E125="Skeet",IFERROR(INDEX('Shooter-Squad Assignment'!$A:$A,MATCH(C125&amp;"-"&amp;D125&amp;"-"&amp;E125&amp;"-Pos1",'Shooter-Squad Assignment'!#REF!,0)),""),IF(E125="Trap",IFERROR(INDEX('Shooter-Squad Assignment'!$A:$A,MATCH(C125&amp;"-"&amp;D125&amp;"-"&amp;E125&amp;"-Pos1",'Shooter-Squad Assignment'!$V:$V,0)),""),IF(E125="Sporting Clays",IFERROR(INDEX('Shooter-Squad Assignment'!$A:$A,MATCH(C125&amp;"-"&amp;D125&amp;"-"&amp;E125&amp;"-Pos1",'Shooter-Squad Assignment'!$Y:$Y,0)),""),"")))</f>
        <v/>
      </c>
      <c r="G125" s="73" t="str">
        <f>IF(ISBLANK(F125),"",IFERROR(INDEX('Tournament List'!$D:$D,MATCH(F125,'Tournament List'!$A:$A,0)),""))</f>
        <v/>
      </c>
      <c r="H125" s="98" t="str">
        <f>IF(E125="Skeet",IFERROR(INDEX('Shooter-Squad Assignment'!$A:$A,MATCH(C125&amp;"-"&amp;D125&amp;"-"&amp;E125&amp;"-Pos2",'Shooter-Squad Assignment'!#REF!,0)),""),IF(E125="Trap",IFERROR(INDEX('Shooter-Squad Assignment'!$A:$A,MATCH(C125&amp;"-"&amp;D125&amp;"-"&amp;E125&amp;"-Pos2",'Shooter-Squad Assignment'!$V:$V,0)),""),IF(E125="Sporting Clays",IFERROR(INDEX('Shooter-Squad Assignment'!$A:$A,MATCH(C125&amp;"-"&amp;D125&amp;"-"&amp;E125&amp;"-Pos2",'Shooter-Squad Assignment'!$Y:$Y,0)),""),"")))</f>
        <v/>
      </c>
      <c r="I125" s="73" t="str">
        <f>IF(ISBLANK(H125),"",IFERROR(INDEX('Tournament List'!$D:$D,MATCH(H125,'Tournament List'!$A:$A,0)),""))</f>
        <v/>
      </c>
      <c r="J125" s="98" t="str">
        <f>IF(E125="Skeet",IFERROR(INDEX('Shooter-Squad Assignment'!$A:$A,MATCH(C125&amp;"-"&amp;D125&amp;"-"&amp;E125&amp;"-Pos3",'Shooter-Squad Assignment'!#REF!,0)),""),IF(E125="Trap",IFERROR(INDEX('Shooter-Squad Assignment'!$A:$A,MATCH(C125&amp;"-"&amp;D125&amp;"-"&amp;E125&amp;"-Pos3",'Shooter-Squad Assignment'!$V:$V,0)),""),IF(E125="Sporting Clays",IFERROR(INDEX('Shooter-Squad Assignment'!$A:$A,MATCH(C125&amp;"-"&amp;D125&amp;"-"&amp;E125&amp;"-Pos3",'Shooter-Squad Assignment'!$Y:$Y,0)),""),"")))</f>
        <v/>
      </c>
      <c r="K125" s="73" t="str">
        <f>IF(ISBLANK(J125),"",IFERROR(INDEX('Tournament List'!$D:$D,MATCH(J125,'Tournament List'!$A:$A,0)),""))</f>
        <v/>
      </c>
      <c r="L125" s="98" t="str">
        <f>IF(E125="Skeet",IFERROR(INDEX('Shooter-Squad Assignment'!$A:$A,MATCH(C125&amp;"-"&amp;D125&amp;"-"&amp;E125&amp;"-Pos4",'Shooter-Squad Assignment'!#REF!,0)),""),IF(E125="Trap",IFERROR(INDEX('Shooter-Squad Assignment'!$A:$A,MATCH(C125&amp;"-"&amp;D125&amp;"-"&amp;E125&amp;"-Pos4",'Shooter-Squad Assignment'!$V:$V,0)),""),IF(E125="Sporting Clays",IFERROR(INDEX('Shooter-Squad Assignment'!$A:$A,MATCH(C125&amp;"-"&amp;D125&amp;"-"&amp;E125&amp;"-Pos4",'Shooter-Squad Assignment'!$Y:$Y,0)),""),"")))</f>
        <v/>
      </c>
      <c r="M125" s="73" t="str">
        <f>IF(ISBLANK(L125),"",IFERROR(INDEX('Tournament List'!$D:$D,MATCH(L125,'Tournament List'!$A:$A,0)),""))</f>
        <v/>
      </c>
      <c r="N125" s="98" t="str">
        <f>IF(E125="Skeet",IFERROR(INDEX('Shooter-Squad Assignment'!$A:$A,MATCH(C125&amp;"-"&amp;D125&amp;"-"&amp;E125&amp;"-Pos5",'Shooter-Squad Assignment'!#REF!,0)),""),IF(E125="Trap",IFERROR(INDEX('Shooter-Squad Assignment'!$A:$A,MATCH(C125&amp;"-"&amp;D125&amp;"-"&amp;E125&amp;"-Pos5",'Shooter-Squad Assignment'!$V:$V,0)),""),IF(E125="Sporting Clays",IFERROR(INDEX('Shooter-Squad Assignment'!$A:$A,MATCH(C125&amp;"-"&amp;D125&amp;"-"&amp;E125&amp;"-Pos5",'Shooter-Squad Assignment'!$Y:$Y,0)),""),"")))</f>
        <v/>
      </c>
      <c r="O125" s="80" t="str">
        <f>IF(ISBLANK(N125),"",IFERROR(INDEX('Tournament List'!$D:$D,MATCH(N125,'Tournament List'!$A:$A,0)),""))</f>
        <v/>
      </c>
    </row>
    <row r="126" spans="1:15" x14ac:dyDescent="0.3">
      <c r="A126" s="79">
        <v>134</v>
      </c>
      <c r="B126" s="73" t="str">
        <f t="shared" si="1"/>
        <v>Wiggins Tigers Sporting Club-Varsity 2-Skeet</v>
      </c>
      <c r="C126" s="73" t="s">
        <v>321</v>
      </c>
      <c r="D126" s="73" t="s">
        <v>348</v>
      </c>
      <c r="E126" s="73" t="s">
        <v>143</v>
      </c>
      <c r="F126" s="98" t="str">
        <f>IF(E126="Skeet",IFERROR(INDEX('Shooter-Squad Assignment'!$A:$A,MATCH(C126&amp;"-"&amp;D126&amp;"-"&amp;E126&amp;"-Pos1",'Shooter-Squad Assignment'!#REF!,0)),""),IF(E126="Trap",IFERROR(INDEX('Shooter-Squad Assignment'!$A:$A,MATCH(C126&amp;"-"&amp;D126&amp;"-"&amp;E126&amp;"-Pos1",'Shooter-Squad Assignment'!$V:$V,0)),""),IF(E126="Sporting Clays",IFERROR(INDEX('Shooter-Squad Assignment'!$A:$A,MATCH(C126&amp;"-"&amp;D126&amp;"-"&amp;E126&amp;"-Pos1",'Shooter-Squad Assignment'!$Y:$Y,0)),""),"")))</f>
        <v/>
      </c>
      <c r="G126" s="73" t="str">
        <f>IF(ISBLANK(F126),"",IFERROR(INDEX('Tournament List'!$D:$D,MATCH(F126,'Tournament List'!$A:$A,0)),""))</f>
        <v/>
      </c>
      <c r="H126" s="98" t="str">
        <f>IF(E126="Skeet",IFERROR(INDEX('Shooter-Squad Assignment'!$A:$A,MATCH(C126&amp;"-"&amp;D126&amp;"-"&amp;E126&amp;"-Pos2",'Shooter-Squad Assignment'!#REF!,0)),""),IF(E126="Trap",IFERROR(INDEX('Shooter-Squad Assignment'!$A:$A,MATCH(C126&amp;"-"&amp;D126&amp;"-"&amp;E126&amp;"-Pos2",'Shooter-Squad Assignment'!$V:$V,0)),""),IF(E126="Sporting Clays",IFERROR(INDEX('Shooter-Squad Assignment'!$A:$A,MATCH(C126&amp;"-"&amp;D126&amp;"-"&amp;E126&amp;"-Pos2",'Shooter-Squad Assignment'!$Y:$Y,0)),""),"")))</f>
        <v/>
      </c>
      <c r="I126" s="73" t="str">
        <f>IF(ISBLANK(H126),"",IFERROR(INDEX('Tournament List'!$D:$D,MATCH(H126,'Tournament List'!$A:$A,0)),""))</f>
        <v/>
      </c>
      <c r="J126" s="98" t="str">
        <f>IF(E126="Skeet",IFERROR(INDEX('Shooter-Squad Assignment'!$A:$A,MATCH(C126&amp;"-"&amp;D126&amp;"-"&amp;E126&amp;"-Pos3",'Shooter-Squad Assignment'!#REF!,0)),""),IF(E126="Trap",IFERROR(INDEX('Shooter-Squad Assignment'!$A:$A,MATCH(C126&amp;"-"&amp;D126&amp;"-"&amp;E126&amp;"-Pos3",'Shooter-Squad Assignment'!$V:$V,0)),""),IF(E126="Sporting Clays",IFERROR(INDEX('Shooter-Squad Assignment'!$A:$A,MATCH(C126&amp;"-"&amp;D126&amp;"-"&amp;E126&amp;"-Pos3",'Shooter-Squad Assignment'!$Y:$Y,0)),""),"")))</f>
        <v/>
      </c>
      <c r="K126" s="73" t="str">
        <f>IF(ISBLANK(J126),"",IFERROR(INDEX('Tournament List'!$D:$D,MATCH(J126,'Tournament List'!$A:$A,0)),""))</f>
        <v/>
      </c>
      <c r="L126" s="98" t="str">
        <f>IF(E126="Skeet",IFERROR(INDEX('Shooter-Squad Assignment'!$A:$A,MATCH(C126&amp;"-"&amp;D126&amp;"-"&amp;E126&amp;"-Pos4",'Shooter-Squad Assignment'!#REF!,0)),""),IF(E126="Trap",IFERROR(INDEX('Shooter-Squad Assignment'!$A:$A,MATCH(C126&amp;"-"&amp;D126&amp;"-"&amp;E126&amp;"-Pos4",'Shooter-Squad Assignment'!$V:$V,0)),""),IF(E126="Sporting Clays",IFERROR(INDEX('Shooter-Squad Assignment'!$A:$A,MATCH(C126&amp;"-"&amp;D126&amp;"-"&amp;E126&amp;"-Pos4",'Shooter-Squad Assignment'!$Y:$Y,0)),""),"")))</f>
        <v/>
      </c>
      <c r="M126" s="73" t="str">
        <f>IF(ISBLANK(L126),"",IFERROR(INDEX('Tournament List'!$D:$D,MATCH(L126,'Tournament List'!$A:$A,0)),""))</f>
        <v/>
      </c>
      <c r="N126" s="98" t="str">
        <f>IF(E126="Skeet",IFERROR(INDEX('Shooter-Squad Assignment'!$A:$A,MATCH(C126&amp;"-"&amp;D126&amp;"-"&amp;E126&amp;"-Pos5",'Shooter-Squad Assignment'!#REF!,0)),""),IF(E126="Trap",IFERROR(INDEX('Shooter-Squad Assignment'!$A:$A,MATCH(C126&amp;"-"&amp;D126&amp;"-"&amp;E126&amp;"-Pos5",'Shooter-Squad Assignment'!$V:$V,0)),""),IF(E126="Sporting Clays",IFERROR(INDEX('Shooter-Squad Assignment'!$A:$A,MATCH(C126&amp;"-"&amp;D126&amp;"-"&amp;E126&amp;"-Pos5",'Shooter-Squad Assignment'!$Y:$Y,0)),""),"")))</f>
        <v/>
      </c>
      <c r="O126" s="80" t="str">
        <f>IF(ISBLANK(N126),"",IFERROR(INDEX('Tournament List'!$D:$D,MATCH(N126,'Tournament List'!$A:$A,0)),""))</f>
        <v/>
      </c>
    </row>
    <row r="127" spans="1:15" x14ac:dyDescent="0.3">
      <c r="A127" s="79">
        <v>135</v>
      </c>
      <c r="B127" s="73" t="str">
        <f t="shared" si="1"/>
        <v>Wiggins Tigers Sporting Club-Varsity 3-Skeet</v>
      </c>
      <c r="C127" s="73" t="s">
        <v>321</v>
      </c>
      <c r="D127" s="73" t="s">
        <v>354</v>
      </c>
      <c r="E127" s="73" t="s">
        <v>143</v>
      </c>
      <c r="F127" s="98" t="str">
        <f>IF(E127="Skeet",IFERROR(INDEX('Shooter-Squad Assignment'!$A:$A,MATCH(C127&amp;"-"&amp;D127&amp;"-"&amp;E127&amp;"-Pos1",'Shooter-Squad Assignment'!#REF!,0)),""),IF(E127="Trap",IFERROR(INDEX('Shooter-Squad Assignment'!$A:$A,MATCH(C127&amp;"-"&amp;D127&amp;"-"&amp;E127&amp;"-Pos1",'Shooter-Squad Assignment'!$V:$V,0)),""),IF(E127="Sporting Clays",IFERROR(INDEX('Shooter-Squad Assignment'!$A:$A,MATCH(C127&amp;"-"&amp;D127&amp;"-"&amp;E127&amp;"-Pos1",'Shooter-Squad Assignment'!$Y:$Y,0)),""),"")))</f>
        <v/>
      </c>
      <c r="G127" s="73" t="str">
        <f>IF(ISBLANK(F127),"",IFERROR(INDEX('Tournament List'!$D:$D,MATCH(F127,'Tournament List'!$A:$A,0)),""))</f>
        <v/>
      </c>
      <c r="H127" s="98" t="str">
        <f>IF(E127="Skeet",IFERROR(INDEX('Shooter-Squad Assignment'!$A:$A,MATCH(C127&amp;"-"&amp;D127&amp;"-"&amp;E127&amp;"-Pos2",'Shooter-Squad Assignment'!#REF!,0)),""),IF(E127="Trap",IFERROR(INDEX('Shooter-Squad Assignment'!$A:$A,MATCH(C127&amp;"-"&amp;D127&amp;"-"&amp;E127&amp;"-Pos2",'Shooter-Squad Assignment'!$V:$V,0)),""),IF(E127="Sporting Clays",IFERROR(INDEX('Shooter-Squad Assignment'!$A:$A,MATCH(C127&amp;"-"&amp;D127&amp;"-"&amp;E127&amp;"-Pos2",'Shooter-Squad Assignment'!$Y:$Y,0)),""),"")))</f>
        <v/>
      </c>
      <c r="I127" s="73" t="str">
        <f>IF(ISBLANK(H127),"",IFERROR(INDEX('Tournament List'!$D:$D,MATCH(H127,'Tournament List'!$A:$A,0)),""))</f>
        <v/>
      </c>
      <c r="J127" s="98" t="str">
        <f>IF(E127="Skeet",IFERROR(INDEX('Shooter-Squad Assignment'!$A:$A,MATCH(C127&amp;"-"&amp;D127&amp;"-"&amp;E127&amp;"-Pos3",'Shooter-Squad Assignment'!#REF!,0)),""),IF(E127="Trap",IFERROR(INDEX('Shooter-Squad Assignment'!$A:$A,MATCH(C127&amp;"-"&amp;D127&amp;"-"&amp;E127&amp;"-Pos3",'Shooter-Squad Assignment'!$V:$V,0)),""),IF(E127="Sporting Clays",IFERROR(INDEX('Shooter-Squad Assignment'!$A:$A,MATCH(C127&amp;"-"&amp;D127&amp;"-"&amp;E127&amp;"-Pos3",'Shooter-Squad Assignment'!$Y:$Y,0)),""),"")))</f>
        <v/>
      </c>
      <c r="K127" s="73" t="str">
        <f>IF(ISBLANK(J127),"",IFERROR(INDEX('Tournament List'!$D:$D,MATCH(J127,'Tournament List'!$A:$A,0)),""))</f>
        <v/>
      </c>
      <c r="L127" s="98" t="str">
        <f>IF(E127="Skeet",IFERROR(INDEX('Shooter-Squad Assignment'!$A:$A,MATCH(C127&amp;"-"&amp;D127&amp;"-"&amp;E127&amp;"-Pos4",'Shooter-Squad Assignment'!#REF!,0)),""),IF(E127="Trap",IFERROR(INDEX('Shooter-Squad Assignment'!$A:$A,MATCH(C127&amp;"-"&amp;D127&amp;"-"&amp;E127&amp;"-Pos4",'Shooter-Squad Assignment'!$V:$V,0)),""),IF(E127="Sporting Clays",IFERROR(INDEX('Shooter-Squad Assignment'!$A:$A,MATCH(C127&amp;"-"&amp;D127&amp;"-"&amp;E127&amp;"-Pos4",'Shooter-Squad Assignment'!$Y:$Y,0)),""),"")))</f>
        <v/>
      </c>
      <c r="M127" s="73" t="str">
        <f>IF(ISBLANK(L127),"",IFERROR(INDEX('Tournament List'!$D:$D,MATCH(L127,'Tournament List'!$A:$A,0)),""))</f>
        <v/>
      </c>
      <c r="N127" s="98" t="str">
        <f>IF(E127="Skeet",IFERROR(INDEX('Shooter-Squad Assignment'!$A:$A,MATCH(C127&amp;"-"&amp;D127&amp;"-"&amp;E127&amp;"-Pos5",'Shooter-Squad Assignment'!#REF!,0)),""),IF(E127="Trap",IFERROR(INDEX('Shooter-Squad Assignment'!$A:$A,MATCH(C127&amp;"-"&amp;D127&amp;"-"&amp;E127&amp;"-Pos5",'Shooter-Squad Assignment'!$V:$V,0)),""),IF(E127="Sporting Clays",IFERROR(INDEX('Shooter-Squad Assignment'!$A:$A,MATCH(C127&amp;"-"&amp;D127&amp;"-"&amp;E127&amp;"-Pos5",'Shooter-Squad Assignment'!$Y:$Y,0)),""),"")))</f>
        <v/>
      </c>
      <c r="O127" s="80" t="str">
        <f>IF(ISBLANK(N127),"",IFERROR(INDEX('Tournament List'!$D:$D,MATCH(N127,'Tournament List'!$A:$A,0)),""))</f>
        <v/>
      </c>
    </row>
    <row r="128" spans="1:15" x14ac:dyDescent="0.3">
      <c r="A128" s="79">
        <v>136</v>
      </c>
      <c r="B128" s="73" t="str">
        <f t="shared" si="1"/>
        <v>Wiggins Tigers Sporting Club-Collegiate 1-Trap</v>
      </c>
      <c r="C128" s="73" t="s">
        <v>321</v>
      </c>
      <c r="D128" s="73" t="s">
        <v>344</v>
      </c>
      <c r="E128" s="73" t="s">
        <v>147</v>
      </c>
      <c r="F128" s="98" t="str">
        <f>IF(E128="Skeet",IFERROR(INDEX('Shooter-Squad Assignment'!$A:$A,MATCH(C128&amp;"-"&amp;D128&amp;"-"&amp;E128&amp;"-Pos1",'Shooter-Squad Assignment'!#REF!,0)),""),IF(E128="Trap",IFERROR(INDEX('Shooter-Squad Assignment'!$A:$A,MATCH(C128&amp;"-"&amp;D128&amp;"-"&amp;E128&amp;"-Pos1",'Shooter-Squad Assignment'!$V:$V,0)),""),IF(E128="Sporting Clays",IFERROR(INDEX('Shooter-Squad Assignment'!$A:$A,MATCH(C128&amp;"-"&amp;D128&amp;"-"&amp;E128&amp;"-Pos1",'Shooter-Squad Assignment'!$Y:$Y,0)),""),"")))</f>
        <v/>
      </c>
      <c r="G128" s="73" t="str">
        <f>IF(ISBLANK(F128),"",IFERROR(INDEX('Tournament List'!$D:$D,MATCH(F128,'Tournament List'!$A:$A,0)),""))</f>
        <v/>
      </c>
      <c r="H128" s="98" t="str">
        <f>IF(E128="Skeet",IFERROR(INDEX('Shooter-Squad Assignment'!$A:$A,MATCH(C128&amp;"-"&amp;D128&amp;"-"&amp;E128&amp;"-Pos2",'Shooter-Squad Assignment'!#REF!,0)),""),IF(E128="Trap",IFERROR(INDEX('Shooter-Squad Assignment'!$A:$A,MATCH(C128&amp;"-"&amp;D128&amp;"-"&amp;E128&amp;"-Pos2",'Shooter-Squad Assignment'!$V:$V,0)),""),IF(E128="Sporting Clays",IFERROR(INDEX('Shooter-Squad Assignment'!$A:$A,MATCH(C128&amp;"-"&amp;D128&amp;"-"&amp;E128&amp;"-Pos2",'Shooter-Squad Assignment'!$Y:$Y,0)),""),"")))</f>
        <v/>
      </c>
      <c r="I128" s="73" t="str">
        <f>IF(ISBLANK(H128),"",IFERROR(INDEX('Tournament List'!$D:$D,MATCH(H128,'Tournament List'!$A:$A,0)),""))</f>
        <v/>
      </c>
      <c r="J128" s="98" t="str">
        <f>IF(E128="Skeet",IFERROR(INDEX('Shooter-Squad Assignment'!$A:$A,MATCH(C128&amp;"-"&amp;D128&amp;"-"&amp;E128&amp;"-Pos3",'Shooter-Squad Assignment'!#REF!,0)),""),IF(E128="Trap",IFERROR(INDEX('Shooter-Squad Assignment'!$A:$A,MATCH(C128&amp;"-"&amp;D128&amp;"-"&amp;E128&amp;"-Pos3",'Shooter-Squad Assignment'!$V:$V,0)),""),IF(E128="Sporting Clays",IFERROR(INDEX('Shooter-Squad Assignment'!$A:$A,MATCH(C128&amp;"-"&amp;D128&amp;"-"&amp;E128&amp;"-Pos3",'Shooter-Squad Assignment'!$Y:$Y,0)),""),"")))</f>
        <v/>
      </c>
      <c r="K128" s="73" t="str">
        <f>IF(ISBLANK(J128),"",IFERROR(INDEX('Tournament List'!$D:$D,MATCH(J128,'Tournament List'!$A:$A,0)),""))</f>
        <v/>
      </c>
      <c r="L128" s="98" t="str">
        <f>IF(E128="Skeet",IFERROR(INDEX('Shooter-Squad Assignment'!$A:$A,MATCH(C128&amp;"-"&amp;D128&amp;"-"&amp;E128&amp;"-Pos4",'Shooter-Squad Assignment'!#REF!,0)),""),IF(E128="Trap",IFERROR(INDEX('Shooter-Squad Assignment'!$A:$A,MATCH(C128&amp;"-"&amp;D128&amp;"-"&amp;E128&amp;"-Pos4",'Shooter-Squad Assignment'!$V:$V,0)),""),IF(E128="Sporting Clays",IFERROR(INDEX('Shooter-Squad Assignment'!$A:$A,MATCH(C128&amp;"-"&amp;D128&amp;"-"&amp;E128&amp;"-Pos4",'Shooter-Squad Assignment'!$Y:$Y,0)),""),"")))</f>
        <v/>
      </c>
      <c r="M128" s="73" t="str">
        <f>IF(ISBLANK(L128),"",IFERROR(INDEX('Tournament List'!$D:$D,MATCH(L128,'Tournament List'!$A:$A,0)),""))</f>
        <v/>
      </c>
      <c r="N128" s="98" t="str">
        <f>IF(E128="Skeet",IFERROR(INDEX('Shooter-Squad Assignment'!$A:$A,MATCH(C128&amp;"-"&amp;D128&amp;"-"&amp;E128&amp;"-Pos5",'Shooter-Squad Assignment'!#REF!,0)),""),IF(E128="Trap",IFERROR(INDEX('Shooter-Squad Assignment'!$A:$A,MATCH(C128&amp;"-"&amp;D128&amp;"-"&amp;E128&amp;"-Pos5",'Shooter-Squad Assignment'!$V:$V,0)),""),IF(E128="Sporting Clays",IFERROR(INDEX('Shooter-Squad Assignment'!$A:$A,MATCH(C128&amp;"-"&amp;D128&amp;"-"&amp;E128&amp;"-Pos5",'Shooter-Squad Assignment'!$Y:$Y,0)),""),"")))</f>
        <v/>
      </c>
      <c r="O128" s="80" t="str">
        <f>IF(ISBLANK(N128),"",IFERROR(INDEX('Tournament List'!$D:$D,MATCH(N128,'Tournament List'!$A:$A,0)),""))</f>
        <v/>
      </c>
    </row>
    <row r="129" spans="1:15" x14ac:dyDescent="0.3">
      <c r="A129" s="79">
        <v>137</v>
      </c>
      <c r="B129" s="73" t="str">
        <f t="shared" si="1"/>
        <v>Wiggins Tigers Sporting Club-Collegiate 2-Trap</v>
      </c>
      <c r="C129" s="73" t="s">
        <v>321</v>
      </c>
      <c r="D129" s="73" t="s">
        <v>350</v>
      </c>
      <c r="E129" s="73" t="s">
        <v>147</v>
      </c>
      <c r="F129" s="98" t="str">
        <f>IF(E129="Skeet",IFERROR(INDEX('Shooter-Squad Assignment'!$A:$A,MATCH(C129&amp;"-"&amp;D129&amp;"-"&amp;E129&amp;"-Pos1",'Shooter-Squad Assignment'!#REF!,0)),""),IF(E129="Trap",IFERROR(INDEX('Shooter-Squad Assignment'!$A:$A,MATCH(C129&amp;"-"&amp;D129&amp;"-"&amp;E129&amp;"-Pos1",'Shooter-Squad Assignment'!$V:$V,0)),""),IF(E129="Sporting Clays",IFERROR(INDEX('Shooter-Squad Assignment'!$A:$A,MATCH(C129&amp;"-"&amp;D129&amp;"-"&amp;E129&amp;"-Pos1",'Shooter-Squad Assignment'!$Y:$Y,0)),""),"")))</f>
        <v/>
      </c>
      <c r="G129" s="73" t="str">
        <f>IF(ISBLANK(F129),"",IFERROR(INDEX('Tournament List'!$D:$D,MATCH(F129,'Tournament List'!$A:$A,0)),""))</f>
        <v/>
      </c>
      <c r="H129" s="98" t="str">
        <f>IF(E129="Skeet",IFERROR(INDEX('Shooter-Squad Assignment'!$A:$A,MATCH(C129&amp;"-"&amp;D129&amp;"-"&amp;E129&amp;"-Pos2",'Shooter-Squad Assignment'!#REF!,0)),""),IF(E129="Trap",IFERROR(INDEX('Shooter-Squad Assignment'!$A:$A,MATCH(C129&amp;"-"&amp;D129&amp;"-"&amp;E129&amp;"-Pos2",'Shooter-Squad Assignment'!$V:$V,0)),""),IF(E129="Sporting Clays",IFERROR(INDEX('Shooter-Squad Assignment'!$A:$A,MATCH(C129&amp;"-"&amp;D129&amp;"-"&amp;E129&amp;"-Pos2",'Shooter-Squad Assignment'!$Y:$Y,0)),""),"")))</f>
        <v/>
      </c>
      <c r="I129" s="73" t="str">
        <f>IF(ISBLANK(H129),"",IFERROR(INDEX('Tournament List'!$D:$D,MATCH(H129,'Tournament List'!$A:$A,0)),""))</f>
        <v/>
      </c>
      <c r="J129" s="98" t="str">
        <f>IF(E129="Skeet",IFERROR(INDEX('Shooter-Squad Assignment'!$A:$A,MATCH(C129&amp;"-"&amp;D129&amp;"-"&amp;E129&amp;"-Pos3",'Shooter-Squad Assignment'!#REF!,0)),""),IF(E129="Trap",IFERROR(INDEX('Shooter-Squad Assignment'!$A:$A,MATCH(C129&amp;"-"&amp;D129&amp;"-"&amp;E129&amp;"-Pos3",'Shooter-Squad Assignment'!$V:$V,0)),""),IF(E129="Sporting Clays",IFERROR(INDEX('Shooter-Squad Assignment'!$A:$A,MATCH(C129&amp;"-"&amp;D129&amp;"-"&amp;E129&amp;"-Pos3",'Shooter-Squad Assignment'!$Y:$Y,0)),""),"")))</f>
        <v/>
      </c>
      <c r="K129" s="73" t="str">
        <f>IF(ISBLANK(J129),"",IFERROR(INDEX('Tournament List'!$D:$D,MATCH(J129,'Tournament List'!$A:$A,0)),""))</f>
        <v/>
      </c>
      <c r="L129" s="98" t="str">
        <f>IF(E129="Skeet",IFERROR(INDEX('Shooter-Squad Assignment'!$A:$A,MATCH(C129&amp;"-"&amp;D129&amp;"-"&amp;E129&amp;"-Pos4",'Shooter-Squad Assignment'!#REF!,0)),""),IF(E129="Trap",IFERROR(INDEX('Shooter-Squad Assignment'!$A:$A,MATCH(C129&amp;"-"&amp;D129&amp;"-"&amp;E129&amp;"-Pos4",'Shooter-Squad Assignment'!$V:$V,0)),""),IF(E129="Sporting Clays",IFERROR(INDEX('Shooter-Squad Assignment'!$A:$A,MATCH(C129&amp;"-"&amp;D129&amp;"-"&amp;E129&amp;"-Pos4",'Shooter-Squad Assignment'!$Y:$Y,0)),""),"")))</f>
        <v/>
      </c>
      <c r="M129" s="73" t="str">
        <f>IF(ISBLANK(L129),"",IFERROR(INDEX('Tournament List'!$D:$D,MATCH(L129,'Tournament List'!$A:$A,0)),""))</f>
        <v/>
      </c>
      <c r="N129" s="98" t="str">
        <f>IF(E129="Skeet",IFERROR(INDEX('Shooter-Squad Assignment'!$A:$A,MATCH(C129&amp;"-"&amp;D129&amp;"-"&amp;E129&amp;"-Pos5",'Shooter-Squad Assignment'!#REF!,0)),""),IF(E129="Trap",IFERROR(INDEX('Shooter-Squad Assignment'!$A:$A,MATCH(C129&amp;"-"&amp;D129&amp;"-"&amp;E129&amp;"-Pos5",'Shooter-Squad Assignment'!$V:$V,0)),""),IF(E129="Sporting Clays",IFERROR(INDEX('Shooter-Squad Assignment'!$A:$A,MATCH(C129&amp;"-"&amp;D129&amp;"-"&amp;E129&amp;"-Pos5",'Shooter-Squad Assignment'!$Y:$Y,0)),""),"")))</f>
        <v/>
      </c>
      <c r="O129" s="80" t="str">
        <f>IF(ISBLANK(N129),"",IFERROR(INDEX('Tournament List'!$D:$D,MATCH(N129,'Tournament List'!$A:$A,0)),""))</f>
        <v/>
      </c>
    </row>
    <row r="130" spans="1:15" x14ac:dyDescent="0.3">
      <c r="A130" s="79">
        <v>138</v>
      </c>
      <c r="B130" s="73" t="str">
        <f t="shared" si="1"/>
        <v>Wiggins Tigers Sporting Club-Collegiate 3-Trap</v>
      </c>
      <c r="C130" s="73" t="s">
        <v>321</v>
      </c>
      <c r="D130" s="73" t="s">
        <v>356</v>
      </c>
      <c r="E130" s="73" t="s">
        <v>147</v>
      </c>
      <c r="F130" s="98" t="str">
        <f>IF(E130="Skeet",IFERROR(INDEX('Shooter-Squad Assignment'!$A:$A,MATCH(C130&amp;"-"&amp;D130&amp;"-"&amp;E130&amp;"-Pos1",'Shooter-Squad Assignment'!#REF!,0)),""),IF(E130="Trap",IFERROR(INDEX('Shooter-Squad Assignment'!$A:$A,MATCH(C130&amp;"-"&amp;D130&amp;"-"&amp;E130&amp;"-Pos1",'Shooter-Squad Assignment'!$V:$V,0)),""),IF(E130="Sporting Clays",IFERROR(INDEX('Shooter-Squad Assignment'!$A:$A,MATCH(C130&amp;"-"&amp;D130&amp;"-"&amp;E130&amp;"-Pos1",'Shooter-Squad Assignment'!$Y:$Y,0)),""),"")))</f>
        <v/>
      </c>
      <c r="G130" s="73" t="str">
        <f>IF(ISBLANK(F130),"",IFERROR(INDEX('Tournament List'!$D:$D,MATCH(F130,'Tournament List'!$A:$A,0)),""))</f>
        <v/>
      </c>
      <c r="H130" s="98" t="str">
        <f>IF(E130="Skeet",IFERROR(INDEX('Shooter-Squad Assignment'!$A:$A,MATCH(C130&amp;"-"&amp;D130&amp;"-"&amp;E130&amp;"-Pos2",'Shooter-Squad Assignment'!#REF!,0)),""),IF(E130="Trap",IFERROR(INDEX('Shooter-Squad Assignment'!$A:$A,MATCH(C130&amp;"-"&amp;D130&amp;"-"&amp;E130&amp;"-Pos2",'Shooter-Squad Assignment'!$V:$V,0)),""),IF(E130="Sporting Clays",IFERROR(INDEX('Shooter-Squad Assignment'!$A:$A,MATCH(C130&amp;"-"&amp;D130&amp;"-"&amp;E130&amp;"-Pos2",'Shooter-Squad Assignment'!$Y:$Y,0)),""),"")))</f>
        <v/>
      </c>
      <c r="I130" s="73" t="str">
        <f>IF(ISBLANK(H130),"",IFERROR(INDEX('Tournament List'!$D:$D,MATCH(H130,'Tournament List'!$A:$A,0)),""))</f>
        <v/>
      </c>
      <c r="J130" s="98" t="str">
        <f>IF(E130="Skeet",IFERROR(INDEX('Shooter-Squad Assignment'!$A:$A,MATCH(C130&amp;"-"&amp;D130&amp;"-"&amp;E130&amp;"-Pos3",'Shooter-Squad Assignment'!#REF!,0)),""),IF(E130="Trap",IFERROR(INDEX('Shooter-Squad Assignment'!$A:$A,MATCH(C130&amp;"-"&amp;D130&amp;"-"&amp;E130&amp;"-Pos3",'Shooter-Squad Assignment'!$V:$V,0)),""),IF(E130="Sporting Clays",IFERROR(INDEX('Shooter-Squad Assignment'!$A:$A,MATCH(C130&amp;"-"&amp;D130&amp;"-"&amp;E130&amp;"-Pos3",'Shooter-Squad Assignment'!$Y:$Y,0)),""),"")))</f>
        <v/>
      </c>
      <c r="K130" s="73" t="str">
        <f>IF(ISBLANK(J130),"",IFERROR(INDEX('Tournament List'!$D:$D,MATCH(J130,'Tournament List'!$A:$A,0)),""))</f>
        <v/>
      </c>
      <c r="L130" s="98" t="str">
        <f>IF(E130="Skeet",IFERROR(INDEX('Shooter-Squad Assignment'!$A:$A,MATCH(C130&amp;"-"&amp;D130&amp;"-"&amp;E130&amp;"-Pos4",'Shooter-Squad Assignment'!#REF!,0)),""),IF(E130="Trap",IFERROR(INDEX('Shooter-Squad Assignment'!$A:$A,MATCH(C130&amp;"-"&amp;D130&amp;"-"&amp;E130&amp;"-Pos4",'Shooter-Squad Assignment'!$V:$V,0)),""),IF(E130="Sporting Clays",IFERROR(INDEX('Shooter-Squad Assignment'!$A:$A,MATCH(C130&amp;"-"&amp;D130&amp;"-"&amp;E130&amp;"-Pos4",'Shooter-Squad Assignment'!$Y:$Y,0)),""),"")))</f>
        <v/>
      </c>
      <c r="M130" s="73" t="str">
        <f>IF(ISBLANK(L130),"",IFERROR(INDEX('Tournament List'!$D:$D,MATCH(L130,'Tournament List'!$A:$A,0)),""))</f>
        <v/>
      </c>
      <c r="N130" s="98" t="str">
        <f>IF(E130="Skeet",IFERROR(INDEX('Shooter-Squad Assignment'!$A:$A,MATCH(C130&amp;"-"&amp;D130&amp;"-"&amp;E130&amp;"-Pos5",'Shooter-Squad Assignment'!#REF!,0)),""),IF(E130="Trap",IFERROR(INDEX('Shooter-Squad Assignment'!$A:$A,MATCH(C130&amp;"-"&amp;D130&amp;"-"&amp;E130&amp;"-Pos5",'Shooter-Squad Assignment'!$V:$V,0)),""),IF(E130="Sporting Clays",IFERROR(INDEX('Shooter-Squad Assignment'!$A:$A,MATCH(C130&amp;"-"&amp;D130&amp;"-"&amp;E130&amp;"-Pos5",'Shooter-Squad Assignment'!$Y:$Y,0)),""),"")))</f>
        <v/>
      </c>
      <c r="O130" s="80" t="str">
        <f>IF(ISBLANK(N130),"",IFERROR(INDEX('Tournament List'!$D:$D,MATCH(N130,'Tournament List'!$A:$A,0)),""))</f>
        <v/>
      </c>
    </row>
    <row r="131" spans="1:15" x14ac:dyDescent="0.3">
      <c r="A131" s="79">
        <v>139</v>
      </c>
      <c r="B131" s="73" t="str">
        <f t="shared" ref="B131:B194" si="2">C131&amp;"-"&amp;D131&amp;"-"&amp;E131</f>
        <v>Wiggins Tigers Sporting Club-Intermediate 1-Trap</v>
      </c>
      <c r="C131" s="73" t="s">
        <v>321</v>
      </c>
      <c r="D131" s="73" t="s">
        <v>340</v>
      </c>
      <c r="E131" s="73" t="s">
        <v>147</v>
      </c>
      <c r="F131" s="98" t="str">
        <f>IF(E131="Skeet",IFERROR(INDEX('Shooter-Squad Assignment'!$A:$A,MATCH(C131&amp;"-"&amp;D131&amp;"-"&amp;E131&amp;"-Pos1",'Shooter-Squad Assignment'!#REF!,0)),""),IF(E131="Trap",IFERROR(INDEX('Shooter-Squad Assignment'!$A:$A,MATCH(C131&amp;"-"&amp;D131&amp;"-"&amp;E131&amp;"-Pos1",'Shooter-Squad Assignment'!$V:$V,0)),""),IF(E131="Sporting Clays",IFERROR(INDEX('Shooter-Squad Assignment'!$A:$A,MATCH(C131&amp;"-"&amp;D131&amp;"-"&amp;E131&amp;"-Pos1",'Shooter-Squad Assignment'!$Y:$Y,0)),""),"")))</f>
        <v/>
      </c>
      <c r="G131" s="73" t="str">
        <f>IF(ISBLANK(F131),"",IFERROR(INDEX('Tournament List'!$D:$D,MATCH(F131,'Tournament List'!$A:$A,0)),""))</f>
        <v/>
      </c>
      <c r="H131" s="98" t="str">
        <f>IF(E131="Skeet",IFERROR(INDEX('Shooter-Squad Assignment'!$A:$A,MATCH(C131&amp;"-"&amp;D131&amp;"-"&amp;E131&amp;"-Pos2",'Shooter-Squad Assignment'!#REF!,0)),""),IF(E131="Trap",IFERROR(INDEX('Shooter-Squad Assignment'!$A:$A,MATCH(C131&amp;"-"&amp;D131&amp;"-"&amp;E131&amp;"-Pos2",'Shooter-Squad Assignment'!$V:$V,0)),""),IF(E131="Sporting Clays",IFERROR(INDEX('Shooter-Squad Assignment'!$A:$A,MATCH(C131&amp;"-"&amp;D131&amp;"-"&amp;E131&amp;"-Pos2",'Shooter-Squad Assignment'!$Y:$Y,0)),""),"")))</f>
        <v/>
      </c>
      <c r="I131" s="73" t="str">
        <f>IF(ISBLANK(H131),"",IFERROR(INDEX('Tournament List'!$D:$D,MATCH(H131,'Tournament List'!$A:$A,0)),""))</f>
        <v/>
      </c>
      <c r="J131" s="98" t="str">
        <f>IF(E131="Skeet",IFERROR(INDEX('Shooter-Squad Assignment'!$A:$A,MATCH(C131&amp;"-"&amp;D131&amp;"-"&amp;E131&amp;"-Pos3",'Shooter-Squad Assignment'!#REF!,0)),""),IF(E131="Trap",IFERROR(INDEX('Shooter-Squad Assignment'!$A:$A,MATCH(C131&amp;"-"&amp;D131&amp;"-"&amp;E131&amp;"-Pos3",'Shooter-Squad Assignment'!$V:$V,0)),""),IF(E131="Sporting Clays",IFERROR(INDEX('Shooter-Squad Assignment'!$A:$A,MATCH(C131&amp;"-"&amp;D131&amp;"-"&amp;E131&amp;"-Pos3",'Shooter-Squad Assignment'!$Y:$Y,0)),""),"")))</f>
        <v/>
      </c>
      <c r="K131" s="73" t="str">
        <f>IF(ISBLANK(J131),"",IFERROR(INDEX('Tournament List'!$D:$D,MATCH(J131,'Tournament List'!$A:$A,0)),""))</f>
        <v/>
      </c>
      <c r="L131" s="98" t="str">
        <f>IF(E131="Skeet",IFERROR(INDEX('Shooter-Squad Assignment'!$A:$A,MATCH(C131&amp;"-"&amp;D131&amp;"-"&amp;E131&amp;"-Pos4",'Shooter-Squad Assignment'!#REF!,0)),""),IF(E131="Trap",IFERROR(INDEX('Shooter-Squad Assignment'!$A:$A,MATCH(C131&amp;"-"&amp;D131&amp;"-"&amp;E131&amp;"-Pos4",'Shooter-Squad Assignment'!$V:$V,0)),""),IF(E131="Sporting Clays",IFERROR(INDEX('Shooter-Squad Assignment'!$A:$A,MATCH(C131&amp;"-"&amp;D131&amp;"-"&amp;E131&amp;"-Pos4",'Shooter-Squad Assignment'!$Y:$Y,0)),""),"")))</f>
        <v/>
      </c>
      <c r="M131" s="73" t="str">
        <f>IF(ISBLANK(L131),"",IFERROR(INDEX('Tournament List'!$D:$D,MATCH(L131,'Tournament List'!$A:$A,0)),""))</f>
        <v/>
      </c>
      <c r="N131" s="98" t="str">
        <f>IF(E131="Skeet",IFERROR(INDEX('Shooter-Squad Assignment'!$A:$A,MATCH(C131&amp;"-"&amp;D131&amp;"-"&amp;E131&amp;"-Pos5",'Shooter-Squad Assignment'!#REF!,0)),""),IF(E131="Trap",IFERROR(INDEX('Shooter-Squad Assignment'!$A:$A,MATCH(C131&amp;"-"&amp;D131&amp;"-"&amp;E131&amp;"-Pos5",'Shooter-Squad Assignment'!$V:$V,0)),""),IF(E131="Sporting Clays",IFERROR(INDEX('Shooter-Squad Assignment'!$A:$A,MATCH(C131&amp;"-"&amp;D131&amp;"-"&amp;E131&amp;"-Pos5",'Shooter-Squad Assignment'!$Y:$Y,0)),""),"")))</f>
        <v/>
      </c>
      <c r="O131" s="80" t="str">
        <f>IF(ISBLANK(N131),"",IFERROR(INDEX('Tournament List'!$D:$D,MATCH(N131,'Tournament List'!$A:$A,0)),""))</f>
        <v/>
      </c>
    </row>
    <row r="132" spans="1:15" x14ac:dyDescent="0.3">
      <c r="A132" s="79">
        <v>140</v>
      </c>
      <c r="B132" s="73" t="str">
        <f t="shared" si="2"/>
        <v>Wiggins Tigers Sporting Club-Intermediate 2-Trap</v>
      </c>
      <c r="C132" s="73" t="s">
        <v>321</v>
      </c>
      <c r="D132" s="73" t="s">
        <v>346</v>
      </c>
      <c r="E132" s="73" t="s">
        <v>147</v>
      </c>
      <c r="F132" s="98" t="str">
        <f>IF(E132="Skeet",IFERROR(INDEX('Shooter-Squad Assignment'!$A:$A,MATCH(C132&amp;"-"&amp;D132&amp;"-"&amp;E132&amp;"-Pos1",'Shooter-Squad Assignment'!#REF!,0)),""),IF(E132="Trap",IFERROR(INDEX('Shooter-Squad Assignment'!$A:$A,MATCH(C132&amp;"-"&amp;D132&amp;"-"&amp;E132&amp;"-Pos1",'Shooter-Squad Assignment'!$V:$V,0)),""),IF(E132="Sporting Clays",IFERROR(INDEX('Shooter-Squad Assignment'!$A:$A,MATCH(C132&amp;"-"&amp;D132&amp;"-"&amp;E132&amp;"-Pos1",'Shooter-Squad Assignment'!$Y:$Y,0)),""),"")))</f>
        <v/>
      </c>
      <c r="G132" s="73" t="str">
        <f>IF(ISBLANK(F132),"",IFERROR(INDEX('Tournament List'!$D:$D,MATCH(F132,'Tournament List'!$A:$A,0)),""))</f>
        <v/>
      </c>
      <c r="H132" s="98" t="str">
        <f>IF(E132="Skeet",IFERROR(INDEX('Shooter-Squad Assignment'!$A:$A,MATCH(C132&amp;"-"&amp;D132&amp;"-"&amp;E132&amp;"-Pos2",'Shooter-Squad Assignment'!#REF!,0)),""),IF(E132="Trap",IFERROR(INDEX('Shooter-Squad Assignment'!$A:$A,MATCH(C132&amp;"-"&amp;D132&amp;"-"&amp;E132&amp;"-Pos2",'Shooter-Squad Assignment'!$V:$V,0)),""),IF(E132="Sporting Clays",IFERROR(INDEX('Shooter-Squad Assignment'!$A:$A,MATCH(C132&amp;"-"&amp;D132&amp;"-"&amp;E132&amp;"-Pos2",'Shooter-Squad Assignment'!$Y:$Y,0)),""),"")))</f>
        <v/>
      </c>
      <c r="I132" s="73" t="str">
        <f>IF(ISBLANK(H132),"",IFERROR(INDEX('Tournament List'!$D:$D,MATCH(H132,'Tournament List'!$A:$A,0)),""))</f>
        <v/>
      </c>
      <c r="J132" s="98" t="str">
        <f>IF(E132="Skeet",IFERROR(INDEX('Shooter-Squad Assignment'!$A:$A,MATCH(C132&amp;"-"&amp;D132&amp;"-"&amp;E132&amp;"-Pos3",'Shooter-Squad Assignment'!#REF!,0)),""),IF(E132="Trap",IFERROR(INDEX('Shooter-Squad Assignment'!$A:$A,MATCH(C132&amp;"-"&amp;D132&amp;"-"&amp;E132&amp;"-Pos3",'Shooter-Squad Assignment'!$V:$V,0)),""),IF(E132="Sporting Clays",IFERROR(INDEX('Shooter-Squad Assignment'!$A:$A,MATCH(C132&amp;"-"&amp;D132&amp;"-"&amp;E132&amp;"-Pos3",'Shooter-Squad Assignment'!$Y:$Y,0)),""),"")))</f>
        <v/>
      </c>
      <c r="K132" s="73" t="str">
        <f>IF(ISBLANK(J132),"",IFERROR(INDEX('Tournament List'!$D:$D,MATCH(J132,'Tournament List'!$A:$A,0)),""))</f>
        <v/>
      </c>
      <c r="L132" s="98" t="str">
        <f>IF(E132="Skeet",IFERROR(INDEX('Shooter-Squad Assignment'!$A:$A,MATCH(C132&amp;"-"&amp;D132&amp;"-"&amp;E132&amp;"-Pos4",'Shooter-Squad Assignment'!#REF!,0)),""),IF(E132="Trap",IFERROR(INDEX('Shooter-Squad Assignment'!$A:$A,MATCH(C132&amp;"-"&amp;D132&amp;"-"&amp;E132&amp;"-Pos4",'Shooter-Squad Assignment'!$V:$V,0)),""),IF(E132="Sporting Clays",IFERROR(INDEX('Shooter-Squad Assignment'!$A:$A,MATCH(C132&amp;"-"&amp;D132&amp;"-"&amp;E132&amp;"-Pos4",'Shooter-Squad Assignment'!$Y:$Y,0)),""),"")))</f>
        <v/>
      </c>
      <c r="M132" s="73" t="str">
        <f>IF(ISBLANK(L132),"",IFERROR(INDEX('Tournament List'!$D:$D,MATCH(L132,'Tournament List'!$A:$A,0)),""))</f>
        <v/>
      </c>
      <c r="N132" s="98" t="str">
        <f>IF(E132="Skeet",IFERROR(INDEX('Shooter-Squad Assignment'!$A:$A,MATCH(C132&amp;"-"&amp;D132&amp;"-"&amp;E132&amp;"-Pos5",'Shooter-Squad Assignment'!#REF!,0)),""),IF(E132="Trap",IFERROR(INDEX('Shooter-Squad Assignment'!$A:$A,MATCH(C132&amp;"-"&amp;D132&amp;"-"&amp;E132&amp;"-Pos5",'Shooter-Squad Assignment'!$V:$V,0)),""),IF(E132="Sporting Clays",IFERROR(INDEX('Shooter-Squad Assignment'!$A:$A,MATCH(C132&amp;"-"&amp;D132&amp;"-"&amp;E132&amp;"-Pos5",'Shooter-Squad Assignment'!$Y:$Y,0)),""),"")))</f>
        <v/>
      </c>
      <c r="O132" s="80" t="str">
        <f>IF(ISBLANK(N132),"",IFERROR(INDEX('Tournament List'!$D:$D,MATCH(N132,'Tournament List'!$A:$A,0)),""))</f>
        <v/>
      </c>
    </row>
    <row r="133" spans="1:15" x14ac:dyDescent="0.3">
      <c r="A133" s="79">
        <v>141</v>
      </c>
      <c r="B133" s="73" t="str">
        <f t="shared" si="2"/>
        <v>Wiggins Tigers Sporting Club-Intermediate 3-Trap</v>
      </c>
      <c r="C133" s="73" t="s">
        <v>321</v>
      </c>
      <c r="D133" s="73" t="s">
        <v>352</v>
      </c>
      <c r="E133" s="73" t="s">
        <v>147</v>
      </c>
      <c r="F133" s="98" t="str">
        <f>IF(E133="Skeet",IFERROR(INDEX('Shooter-Squad Assignment'!$A:$A,MATCH(C133&amp;"-"&amp;D133&amp;"-"&amp;E133&amp;"-Pos1",'Shooter-Squad Assignment'!#REF!,0)),""),IF(E133="Trap",IFERROR(INDEX('Shooter-Squad Assignment'!$A:$A,MATCH(C133&amp;"-"&amp;D133&amp;"-"&amp;E133&amp;"-Pos1",'Shooter-Squad Assignment'!$V:$V,0)),""),IF(E133="Sporting Clays",IFERROR(INDEX('Shooter-Squad Assignment'!$A:$A,MATCH(C133&amp;"-"&amp;D133&amp;"-"&amp;E133&amp;"-Pos1",'Shooter-Squad Assignment'!$Y:$Y,0)),""),"")))</f>
        <v/>
      </c>
      <c r="G133" s="73" t="str">
        <f>IF(ISBLANK(F133),"",IFERROR(INDEX('Tournament List'!$D:$D,MATCH(F133,'Tournament List'!$A:$A,0)),""))</f>
        <v/>
      </c>
      <c r="H133" s="98" t="str">
        <f>IF(E133="Skeet",IFERROR(INDEX('Shooter-Squad Assignment'!$A:$A,MATCH(C133&amp;"-"&amp;D133&amp;"-"&amp;E133&amp;"-Pos2",'Shooter-Squad Assignment'!#REF!,0)),""),IF(E133="Trap",IFERROR(INDEX('Shooter-Squad Assignment'!$A:$A,MATCH(C133&amp;"-"&amp;D133&amp;"-"&amp;E133&amp;"-Pos2",'Shooter-Squad Assignment'!$V:$V,0)),""),IF(E133="Sporting Clays",IFERROR(INDEX('Shooter-Squad Assignment'!$A:$A,MATCH(C133&amp;"-"&amp;D133&amp;"-"&amp;E133&amp;"-Pos2",'Shooter-Squad Assignment'!$Y:$Y,0)),""),"")))</f>
        <v/>
      </c>
      <c r="I133" s="73" t="str">
        <f>IF(ISBLANK(H133),"",IFERROR(INDEX('Tournament List'!$D:$D,MATCH(H133,'Tournament List'!$A:$A,0)),""))</f>
        <v/>
      </c>
      <c r="J133" s="98" t="str">
        <f>IF(E133="Skeet",IFERROR(INDEX('Shooter-Squad Assignment'!$A:$A,MATCH(C133&amp;"-"&amp;D133&amp;"-"&amp;E133&amp;"-Pos3",'Shooter-Squad Assignment'!#REF!,0)),""),IF(E133="Trap",IFERROR(INDEX('Shooter-Squad Assignment'!$A:$A,MATCH(C133&amp;"-"&amp;D133&amp;"-"&amp;E133&amp;"-Pos3",'Shooter-Squad Assignment'!$V:$V,0)),""),IF(E133="Sporting Clays",IFERROR(INDEX('Shooter-Squad Assignment'!$A:$A,MATCH(C133&amp;"-"&amp;D133&amp;"-"&amp;E133&amp;"-Pos3",'Shooter-Squad Assignment'!$Y:$Y,0)),""),"")))</f>
        <v/>
      </c>
      <c r="K133" s="73" t="str">
        <f>IF(ISBLANK(J133),"",IFERROR(INDEX('Tournament List'!$D:$D,MATCH(J133,'Tournament List'!$A:$A,0)),""))</f>
        <v/>
      </c>
      <c r="L133" s="98" t="str">
        <f>IF(E133="Skeet",IFERROR(INDEX('Shooter-Squad Assignment'!$A:$A,MATCH(C133&amp;"-"&amp;D133&amp;"-"&amp;E133&amp;"-Pos4",'Shooter-Squad Assignment'!#REF!,0)),""),IF(E133="Trap",IFERROR(INDEX('Shooter-Squad Assignment'!$A:$A,MATCH(C133&amp;"-"&amp;D133&amp;"-"&amp;E133&amp;"-Pos4",'Shooter-Squad Assignment'!$V:$V,0)),""),IF(E133="Sporting Clays",IFERROR(INDEX('Shooter-Squad Assignment'!$A:$A,MATCH(C133&amp;"-"&amp;D133&amp;"-"&amp;E133&amp;"-Pos4",'Shooter-Squad Assignment'!$Y:$Y,0)),""),"")))</f>
        <v/>
      </c>
      <c r="M133" s="73" t="str">
        <f>IF(ISBLANK(L133),"",IFERROR(INDEX('Tournament List'!$D:$D,MATCH(L133,'Tournament List'!$A:$A,0)),""))</f>
        <v/>
      </c>
      <c r="N133" s="98" t="str">
        <f>IF(E133="Skeet",IFERROR(INDEX('Shooter-Squad Assignment'!$A:$A,MATCH(C133&amp;"-"&amp;D133&amp;"-"&amp;E133&amp;"-Pos5",'Shooter-Squad Assignment'!#REF!,0)),""),IF(E133="Trap",IFERROR(INDEX('Shooter-Squad Assignment'!$A:$A,MATCH(C133&amp;"-"&amp;D133&amp;"-"&amp;E133&amp;"-Pos5",'Shooter-Squad Assignment'!$V:$V,0)),""),IF(E133="Sporting Clays",IFERROR(INDEX('Shooter-Squad Assignment'!$A:$A,MATCH(C133&amp;"-"&amp;D133&amp;"-"&amp;E133&amp;"-Pos5",'Shooter-Squad Assignment'!$Y:$Y,0)),""),"")))</f>
        <v/>
      </c>
      <c r="O133" s="80" t="str">
        <f>IF(ISBLANK(N133),"",IFERROR(INDEX('Tournament List'!$D:$D,MATCH(N133,'Tournament List'!$A:$A,0)),""))</f>
        <v/>
      </c>
    </row>
    <row r="134" spans="1:15" x14ac:dyDescent="0.3">
      <c r="A134" s="79">
        <v>142</v>
      </c>
      <c r="B134" s="73" t="str">
        <f t="shared" si="2"/>
        <v>Wiggins Tigers Sporting Club-Junior Varsity 1-Trap</v>
      </c>
      <c r="C134" s="73" t="s">
        <v>321</v>
      </c>
      <c r="D134" s="73" t="s">
        <v>341</v>
      </c>
      <c r="E134" s="73" t="s">
        <v>147</v>
      </c>
      <c r="F134" s="98" t="str">
        <f>IF(E134="Skeet",IFERROR(INDEX('Shooter-Squad Assignment'!$A:$A,MATCH(C134&amp;"-"&amp;D134&amp;"-"&amp;E134&amp;"-Pos1",'Shooter-Squad Assignment'!#REF!,0)),""),IF(E134="Trap",IFERROR(INDEX('Shooter-Squad Assignment'!$A:$A,MATCH(C134&amp;"-"&amp;D134&amp;"-"&amp;E134&amp;"-Pos1",'Shooter-Squad Assignment'!$V:$V,0)),""),IF(E134="Sporting Clays",IFERROR(INDEX('Shooter-Squad Assignment'!$A:$A,MATCH(C134&amp;"-"&amp;D134&amp;"-"&amp;E134&amp;"-Pos1",'Shooter-Squad Assignment'!$Y:$Y,0)),""),"")))</f>
        <v/>
      </c>
      <c r="G134" s="73" t="str">
        <f>IF(ISBLANK(F134),"",IFERROR(INDEX('Tournament List'!$D:$D,MATCH(F134,'Tournament List'!$A:$A,0)),""))</f>
        <v/>
      </c>
      <c r="H134" s="98" t="str">
        <f>IF(E134="Skeet",IFERROR(INDEX('Shooter-Squad Assignment'!$A:$A,MATCH(C134&amp;"-"&amp;D134&amp;"-"&amp;E134&amp;"-Pos2",'Shooter-Squad Assignment'!#REF!,0)),""),IF(E134="Trap",IFERROR(INDEX('Shooter-Squad Assignment'!$A:$A,MATCH(C134&amp;"-"&amp;D134&amp;"-"&amp;E134&amp;"-Pos2",'Shooter-Squad Assignment'!$V:$V,0)),""),IF(E134="Sporting Clays",IFERROR(INDEX('Shooter-Squad Assignment'!$A:$A,MATCH(C134&amp;"-"&amp;D134&amp;"-"&amp;E134&amp;"-Pos2",'Shooter-Squad Assignment'!$Y:$Y,0)),""),"")))</f>
        <v/>
      </c>
      <c r="I134" s="73" t="str">
        <f>IF(ISBLANK(H134),"",IFERROR(INDEX('Tournament List'!$D:$D,MATCH(H134,'Tournament List'!$A:$A,0)),""))</f>
        <v/>
      </c>
      <c r="J134" s="98" t="str">
        <f>IF(E134="Skeet",IFERROR(INDEX('Shooter-Squad Assignment'!$A:$A,MATCH(C134&amp;"-"&amp;D134&amp;"-"&amp;E134&amp;"-Pos3",'Shooter-Squad Assignment'!#REF!,0)),""),IF(E134="Trap",IFERROR(INDEX('Shooter-Squad Assignment'!$A:$A,MATCH(C134&amp;"-"&amp;D134&amp;"-"&amp;E134&amp;"-Pos3",'Shooter-Squad Assignment'!$V:$V,0)),""),IF(E134="Sporting Clays",IFERROR(INDEX('Shooter-Squad Assignment'!$A:$A,MATCH(C134&amp;"-"&amp;D134&amp;"-"&amp;E134&amp;"-Pos3",'Shooter-Squad Assignment'!$Y:$Y,0)),""),"")))</f>
        <v/>
      </c>
      <c r="K134" s="73" t="str">
        <f>IF(ISBLANK(J134),"",IFERROR(INDEX('Tournament List'!$D:$D,MATCH(J134,'Tournament List'!$A:$A,0)),""))</f>
        <v/>
      </c>
      <c r="L134" s="98" t="str">
        <f>IF(E134="Skeet",IFERROR(INDEX('Shooter-Squad Assignment'!$A:$A,MATCH(C134&amp;"-"&amp;D134&amp;"-"&amp;E134&amp;"-Pos4",'Shooter-Squad Assignment'!#REF!,0)),""),IF(E134="Trap",IFERROR(INDEX('Shooter-Squad Assignment'!$A:$A,MATCH(C134&amp;"-"&amp;D134&amp;"-"&amp;E134&amp;"-Pos4",'Shooter-Squad Assignment'!$V:$V,0)),""),IF(E134="Sporting Clays",IFERROR(INDEX('Shooter-Squad Assignment'!$A:$A,MATCH(C134&amp;"-"&amp;D134&amp;"-"&amp;E134&amp;"-Pos4",'Shooter-Squad Assignment'!$Y:$Y,0)),""),"")))</f>
        <v/>
      </c>
      <c r="M134" s="73" t="str">
        <f>IF(ISBLANK(L134),"",IFERROR(INDEX('Tournament List'!$D:$D,MATCH(L134,'Tournament List'!$A:$A,0)),""))</f>
        <v/>
      </c>
      <c r="N134" s="98" t="str">
        <f>IF(E134="Skeet",IFERROR(INDEX('Shooter-Squad Assignment'!$A:$A,MATCH(C134&amp;"-"&amp;D134&amp;"-"&amp;E134&amp;"-Pos5",'Shooter-Squad Assignment'!#REF!,0)),""),IF(E134="Trap",IFERROR(INDEX('Shooter-Squad Assignment'!$A:$A,MATCH(C134&amp;"-"&amp;D134&amp;"-"&amp;E134&amp;"-Pos5",'Shooter-Squad Assignment'!$V:$V,0)),""),IF(E134="Sporting Clays",IFERROR(INDEX('Shooter-Squad Assignment'!$A:$A,MATCH(C134&amp;"-"&amp;D134&amp;"-"&amp;E134&amp;"-Pos5",'Shooter-Squad Assignment'!$Y:$Y,0)),""),"")))</f>
        <v/>
      </c>
      <c r="O134" s="80" t="str">
        <f>IF(ISBLANK(N134),"",IFERROR(INDEX('Tournament List'!$D:$D,MATCH(N134,'Tournament List'!$A:$A,0)),""))</f>
        <v/>
      </c>
    </row>
    <row r="135" spans="1:15" x14ac:dyDescent="0.3">
      <c r="A135" s="79">
        <v>143</v>
      </c>
      <c r="B135" s="73" t="str">
        <f t="shared" si="2"/>
        <v>Wiggins Tigers Sporting Club-Junior Varsity 2-Trap</v>
      </c>
      <c r="C135" s="73" t="s">
        <v>321</v>
      </c>
      <c r="D135" s="73" t="s">
        <v>347</v>
      </c>
      <c r="E135" s="73" t="s">
        <v>147</v>
      </c>
      <c r="F135" s="98" t="str">
        <f>IF(E135="Skeet",IFERROR(INDEX('Shooter-Squad Assignment'!$A:$A,MATCH(C135&amp;"-"&amp;D135&amp;"-"&amp;E135&amp;"-Pos1",'Shooter-Squad Assignment'!#REF!,0)),""),IF(E135="Trap",IFERROR(INDEX('Shooter-Squad Assignment'!$A:$A,MATCH(C135&amp;"-"&amp;D135&amp;"-"&amp;E135&amp;"-Pos1",'Shooter-Squad Assignment'!$V:$V,0)),""),IF(E135="Sporting Clays",IFERROR(INDEX('Shooter-Squad Assignment'!$A:$A,MATCH(C135&amp;"-"&amp;D135&amp;"-"&amp;E135&amp;"-Pos1",'Shooter-Squad Assignment'!$Y:$Y,0)),""),"")))</f>
        <v/>
      </c>
      <c r="G135" s="73" t="str">
        <f>IF(ISBLANK(F135),"",IFERROR(INDEX('Tournament List'!$D:$D,MATCH(F135,'Tournament List'!$A:$A,0)),""))</f>
        <v/>
      </c>
      <c r="H135" s="98" t="str">
        <f>IF(E135="Skeet",IFERROR(INDEX('Shooter-Squad Assignment'!$A:$A,MATCH(C135&amp;"-"&amp;D135&amp;"-"&amp;E135&amp;"-Pos2",'Shooter-Squad Assignment'!#REF!,0)),""),IF(E135="Trap",IFERROR(INDEX('Shooter-Squad Assignment'!$A:$A,MATCH(C135&amp;"-"&amp;D135&amp;"-"&amp;E135&amp;"-Pos2",'Shooter-Squad Assignment'!$V:$V,0)),""),IF(E135="Sporting Clays",IFERROR(INDEX('Shooter-Squad Assignment'!$A:$A,MATCH(C135&amp;"-"&amp;D135&amp;"-"&amp;E135&amp;"-Pos2",'Shooter-Squad Assignment'!$Y:$Y,0)),""),"")))</f>
        <v/>
      </c>
      <c r="I135" s="73" t="str">
        <f>IF(ISBLANK(H135),"",IFERROR(INDEX('Tournament List'!$D:$D,MATCH(H135,'Tournament List'!$A:$A,0)),""))</f>
        <v/>
      </c>
      <c r="J135" s="98" t="str">
        <f>IF(E135="Skeet",IFERROR(INDEX('Shooter-Squad Assignment'!$A:$A,MATCH(C135&amp;"-"&amp;D135&amp;"-"&amp;E135&amp;"-Pos3",'Shooter-Squad Assignment'!#REF!,0)),""),IF(E135="Trap",IFERROR(INDEX('Shooter-Squad Assignment'!$A:$A,MATCH(C135&amp;"-"&amp;D135&amp;"-"&amp;E135&amp;"-Pos3",'Shooter-Squad Assignment'!$V:$V,0)),""),IF(E135="Sporting Clays",IFERROR(INDEX('Shooter-Squad Assignment'!$A:$A,MATCH(C135&amp;"-"&amp;D135&amp;"-"&amp;E135&amp;"-Pos3",'Shooter-Squad Assignment'!$Y:$Y,0)),""),"")))</f>
        <v/>
      </c>
      <c r="K135" s="73" t="str">
        <f>IF(ISBLANK(J135),"",IFERROR(INDEX('Tournament List'!$D:$D,MATCH(J135,'Tournament List'!$A:$A,0)),""))</f>
        <v/>
      </c>
      <c r="L135" s="98" t="str">
        <f>IF(E135="Skeet",IFERROR(INDEX('Shooter-Squad Assignment'!$A:$A,MATCH(C135&amp;"-"&amp;D135&amp;"-"&amp;E135&amp;"-Pos4",'Shooter-Squad Assignment'!#REF!,0)),""),IF(E135="Trap",IFERROR(INDEX('Shooter-Squad Assignment'!$A:$A,MATCH(C135&amp;"-"&amp;D135&amp;"-"&amp;E135&amp;"-Pos4",'Shooter-Squad Assignment'!$V:$V,0)),""),IF(E135="Sporting Clays",IFERROR(INDEX('Shooter-Squad Assignment'!$A:$A,MATCH(C135&amp;"-"&amp;D135&amp;"-"&amp;E135&amp;"-Pos4",'Shooter-Squad Assignment'!$Y:$Y,0)),""),"")))</f>
        <v/>
      </c>
      <c r="M135" s="73" t="str">
        <f>IF(ISBLANK(L135),"",IFERROR(INDEX('Tournament List'!$D:$D,MATCH(L135,'Tournament List'!$A:$A,0)),""))</f>
        <v/>
      </c>
      <c r="N135" s="98" t="str">
        <f>IF(E135="Skeet",IFERROR(INDEX('Shooter-Squad Assignment'!$A:$A,MATCH(C135&amp;"-"&amp;D135&amp;"-"&amp;E135&amp;"-Pos5",'Shooter-Squad Assignment'!#REF!,0)),""),IF(E135="Trap",IFERROR(INDEX('Shooter-Squad Assignment'!$A:$A,MATCH(C135&amp;"-"&amp;D135&amp;"-"&amp;E135&amp;"-Pos5",'Shooter-Squad Assignment'!$V:$V,0)),""),IF(E135="Sporting Clays",IFERROR(INDEX('Shooter-Squad Assignment'!$A:$A,MATCH(C135&amp;"-"&amp;D135&amp;"-"&amp;E135&amp;"-Pos5",'Shooter-Squad Assignment'!$Y:$Y,0)),""),"")))</f>
        <v/>
      </c>
      <c r="O135" s="80" t="str">
        <f>IF(ISBLANK(N135),"",IFERROR(INDEX('Tournament List'!$D:$D,MATCH(N135,'Tournament List'!$A:$A,0)),""))</f>
        <v/>
      </c>
    </row>
    <row r="136" spans="1:15" x14ac:dyDescent="0.3">
      <c r="A136" s="79">
        <v>144</v>
      </c>
      <c r="B136" s="73" t="str">
        <f t="shared" si="2"/>
        <v>Wiggins Tigers Sporting Club-Junior Varsity 3-Trap</v>
      </c>
      <c r="C136" s="73" t="s">
        <v>321</v>
      </c>
      <c r="D136" s="73" t="s">
        <v>353</v>
      </c>
      <c r="E136" s="73" t="s">
        <v>147</v>
      </c>
      <c r="F136" s="98" t="str">
        <f>IF(E136="Skeet",IFERROR(INDEX('Shooter-Squad Assignment'!$A:$A,MATCH(C136&amp;"-"&amp;D136&amp;"-"&amp;E136&amp;"-Pos1",'Shooter-Squad Assignment'!#REF!,0)),""),IF(E136="Trap",IFERROR(INDEX('Shooter-Squad Assignment'!$A:$A,MATCH(C136&amp;"-"&amp;D136&amp;"-"&amp;E136&amp;"-Pos1",'Shooter-Squad Assignment'!$V:$V,0)),""),IF(E136="Sporting Clays",IFERROR(INDEX('Shooter-Squad Assignment'!$A:$A,MATCH(C136&amp;"-"&amp;D136&amp;"-"&amp;E136&amp;"-Pos1",'Shooter-Squad Assignment'!$Y:$Y,0)),""),"")))</f>
        <v/>
      </c>
      <c r="G136" s="73" t="str">
        <f>IF(ISBLANK(F136),"",IFERROR(INDEX('Tournament List'!$D:$D,MATCH(F136,'Tournament List'!$A:$A,0)),""))</f>
        <v/>
      </c>
      <c r="H136" s="98" t="str">
        <f>IF(E136="Skeet",IFERROR(INDEX('Shooter-Squad Assignment'!$A:$A,MATCH(C136&amp;"-"&amp;D136&amp;"-"&amp;E136&amp;"-Pos2",'Shooter-Squad Assignment'!#REF!,0)),""),IF(E136="Trap",IFERROR(INDEX('Shooter-Squad Assignment'!$A:$A,MATCH(C136&amp;"-"&amp;D136&amp;"-"&amp;E136&amp;"-Pos2",'Shooter-Squad Assignment'!$V:$V,0)),""),IF(E136="Sporting Clays",IFERROR(INDEX('Shooter-Squad Assignment'!$A:$A,MATCH(C136&amp;"-"&amp;D136&amp;"-"&amp;E136&amp;"-Pos2",'Shooter-Squad Assignment'!$Y:$Y,0)),""),"")))</f>
        <v/>
      </c>
      <c r="I136" s="73" t="str">
        <f>IF(ISBLANK(H136),"",IFERROR(INDEX('Tournament List'!$D:$D,MATCH(H136,'Tournament List'!$A:$A,0)),""))</f>
        <v/>
      </c>
      <c r="J136" s="98" t="str">
        <f>IF(E136="Skeet",IFERROR(INDEX('Shooter-Squad Assignment'!$A:$A,MATCH(C136&amp;"-"&amp;D136&amp;"-"&amp;E136&amp;"-Pos3",'Shooter-Squad Assignment'!#REF!,0)),""),IF(E136="Trap",IFERROR(INDEX('Shooter-Squad Assignment'!$A:$A,MATCH(C136&amp;"-"&amp;D136&amp;"-"&amp;E136&amp;"-Pos3",'Shooter-Squad Assignment'!$V:$V,0)),""),IF(E136="Sporting Clays",IFERROR(INDEX('Shooter-Squad Assignment'!$A:$A,MATCH(C136&amp;"-"&amp;D136&amp;"-"&amp;E136&amp;"-Pos3",'Shooter-Squad Assignment'!$Y:$Y,0)),""),"")))</f>
        <v/>
      </c>
      <c r="K136" s="73" t="str">
        <f>IF(ISBLANK(J136),"",IFERROR(INDEX('Tournament List'!$D:$D,MATCH(J136,'Tournament List'!$A:$A,0)),""))</f>
        <v/>
      </c>
      <c r="L136" s="98" t="str">
        <f>IF(E136="Skeet",IFERROR(INDEX('Shooter-Squad Assignment'!$A:$A,MATCH(C136&amp;"-"&amp;D136&amp;"-"&amp;E136&amp;"-Pos4",'Shooter-Squad Assignment'!#REF!,0)),""),IF(E136="Trap",IFERROR(INDEX('Shooter-Squad Assignment'!$A:$A,MATCH(C136&amp;"-"&amp;D136&amp;"-"&amp;E136&amp;"-Pos4",'Shooter-Squad Assignment'!$V:$V,0)),""),IF(E136="Sporting Clays",IFERROR(INDEX('Shooter-Squad Assignment'!$A:$A,MATCH(C136&amp;"-"&amp;D136&amp;"-"&amp;E136&amp;"-Pos4",'Shooter-Squad Assignment'!$Y:$Y,0)),""),"")))</f>
        <v/>
      </c>
      <c r="M136" s="73" t="str">
        <f>IF(ISBLANK(L136),"",IFERROR(INDEX('Tournament List'!$D:$D,MATCH(L136,'Tournament List'!$A:$A,0)),""))</f>
        <v/>
      </c>
      <c r="N136" s="98" t="str">
        <f>IF(E136="Skeet",IFERROR(INDEX('Shooter-Squad Assignment'!$A:$A,MATCH(C136&amp;"-"&amp;D136&amp;"-"&amp;E136&amp;"-Pos5",'Shooter-Squad Assignment'!#REF!,0)),""),IF(E136="Trap",IFERROR(INDEX('Shooter-Squad Assignment'!$A:$A,MATCH(C136&amp;"-"&amp;D136&amp;"-"&amp;E136&amp;"-Pos5",'Shooter-Squad Assignment'!$V:$V,0)),""),IF(E136="Sporting Clays",IFERROR(INDEX('Shooter-Squad Assignment'!$A:$A,MATCH(C136&amp;"-"&amp;D136&amp;"-"&amp;E136&amp;"-Pos5",'Shooter-Squad Assignment'!$Y:$Y,0)),""),"")))</f>
        <v/>
      </c>
      <c r="O136" s="80" t="str">
        <f>IF(ISBLANK(N136),"",IFERROR(INDEX('Tournament List'!$D:$D,MATCH(N136,'Tournament List'!$A:$A,0)),""))</f>
        <v/>
      </c>
    </row>
    <row r="137" spans="1:15" x14ac:dyDescent="0.3">
      <c r="A137" s="79">
        <v>145</v>
      </c>
      <c r="B137" s="73" t="str">
        <f t="shared" si="2"/>
        <v>Wiggins Tigers Sporting Club-Novice 1-Trap</v>
      </c>
      <c r="C137" s="73" t="s">
        <v>321</v>
      </c>
      <c r="D137" s="73" t="s">
        <v>339</v>
      </c>
      <c r="E137" s="73" t="s">
        <v>147</v>
      </c>
      <c r="F137" s="98" t="str">
        <f>IF(E137="Skeet",IFERROR(INDEX('Shooter-Squad Assignment'!$A:$A,MATCH(C137&amp;"-"&amp;D137&amp;"-"&amp;E137&amp;"-Pos1",'Shooter-Squad Assignment'!#REF!,0)),""),IF(E137="Trap",IFERROR(INDEX('Shooter-Squad Assignment'!$A:$A,MATCH(C137&amp;"-"&amp;D137&amp;"-"&amp;E137&amp;"-Pos1",'Shooter-Squad Assignment'!$V:$V,0)),""),IF(E137="Sporting Clays",IFERROR(INDEX('Shooter-Squad Assignment'!$A:$A,MATCH(C137&amp;"-"&amp;D137&amp;"-"&amp;E137&amp;"-Pos1",'Shooter-Squad Assignment'!$Y:$Y,0)),""),"")))</f>
        <v/>
      </c>
      <c r="G137" s="73" t="str">
        <f>IF(ISBLANK(F137),"",IFERROR(INDEX('Tournament List'!$D:$D,MATCH(F137,'Tournament List'!$A:$A,0)),""))</f>
        <v/>
      </c>
      <c r="H137" s="98" t="str">
        <f>IF(E137="Skeet",IFERROR(INDEX('Shooter-Squad Assignment'!$A:$A,MATCH(C137&amp;"-"&amp;D137&amp;"-"&amp;E137&amp;"-Pos2",'Shooter-Squad Assignment'!#REF!,0)),""),IF(E137="Trap",IFERROR(INDEX('Shooter-Squad Assignment'!$A:$A,MATCH(C137&amp;"-"&amp;D137&amp;"-"&amp;E137&amp;"-Pos2",'Shooter-Squad Assignment'!$V:$V,0)),""),IF(E137="Sporting Clays",IFERROR(INDEX('Shooter-Squad Assignment'!$A:$A,MATCH(C137&amp;"-"&amp;D137&amp;"-"&amp;E137&amp;"-Pos2",'Shooter-Squad Assignment'!$Y:$Y,0)),""),"")))</f>
        <v/>
      </c>
      <c r="I137" s="73" t="str">
        <f>IF(ISBLANK(H137),"",IFERROR(INDEX('Tournament List'!$D:$D,MATCH(H137,'Tournament List'!$A:$A,0)),""))</f>
        <v/>
      </c>
      <c r="J137" s="98" t="str">
        <f>IF(E137="Skeet",IFERROR(INDEX('Shooter-Squad Assignment'!$A:$A,MATCH(C137&amp;"-"&amp;D137&amp;"-"&amp;E137&amp;"-Pos3",'Shooter-Squad Assignment'!#REF!,0)),""),IF(E137="Trap",IFERROR(INDEX('Shooter-Squad Assignment'!$A:$A,MATCH(C137&amp;"-"&amp;D137&amp;"-"&amp;E137&amp;"-Pos3",'Shooter-Squad Assignment'!$V:$V,0)),""),IF(E137="Sporting Clays",IFERROR(INDEX('Shooter-Squad Assignment'!$A:$A,MATCH(C137&amp;"-"&amp;D137&amp;"-"&amp;E137&amp;"-Pos3",'Shooter-Squad Assignment'!$Y:$Y,0)),""),"")))</f>
        <v/>
      </c>
      <c r="K137" s="73" t="str">
        <f>IF(ISBLANK(J137),"",IFERROR(INDEX('Tournament List'!$D:$D,MATCH(J137,'Tournament List'!$A:$A,0)),""))</f>
        <v/>
      </c>
      <c r="L137" s="98" t="str">
        <f>IF(E137="Skeet",IFERROR(INDEX('Shooter-Squad Assignment'!$A:$A,MATCH(C137&amp;"-"&amp;D137&amp;"-"&amp;E137&amp;"-Pos4",'Shooter-Squad Assignment'!#REF!,0)),""),IF(E137="Trap",IFERROR(INDEX('Shooter-Squad Assignment'!$A:$A,MATCH(C137&amp;"-"&amp;D137&amp;"-"&amp;E137&amp;"-Pos4",'Shooter-Squad Assignment'!$V:$V,0)),""),IF(E137="Sporting Clays",IFERROR(INDEX('Shooter-Squad Assignment'!$A:$A,MATCH(C137&amp;"-"&amp;D137&amp;"-"&amp;E137&amp;"-Pos4",'Shooter-Squad Assignment'!$Y:$Y,0)),""),"")))</f>
        <v/>
      </c>
      <c r="M137" s="73" t="str">
        <f>IF(ISBLANK(L137),"",IFERROR(INDEX('Tournament List'!$D:$D,MATCH(L137,'Tournament List'!$A:$A,0)),""))</f>
        <v/>
      </c>
      <c r="N137" s="98" t="str">
        <f>IF(E137="Skeet",IFERROR(INDEX('Shooter-Squad Assignment'!$A:$A,MATCH(C137&amp;"-"&amp;D137&amp;"-"&amp;E137&amp;"-Pos5",'Shooter-Squad Assignment'!#REF!,0)),""),IF(E137="Trap",IFERROR(INDEX('Shooter-Squad Assignment'!$A:$A,MATCH(C137&amp;"-"&amp;D137&amp;"-"&amp;E137&amp;"-Pos5",'Shooter-Squad Assignment'!$V:$V,0)),""),IF(E137="Sporting Clays",IFERROR(INDEX('Shooter-Squad Assignment'!$A:$A,MATCH(C137&amp;"-"&amp;D137&amp;"-"&amp;E137&amp;"-Pos5",'Shooter-Squad Assignment'!$Y:$Y,0)),""),"")))</f>
        <v/>
      </c>
      <c r="O137" s="80" t="str">
        <f>IF(ISBLANK(N137),"",IFERROR(INDEX('Tournament List'!$D:$D,MATCH(N137,'Tournament List'!$A:$A,0)),""))</f>
        <v/>
      </c>
    </row>
    <row r="138" spans="1:15" x14ac:dyDescent="0.3">
      <c r="A138" s="79">
        <v>146</v>
      </c>
      <c r="B138" s="73" t="str">
        <f t="shared" si="2"/>
        <v>Wiggins Tigers Sporting Club-Novice 2-Trap</v>
      </c>
      <c r="C138" s="73" t="s">
        <v>321</v>
      </c>
      <c r="D138" s="73" t="s">
        <v>345</v>
      </c>
      <c r="E138" s="73" t="s">
        <v>147</v>
      </c>
      <c r="F138" s="98" t="str">
        <f>IF(E138="Skeet",IFERROR(INDEX('Shooter-Squad Assignment'!$A:$A,MATCH(C138&amp;"-"&amp;D138&amp;"-"&amp;E138&amp;"-Pos1",'Shooter-Squad Assignment'!#REF!,0)),""),IF(E138="Trap",IFERROR(INDEX('Shooter-Squad Assignment'!$A:$A,MATCH(C138&amp;"-"&amp;D138&amp;"-"&amp;E138&amp;"-Pos1",'Shooter-Squad Assignment'!$V:$V,0)),""),IF(E138="Sporting Clays",IFERROR(INDEX('Shooter-Squad Assignment'!$A:$A,MATCH(C138&amp;"-"&amp;D138&amp;"-"&amp;E138&amp;"-Pos1",'Shooter-Squad Assignment'!$Y:$Y,0)),""),"")))</f>
        <v/>
      </c>
      <c r="G138" s="73" t="str">
        <f>IF(ISBLANK(F138),"",IFERROR(INDEX('Tournament List'!$D:$D,MATCH(F138,'Tournament List'!$A:$A,0)),""))</f>
        <v/>
      </c>
      <c r="H138" s="98" t="str">
        <f>IF(E138="Skeet",IFERROR(INDEX('Shooter-Squad Assignment'!$A:$A,MATCH(C138&amp;"-"&amp;D138&amp;"-"&amp;E138&amp;"-Pos2",'Shooter-Squad Assignment'!#REF!,0)),""),IF(E138="Trap",IFERROR(INDEX('Shooter-Squad Assignment'!$A:$A,MATCH(C138&amp;"-"&amp;D138&amp;"-"&amp;E138&amp;"-Pos2",'Shooter-Squad Assignment'!$V:$V,0)),""),IF(E138="Sporting Clays",IFERROR(INDEX('Shooter-Squad Assignment'!$A:$A,MATCH(C138&amp;"-"&amp;D138&amp;"-"&amp;E138&amp;"-Pos2",'Shooter-Squad Assignment'!$Y:$Y,0)),""),"")))</f>
        <v/>
      </c>
      <c r="I138" s="73" t="str">
        <f>IF(ISBLANK(H138),"",IFERROR(INDEX('Tournament List'!$D:$D,MATCH(H138,'Tournament List'!$A:$A,0)),""))</f>
        <v/>
      </c>
      <c r="J138" s="98" t="str">
        <f>IF(E138="Skeet",IFERROR(INDEX('Shooter-Squad Assignment'!$A:$A,MATCH(C138&amp;"-"&amp;D138&amp;"-"&amp;E138&amp;"-Pos3",'Shooter-Squad Assignment'!#REF!,0)),""),IF(E138="Trap",IFERROR(INDEX('Shooter-Squad Assignment'!$A:$A,MATCH(C138&amp;"-"&amp;D138&amp;"-"&amp;E138&amp;"-Pos3",'Shooter-Squad Assignment'!$V:$V,0)),""),IF(E138="Sporting Clays",IFERROR(INDEX('Shooter-Squad Assignment'!$A:$A,MATCH(C138&amp;"-"&amp;D138&amp;"-"&amp;E138&amp;"-Pos3",'Shooter-Squad Assignment'!$Y:$Y,0)),""),"")))</f>
        <v/>
      </c>
      <c r="K138" s="73" t="str">
        <f>IF(ISBLANK(J138),"",IFERROR(INDEX('Tournament List'!$D:$D,MATCH(J138,'Tournament List'!$A:$A,0)),""))</f>
        <v/>
      </c>
      <c r="L138" s="98" t="str">
        <f>IF(E138="Skeet",IFERROR(INDEX('Shooter-Squad Assignment'!$A:$A,MATCH(C138&amp;"-"&amp;D138&amp;"-"&amp;E138&amp;"-Pos4",'Shooter-Squad Assignment'!#REF!,0)),""),IF(E138="Trap",IFERROR(INDEX('Shooter-Squad Assignment'!$A:$A,MATCH(C138&amp;"-"&amp;D138&amp;"-"&amp;E138&amp;"-Pos4",'Shooter-Squad Assignment'!$V:$V,0)),""),IF(E138="Sporting Clays",IFERROR(INDEX('Shooter-Squad Assignment'!$A:$A,MATCH(C138&amp;"-"&amp;D138&amp;"-"&amp;E138&amp;"-Pos4",'Shooter-Squad Assignment'!$Y:$Y,0)),""),"")))</f>
        <v/>
      </c>
      <c r="M138" s="73" t="str">
        <f>IF(ISBLANK(L138),"",IFERROR(INDEX('Tournament List'!$D:$D,MATCH(L138,'Tournament List'!$A:$A,0)),""))</f>
        <v/>
      </c>
      <c r="N138" s="98" t="str">
        <f>IF(E138="Skeet",IFERROR(INDEX('Shooter-Squad Assignment'!$A:$A,MATCH(C138&amp;"-"&amp;D138&amp;"-"&amp;E138&amp;"-Pos5",'Shooter-Squad Assignment'!#REF!,0)),""),IF(E138="Trap",IFERROR(INDEX('Shooter-Squad Assignment'!$A:$A,MATCH(C138&amp;"-"&amp;D138&amp;"-"&amp;E138&amp;"-Pos5",'Shooter-Squad Assignment'!$V:$V,0)),""),IF(E138="Sporting Clays",IFERROR(INDEX('Shooter-Squad Assignment'!$A:$A,MATCH(C138&amp;"-"&amp;D138&amp;"-"&amp;E138&amp;"-Pos5",'Shooter-Squad Assignment'!$Y:$Y,0)),""),"")))</f>
        <v/>
      </c>
      <c r="O138" s="80" t="str">
        <f>IF(ISBLANK(N138),"",IFERROR(INDEX('Tournament List'!$D:$D,MATCH(N138,'Tournament List'!$A:$A,0)),""))</f>
        <v/>
      </c>
    </row>
    <row r="139" spans="1:15" x14ac:dyDescent="0.3">
      <c r="A139" s="79">
        <v>147</v>
      </c>
      <c r="B139" s="73" t="str">
        <f t="shared" si="2"/>
        <v>Wiggins Tigers Sporting Club-Novice 3-Trap</v>
      </c>
      <c r="C139" s="73" t="s">
        <v>321</v>
      </c>
      <c r="D139" s="73" t="s">
        <v>351</v>
      </c>
      <c r="E139" s="73" t="s">
        <v>147</v>
      </c>
      <c r="F139" s="98" t="str">
        <f>IF(E139="Skeet",IFERROR(INDEX('Shooter-Squad Assignment'!$A:$A,MATCH(C139&amp;"-"&amp;D139&amp;"-"&amp;E139&amp;"-Pos1",'Shooter-Squad Assignment'!#REF!,0)),""),IF(E139="Trap",IFERROR(INDEX('Shooter-Squad Assignment'!$A:$A,MATCH(C139&amp;"-"&amp;D139&amp;"-"&amp;E139&amp;"-Pos1",'Shooter-Squad Assignment'!$V:$V,0)),""),IF(E139="Sporting Clays",IFERROR(INDEX('Shooter-Squad Assignment'!$A:$A,MATCH(C139&amp;"-"&amp;D139&amp;"-"&amp;E139&amp;"-Pos1",'Shooter-Squad Assignment'!$Y:$Y,0)),""),"")))</f>
        <v/>
      </c>
      <c r="G139" s="73" t="str">
        <f>IF(ISBLANK(F139),"",IFERROR(INDEX('Tournament List'!$D:$D,MATCH(F139,'Tournament List'!$A:$A,0)),""))</f>
        <v/>
      </c>
      <c r="H139" s="98" t="str">
        <f>IF(E139="Skeet",IFERROR(INDEX('Shooter-Squad Assignment'!$A:$A,MATCH(C139&amp;"-"&amp;D139&amp;"-"&amp;E139&amp;"-Pos2",'Shooter-Squad Assignment'!#REF!,0)),""),IF(E139="Trap",IFERROR(INDEX('Shooter-Squad Assignment'!$A:$A,MATCH(C139&amp;"-"&amp;D139&amp;"-"&amp;E139&amp;"-Pos2",'Shooter-Squad Assignment'!$V:$V,0)),""),IF(E139="Sporting Clays",IFERROR(INDEX('Shooter-Squad Assignment'!$A:$A,MATCH(C139&amp;"-"&amp;D139&amp;"-"&amp;E139&amp;"-Pos2",'Shooter-Squad Assignment'!$Y:$Y,0)),""),"")))</f>
        <v/>
      </c>
      <c r="I139" s="73" t="str">
        <f>IF(ISBLANK(H139),"",IFERROR(INDEX('Tournament List'!$D:$D,MATCH(H139,'Tournament List'!$A:$A,0)),""))</f>
        <v/>
      </c>
      <c r="J139" s="98" t="str">
        <f>IF(E139="Skeet",IFERROR(INDEX('Shooter-Squad Assignment'!$A:$A,MATCH(C139&amp;"-"&amp;D139&amp;"-"&amp;E139&amp;"-Pos3",'Shooter-Squad Assignment'!#REF!,0)),""),IF(E139="Trap",IFERROR(INDEX('Shooter-Squad Assignment'!$A:$A,MATCH(C139&amp;"-"&amp;D139&amp;"-"&amp;E139&amp;"-Pos3",'Shooter-Squad Assignment'!$V:$V,0)),""),IF(E139="Sporting Clays",IFERROR(INDEX('Shooter-Squad Assignment'!$A:$A,MATCH(C139&amp;"-"&amp;D139&amp;"-"&amp;E139&amp;"-Pos3",'Shooter-Squad Assignment'!$Y:$Y,0)),""),"")))</f>
        <v/>
      </c>
      <c r="K139" s="73" t="str">
        <f>IF(ISBLANK(J139),"",IFERROR(INDEX('Tournament List'!$D:$D,MATCH(J139,'Tournament List'!$A:$A,0)),""))</f>
        <v/>
      </c>
      <c r="L139" s="98" t="str">
        <f>IF(E139="Skeet",IFERROR(INDEX('Shooter-Squad Assignment'!$A:$A,MATCH(C139&amp;"-"&amp;D139&amp;"-"&amp;E139&amp;"-Pos4",'Shooter-Squad Assignment'!#REF!,0)),""),IF(E139="Trap",IFERROR(INDEX('Shooter-Squad Assignment'!$A:$A,MATCH(C139&amp;"-"&amp;D139&amp;"-"&amp;E139&amp;"-Pos4",'Shooter-Squad Assignment'!$V:$V,0)),""),IF(E139="Sporting Clays",IFERROR(INDEX('Shooter-Squad Assignment'!$A:$A,MATCH(C139&amp;"-"&amp;D139&amp;"-"&amp;E139&amp;"-Pos4",'Shooter-Squad Assignment'!$Y:$Y,0)),""),"")))</f>
        <v/>
      </c>
      <c r="M139" s="73" t="str">
        <f>IF(ISBLANK(L139),"",IFERROR(INDEX('Tournament List'!$D:$D,MATCH(L139,'Tournament List'!$A:$A,0)),""))</f>
        <v/>
      </c>
      <c r="N139" s="98" t="str">
        <f>IF(E139="Skeet",IFERROR(INDEX('Shooter-Squad Assignment'!$A:$A,MATCH(C139&amp;"-"&amp;D139&amp;"-"&amp;E139&amp;"-Pos5",'Shooter-Squad Assignment'!#REF!,0)),""),IF(E139="Trap",IFERROR(INDEX('Shooter-Squad Assignment'!$A:$A,MATCH(C139&amp;"-"&amp;D139&amp;"-"&amp;E139&amp;"-Pos5",'Shooter-Squad Assignment'!$V:$V,0)),""),IF(E139="Sporting Clays",IFERROR(INDEX('Shooter-Squad Assignment'!$A:$A,MATCH(C139&amp;"-"&amp;D139&amp;"-"&amp;E139&amp;"-Pos5",'Shooter-Squad Assignment'!$Y:$Y,0)),""),"")))</f>
        <v/>
      </c>
      <c r="O139" s="80" t="str">
        <f>IF(ISBLANK(N139),"",IFERROR(INDEX('Tournament List'!$D:$D,MATCH(N139,'Tournament List'!$A:$A,0)),""))</f>
        <v/>
      </c>
    </row>
    <row r="140" spans="1:15" x14ac:dyDescent="0.3">
      <c r="A140" s="79">
        <v>148</v>
      </c>
      <c r="B140" s="73" t="str">
        <f t="shared" si="2"/>
        <v>Wiggins Tigers Sporting Club-Open 1-Trap</v>
      </c>
      <c r="C140" s="73" t="s">
        <v>321</v>
      </c>
      <c r="D140" s="73" t="s">
        <v>343</v>
      </c>
      <c r="E140" s="73" t="s">
        <v>147</v>
      </c>
      <c r="F140" s="98" t="str">
        <f>IF(E140="Skeet",IFERROR(INDEX('Shooter-Squad Assignment'!$A:$A,MATCH(C140&amp;"-"&amp;D140&amp;"-"&amp;E140&amp;"-Pos1",'Shooter-Squad Assignment'!#REF!,0)),""),IF(E140="Trap",IFERROR(INDEX('Shooter-Squad Assignment'!$A:$A,MATCH(C140&amp;"-"&amp;D140&amp;"-"&amp;E140&amp;"-Pos1",'Shooter-Squad Assignment'!$V:$V,0)),""),IF(E140="Sporting Clays",IFERROR(INDEX('Shooter-Squad Assignment'!$A:$A,MATCH(C140&amp;"-"&amp;D140&amp;"-"&amp;E140&amp;"-Pos1",'Shooter-Squad Assignment'!$Y:$Y,0)),""),"")))</f>
        <v/>
      </c>
      <c r="G140" s="73" t="str">
        <f>IF(ISBLANK(F140),"",IFERROR(INDEX('Tournament List'!$D:$D,MATCH(F140,'Tournament List'!$A:$A,0)),""))</f>
        <v/>
      </c>
      <c r="H140" s="98" t="str">
        <f>IF(E140="Skeet",IFERROR(INDEX('Shooter-Squad Assignment'!$A:$A,MATCH(C140&amp;"-"&amp;D140&amp;"-"&amp;E140&amp;"-Pos2",'Shooter-Squad Assignment'!#REF!,0)),""),IF(E140="Trap",IFERROR(INDEX('Shooter-Squad Assignment'!$A:$A,MATCH(C140&amp;"-"&amp;D140&amp;"-"&amp;E140&amp;"-Pos2",'Shooter-Squad Assignment'!$V:$V,0)),""),IF(E140="Sporting Clays",IFERROR(INDEX('Shooter-Squad Assignment'!$A:$A,MATCH(C140&amp;"-"&amp;D140&amp;"-"&amp;E140&amp;"-Pos2",'Shooter-Squad Assignment'!$Y:$Y,0)),""),"")))</f>
        <v/>
      </c>
      <c r="I140" s="73" t="str">
        <f>IF(ISBLANK(H140),"",IFERROR(INDEX('Tournament List'!$D:$D,MATCH(H140,'Tournament List'!$A:$A,0)),""))</f>
        <v/>
      </c>
      <c r="J140" s="98" t="str">
        <f>IF(E140="Skeet",IFERROR(INDEX('Shooter-Squad Assignment'!$A:$A,MATCH(C140&amp;"-"&amp;D140&amp;"-"&amp;E140&amp;"-Pos3",'Shooter-Squad Assignment'!#REF!,0)),""),IF(E140="Trap",IFERROR(INDEX('Shooter-Squad Assignment'!$A:$A,MATCH(C140&amp;"-"&amp;D140&amp;"-"&amp;E140&amp;"-Pos3",'Shooter-Squad Assignment'!$V:$V,0)),""),IF(E140="Sporting Clays",IFERROR(INDEX('Shooter-Squad Assignment'!$A:$A,MATCH(C140&amp;"-"&amp;D140&amp;"-"&amp;E140&amp;"-Pos3",'Shooter-Squad Assignment'!$Y:$Y,0)),""),"")))</f>
        <v/>
      </c>
      <c r="K140" s="73" t="str">
        <f>IF(ISBLANK(J140),"",IFERROR(INDEX('Tournament List'!$D:$D,MATCH(J140,'Tournament List'!$A:$A,0)),""))</f>
        <v/>
      </c>
      <c r="L140" s="98" t="str">
        <f>IF(E140="Skeet",IFERROR(INDEX('Shooter-Squad Assignment'!$A:$A,MATCH(C140&amp;"-"&amp;D140&amp;"-"&amp;E140&amp;"-Pos4",'Shooter-Squad Assignment'!#REF!,0)),""),IF(E140="Trap",IFERROR(INDEX('Shooter-Squad Assignment'!$A:$A,MATCH(C140&amp;"-"&amp;D140&amp;"-"&amp;E140&amp;"-Pos4",'Shooter-Squad Assignment'!$V:$V,0)),""),IF(E140="Sporting Clays",IFERROR(INDEX('Shooter-Squad Assignment'!$A:$A,MATCH(C140&amp;"-"&amp;D140&amp;"-"&amp;E140&amp;"-Pos4",'Shooter-Squad Assignment'!$Y:$Y,0)),""),"")))</f>
        <v/>
      </c>
      <c r="M140" s="73" t="str">
        <f>IF(ISBLANK(L140),"",IFERROR(INDEX('Tournament List'!$D:$D,MATCH(L140,'Tournament List'!$A:$A,0)),""))</f>
        <v/>
      </c>
      <c r="N140" s="98" t="str">
        <f>IF(E140="Skeet",IFERROR(INDEX('Shooter-Squad Assignment'!$A:$A,MATCH(C140&amp;"-"&amp;D140&amp;"-"&amp;E140&amp;"-Pos5",'Shooter-Squad Assignment'!#REF!,0)),""),IF(E140="Trap",IFERROR(INDEX('Shooter-Squad Assignment'!$A:$A,MATCH(C140&amp;"-"&amp;D140&amp;"-"&amp;E140&amp;"-Pos5",'Shooter-Squad Assignment'!$V:$V,0)),""),IF(E140="Sporting Clays",IFERROR(INDEX('Shooter-Squad Assignment'!$A:$A,MATCH(C140&amp;"-"&amp;D140&amp;"-"&amp;E140&amp;"-Pos5",'Shooter-Squad Assignment'!$Y:$Y,0)),""),"")))</f>
        <v/>
      </c>
      <c r="O140" s="80" t="str">
        <f>IF(ISBLANK(N140),"",IFERROR(INDEX('Tournament List'!$D:$D,MATCH(N140,'Tournament List'!$A:$A,0)),""))</f>
        <v/>
      </c>
    </row>
    <row r="141" spans="1:15" x14ac:dyDescent="0.3">
      <c r="A141" s="79">
        <v>149</v>
      </c>
      <c r="B141" s="73" t="str">
        <f t="shared" si="2"/>
        <v>Wiggins Tigers Sporting Club-Open 2-Trap</v>
      </c>
      <c r="C141" s="73" t="s">
        <v>321</v>
      </c>
      <c r="D141" s="73" t="s">
        <v>349</v>
      </c>
      <c r="E141" s="73" t="s">
        <v>147</v>
      </c>
      <c r="F141" s="98" t="str">
        <f>IF(E141="Skeet",IFERROR(INDEX('Shooter-Squad Assignment'!$A:$A,MATCH(C141&amp;"-"&amp;D141&amp;"-"&amp;E141&amp;"-Pos1",'Shooter-Squad Assignment'!#REF!,0)),""),IF(E141="Trap",IFERROR(INDEX('Shooter-Squad Assignment'!$A:$A,MATCH(C141&amp;"-"&amp;D141&amp;"-"&amp;E141&amp;"-Pos1",'Shooter-Squad Assignment'!$V:$V,0)),""),IF(E141="Sporting Clays",IFERROR(INDEX('Shooter-Squad Assignment'!$A:$A,MATCH(C141&amp;"-"&amp;D141&amp;"-"&amp;E141&amp;"-Pos1",'Shooter-Squad Assignment'!$Y:$Y,0)),""),"")))</f>
        <v/>
      </c>
      <c r="G141" s="73" t="str">
        <f>IF(ISBLANK(F141),"",IFERROR(INDEX('Tournament List'!$D:$D,MATCH(F141,'Tournament List'!$A:$A,0)),""))</f>
        <v/>
      </c>
      <c r="H141" s="98" t="str">
        <f>IF(E141="Skeet",IFERROR(INDEX('Shooter-Squad Assignment'!$A:$A,MATCH(C141&amp;"-"&amp;D141&amp;"-"&amp;E141&amp;"-Pos2",'Shooter-Squad Assignment'!#REF!,0)),""),IF(E141="Trap",IFERROR(INDEX('Shooter-Squad Assignment'!$A:$A,MATCH(C141&amp;"-"&amp;D141&amp;"-"&amp;E141&amp;"-Pos2",'Shooter-Squad Assignment'!$V:$V,0)),""),IF(E141="Sporting Clays",IFERROR(INDEX('Shooter-Squad Assignment'!$A:$A,MATCH(C141&amp;"-"&amp;D141&amp;"-"&amp;E141&amp;"-Pos2",'Shooter-Squad Assignment'!$Y:$Y,0)),""),"")))</f>
        <v/>
      </c>
      <c r="I141" s="73" t="str">
        <f>IF(ISBLANK(H141),"",IFERROR(INDEX('Tournament List'!$D:$D,MATCH(H141,'Tournament List'!$A:$A,0)),""))</f>
        <v/>
      </c>
      <c r="J141" s="98" t="str">
        <f>IF(E141="Skeet",IFERROR(INDEX('Shooter-Squad Assignment'!$A:$A,MATCH(C141&amp;"-"&amp;D141&amp;"-"&amp;E141&amp;"-Pos3",'Shooter-Squad Assignment'!#REF!,0)),""),IF(E141="Trap",IFERROR(INDEX('Shooter-Squad Assignment'!$A:$A,MATCH(C141&amp;"-"&amp;D141&amp;"-"&amp;E141&amp;"-Pos3",'Shooter-Squad Assignment'!$V:$V,0)),""),IF(E141="Sporting Clays",IFERROR(INDEX('Shooter-Squad Assignment'!$A:$A,MATCH(C141&amp;"-"&amp;D141&amp;"-"&amp;E141&amp;"-Pos3",'Shooter-Squad Assignment'!$Y:$Y,0)),""),"")))</f>
        <v/>
      </c>
      <c r="K141" s="73" t="str">
        <f>IF(ISBLANK(J141),"",IFERROR(INDEX('Tournament List'!$D:$D,MATCH(J141,'Tournament List'!$A:$A,0)),""))</f>
        <v/>
      </c>
      <c r="L141" s="98" t="str">
        <f>IF(E141="Skeet",IFERROR(INDEX('Shooter-Squad Assignment'!$A:$A,MATCH(C141&amp;"-"&amp;D141&amp;"-"&amp;E141&amp;"-Pos4",'Shooter-Squad Assignment'!#REF!,0)),""),IF(E141="Trap",IFERROR(INDEX('Shooter-Squad Assignment'!$A:$A,MATCH(C141&amp;"-"&amp;D141&amp;"-"&amp;E141&amp;"-Pos4",'Shooter-Squad Assignment'!$V:$V,0)),""),IF(E141="Sporting Clays",IFERROR(INDEX('Shooter-Squad Assignment'!$A:$A,MATCH(C141&amp;"-"&amp;D141&amp;"-"&amp;E141&amp;"-Pos4",'Shooter-Squad Assignment'!$Y:$Y,0)),""),"")))</f>
        <v/>
      </c>
      <c r="M141" s="73" t="str">
        <f>IF(ISBLANK(L141),"",IFERROR(INDEX('Tournament List'!$D:$D,MATCH(L141,'Tournament List'!$A:$A,0)),""))</f>
        <v/>
      </c>
      <c r="N141" s="98" t="str">
        <f>IF(E141="Skeet",IFERROR(INDEX('Shooter-Squad Assignment'!$A:$A,MATCH(C141&amp;"-"&amp;D141&amp;"-"&amp;E141&amp;"-Pos5",'Shooter-Squad Assignment'!#REF!,0)),""),IF(E141="Trap",IFERROR(INDEX('Shooter-Squad Assignment'!$A:$A,MATCH(C141&amp;"-"&amp;D141&amp;"-"&amp;E141&amp;"-Pos5",'Shooter-Squad Assignment'!$V:$V,0)),""),IF(E141="Sporting Clays",IFERROR(INDEX('Shooter-Squad Assignment'!$A:$A,MATCH(C141&amp;"-"&amp;D141&amp;"-"&amp;E141&amp;"-Pos5",'Shooter-Squad Assignment'!$Y:$Y,0)),""),"")))</f>
        <v/>
      </c>
      <c r="O141" s="80" t="str">
        <f>IF(ISBLANK(N141),"",IFERROR(INDEX('Tournament List'!$D:$D,MATCH(N141,'Tournament List'!$A:$A,0)),""))</f>
        <v/>
      </c>
    </row>
    <row r="142" spans="1:15" x14ac:dyDescent="0.3">
      <c r="A142" s="79">
        <v>150</v>
      </c>
      <c r="B142" s="73" t="str">
        <f t="shared" si="2"/>
        <v>Wiggins Tigers Sporting Club-Open 3-Trap</v>
      </c>
      <c r="C142" s="73" t="s">
        <v>321</v>
      </c>
      <c r="D142" s="73" t="s">
        <v>355</v>
      </c>
      <c r="E142" s="73" t="s">
        <v>147</v>
      </c>
      <c r="F142" s="98" t="str">
        <f>IF(E142="Skeet",IFERROR(INDEX('Shooter-Squad Assignment'!$A:$A,MATCH(C142&amp;"-"&amp;D142&amp;"-"&amp;E142&amp;"-Pos1",'Shooter-Squad Assignment'!#REF!,0)),""),IF(E142="Trap",IFERROR(INDEX('Shooter-Squad Assignment'!$A:$A,MATCH(C142&amp;"-"&amp;D142&amp;"-"&amp;E142&amp;"-Pos1",'Shooter-Squad Assignment'!$V:$V,0)),""),IF(E142="Sporting Clays",IFERROR(INDEX('Shooter-Squad Assignment'!$A:$A,MATCH(C142&amp;"-"&amp;D142&amp;"-"&amp;E142&amp;"-Pos1",'Shooter-Squad Assignment'!$Y:$Y,0)),""),"")))</f>
        <v/>
      </c>
      <c r="G142" s="73" t="str">
        <f>IF(ISBLANK(F142),"",IFERROR(INDEX('Tournament List'!$D:$D,MATCH(F142,'Tournament List'!$A:$A,0)),""))</f>
        <v/>
      </c>
      <c r="H142" s="98" t="str">
        <f>IF(E142="Skeet",IFERROR(INDEX('Shooter-Squad Assignment'!$A:$A,MATCH(C142&amp;"-"&amp;D142&amp;"-"&amp;E142&amp;"-Pos2",'Shooter-Squad Assignment'!#REF!,0)),""),IF(E142="Trap",IFERROR(INDEX('Shooter-Squad Assignment'!$A:$A,MATCH(C142&amp;"-"&amp;D142&amp;"-"&amp;E142&amp;"-Pos2",'Shooter-Squad Assignment'!$V:$V,0)),""),IF(E142="Sporting Clays",IFERROR(INDEX('Shooter-Squad Assignment'!$A:$A,MATCH(C142&amp;"-"&amp;D142&amp;"-"&amp;E142&amp;"-Pos2",'Shooter-Squad Assignment'!$Y:$Y,0)),""),"")))</f>
        <v/>
      </c>
      <c r="I142" s="73" t="str">
        <f>IF(ISBLANK(H142),"",IFERROR(INDEX('Tournament List'!$D:$D,MATCH(H142,'Tournament List'!$A:$A,0)),""))</f>
        <v/>
      </c>
      <c r="J142" s="98" t="str">
        <f>IF(E142="Skeet",IFERROR(INDEX('Shooter-Squad Assignment'!$A:$A,MATCH(C142&amp;"-"&amp;D142&amp;"-"&amp;E142&amp;"-Pos3",'Shooter-Squad Assignment'!#REF!,0)),""),IF(E142="Trap",IFERROR(INDEX('Shooter-Squad Assignment'!$A:$A,MATCH(C142&amp;"-"&amp;D142&amp;"-"&amp;E142&amp;"-Pos3",'Shooter-Squad Assignment'!$V:$V,0)),""),IF(E142="Sporting Clays",IFERROR(INDEX('Shooter-Squad Assignment'!$A:$A,MATCH(C142&amp;"-"&amp;D142&amp;"-"&amp;E142&amp;"-Pos3",'Shooter-Squad Assignment'!$Y:$Y,0)),""),"")))</f>
        <v/>
      </c>
      <c r="K142" s="73" t="str">
        <f>IF(ISBLANK(J142),"",IFERROR(INDEX('Tournament List'!$D:$D,MATCH(J142,'Tournament List'!$A:$A,0)),""))</f>
        <v/>
      </c>
      <c r="L142" s="98" t="str">
        <f>IF(E142="Skeet",IFERROR(INDEX('Shooter-Squad Assignment'!$A:$A,MATCH(C142&amp;"-"&amp;D142&amp;"-"&amp;E142&amp;"-Pos4",'Shooter-Squad Assignment'!#REF!,0)),""),IF(E142="Trap",IFERROR(INDEX('Shooter-Squad Assignment'!$A:$A,MATCH(C142&amp;"-"&amp;D142&amp;"-"&amp;E142&amp;"-Pos4",'Shooter-Squad Assignment'!$V:$V,0)),""),IF(E142="Sporting Clays",IFERROR(INDEX('Shooter-Squad Assignment'!$A:$A,MATCH(C142&amp;"-"&amp;D142&amp;"-"&amp;E142&amp;"-Pos4",'Shooter-Squad Assignment'!$Y:$Y,0)),""),"")))</f>
        <v/>
      </c>
      <c r="M142" s="73" t="str">
        <f>IF(ISBLANK(L142),"",IFERROR(INDEX('Tournament List'!$D:$D,MATCH(L142,'Tournament List'!$A:$A,0)),""))</f>
        <v/>
      </c>
      <c r="N142" s="98" t="str">
        <f>IF(E142="Skeet",IFERROR(INDEX('Shooter-Squad Assignment'!$A:$A,MATCH(C142&amp;"-"&amp;D142&amp;"-"&amp;E142&amp;"-Pos5",'Shooter-Squad Assignment'!#REF!,0)),""),IF(E142="Trap",IFERROR(INDEX('Shooter-Squad Assignment'!$A:$A,MATCH(C142&amp;"-"&amp;D142&amp;"-"&amp;E142&amp;"-Pos5",'Shooter-Squad Assignment'!$V:$V,0)),""),IF(E142="Sporting Clays",IFERROR(INDEX('Shooter-Squad Assignment'!$A:$A,MATCH(C142&amp;"-"&amp;D142&amp;"-"&amp;E142&amp;"-Pos5",'Shooter-Squad Assignment'!$Y:$Y,0)),""),"")))</f>
        <v/>
      </c>
      <c r="O142" s="80" t="str">
        <f>IF(ISBLANK(N142),"",IFERROR(INDEX('Tournament List'!$D:$D,MATCH(N142,'Tournament List'!$A:$A,0)),""))</f>
        <v/>
      </c>
    </row>
    <row r="143" spans="1:15" x14ac:dyDescent="0.3">
      <c r="A143" s="79">
        <v>151</v>
      </c>
      <c r="B143" s="73" t="str">
        <f t="shared" si="2"/>
        <v>Wiggins Tigers Sporting Club-Varsity 1-Trap</v>
      </c>
      <c r="C143" s="73" t="s">
        <v>321</v>
      </c>
      <c r="D143" s="73" t="s">
        <v>342</v>
      </c>
      <c r="E143" s="73" t="s">
        <v>147</v>
      </c>
      <c r="F143" s="98" t="str">
        <f>IF(E143="Skeet",IFERROR(INDEX('Shooter-Squad Assignment'!$A:$A,MATCH(C143&amp;"-"&amp;D143&amp;"-"&amp;E143&amp;"-Pos1",'Shooter-Squad Assignment'!#REF!,0)),""),IF(E143="Trap",IFERROR(INDEX('Shooter-Squad Assignment'!$A:$A,MATCH(C143&amp;"-"&amp;D143&amp;"-"&amp;E143&amp;"-Pos1",'Shooter-Squad Assignment'!$V:$V,0)),""),IF(E143="Sporting Clays",IFERROR(INDEX('Shooter-Squad Assignment'!$A:$A,MATCH(C143&amp;"-"&amp;D143&amp;"-"&amp;E143&amp;"-Pos1",'Shooter-Squad Assignment'!$Y:$Y,0)),""),"")))</f>
        <v/>
      </c>
      <c r="G143" s="73" t="str">
        <f>IF(ISBLANK(F143),"",IFERROR(INDEX('Tournament List'!$D:$D,MATCH(F143,'Tournament List'!$A:$A,0)),""))</f>
        <v/>
      </c>
      <c r="H143" s="98" t="str">
        <f>IF(E143="Skeet",IFERROR(INDEX('Shooter-Squad Assignment'!$A:$A,MATCH(C143&amp;"-"&amp;D143&amp;"-"&amp;E143&amp;"-Pos2",'Shooter-Squad Assignment'!#REF!,0)),""),IF(E143="Trap",IFERROR(INDEX('Shooter-Squad Assignment'!$A:$A,MATCH(C143&amp;"-"&amp;D143&amp;"-"&amp;E143&amp;"-Pos2",'Shooter-Squad Assignment'!$V:$V,0)),""),IF(E143="Sporting Clays",IFERROR(INDEX('Shooter-Squad Assignment'!$A:$A,MATCH(C143&amp;"-"&amp;D143&amp;"-"&amp;E143&amp;"-Pos2",'Shooter-Squad Assignment'!$Y:$Y,0)),""),"")))</f>
        <v/>
      </c>
      <c r="I143" s="73" t="str">
        <f>IF(ISBLANK(H143),"",IFERROR(INDEX('Tournament List'!$D:$D,MATCH(H143,'Tournament List'!$A:$A,0)),""))</f>
        <v/>
      </c>
      <c r="J143" s="98" t="str">
        <f>IF(E143="Skeet",IFERROR(INDEX('Shooter-Squad Assignment'!$A:$A,MATCH(C143&amp;"-"&amp;D143&amp;"-"&amp;E143&amp;"-Pos3",'Shooter-Squad Assignment'!#REF!,0)),""),IF(E143="Trap",IFERROR(INDEX('Shooter-Squad Assignment'!$A:$A,MATCH(C143&amp;"-"&amp;D143&amp;"-"&amp;E143&amp;"-Pos3",'Shooter-Squad Assignment'!$V:$V,0)),""),IF(E143="Sporting Clays",IFERROR(INDEX('Shooter-Squad Assignment'!$A:$A,MATCH(C143&amp;"-"&amp;D143&amp;"-"&amp;E143&amp;"-Pos3",'Shooter-Squad Assignment'!$Y:$Y,0)),""),"")))</f>
        <v/>
      </c>
      <c r="K143" s="73" t="str">
        <f>IF(ISBLANK(J143),"",IFERROR(INDEX('Tournament List'!$D:$D,MATCH(J143,'Tournament List'!$A:$A,0)),""))</f>
        <v/>
      </c>
      <c r="L143" s="98" t="str">
        <f>IF(E143="Skeet",IFERROR(INDEX('Shooter-Squad Assignment'!$A:$A,MATCH(C143&amp;"-"&amp;D143&amp;"-"&amp;E143&amp;"-Pos4",'Shooter-Squad Assignment'!#REF!,0)),""),IF(E143="Trap",IFERROR(INDEX('Shooter-Squad Assignment'!$A:$A,MATCH(C143&amp;"-"&amp;D143&amp;"-"&amp;E143&amp;"-Pos4",'Shooter-Squad Assignment'!$V:$V,0)),""),IF(E143="Sporting Clays",IFERROR(INDEX('Shooter-Squad Assignment'!$A:$A,MATCH(C143&amp;"-"&amp;D143&amp;"-"&amp;E143&amp;"-Pos4",'Shooter-Squad Assignment'!$Y:$Y,0)),""),"")))</f>
        <v/>
      </c>
      <c r="M143" s="73" t="str">
        <f>IF(ISBLANK(L143),"",IFERROR(INDEX('Tournament List'!$D:$D,MATCH(L143,'Tournament List'!$A:$A,0)),""))</f>
        <v/>
      </c>
      <c r="N143" s="98" t="str">
        <f>IF(E143="Skeet",IFERROR(INDEX('Shooter-Squad Assignment'!$A:$A,MATCH(C143&amp;"-"&amp;D143&amp;"-"&amp;E143&amp;"-Pos5",'Shooter-Squad Assignment'!#REF!,0)),""),IF(E143="Trap",IFERROR(INDEX('Shooter-Squad Assignment'!$A:$A,MATCH(C143&amp;"-"&amp;D143&amp;"-"&amp;E143&amp;"-Pos5",'Shooter-Squad Assignment'!$V:$V,0)),""),IF(E143="Sporting Clays",IFERROR(INDEX('Shooter-Squad Assignment'!$A:$A,MATCH(C143&amp;"-"&amp;D143&amp;"-"&amp;E143&amp;"-Pos5",'Shooter-Squad Assignment'!$Y:$Y,0)),""),"")))</f>
        <v/>
      </c>
      <c r="O143" s="80" t="str">
        <f>IF(ISBLANK(N143),"",IFERROR(INDEX('Tournament List'!$D:$D,MATCH(N143,'Tournament List'!$A:$A,0)),""))</f>
        <v/>
      </c>
    </row>
    <row r="144" spans="1:15" x14ac:dyDescent="0.3">
      <c r="A144" s="79">
        <v>152</v>
      </c>
      <c r="B144" s="73" t="str">
        <f t="shared" si="2"/>
        <v>Wiggins Tigers Sporting Club-Varsity 2-Trap</v>
      </c>
      <c r="C144" s="73" t="s">
        <v>321</v>
      </c>
      <c r="D144" s="73" t="s">
        <v>348</v>
      </c>
      <c r="E144" s="73" t="s">
        <v>147</v>
      </c>
      <c r="F144" s="98" t="str">
        <f>IF(E144="Skeet",IFERROR(INDEX('Shooter-Squad Assignment'!$A:$A,MATCH(C144&amp;"-"&amp;D144&amp;"-"&amp;E144&amp;"-Pos1",'Shooter-Squad Assignment'!#REF!,0)),""),IF(E144="Trap",IFERROR(INDEX('Shooter-Squad Assignment'!$A:$A,MATCH(C144&amp;"-"&amp;D144&amp;"-"&amp;E144&amp;"-Pos1",'Shooter-Squad Assignment'!$V:$V,0)),""),IF(E144="Sporting Clays",IFERROR(INDEX('Shooter-Squad Assignment'!$A:$A,MATCH(C144&amp;"-"&amp;D144&amp;"-"&amp;E144&amp;"-Pos1",'Shooter-Squad Assignment'!$Y:$Y,0)),""),"")))</f>
        <v/>
      </c>
      <c r="G144" s="73" t="str">
        <f>IF(ISBLANK(F144),"",IFERROR(INDEX('Tournament List'!$D:$D,MATCH(F144,'Tournament List'!$A:$A,0)),""))</f>
        <v/>
      </c>
      <c r="H144" s="98" t="str">
        <f>IF(E144="Skeet",IFERROR(INDEX('Shooter-Squad Assignment'!$A:$A,MATCH(C144&amp;"-"&amp;D144&amp;"-"&amp;E144&amp;"-Pos2",'Shooter-Squad Assignment'!#REF!,0)),""),IF(E144="Trap",IFERROR(INDEX('Shooter-Squad Assignment'!$A:$A,MATCH(C144&amp;"-"&amp;D144&amp;"-"&amp;E144&amp;"-Pos2",'Shooter-Squad Assignment'!$V:$V,0)),""),IF(E144="Sporting Clays",IFERROR(INDEX('Shooter-Squad Assignment'!$A:$A,MATCH(C144&amp;"-"&amp;D144&amp;"-"&amp;E144&amp;"-Pos2",'Shooter-Squad Assignment'!$Y:$Y,0)),""),"")))</f>
        <v/>
      </c>
      <c r="I144" s="73" t="str">
        <f>IF(ISBLANK(H144),"",IFERROR(INDEX('Tournament List'!$D:$D,MATCH(H144,'Tournament List'!$A:$A,0)),""))</f>
        <v/>
      </c>
      <c r="J144" s="98" t="str">
        <f>IF(E144="Skeet",IFERROR(INDEX('Shooter-Squad Assignment'!$A:$A,MATCH(C144&amp;"-"&amp;D144&amp;"-"&amp;E144&amp;"-Pos3",'Shooter-Squad Assignment'!#REF!,0)),""),IF(E144="Trap",IFERROR(INDEX('Shooter-Squad Assignment'!$A:$A,MATCH(C144&amp;"-"&amp;D144&amp;"-"&amp;E144&amp;"-Pos3",'Shooter-Squad Assignment'!$V:$V,0)),""),IF(E144="Sporting Clays",IFERROR(INDEX('Shooter-Squad Assignment'!$A:$A,MATCH(C144&amp;"-"&amp;D144&amp;"-"&amp;E144&amp;"-Pos3",'Shooter-Squad Assignment'!$Y:$Y,0)),""),"")))</f>
        <v/>
      </c>
      <c r="K144" s="73" t="str">
        <f>IF(ISBLANK(J144),"",IFERROR(INDEX('Tournament List'!$D:$D,MATCH(J144,'Tournament List'!$A:$A,0)),""))</f>
        <v/>
      </c>
      <c r="L144" s="98" t="str">
        <f>IF(E144="Skeet",IFERROR(INDEX('Shooter-Squad Assignment'!$A:$A,MATCH(C144&amp;"-"&amp;D144&amp;"-"&amp;E144&amp;"-Pos4",'Shooter-Squad Assignment'!#REF!,0)),""),IF(E144="Trap",IFERROR(INDEX('Shooter-Squad Assignment'!$A:$A,MATCH(C144&amp;"-"&amp;D144&amp;"-"&amp;E144&amp;"-Pos4",'Shooter-Squad Assignment'!$V:$V,0)),""),IF(E144="Sporting Clays",IFERROR(INDEX('Shooter-Squad Assignment'!$A:$A,MATCH(C144&amp;"-"&amp;D144&amp;"-"&amp;E144&amp;"-Pos4",'Shooter-Squad Assignment'!$Y:$Y,0)),""),"")))</f>
        <v/>
      </c>
      <c r="M144" s="73" t="str">
        <f>IF(ISBLANK(L144),"",IFERROR(INDEX('Tournament List'!$D:$D,MATCH(L144,'Tournament List'!$A:$A,0)),""))</f>
        <v/>
      </c>
      <c r="N144" s="98" t="str">
        <f>IF(E144="Skeet",IFERROR(INDEX('Shooter-Squad Assignment'!$A:$A,MATCH(C144&amp;"-"&amp;D144&amp;"-"&amp;E144&amp;"-Pos5",'Shooter-Squad Assignment'!#REF!,0)),""),IF(E144="Trap",IFERROR(INDEX('Shooter-Squad Assignment'!$A:$A,MATCH(C144&amp;"-"&amp;D144&amp;"-"&amp;E144&amp;"-Pos5",'Shooter-Squad Assignment'!$V:$V,0)),""),IF(E144="Sporting Clays",IFERROR(INDEX('Shooter-Squad Assignment'!$A:$A,MATCH(C144&amp;"-"&amp;D144&amp;"-"&amp;E144&amp;"-Pos5",'Shooter-Squad Assignment'!$Y:$Y,0)),""),"")))</f>
        <v/>
      </c>
      <c r="O144" s="80" t="str">
        <f>IF(ISBLANK(N144),"",IFERROR(INDEX('Tournament List'!$D:$D,MATCH(N144,'Tournament List'!$A:$A,0)),""))</f>
        <v/>
      </c>
    </row>
    <row r="145" spans="1:15" x14ac:dyDescent="0.3">
      <c r="A145" s="79">
        <v>153</v>
      </c>
      <c r="B145" s="73" t="str">
        <f t="shared" si="2"/>
        <v>Wiggins Tigers Sporting Club-Varsity 3-Trap</v>
      </c>
      <c r="C145" s="73" t="s">
        <v>321</v>
      </c>
      <c r="D145" s="73" t="s">
        <v>354</v>
      </c>
      <c r="E145" s="73" t="s">
        <v>147</v>
      </c>
      <c r="F145" s="98" t="str">
        <f>IF(E145="Skeet",IFERROR(INDEX('Shooter-Squad Assignment'!$A:$A,MATCH(C145&amp;"-"&amp;D145&amp;"-"&amp;E145&amp;"-Pos1",'Shooter-Squad Assignment'!#REF!,0)),""),IF(E145="Trap",IFERROR(INDEX('Shooter-Squad Assignment'!$A:$A,MATCH(C145&amp;"-"&amp;D145&amp;"-"&amp;E145&amp;"-Pos1",'Shooter-Squad Assignment'!$V:$V,0)),""),IF(E145="Sporting Clays",IFERROR(INDEX('Shooter-Squad Assignment'!$A:$A,MATCH(C145&amp;"-"&amp;D145&amp;"-"&amp;E145&amp;"-Pos1",'Shooter-Squad Assignment'!$Y:$Y,0)),""),"")))</f>
        <v/>
      </c>
      <c r="G145" s="73" t="str">
        <f>IF(ISBLANK(F145),"",IFERROR(INDEX('Tournament List'!$D:$D,MATCH(F145,'Tournament List'!$A:$A,0)),""))</f>
        <v/>
      </c>
      <c r="H145" s="98" t="str">
        <f>IF(E145="Skeet",IFERROR(INDEX('Shooter-Squad Assignment'!$A:$A,MATCH(C145&amp;"-"&amp;D145&amp;"-"&amp;E145&amp;"-Pos2",'Shooter-Squad Assignment'!#REF!,0)),""),IF(E145="Trap",IFERROR(INDEX('Shooter-Squad Assignment'!$A:$A,MATCH(C145&amp;"-"&amp;D145&amp;"-"&amp;E145&amp;"-Pos2",'Shooter-Squad Assignment'!$V:$V,0)),""),IF(E145="Sporting Clays",IFERROR(INDEX('Shooter-Squad Assignment'!$A:$A,MATCH(C145&amp;"-"&amp;D145&amp;"-"&amp;E145&amp;"-Pos2",'Shooter-Squad Assignment'!$Y:$Y,0)),""),"")))</f>
        <v/>
      </c>
      <c r="I145" s="73" t="str">
        <f>IF(ISBLANK(H145),"",IFERROR(INDEX('Tournament List'!$D:$D,MATCH(H145,'Tournament List'!$A:$A,0)),""))</f>
        <v/>
      </c>
      <c r="J145" s="98" t="str">
        <f>IF(E145="Skeet",IFERROR(INDEX('Shooter-Squad Assignment'!$A:$A,MATCH(C145&amp;"-"&amp;D145&amp;"-"&amp;E145&amp;"-Pos3",'Shooter-Squad Assignment'!#REF!,0)),""),IF(E145="Trap",IFERROR(INDEX('Shooter-Squad Assignment'!$A:$A,MATCH(C145&amp;"-"&amp;D145&amp;"-"&amp;E145&amp;"-Pos3",'Shooter-Squad Assignment'!$V:$V,0)),""),IF(E145="Sporting Clays",IFERROR(INDEX('Shooter-Squad Assignment'!$A:$A,MATCH(C145&amp;"-"&amp;D145&amp;"-"&amp;E145&amp;"-Pos3",'Shooter-Squad Assignment'!$Y:$Y,0)),""),"")))</f>
        <v/>
      </c>
      <c r="K145" s="73" t="str">
        <f>IF(ISBLANK(J145),"",IFERROR(INDEX('Tournament List'!$D:$D,MATCH(J145,'Tournament List'!$A:$A,0)),""))</f>
        <v/>
      </c>
      <c r="L145" s="98" t="str">
        <f>IF(E145="Skeet",IFERROR(INDEX('Shooter-Squad Assignment'!$A:$A,MATCH(C145&amp;"-"&amp;D145&amp;"-"&amp;E145&amp;"-Pos4",'Shooter-Squad Assignment'!#REF!,0)),""),IF(E145="Trap",IFERROR(INDEX('Shooter-Squad Assignment'!$A:$A,MATCH(C145&amp;"-"&amp;D145&amp;"-"&amp;E145&amp;"-Pos4",'Shooter-Squad Assignment'!$V:$V,0)),""),IF(E145="Sporting Clays",IFERROR(INDEX('Shooter-Squad Assignment'!$A:$A,MATCH(C145&amp;"-"&amp;D145&amp;"-"&amp;E145&amp;"-Pos4",'Shooter-Squad Assignment'!$Y:$Y,0)),""),"")))</f>
        <v/>
      </c>
      <c r="M145" s="73" t="str">
        <f>IF(ISBLANK(L145),"",IFERROR(INDEX('Tournament List'!$D:$D,MATCH(L145,'Tournament List'!$A:$A,0)),""))</f>
        <v/>
      </c>
      <c r="N145" s="98" t="str">
        <f>IF(E145="Skeet",IFERROR(INDEX('Shooter-Squad Assignment'!$A:$A,MATCH(C145&amp;"-"&amp;D145&amp;"-"&amp;E145&amp;"-Pos5",'Shooter-Squad Assignment'!#REF!,0)),""),IF(E145="Trap",IFERROR(INDEX('Shooter-Squad Assignment'!$A:$A,MATCH(C145&amp;"-"&amp;D145&amp;"-"&amp;E145&amp;"-Pos5",'Shooter-Squad Assignment'!$V:$V,0)),""),IF(E145="Sporting Clays",IFERROR(INDEX('Shooter-Squad Assignment'!$A:$A,MATCH(C145&amp;"-"&amp;D145&amp;"-"&amp;E145&amp;"-Pos5",'Shooter-Squad Assignment'!$Y:$Y,0)),""),"")))</f>
        <v/>
      </c>
      <c r="O145" s="80" t="str">
        <f>IF(ISBLANK(N145),"",IFERROR(INDEX('Tournament List'!$D:$D,MATCH(N145,'Tournament List'!$A:$A,0)),""))</f>
        <v/>
      </c>
    </row>
    <row r="146" spans="1:15" x14ac:dyDescent="0.3">
      <c r="A146" s="79">
        <v>154</v>
      </c>
      <c r="B146" s="73" t="str">
        <f t="shared" si="2"/>
        <v>Wiggins Tigers Sporting Club-Collegiate 1-Sporting Clays</v>
      </c>
      <c r="C146" s="73" t="s">
        <v>321</v>
      </c>
      <c r="D146" s="73" t="s">
        <v>344</v>
      </c>
      <c r="E146" s="73" t="s">
        <v>148</v>
      </c>
      <c r="F146" s="98" t="str">
        <f>IF(E146="Skeet",IFERROR(INDEX('Shooter-Squad Assignment'!$A:$A,MATCH(C146&amp;"-"&amp;D146&amp;"-"&amp;E146&amp;"-Pos1",'Shooter-Squad Assignment'!#REF!,0)),""),IF(E146="Trap",IFERROR(INDEX('Shooter-Squad Assignment'!$A:$A,MATCH(C146&amp;"-"&amp;D146&amp;"-"&amp;E146&amp;"-Pos1",'Shooter-Squad Assignment'!$V:$V,0)),""),IF(E146="Sporting Clays",IFERROR(INDEX('Shooter-Squad Assignment'!$A:$A,MATCH(C146&amp;"-"&amp;D146&amp;"-"&amp;E146&amp;"-Pos1",'Shooter-Squad Assignment'!$Y:$Y,0)),""),"")))</f>
        <v/>
      </c>
      <c r="G146" s="73" t="str">
        <f>IF(ISBLANK(F146),"",IFERROR(INDEX('Tournament List'!$D:$D,MATCH(F146,'Tournament List'!$A:$A,0)),""))</f>
        <v/>
      </c>
      <c r="H146" s="98" t="str">
        <f>IF(E146="Skeet",IFERROR(INDEX('Shooter-Squad Assignment'!$A:$A,MATCH(C146&amp;"-"&amp;D146&amp;"-"&amp;E146&amp;"-Pos2",'Shooter-Squad Assignment'!#REF!,0)),""),IF(E146="Trap",IFERROR(INDEX('Shooter-Squad Assignment'!$A:$A,MATCH(C146&amp;"-"&amp;D146&amp;"-"&amp;E146&amp;"-Pos2",'Shooter-Squad Assignment'!$V:$V,0)),""),IF(E146="Sporting Clays",IFERROR(INDEX('Shooter-Squad Assignment'!$A:$A,MATCH(C146&amp;"-"&amp;D146&amp;"-"&amp;E146&amp;"-Pos2",'Shooter-Squad Assignment'!$Y:$Y,0)),""),"")))</f>
        <v/>
      </c>
      <c r="I146" s="73" t="str">
        <f>IF(ISBLANK(H146),"",IFERROR(INDEX('Tournament List'!$D:$D,MATCH(H146,'Tournament List'!$A:$A,0)),""))</f>
        <v/>
      </c>
      <c r="J146" s="98" t="str">
        <f>IF(E146="Skeet",IFERROR(INDEX('Shooter-Squad Assignment'!$A:$A,MATCH(C146&amp;"-"&amp;D146&amp;"-"&amp;E146&amp;"-Pos3",'Shooter-Squad Assignment'!#REF!,0)),""),IF(E146="Trap",IFERROR(INDEX('Shooter-Squad Assignment'!$A:$A,MATCH(C146&amp;"-"&amp;D146&amp;"-"&amp;E146&amp;"-Pos3",'Shooter-Squad Assignment'!$V:$V,0)),""),IF(E146="Sporting Clays",IFERROR(INDEX('Shooter-Squad Assignment'!$A:$A,MATCH(C146&amp;"-"&amp;D146&amp;"-"&amp;E146&amp;"-Pos3",'Shooter-Squad Assignment'!$Y:$Y,0)),""),"")))</f>
        <v/>
      </c>
      <c r="K146" s="73" t="str">
        <f>IF(ISBLANK(J146),"",IFERROR(INDEX('Tournament List'!$D:$D,MATCH(J146,'Tournament List'!$A:$A,0)),""))</f>
        <v/>
      </c>
      <c r="L146" s="98" t="str">
        <f>IF(E146="Skeet",IFERROR(INDEX('Shooter-Squad Assignment'!$A:$A,MATCH(C146&amp;"-"&amp;D146&amp;"-"&amp;E146&amp;"-Pos4",'Shooter-Squad Assignment'!#REF!,0)),""),IF(E146="Trap",IFERROR(INDEX('Shooter-Squad Assignment'!$A:$A,MATCH(C146&amp;"-"&amp;D146&amp;"-"&amp;E146&amp;"-Pos4",'Shooter-Squad Assignment'!$V:$V,0)),""),IF(E146="Sporting Clays",IFERROR(INDEX('Shooter-Squad Assignment'!$A:$A,MATCH(C146&amp;"-"&amp;D146&amp;"-"&amp;E146&amp;"-Pos4",'Shooter-Squad Assignment'!$Y:$Y,0)),""),"")))</f>
        <v/>
      </c>
      <c r="M146" s="73" t="str">
        <f>IF(ISBLANK(L146),"",IFERROR(INDEX('Tournament List'!$D:$D,MATCH(L146,'Tournament List'!$A:$A,0)),""))</f>
        <v/>
      </c>
      <c r="N146" s="98" t="str">
        <f>IF(E146="Skeet",IFERROR(INDEX('Shooter-Squad Assignment'!$A:$A,MATCH(C146&amp;"-"&amp;D146&amp;"-"&amp;E146&amp;"-Pos5",'Shooter-Squad Assignment'!#REF!,0)),""),IF(E146="Trap",IFERROR(INDEX('Shooter-Squad Assignment'!$A:$A,MATCH(C146&amp;"-"&amp;D146&amp;"-"&amp;E146&amp;"-Pos5",'Shooter-Squad Assignment'!$V:$V,0)),""),IF(E146="Sporting Clays",IFERROR(INDEX('Shooter-Squad Assignment'!$A:$A,MATCH(C146&amp;"-"&amp;D146&amp;"-"&amp;E146&amp;"-Pos5",'Shooter-Squad Assignment'!$Y:$Y,0)),""),"")))</f>
        <v/>
      </c>
      <c r="O146" s="80" t="str">
        <f>IF(ISBLANK(N146),"",IFERROR(INDEX('Tournament List'!$D:$D,MATCH(N146,'Tournament List'!$A:$A,0)),""))</f>
        <v/>
      </c>
    </row>
    <row r="147" spans="1:15" x14ac:dyDescent="0.3">
      <c r="A147" s="79">
        <v>155</v>
      </c>
      <c r="B147" s="73" t="str">
        <f t="shared" si="2"/>
        <v>Wiggins Tigers Sporting Club-Collegiate 2-Sporting Clays</v>
      </c>
      <c r="C147" s="73" t="s">
        <v>321</v>
      </c>
      <c r="D147" s="73" t="s">
        <v>350</v>
      </c>
      <c r="E147" s="73" t="s">
        <v>148</v>
      </c>
      <c r="F147" s="98" t="str">
        <f>IF(E147="Skeet",IFERROR(INDEX('Shooter-Squad Assignment'!$A:$A,MATCH(C147&amp;"-"&amp;D147&amp;"-"&amp;E147&amp;"-Pos1",'Shooter-Squad Assignment'!#REF!,0)),""),IF(E147="Trap",IFERROR(INDEX('Shooter-Squad Assignment'!$A:$A,MATCH(C147&amp;"-"&amp;D147&amp;"-"&amp;E147&amp;"-Pos1",'Shooter-Squad Assignment'!$V:$V,0)),""),IF(E147="Sporting Clays",IFERROR(INDEX('Shooter-Squad Assignment'!$A:$A,MATCH(C147&amp;"-"&amp;D147&amp;"-"&amp;E147&amp;"-Pos1",'Shooter-Squad Assignment'!$Y:$Y,0)),""),"")))</f>
        <v/>
      </c>
      <c r="G147" s="73" t="str">
        <f>IF(ISBLANK(F147),"",IFERROR(INDEX('Tournament List'!$D:$D,MATCH(F147,'Tournament List'!$A:$A,0)),""))</f>
        <v/>
      </c>
      <c r="H147" s="98" t="str">
        <f>IF(E147="Skeet",IFERROR(INDEX('Shooter-Squad Assignment'!$A:$A,MATCH(C147&amp;"-"&amp;D147&amp;"-"&amp;E147&amp;"-Pos2",'Shooter-Squad Assignment'!#REF!,0)),""),IF(E147="Trap",IFERROR(INDEX('Shooter-Squad Assignment'!$A:$A,MATCH(C147&amp;"-"&amp;D147&amp;"-"&amp;E147&amp;"-Pos2",'Shooter-Squad Assignment'!$V:$V,0)),""),IF(E147="Sporting Clays",IFERROR(INDEX('Shooter-Squad Assignment'!$A:$A,MATCH(C147&amp;"-"&amp;D147&amp;"-"&amp;E147&amp;"-Pos2",'Shooter-Squad Assignment'!$Y:$Y,0)),""),"")))</f>
        <v/>
      </c>
      <c r="I147" s="73" t="str">
        <f>IF(ISBLANK(H147),"",IFERROR(INDEX('Tournament List'!$D:$D,MATCH(H147,'Tournament List'!$A:$A,0)),""))</f>
        <v/>
      </c>
      <c r="J147" s="98" t="str">
        <f>IF(E147="Skeet",IFERROR(INDEX('Shooter-Squad Assignment'!$A:$A,MATCH(C147&amp;"-"&amp;D147&amp;"-"&amp;E147&amp;"-Pos3",'Shooter-Squad Assignment'!#REF!,0)),""),IF(E147="Trap",IFERROR(INDEX('Shooter-Squad Assignment'!$A:$A,MATCH(C147&amp;"-"&amp;D147&amp;"-"&amp;E147&amp;"-Pos3",'Shooter-Squad Assignment'!$V:$V,0)),""),IF(E147="Sporting Clays",IFERROR(INDEX('Shooter-Squad Assignment'!$A:$A,MATCH(C147&amp;"-"&amp;D147&amp;"-"&amp;E147&amp;"-Pos3",'Shooter-Squad Assignment'!$Y:$Y,0)),""),"")))</f>
        <v/>
      </c>
      <c r="K147" s="73" t="str">
        <f>IF(ISBLANK(J147),"",IFERROR(INDEX('Tournament List'!$D:$D,MATCH(J147,'Tournament List'!$A:$A,0)),""))</f>
        <v/>
      </c>
      <c r="L147" s="98" t="str">
        <f>IF(E147="Skeet",IFERROR(INDEX('Shooter-Squad Assignment'!$A:$A,MATCH(C147&amp;"-"&amp;D147&amp;"-"&amp;E147&amp;"-Pos4",'Shooter-Squad Assignment'!#REF!,0)),""),IF(E147="Trap",IFERROR(INDEX('Shooter-Squad Assignment'!$A:$A,MATCH(C147&amp;"-"&amp;D147&amp;"-"&amp;E147&amp;"-Pos4",'Shooter-Squad Assignment'!$V:$V,0)),""),IF(E147="Sporting Clays",IFERROR(INDEX('Shooter-Squad Assignment'!$A:$A,MATCH(C147&amp;"-"&amp;D147&amp;"-"&amp;E147&amp;"-Pos4",'Shooter-Squad Assignment'!$Y:$Y,0)),""),"")))</f>
        <v/>
      </c>
      <c r="M147" s="73" t="str">
        <f>IF(ISBLANK(L147),"",IFERROR(INDEX('Tournament List'!$D:$D,MATCH(L147,'Tournament List'!$A:$A,0)),""))</f>
        <v/>
      </c>
      <c r="N147" s="98" t="str">
        <f>IF(E147="Skeet",IFERROR(INDEX('Shooter-Squad Assignment'!$A:$A,MATCH(C147&amp;"-"&amp;D147&amp;"-"&amp;E147&amp;"-Pos5",'Shooter-Squad Assignment'!#REF!,0)),""),IF(E147="Trap",IFERROR(INDEX('Shooter-Squad Assignment'!$A:$A,MATCH(C147&amp;"-"&amp;D147&amp;"-"&amp;E147&amp;"-Pos5",'Shooter-Squad Assignment'!$V:$V,0)),""),IF(E147="Sporting Clays",IFERROR(INDEX('Shooter-Squad Assignment'!$A:$A,MATCH(C147&amp;"-"&amp;D147&amp;"-"&amp;E147&amp;"-Pos5",'Shooter-Squad Assignment'!$Y:$Y,0)),""),"")))</f>
        <v/>
      </c>
      <c r="O147" s="80" t="str">
        <f>IF(ISBLANK(N147),"",IFERROR(INDEX('Tournament List'!$D:$D,MATCH(N147,'Tournament List'!$A:$A,0)),""))</f>
        <v/>
      </c>
    </row>
    <row r="148" spans="1:15" x14ac:dyDescent="0.3">
      <c r="A148" s="79">
        <v>156</v>
      </c>
      <c r="B148" s="73" t="str">
        <f t="shared" si="2"/>
        <v>Wiggins Tigers Sporting Club-Collegiate 3-Sporting Clays</v>
      </c>
      <c r="C148" s="73" t="s">
        <v>321</v>
      </c>
      <c r="D148" s="73" t="s">
        <v>356</v>
      </c>
      <c r="E148" s="73" t="s">
        <v>148</v>
      </c>
      <c r="F148" s="98" t="str">
        <f>IF(E148="Skeet",IFERROR(INDEX('Shooter-Squad Assignment'!$A:$A,MATCH(C148&amp;"-"&amp;D148&amp;"-"&amp;E148&amp;"-Pos1",'Shooter-Squad Assignment'!#REF!,0)),""),IF(E148="Trap",IFERROR(INDEX('Shooter-Squad Assignment'!$A:$A,MATCH(C148&amp;"-"&amp;D148&amp;"-"&amp;E148&amp;"-Pos1",'Shooter-Squad Assignment'!$V:$V,0)),""),IF(E148="Sporting Clays",IFERROR(INDEX('Shooter-Squad Assignment'!$A:$A,MATCH(C148&amp;"-"&amp;D148&amp;"-"&amp;E148&amp;"-Pos1",'Shooter-Squad Assignment'!$Y:$Y,0)),""),"")))</f>
        <v/>
      </c>
      <c r="G148" s="73" t="str">
        <f>IF(ISBLANK(F148),"",IFERROR(INDEX('Tournament List'!$D:$D,MATCH(F148,'Tournament List'!$A:$A,0)),""))</f>
        <v/>
      </c>
      <c r="H148" s="98" t="str">
        <f>IF(E148="Skeet",IFERROR(INDEX('Shooter-Squad Assignment'!$A:$A,MATCH(C148&amp;"-"&amp;D148&amp;"-"&amp;E148&amp;"-Pos2",'Shooter-Squad Assignment'!#REF!,0)),""),IF(E148="Trap",IFERROR(INDEX('Shooter-Squad Assignment'!$A:$A,MATCH(C148&amp;"-"&amp;D148&amp;"-"&amp;E148&amp;"-Pos2",'Shooter-Squad Assignment'!$V:$V,0)),""),IF(E148="Sporting Clays",IFERROR(INDEX('Shooter-Squad Assignment'!$A:$A,MATCH(C148&amp;"-"&amp;D148&amp;"-"&amp;E148&amp;"-Pos2",'Shooter-Squad Assignment'!$Y:$Y,0)),""),"")))</f>
        <v/>
      </c>
      <c r="I148" s="73" t="str">
        <f>IF(ISBLANK(H148),"",IFERROR(INDEX('Tournament List'!$D:$D,MATCH(H148,'Tournament List'!$A:$A,0)),""))</f>
        <v/>
      </c>
      <c r="J148" s="98" t="str">
        <f>IF(E148="Skeet",IFERROR(INDEX('Shooter-Squad Assignment'!$A:$A,MATCH(C148&amp;"-"&amp;D148&amp;"-"&amp;E148&amp;"-Pos3",'Shooter-Squad Assignment'!#REF!,0)),""),IF(E148="Trap",IFERROR(INDEX('Shooter-Squad Assignment'!$A:$A,MATCH(C148&amp;"-"&amp;D148&amp;"-"&amp;E148&amp;"-Pos3",'Shooter-Squad Assignment'!$V:$V,0)),""),IF(E148="Sporting Clays",IFERROR(INDEX('Shooter-Squad Assignment'!$A:$A,MATCH(C148&amp;"-"&amp;D148&amp;"-"&amp;E148&amp;"-Pos3",'Shooter-Squad Assignment'!$Y:$Y,0)),""),"")))</f>
        <v/>
      </c>
      <c r="K148" s="73" t="str">
        <f>IF(ISBLANK(J148),"",IFERROR(INDEX('Tournament List'!$D:$D,MATCH(J148,'Tournament List'!$A:$A,0)),""))</f>
        <v/>
      </c>
      <c r="L148" s="98" t="str">
        <f>IF(E148="Skeet",IFERROR(INDEX('Shooter-Squad Assignment'!$A:$A,MATCH(C148&amp;"-"&amp;D148&amp;"-"&amp;E148&amp;"-Pos4",'Shooter-Squad Assignment'!#REF!,0)),""),IF(E148="Trap",IFERROR(INDEX('Shooter-Squad Assignment'!$A:$A,MATCH(C148&amp;"-"&amp;D148&amp;"-"&amp;E148&amp;"-Pos4",'Shooter-Squad Assignment'!$V:$V,0)),""),IF(E148="Sporting Clays",IFERROR(INDEX('Shooter-Squad Assignment'!$A:$A,MATCH(C148&amp;"-"&amp;D148&amp;"-"&amp;E148&amp;"-Pos4",'Shooter-Squad Assignment'!$Y:$Y,0)),""),"")))</f>
        <v/>
      </c>
      <c r="M148" s="73" t="str">
        <f>IF(ISBLANK(L148),"",IFERROR(INDEX('Tournament List'!$D:$D,MATCH(L148,'Tournament List'!$A:$A,0)),""))</f>
        <v/>
      </c>
      <c r="N148" s="98" t="str">
        <f>IF(E148="Skeet",IFERROR(INDEX('Shooter-Squad Assignment'!$A:$A,MATCH(C148&amp;"-"&amp;D148&amp;"-"&amp;E148&amp;"-Pos5",'Shooter-Squad Assignment'!#REF!,0)),""),IF(E148="Trap",IFERROR(INDEX('Shooter-Squad Assignment'!$A:$A,MATCH(C148&amp;"-"&amp;D148&amp;"-"&amp;E148&amp;"-Pos5",'Shooter-Squad Assignment'!$V:$V,0)),""),IF(E148="Sporting Clays",IFERROR(INDEX('Shooter-Squad Assignment'!$A:$A,MATCH(C148&amp;"-"&amp;D148&amp;"-"&amp;E148&amp;"-Pos5",'Shooter-Squad Assignment'!$Y:$Y,0)),""),"")))</f>
        <v/>
      </c>
      <c r="O148" s="80" t="str">
        <f>IF(ISBLANK(N148),"",IFERROR(INDEX('Tournament List'!$D:$D,MATCH(N148,'Tournament List'!$A:$A,0)),""))</f>
        <v/>
      </c>
    </row>
    <row r="149" spans="1:15" x14ac:dyDescent="0.3">
      <c r="A149" s="79">
        <v>157</v>
      </c>
      <c r="B149" s="73" t="str">
        <f t="shared" si="2"/>
        <v>Wiggins Tigers Sporting Club-Intermediate 1-Sporting Clays</v>
      </c>
      <c r="C149" s="73" t="s">
        <v>321</v>
      </c>
      <c r="D149" s="73" t="s">
        <v>340</v>
      </c>
      <c r="E149" s="73" t="s">
        <v>148</v>
      </c>
      <c r="F149" s="98" t="str">
        <f>IF(E149="Skeet",IFERROR(INDEX('Shooter-Squad Assignment'!$A:$A,MATCH(C149&amp;"-"&amp;D149&amp;"-"&amp;E149&amp;"-Pos1",'Shooter-Squad Assignment'!#REF!,0)),""),IF(E149="Trap",IFERROR(INDEX('Shooter-Squad Assignment'!$A:$A,MATCH(C149&amp;"-"&amp;D149&amp;"-"&amp;E149&amp;"-Pos1",'Shooter-Squad Assignment'!$V:$V,0)),""),IF(E149="Sporting Clays",IFERROR(INDEX('Shooter-Squad Assignment'!$A:$A,MATCH(C149&amp;"-"&amp;D149&amp;"-"&amp;E149&amp;"-Pos1",'Shooter-Squad Assignment'!$Y:$Y,0)),""),"")))</f>
        <v/>
      </c>
      <c r="G149" s="73" t="str">
        <f>IF(ISBLANK(F149),"",IFERROR(INDEX('Tournament List'!$D:$D,MATCH(F149,'Tournament List'!$A:$A,0)),""))</f>
        <v/>
      </c>
      <c r="H149" s="98" t="str">
        <f>IF(E149="Skeet",IFERROR(INDEX('Shooter-Squad Assignment'!$A:$A,MATCH(C149&amp;"-"&amp;D149&amp;"-"&amp;E149&amp;"-Pos2",'Shooter-Squad Assignment'!#REF!,0)),""),IF(E149="Trap",IFERROR(INDEX('Shooter-Squad Assignment'!$A:$A,MATCH(C149&amp;"-"&amp;D149&amp;"-"&amp;E149&amp;"-Pos2",'Shooter-Squad Assignment'!$V:$V,0)),""),IF(E149="Sporting Clays",IFERROR(INDEX('Shooter-Squad Assignment'!$A:$A,MATCH(C149&amp;"-"&amp;D149&amp;"-"&amp;E149&amp;"-Pos2",'Shooter-Squad Assignment'!$Y:$Y,0)),""),"")))</f>
        <v/>
      </c>
      <c r="I149" s="73" t="str">
        <f>IF(ISBLANK(H149),"",IFERROR(INDEX('Tournament List'!$D:$D,MATCH(H149,'Tournament List'!$A:$A,0)),""))</f>
        <v/>
      </c>
      <c r="J149" s="98" t="str">
        <f>IF(E149="Skeet",IFERROR(INDEX('Shooter-Squad Assignment'!$A:$A,MATCH(C149&amp;"-"&amp;D149&amp;"-"&amp;E149&amp;"-Pos3",'Shooter-Squad Assignment'!#REF!,0)),""),IF(E149="Trap",IFERROR(INDEX('Shooter-Squad Assignment'!$A:$A,MATCH(C149&amp;"-"&amp;D149&amp;"-"&amp;E149&amp;"-Pos3",'Shooter-Squad Assignment'!$V:$V,0)),""),IF(E149="Sporting Clays",IFERROR(INDEX('Shooter-Squad Assignment'!$A:$A,MATCH(C149&amp;"-"&amp;D149&amp;"-"&amp;E149&amp;"-Pos3",'Shooter-Squad Assignment'!$Y:$Y,0)),""),"")))</f>
        <v/>
      </c>
      <c r="K149" s="73" t="str">
        <f>IF(ISBLANK(J149),"",IFERROR(INDEX('Tournament List'!$D:$D,MATCH(J149,'Tournament List'!$A:$A,0)),""))</f>
        <v/>
      </c>
      <c r="L149" s="98" t="str">
        <f>IF(E149="Skeet",IFERROR(INDEX('Shooter-Squad Assignment'!$A:$A,MATCH(C149&amp;"-"&amp;D149&amp;"-"&amp;E149&amp;"-Pos4",'Shooter-Squad Assignment'!#REF!,0)),""),IF(E149="Trap",IFERROR(INDEX('Shooter-Squad Assignment'!$A:$A,MATCH(C149&amp;"-"&amp;D149&amp;"-"&amp;E149&amp;"-Pos4",'Shooter-Squad Assignment'!$V:$V,0)),""),IF(E149="Sporting Clays",IFERROR(INDEX('Shooter-Squad Assignment'!$A:$A,MATCH(C149&amp;"-"&amp;D149&amp;"-"&amp;E149&amp;"-Pos4",'Shooter-Squad Assignment'!$Y:$Y,0)),""),"")))</f>
        <v/>
      </c>
      <c r="M149" s="73" t="str">
        <f>IF(ISBLANK(L149),"",IFERROR(INDEX('Tournament List'!$D:$D,MATCH(L149,'Tournament List'!$A:$A,0)),""))</f>
        <v/>
      </c>
      <c r="N149" s="98" t="str">
        <f>IF(E149="Skeet",IFERROR(INDEX('Shooter-Squad Assignment'!$A:$A,MATCH(C149&amp;"-"&amp;D149&amp;"-"&amp;E149&amp;"-Pos5",'Shooter-Squad Assignment'!#REF!,0)),""),IF(E149="Trap",IFERROR(INDEX('Shooter-Squad Assignment'!$A:$A,MATCH(C149&amp;"-"&amp;D149&amp;"-"&amp;E149&amp;"-Pos5",'Shooter-Squad Assignment'!$V:$V,0)),""),IF(E149="Sporting Clays",IFERROR(INDEX('Shooter-Squad Assignment'!$A:$A,MATCH(C149&amp;"-"&amp;D149&amp;"-"&amp;E149&amp;"-Pos5",'Shooter-Squad Assignment'!$Y:$Y,0)),""),"")))</f>
        <v/>
      </c>
      <c r="O149" s="80" t="str">
        <f>IF(ISBLANK(N149),"",IFERROR(INDEX('Tournament List'!$D:$D,MATCH(N149,'Tournament List'!$A:$A,0)),""))</f>
        <v/>
      </c>
    </row>
    <row r="150" spans="1:15" x14ac:dyDescent="0.3">
      <c r="A150" s="79">
        <v>158</v>
      </c>
      <c r="B150" s="73" t="str">
        <f t="shared" si="2"/>
        <v>Wiggins Tigers Sporting Club-Intermediate 2-Sporting Clays</v>
      </c>
      <c r="C150" s="73" t="s">
        <v>321</v>
      </c>
      <c r="D150" s="73" t="s">
        <v>346</v>
      </c>
      <c r="E150" s="73" t="s">
        <v>148</v>
      </c>
      <c r="F150" s="98" t="str">
        <f>IF(E150="Skeet",IFERROR(INDEX('Shooter-Squad Assignment'!$A:$A,MATCH(C150&amp;"-"&amp;D150&amp;"-"&amp;E150&amp;"-Pos1",'Shooter-Squad Assignment'!#REF!,0)),""),IF(E150="Trap",IFERROR(INDEX('Shooter-Squad Assignment'!$A:$A,MATCH(C150&amp;"-"&amp;D150&amp;"-"&amp;E150&amp;"-Pos1",'Shooter-Squad Assignment'!$V:$V,0)),""),IF(E150="Sporting Clays",IFERROR(INDEX('Shooter-Squad Assignment'!$A:$A,MATCH(C150&amp;"-"&amp;D150&amp;"-"&amp;E150&amp;"-Pos1",'Shooter-Squad Assignment'!$Y:$Y,0)),""),"")))</f>
        <v/>
      </c>
      <c r="G150" s="73" t="str">
        <f>IF(ISBLANK(F150),"",IFERROR(INDEX('Tournament List'!$D:$D,MATCH(F150,'Tournament List'!$A:$A,0)),""))</f>
        <v/>
      </c>
      <c r="H150" s="98" t="str">
        <f>IF(E150="Skeet",IFERROR(INDEX('Shooter-Squad Assignment'!$A:$A,MATCH(C150&amp;"-"&amp;D150&amp;"-"&amp;E150&amp;"-Pos2",'Shooter-Squad Assignment'!#REF!,0)),""),IF(E150="Trap",IFERROR(INDEX('Shooter-Squad Assignment'!$A:$A,MATCH(C150&amp;"-"&amp;D150&amp;"-"&amp;E150&amp;"-Pos2",'Shooter-Squad Assignment'!$V:$V,0)),""),IF(E150="Sporting Clays",IFERROR(INDEX('Shooter-Squad Assignment'!$A:$A,MATCH(C150&amp;"-"&amp;D150&amp;"-"&amp;E150&amp;"-Pos2",'Shooter-Squad Assignment'!$Y:$Y,0)),""),"")))</f>
        <v/>
      </c>
      <c r="I150" s="73" t="str">
        <f>IF(ISBLANK(H150),"",IFERROR(INDEX('Tournament List'!$D:$D,MATCH(H150,'Tournament List'!$A:$A,0)),""))</f>
        <v/>
      </c>
      <c r="J150" s="98" t="str">
        <f>IF(E150="Skeet",IFERROR(INDEX('Shooter-Squad Assignment'!$A:$A,MATCH(C150&amp;"-"&amp;D150&amp;"-"&amp;E150&amp;"-Pos3",'Shooter-Squad Assignment'!#REF!,0)),""),IF(E150="Trap",IFERROR(INDEX('Shooter-Squad Assignment'!$A:$A,MATCH(C150&amp;"-"&amp;D150&amp;"-"&amp;E150&amp;"-Pos3",'Shooter-Squad Assignment'!$V:$V,0)),""),IF(E150="Sporting Clays",IFERROR(INDEX('Shooter-Squad Assignment'!$A:$A,MATCH(C150&amp;"-"&amp;D150&amp;"-"&amp;E150&amp;"-Pos3",'Shooter-Squad Assignment'!$Y:$Y,0)),""),"")))</f>
        <v/>
      </c>
      <c r="K150" s="73" t="str">
        <f>IF(ISBLANK(J150),"",IFERROR(INDEX('Tournament List'!$D:$D,MATCH(J150,'Tournament List'!$A:$A,0)),""))</f>
        <v/>
      </c>
      <c r="L150" s="98" t="str">
        <f>IF(E150="Skeet",IFERROR(INDEX('Shooter-Squad Assignment'!$A:$A,MATCH(C150&amp;"-"&amp;D150&amp;"-"&amp;E150&amp;"-Pos4",'Shooter-Squad Assignment'!#REF!,0)),""),IF(E150="Trap",IFERROR(INDEX('Shooter-Squad Assignment'!$A:$A,MATCH(C150&amp;"-"&amp;D150&amp;"-"&amp;E150&amp;"-Pos4",'Shooter-Squad Assignment'!$V:$V,0)),""),IF(E150="Sporting Clays",IFERROR(INDEX('Shooter-Squad Assignment'!$A:$A,MATCH(C150&amp;"-"&amp;D150&amp;"-"&amp;E150&amp;"-Pos4",'Shooter-Squad Assignment'!$Y:$Y,0)),""),"")))</f>
        <v/>
      </c>
      <c r="M150" s="73" t="str">
        <f>IF(ISBLANK(L150),"",IFERROR(INDEX('Tournament List'!$D:$D,MATCH(L150,'Tournament List'!$A:$A,0)),""))</f>
        <v/>
      </c>
      <c r="N150" s="98" t="str">
        <f>IF(E150="Skeet",IFERROR(INDEX('Shooter-Squad Assignment'!$A:$A,MATCH(C150&amp;"-"&amp;D150&amp;"-"&amp;E150&amp;"-Pos5",'Shooter-Squad Assignment'!#REF!,0)),""),IF(E150="Trap",IFERROR(INDEX('Shooter-Squad Assignment'!$A:$A,MATCH(C150&amp;"-"&amp;D150&amp;"-"&amp;E150&amp;"-Pos5",'Shooter-Squad Assignment'!$V:$V,0)),""),IF(E150="Sporting Clays",IFERROR(INDEX('Shooter-Squad Assignment'!$A:$A,MATCH(C150&amp;"-"&amp;D150&amp;"-"&amp;E150&amp;"-Pos5",'Shooter-Squad Assignment'!$Y:$Y,0)),""),"")))</f>
        <v/>
      </c>
      <c r="O150" s="80" t="str">
        <f>IF(ISBLANK(N150),"",IFERROR(INDEX('Tournament List'!$D:$D,MATCH(N150,'Tournament List'!$A:$A,0)),""))</f>
        <v/>
      </c>
    </row>
    <row r="151" spans="1:15" x14ac:dyDescent="0.3">
      <c r="A151" s="79">
        <v>159</v>
      </c>
      <c r="B151" s="73" t="str">
        <f t="shared" si="2"/>
        <v>Wiggins Tigers Sporting Club-Intermediate 3-Sporting Clays</v>
      </c>
      <c r="C151" s="73" t="s">
        <v>321</v>
      </c>
      <c r="D151" s="73" t="s">
        <v>352</v>
      </c>
      <c r="E151" s="73" t="s">
        <v>148</v>
      </c>
      <c r="F151" s="98" t="str">
        <f>IF(E151="Skeet",IFERROR(INDEX('Shooter-Squad Assignment'!$A:$A,MATCH(C151&amp;"-"&amp;D151&amp;"-"&amp;E151&amp;"-Pos1",'Shooter-Squad Assignment'!#REF!,0)),""),IF(E151="Trap",IFERROR(INDEX('Shooter-Squad Assignment'!$A:$A,MATCH(C151&amp;"-"&amp;D151&amp;"-"&amp;E151&amp;"-Pos1",'Shooter-Squad Assignment'!$V:$V,0)),""),IF(E151="Sporting Clays",IFERROR(INDEX('Shooter-Squad Assignment'!$A:$A,MATCH(C151&amp;"-"&amp;D151&amp;"-"&amp;E151&amp;"-Pos1",'Shooter-Squad Assignment'!$Y:$Y,0)),""),"")))</f>
        <v/>
      </c>
      <c r="G151" s="73" t="str">
        <f>IF(ISBLANK(F151),"",IFERROR(INDEX('Tournament List'!$D:$D,MATCH(F151,'Tournament List'!$A:$A,0)),""))</f>
        <v/>
      </c>
      <c r="H151" s="98" t="str">
        <f>IF(E151="Skeet",IFERROR(INDEX('Shooter-Squad Assignment'!$A:$A,MATCH(C151&amp;"-"&amp;D151&amp;"-"&amp;E151&amp;"-Pos2",'Shooter-Squad Assignment'!#REF!,0)),""),IF(E151="Trap",IFERROR(INDEX('Shooter-Squad Assignment'!$A:$A,MATCH(C151&amp;"-"&amp;D151&amp;"-"&amp;E151&amp;"-Pos2",'Shooter-Squad Assignment'!$V:$V,0)),""),IF(E151="Sporting Clays",IFERROR(INDEX('Shooter-Squad Assignment'!$A:$A,MATCH(C151&amp;"-"&amp;D151&amp;"-"&amp;E151&amp;"-Pos2",'Shooter-Squad Assignment'!$Y:$Y,0)),""),"")))</f>
        <v/>
      </c>
      <c r="I151" s="73" t="str">
        <f>IF(ISBLANK(H151),"",IFERROR(INDEX('Tournament List'!$D:$D,MATCH(H151,'Tournament List'!$A:$A,0)),""))</f>
        <v/>
      </c>
      <c r="J151" s="98" t="str">
        <f>IF(E151="Skeet",IFERROR(INDEX('Shooter-Squad Assignment'!$A:$A,MATCH(C151&amp;"-"&amp;D151&amp;"-"&amp;E151&amp;"-Pos3",'Shooter-Squad Assignment'!#REF!,0)),""),IF(E151="Trap",IFERROR(INDEX('Shooter-Squad Assignment'!$A:$A,MATCH(C151&amp;"-"&amp;D151&amp;"-"&amp;E151&amp;"-Pos3",'Shooter-Squad Assignment'!$V:$V,0)),""),IF(E151="Sporting Clays",IFERROR(INDEX('Shooter-Squad Assignment'!$A:$A,MATCH(C151&amp;"-"&amp;D151&amp;"-"&amp;E151&amp;"-Pos3",'Shooter-Squad Assignment'!$Y:$Y,0)),""),"")))</f>
        <v/>
      </c>
      <c r="K151" s="73" t="str">
        <f>IF(ISBLANK(J151),"",IFERROR(INDEX('Tournament List'!$D:$D,MATCH(J151,'Tournament List'!$A:$A,0)),""))</f>
        <v/>
      </c>
      <c r="L151" s="98" t="str">
        <f>IF(E151="Skeet",IFERROR(INDEX('Shooter-Squad Assignment'!$A:$A,MATCH(C151&amp;"-"&amp;D151&amp;"-"&amp;E151&amp;"-Pos4",'Shooter-Squad Assignment'!#REF!,0)),""),IF(E151="Trap",IFERROR(INDEX('Shooter-Squad Assignment'!$A:$A,MATCH(C151&amp;"-"&amp;D151&amp;"-"&amp;E151&amp;"-Pos4",'Shooter-Squad Assignment'!$V:$V,0)),""),IF(E151="Sporting Clays",IFERROR(INDEX('Shooter-Squad Assignment'!$A:$A,MATCH(C151&amp;"-"&amp;D151&amp;"-"&amp;E151&amp;"-Pos4",'Shooter-Squad Assignment'!$Y:$Y,0)),""),"")))</f>
        <v/>
      </c>
      <c r="M151" s="73" t="str">
        <f>IF(ISBLANK(L151),"",IFERROR(INDEX('Tournament List'!$D:$D,MATCH(L151,'Tournament List'!$A:$A,0)),""))</f>
        <v/>
      </c>
      <c r="N151" s="98" t="str">
        <f>IF(E151="Skeet",IFERROR(INDEX('Shooter-Squad Assignment'!$A:$A,MATCH(C151&amp;"-"&amp;D151&amp;"-"&amp;E151&amp;"-Pos5",'Shooter-Squad Assignment'!#REF!,0)),""),IF(E151="Trap",IFERROR(INDEX('Shooter-Squad Assignment'!$A:$A,MATCH(C151&amp;"-"&amp;D151&amp;"-"&amp;E151&amp;"-Pos5",'Shooter-Squad Assignment'!$V:$V,0)),""),IF(E151="Sporting Clays",IFERROR(INDEX('Shooter-Squad Assignment'!$A:$A,MATCH(C151&amp;"-"&amp;D151&amp;"-"&amp;E151&amp;"-Pos5",'Shooter-Squad Assignment'!$Y:$Y,0)),""),"")))</f>
        <v/>
      </c>
      <c r="O151" s="80" t="str">
        <f>IF(ISBLANK(N151),"",IFERROR(INDEX('Tournament List'!$D:$D,MATCH(N151,'Tournament List'!$A:$A,0)),""))</f>
        <v/>
      </c>
    </row>
    <row r="152" spans="1:15" x14ac:dyDescent="0.3">
      <c r="A152" s="79">
        <v>160</v>
      </c>
      <c r="B152" s="73" t="str">
        <f t="shared" si="2"/>
        <v>Wiggins Tigers Sporting Club-Junior Varsity 1-Sporting Clays</v>
      </c>
      <c r="C152" s="73" t="s">
        <v>321</v>
      </c>
      <c r="D152" s="73" t="s">
        <v>341</v>
      </c>
      <c r="E152" s="73" t="s">
        <v>148</v>
      </c>
      <c r="F152" s="98" t="str">
        <f>IF(E152="Skeet",IFERROR(INDEX('Shooter-Squad Assignment'!$A:$A,MATCH(C152&amp;"-"&amp;D152&amp;"-"&amp;E152&amp;"-Pos1",'Shooter-Squad Assignment'!#REF!,0)),""),IF(E152="Trap",IFERROR(INDEX('Shooter-Squad Assignment'!$A:$A,MATCH(C152&amp;"-"&amp;D152&amp;"-"&amp;E152&amp;"-Pos1",'Shooter-Squad Assignment'!$V:$V,0)),""),IF(E152="Sporting Clays",IFERROR(INDEX('Shooter-Squad Assignment'!$A:$A,MATCH(C152&amp;"-"&amp;D152&amp;"-"&amp;E152&amp;"-Pos1",'Shooter-Squad Assignment'!$Y:$Y,0)),""),"")))</f>
        <v/>
      </c>
      <c r="G152" s="73" t="str">
        <f>IF(ISBLANK(F152),"",IFERROR(INDEX('Tournament List'!$D:$D,MATCH(F152,'Tournament List'!$A:$A,0)),""))</f>
        <v/>
      </c>
      <c r="H152" s="98" t="str">
        <f>IF(E152="Skeet",IFERROR(INDEX('Shooter-Squad Assignment'!$A:$A,MATCH(C152&amp;"-"&amp;D152&amp;"-"&amp;E152&amp;"-Pos2",'Shooter-Squad Assignment'!#REF!,0)),""),IF(E152="Trap",IFERROR(INDEX('Shooter-Squad Assignment'!$A:$A,MATCH(C152&amp;"-"&amp;D152&amp;"-"&amp;E152&amp;"-Pos2",'Shooter-Squad Assignment'!$V:$V,0)),""),IF(E152="Sporting Clays",IFERROR(INDEX('Shooter-Squad Assignment'!$A:$A,MATCH(C152&amp;"-"&amp;D152&amp;"-"&amp;E152&amp;"-Pos2",'Shooter-Squad Assignment'!$Y:$Y,0)),""),"")))</f>
        <v/>
      </c>
      <c r="I152" s="73" t="str">
        <f>IF(ISBLANK(H152),"",IFERROR(INDEX('Tournament List'!$D:$D,MATCH(H152,'Tournament List'!$A:$A,0)),""))</f>
        <v/>
      </c>
      <c r="J152" s="98" t="str">
        <f>IF(E152="Skeet",IFERROR(INDEX('Shooter-Squad Assignment'!$A:$A,MATCH(C152&amp;"-"&amp;D152&amp;"-"&amp;E152&amp;"-Pos3",'Shooter-Squad Assignment'!#REF!,0)),""),IF(E152="Trap",IFERROR(INDEX('Shooter-Squad Assignment'!$A:$A,MATCH(C152&amp;"-"&amp;D152&amp;"-"&amp;E152&amp;"-Pos3",'Shooter-Squad Assignment'!$V:$V,0)),""),IF(E152="Sporting Clays",IFERROR(INDEX('Shooter-Squad Assignment'!$A:$A,MATCH(C152&amp;"-"&amp;D152&amp;"-"&amp;E152&amp;"-Pos3",'Shooter-Squad Assignment'!$Y:$Y,0)),""),"")))</f>
        <v/>
      </c>
      <c r="K152" s="73" t="str">
        <f>IF(ISBLANK(J152),"",IFERROR(INDEX('Tournament List'!$D:$D,MATCH(J152,'Tournament List'!$A:$A,0)),""))</f>
        <v/>
      </c>
      <c r="L152" s="98" t="str">
        <f>IF(E152="Skeet",IFERROR(INDEX('Shooter-Squad Assignment'!$A:$A,MATCH(C152&amp;"-"&amp;D152&amp;"-"&amp;E152&amp;"-Pos4",'Shooter-Squad Assignment'!#REF!,0)),""),IF(E152="Trap",IFERROR(INDEX('Shooter-Squad Assignment'!$A:$A,MATCH(C152&amp;"-"&amp;D152&amp;"-"&amp;E152&amp;"-Pos4",'Shooter-Squad Assignment'!$V:$V,0)),""),IF(E152="Sporting Clays",IFERROR(INDEX('Shooter-Squad Assignment'!$A:$A,MATCH(C152&amp;"-"&amp;D152&amp;"-"&amp;E152&amp;"-Pos4",'Shooter-Squad Assignment'!$Y:$Y,0)),""),"")))</f>
        <v/>
      </c>
      <c r="M152" s="73" t="str">
        <f>IF(ISBLANK(L152),"",IFERROR(INDEX('Tournament List'!$D:$D,MATCH(L152,'Tournament List'!$A:$A,0)),""))</f>
        <v/>
      </c>
      <c r="N152" s="98" t="str">
        <f>IF(E152="Skeet",IFERROR(INDEX('Shooter-Squad Assignment'!$A:$A,MATCH(C152&amp;"-"&amp;D152&amp;"-"&amp;E152&amp;"-Pos5",'Shooter-Squad Assignment'!#REF!,0)),""),IF(E152="Trap",IFERROR(INDEX('Shooter-Squad Assignment'!$A:$A,MATCH(C152&amp;"-"&amp;D152&amp;"-"&amp;E152&amp;"-Pos5",'Shooter-Squad Assignment'!$V:$V,0)),""),IF(E152="Sporting Clays",IFERROR(INDEX('Shooter-Squad Assignment'!$A:$A,MATCH(C152&amp;"-"&amp;D152&amp;"-"&amp;E152&amp;"-Pos5",'Shooter-Squad Assignment'!$Y:$Y,0)),""),"")))</f>
        <v/>
      </c>
      <c r="O152" s="80" t="str">
        <f>IF(ISBLANK(N152),"",IFERROR(INDEX('Tournament List'!$D:$D,MATCH(N152,'Tournament List'!$A:$A,0)),""))</f>
        <v/>
      </c>
    </row>
    <row r="153" spans="1:15" x14ac:dyDescent="0.3">
      <c r="A153" s="79">
        <v>161</v>
      </c>
      <c r="B153" s="73" t="str">
        <f t="shared" si="2"/>
        <v>Wiggins Tigers Sporting Club-Junior Varsity 2-Sporting Clays</v>
      </c>
      <c r="C153" s="73" t="s">
        <v>321</v>
      </c>
      <c r="D153" s="73" t="s">
        <v>347</v>
      </c>
      <c r="E153" s="73" t="s">
        <v>148</v>
      </c>
      <c r="F153" s="98" t="str">
        <f>IF(E153="Skeet",IFERROR(INDEX('Shooter-Squad Assignment'!$A:$A,MATCH(C153&amp;"-"&amp;D153&amp;"-"&amp;E153&amp;"-Pos1",'Shooter-Squad Assignment'!#REF!,0)),""),IF(E153="Trap",IFERROR(INDEX('Shooter-Squad Assignment'!$A:$A,MATCH(C153&amp;"-"&amp;D153&amp;"-"&amp;E153&amp;"-Pos1",'Shooter-Squad Assignment'!$V:$V,0)),""),IF(E153="Sporting Clays",IFERROR(INDEX('Shooter-Squad Assignment'!$A:$A,MATCH(C153&amp;"-"&amp;D153&amp;"-"&amp;E153&amp;"-Pos1",'Shooter-Squad Assignment'!$Y:$Y,0)),""),"")))</f>
        <v/>
      </c>
      <c r="G153" s="73" t="str">
        <f>IF(ISBLANK(F153),"",IFERROR(INDEX('Tournament List'!$D:$D,MATCH(F153,'Tournament List'!$A:$A,0)),""))</f>
        <v/>
      </c>
      <c r="H153" s="98" t="str">
        <f>IF(E153="Skeet",IFERROR(INDEX('Shooter-Squad Assignment'!$A:$A,MATCH(C153&amp;"-"&amp;D153&amp;"-"&amp;E153&amp;"-Pos2",'Shooter-Squad Assignment'!#REF!,0)),""),IF(E153="Trap",IFERROR(INDEX('Shooter-Squad Assignment'!$A:$A,MATCH(C153&amp;"-"&amp;D153&amp;"-"&amp;E153&amp;"-Pos2",'Shooter-Squad Assignment'!$V:$V,0)),""),IF(E153="Sporting Clays",IFERROR(INDEX('Shooter-Squad Assignment'!$A:$A,MATCH(C153&amp;"-"&amp;D153&amp;"-"&amp;E153&amp;"-Pos2",'Shooter-Squad Assignment'!$Y:$Y,0)),""),"")))</f>
        <v/>
      </c>
      <c r="I153" s="73" t="str">
        <f>IF(ISBLANK(H153),"",IFERROR(INDEX('Tournament List'!$D:$D,MATCH(H153,'Tournament List'!$A:$A,0)),""))</f>
        <v/>
      </c>
      <c r="J153" s="98" t="str">
        <f>IF(E153="Skeet",IFERROR(INDEX('Shooter-Squad Assignment'!$A:$A,MATCH(C153&amp;"-"&amp;D153&amp;"-"&amp;E153&amp;"-Pos3",'Shooter-Squad Assignment'!#REF!,0)),""),IF(E153="Trap",IFERROR(INDEX('Shooter-Squad Assignment'!$A:$A,MATCH(C153&amp;"-"&amp;D153&amp;"-"&amp;E153&amp;"-Pos3",'Shooter-Squad Assignment'!$V:$V,0)),""),IF(E153="Sporting Clays",IFERROR(INDEX('Shooter-Squad Assignment'!$A:$A,MATCH(C153&amp;"-"&amp;D153&amp;"-"&amp;E153&amp;"-Pos3",'Shooter-Squad Assignment'!$Y:$Y,0)),""),"")))</f>
        <v/>
      </c>
      <c r="K153" s="73" t="str">
        <f>IF(ISBLANK(J153),"",IFERROR(INDEX('Tournament List'!$D:$D,MATCH(J153,'Tournament List'!$A:$A,0)),""))</f>
        <v/>
      </c>
      <c r="L153" s="98" t="str">
        <f>IF(E153="Skeet",IFERROR(INDEX('Shooter-Squad Assignment'!$A:$A,MATCH(C153&amp;"-"&amp;D153&amp;"-"&amp;E153&amp;"-Pos4",'Shooter-Squad Assignment'!#REF!,0)),""),IF(E153="Trap",IFERROR(INDEX('Shooter-Squad Assignment'!$A:$A,MATCH(C153&amp;"-"&amp;D153&amp;"-"&amp;E153&amp;"-Pos4",'Shooter-Squad Assignment'!$V:$V,0)),""),IF(E153="Sporting Clays",IFERROR(INDEX('Shooter-Squad Assignment'!$A:$A,MATCH(C153&amp;"-"&amp;D153&amp;"-"&amp;E153&amp;"-Pos4",'Shooter-Squad Assignment'!$Y:$Y,0)),""),"")))</f>
        <v/>
      </c>
      <c r="M153" s="73" t="str">
        <f>IF(ISBLANK(L153),"",IFERROR(INDEX('Tournament List'!$D:$D,MATCH(L153,'Tournament List'!$A:$A,0)),""))</f>
        <v/>
      </c>
      <c r="N153" s="98" t="str">
        <f>IF(E153="Skeet",IFERROR(INDEX('Shooter-Squad Assignment'!$A:$A,MATCH(C153&amp;"-"&amp;D153&amp;"-"&amp;E153&amp;"-Pos5",'Shooter-Squad Assignment'!#REF!,0)),""),IF(E153="Trap",IFERROR(INDEX('Shooter-Squad Assignment'!$A:$A,MATCH(C153&amp;"-"&amp;D153&amp;"-"&amp;E153&amp;"-Pos5",'Shooter-Squad Assignment'!$V:$V,0)),""),IF(E153="Sporting Clays",IFERROR(INDEX('Shooter-Squad Assignment'!$A:$A,MATCH(C153&amp;"-"&amp;D153&amp;"-"&amp;E153&amp;"-Pos5",'Shooter-Squad Assignment'!$Y:$Y,0)),""),"")))</f>
        <v/>
      </c>
      <c r="O153" s="80" t="str">
        <f>IF(ISBLANK(N153),"",IFERROR(INDEX('Tournament List'!$D:$D,MATCH(N153,'Tournament List'!$A:$A,0)),""))</f>
        <v/>
      </c>
    </row>
    <row r="154" spans="1:15" x14ac:dyDescent="0.3">
      <c r="A154" s="79">
        <v>162</v>
      </c>
      <c r="B154" s="73" t="str">
        <f t="shared" si="2"/>
        <v>Wiggins Tigers Sporting Club-Junior Varsity 3-Sporting Clays</v>
      </c>
      <c r="C154" s="73" t="s">
        <v>321</v>
      </c>
      <c r="D154" s="73" t="s">
        <v>353</v>
      </c>
      <c r="E154" s="73" t="s">
        <v>148</v>
      </c>
      <c r="F154" s="98" t="str">
        <f>IF(E154="Skeet",IFERROR(INDEX('Shooter-Squad Assignment'!$A:$A,MATCH(C154&amp;"-"&amp;D154&amp;"-"&amp;E154&amp;"-Pos1",'Shooter-Squad Assignment'!#REF!,0)),""),IF(E154="Trap",IFERROR(INDEX('Shooter-Squad Assignment'!$A:$A,MATCH(C154&amp;"-"&amp;D154&amp;"-"&amp;E154&amp;"-Pos1",'Shooter-Squad Assignment'!$V:$V,0)),""),IF(E154="Sporting Clays",IFERROR(INDEX('Shooter-Squad Assignment'!$A:$A,MATCH(C154&amp;"-"&amp;D154&amp;"-"&amp;E154&amp;"-Pos1",'Shooter-Squad Assignment'!$Y:$Y,0)),""),"")))</f>
        <v/>
      </c>
      <c r="G154" s="73" t="str">
        <f>IF(ISBLANK(F154),"",IFERROR(INDEX('Tournament List'!$D:$D,MATCH(F154,'Tournament List'!$A:$A,0)),""))</f>
        <v/>
      </c>
      <c r="H154" s="98" t="str">
        <f>IF(E154="Skeet",IFERROR(INDEX('Shooter-Squad Assignment'!$A:$A,MATCH(C154&amp;"-"&amp;D154&amp;"-"&amp;E154&amp;"-Pos2",'Shooter-Squad Assignment'!#REF!,0)),""),IF(E154="Trap",IFERROR(INDEX('Shooter-Squad Assignment'!$A:$A,MATCH(C154&amp;"-"&amp;D154&amp;"-"&amp;E154&amp;"-Pos2",'Shooter-Squad Assignment'!$V:$V,0)),""),IF(E154="Sporting Clays",IFERROR(INDEX('Shooter-Squad Assignment'!$A:$A,MATCH(C154&amp;"-"&amp;D154&amp;"-"&amp;E154&amp;"-Pos2",'Shooter-Squad Assignment'!$Y:$Y,0)),""),"")))</f>
        <v/>
      </c>
      <c r="I154" s="73" t="str">
        <f>IF(ISBLANK(H154),"",IFERROR(INDEX('Tournament List'!$D:$D,MATCH(H154,'Tournament List'!$A:$A,0)),""))</f>
        <v/>
      </c>
      <c r="J154" s="98" t="str">
        <f>IF(E154="Skeet",IFERROR(INDEX('Shooter-Squad Assignment'!$A:$A,MATCH(C154&amp;"-"&amp;D154&amp;"-"&amp;E154&amp;"-Pos3",'Shooter-Squad Assignment'!#REF!,0)),""),IF(E154="Trap",IFERROR(INDEX('Shooter-Squad Assignment'!$A:$A,MATCH(C154&amp;"-"&amp;D154&amp;"-"&amp;E154&amp;"-Pos3",'Shooter-Squad Assignment'!$V:$V,0)),""),IF(E154="Sporting Clays",IFERROR(INDEX('Shooter-Squad Assignment'!$A:$A,MATCH(C154&amp;"-"&amp;D154&amp;"-"&amp;E154&amp;"-Pos3",'Shooter-Squad Assignment'!$Y:$Y,0)),""),"")))</f>
        <v/>
      </c>
      <c r="K154" s="73" t="str">
        <f>IF(ISBLANK(J154),"",IFERROR(INDEX('Tournament List'!$D:$D,MATCH(J154,'Tournament List'!$A:$A,0)),""))</f>
        <v/>
      </c>
      <c r="L154" s="98" t="str">
        <f>IF(E154="Skeet",IFERROR(INDEX('Shooter-Squad Assignment'!$A:$A,MATCH(C154&amp;"-"&amp;D154&amp;"-"&amp;E154&amp;"-Pos4",'Shooter-Squad Assignment'!#REF!,0)),""),IF(E154="Trap",IFERROR(INDEX('Shooter-Squad Assignment'!$A:$A,MATCH(C154&amp;"-"&amp;D154&amp;"-"&amp;E154&amp;"-Pos4",'Shooter-Squad Assignment'!$V:$V,0)),""),IF(E154="Sporting Clays",IFERROR(INDEX('Shooter-Squad Assignment'!$A:$A,MATCH(C154&amp;"-"&amp;D154&amp;"-"&amp;E154&amp;"-Pos4",'Shooter-Squad Assignment'!$Y:$Y,0)),""),"")))</f>
        <v/>
      </c>
      <c r="M154" s="73" t="str">
        <f>IF(ISBLANK(L154),"",IFERROR(INDEX('Tournament List'!$D:$D,MATCH(L154,'Tournament List'!$A:$A,0)),""))</f>
        <v/>
      </c>
      <c r="N154" s="98" t="str">
        <f>IF(E154="Skeet",IFERROR(INDEX('Shooter-Squad Assignment'!$A:$A,MATCH(C154&amp;"-"&amp;D154&amp;"-"&amp;E154&amp;"-Pos5",'Shooter-Squad Assignment'!#REF!,0)),""),IF(E154="Trap",IFERROR(INDEX('Shooter-Squad Assignment'!$A:$A,MATCH(C154&amp;"-"&amp;D154&amp;"-"&amp;E154&amp;"-Pos5",'Shooter-Squad Assignment'!$V:$V,0)),""),IF(E154="Sporting Clays",IFERROR(INDEX('Shooter-Squad Assignment'!$A:$A,MATCH(C154&amp;"-"&amp;D154&amp;"-"&amp;E154&amp;"-Pos5",'Shooter-Squad Assignment'!$Y:$Y,0)),""),"")))</f>
        <v/>
      </c>
      <c r="O154" s="80" t="str">
        <f>IF(ISBLANK(N154),"",IFERROR(INDEX('Tournament List'!$D:$D,MATCH(N154,'Tournament List'!$A:$A,0)),""))</f>
        <v/>
      </c>
    </row>
    <row r="155" spans="1:15" x14ac:dyDescent="0.3">
      <c r="A155" s="79">
        <v>163</v>
      </c>
      <c r="B155" s="73" t="str">
        <f t="shared" si="2"/>
        <v>Wiggins Tigers Sporting Club-Novice 1-Sporting Clays</v>
      </c>
      <c r="C155" s="73" t="s">
        <v>321</v>
      </c>
      <c r="D155" s="73" t="s">
        <v>339</v>
      </c>
      <c r="E155" s="73" t="s">
        <v>148</v>
      </c>
      <c r="F155" s="98" t="str">
        <f>IF(E155="Skeet",IFERROR(INDEX('Shooter-Squad Assignment'!$A:$A,MATCH(C155&amp;"-"&amp;D155&amp;"-"&amp;E155&amp;"-Pos1",'Shooter-Squad Assignment'!#REF!,0)),""),IF(E155="Trap",IFERROR(INDEX('Shooter-Squad Assignment'!$A:$A,MATCH(C155&amp;"-"&amp;D155&amp;"-"&amp;E155&amp;"-Pos1",'Shooter-Squad Assignment'!$V:$V,0)),""),IF(E155="Sporting Clays",IFERROR(INDEX('Shooter-Squad Assignment'!$A:$A,MATCH(C155&amp;"-"&amp;D155&amp;"-"&amp;E155&amp;"-Pos1",'Shooter-Squad Assignment'!$Y:$Y,0)),""),"")))</f>
        <v/>
      </c>
      <c r="G155" s="73" t="str">
        <f>IF(ISBLANK(F155),"",IFERROR(INDEX('Tournament List'!$D:$D,MATCH(F155,'Tournament List'!$A:$A,0)),""))</f>
        <v/>
      </c>
      <c r="H155" s="98" t="str">
        <f>IF(E155="Skeet",IFERROR(INDEX('Shooter-Squad Assignment'!$A:$A,MATCH(C155&amp;"-"&amp;D155&amp;"-"&amp;E155&amp;"-Pos2",'Shooter-Squad Assignment'!#REF!,0)),""),IF(E155="Trap",IFERROR(INDEX('Shooter-Squad Assignment'!$A:$A,MATCH(C155&amp;"-"&amp;D155&amp;"-"&amp;E155&amp;"-Pos2",'Shooter-Squad Assignment'!$V:$V,0)),""),IF(E155="Sporting Clays",IFERROR(INDEX('Shooter-Squad Assignment'!$A:$A,MATCH(C155&amp;"-"&amp;D155&amp;"-"&amp;E155&amp;"-Pos2",'Shooter-Squad Assignment'!$Y:$Y,0)),""),"")))</f>
        <v/>
      </c>
      <c r="I155" s="73" t="str">
        <f>IF(ISBLANK(H155),"",IFERROR(INDEX('Tournament List'!$D:$D,MATCH(H155,'Tournament List'!$A:$A,0)),""))</f>
        <v/>
      </c>
      <c r="J155" s="98" t="str">
        <f>IF(E155="Skeet",IFERROR(INDEX('Shooter-Squad Assignment'!$A:$A,MATCH(C155&amp;"-"&amp;D155&amp;"-"&amp;E155&amp;"-Pos3",'Shooter-Squad Assignment'!#REF!,0)),""),IF(E155="Trap",IFERROR(INDEX('Shooter-Squad Assignment'!$A:$A,MATCH(C155&amp;"-"&amp;D155&amp;"-"&amp;E155&amp;"-Pos3",'Shooter-Squad Assignment'!$V:$V,0)),""),IF(E155="Sporting Clays",IFERROR(INDEX('Shooter-Squad Assignment'!$A:$A,MATCH(C155&amp;"-"&amp;D155&amp;"-"&amp;E155&amp;"-Pos3",'Shooter-Squad Assignment'!$Y:$Y,0)),""),"")))</f>
        <v/>
      </c>
      <c r="K155" s="73" t="str">
        <f>IF(ISBLANK(J155),"",IFERROR(INDEX('Tournament List'!$D:$D,MATCH(J155,'Tournament List'!$A:$A,0)),""))</f>
        <v/>
      </c>
      <c r="L155" s="98" t="str">
        <f>IF(E155="Skeet",IFERROR(INDEX('Shooter-Squad Assignment'!$A:$A,MATCH(C155&amp;"-"&amp;D155&amp;"-"&amp;E155&amp;"-Pos4",'Shooter-Squad Assignment'!#REF!,0)),""),IF(E155="Trap",IFERROR(INDEX('Shooter-Squad Assignment'!$A:$A,MATCH(C155&amp;"-"&amp;D155&amp;"-"&amp;E155&amp;"-Pos4",'Shooter-Squad Assignment'!$V:$V,0)),""),IF(E155="Sporting Clays",IFERROR(INDEX('Shooter-Squad Assignment'!$A:$A,MATCH(C155&amp;"-"&amp;D155&amp;"-"&amp;E155&amp;"-Pos4",'Shooter-Squad Assignment'!$Y:$Y,0)),""),"")))</f>
        <v/>
      </c>
      <c r="M155" s="73" t="str">
        <f>IF(ISBLANK(L155),"",IFERROR(INDEX('Tournament List'!$D:$D,MATCH(L155,'Tournament List'!$A:$A,0)),""))</f>
        <v/>
      </c>
      <c r="N155" s="98" t="str">
        <f>IF(E155="Skeet",IFERROR(INDEX('Shooter-Squad Assignment'!$A:$A,MATCH(C155&amp;"-"&amp;D155&amp;"-"&amp;E155&amp;"-Pos5",'Shooter-Squad Assignment'!#REF!,0)),""),IF(E155="Trap",IFERROR(INDEX('Shooter-Squad Assignment'!$A:$A,MATCH(C155&amp;"-"&amp;D155&amp;"-"&amp;E155&amp;"-Pos5",'Shooter-Squad Assignment'!$V:$V,0)),""),IF(E155="Sporting Clays",IFERROR(INDEX('Shooter-Squad Assignment'!$A:$A,MATCH(C155&amp;"-"&amp;D155&amp;"-"&amp;E155&amp;"-Pos5",'Shooter-Squad Assignment'!$Y:$Y,0)),""),"")))</f>
        <v/>
      </c>
      <c r="O155" s="80" t="str">
        <f>IF(ISBLANK(N155),"",IFERROR(INDEX('Tournament List'!$D:$D,MATCH(N155,'Tournament List'!$A:$A,0)),""))</f>
        <v/>
      </c>
    </row>
    <row r="156" spans="1:15" x14ac:dyDescent="0.3">
      <c r="A156" s="79">
        <v>164</v>
      </c>
      <c r="B156" s="73" t="str">
        <f t="shared" si="2"/>
        <v>Wiggins Tigers Sporting Club-Novice 2-Sporting Clays</v>
      </c>
      <c r="C156" s="73" t="s">
        <v>321</v>
      </c>
      <c r="D156" s="73" t="s">
        <v>345</v>
      </c>
      <c r="E156" s="73" t="s">
        <v>148</v>
      </c>
      <c r="F156" s="98" t="str">
        <f>IF(E156="Skeet",IFERROR(INDEX('Shooter-Squad Assignment'!$A:$A,MATCH(C156&amp;"-"&amp;D156&amp;"-"&amp;E156&amp;"-Pos1",'Shooter-Squad Assignment'!#REF!,0)),""),IF(E156="Trap",IFERROR(INDEX('Shooter-Squad Assignment'!$A:$A,MATCH(C156&amp;"-"&amp;D156&amp;"-"&amp;E156&amp;"-Pos1",'Shooter-Squad Assignment'!$V:$V,0)),""),IF(E156="Sporting Clays",IFERROR(INDEX('Shooter-Squad Assignment'!$A:$A,MATCH(C156&amp;"-"&amp;D156&amp;"-"&amp;E156&amp;"-Pos1",'Shooter-Squad Assignment'!$Y:$Y,0)),""),"")))</f>
        <v/>
      </c>
      <c r="G156" s="73" t="str">
        <f>IF(ISBLANK(F156),"",IFERROR(INDEX('Tournament List'!$D:$D,MATCH(F156,'Tournament List'!$A:$A,0)),""))</f>
        <v/>
      </c>
      <c r="H156" s="98" t="str">
        <f>IF(E156="Skeet",IFERROR(INDEX('Shooter-Squad Assignment'!$A:$A,MATCH(C156&amp;"-"&amp;D156&amp;"-"&amp;E156&amp;"-Pos2",'Shooter-Squad Assignment'!#REF!,0)),""),IF(E156="Trap",IFERROR(INDEX('Shooter-Squad Assignment'!$A:$A,MATCH(C156&amp;"-"&amp;D156&amp;"-"&amp;E156&amp;"-Pos2",'Shooter-Squad Assignment'!$V:$V,0)),""),IF(E156="Sporting Clays",IFERROR(INDEX('Shooter-Squad Assignment'!$A:$A,MATCH(C156&amp;"-"&amp;D156&amp;"-"&amp;E156&amp;"-Pos2",'Shooter-Squad Assignment'!$Y:$Y,0)),""),"")))</f>
        <v/>
      </c>
      <c r="I156" s="73" t="str">
        <f>IF(ISBLANK(H156),"",IFERROR(INDEX('Tournament List'!$D:$D,MATCH(H156,'Tournament List'!$A:$A,0)),""))</f>
        <v/>
      </c>
      <c r="J156" s="98" t="str">
        <f>IF(E156="Skeet",IFERROR(INDEX('Shooter-Squad Assignment'!$A:$A,MATCH(C156&amp;"-"&amp;D156&amp;"-"&amp;E156&amp;"-Pos3",'Shooter-Squad Assignment'!#REF!,0)),""),IF(E156="Trap",IFERROR(INDEX('Shooter-Squad Assignment'!$A:$A,MATCH(C156&amp;"-"&amp;D156&amp;"-"&amp;E156&amp;"-Pos3",'Shooter-Squad Assignment'!$V:$V,0)),""),IF(E156="Sporting Clays",IFERROR(INDEX('Shooter-Squad Assignment'!$A:$A,MATCH(C156&amp;"-"&amp;D156&amp;"-"&amp;E156&amp;"-Pos3",'Shooter-Squad Assignment'!$Y:$Y,0)),""),"")))</f>
        <v/>
      </c>
      <c r="K156" s="73" t="str">
        <f>IF(ISBLANK(J156),"",IFERROR(INDEX('Tournament List'!$D:$D,MATCH(J156,'Tournament List'!$A:$A,0)),""))</f>
        <v/>
      </c>
      <c r="L156" s="98" t="str">
        <f>IF(E156="Skeet",IFERROR(INDEX('Shooter-Squad Assignment'!$A:$A,MATCH(C156&amp;"-"&amp;D156&amp;"-"&amp;E156&amp;"-Pos4",'Shooter-Squad Assignment'!#REF!,0)),""),IF(E156="Trap",IFERROR(INDEX('Shooter-Squad Assignment'!$A:$A,MATCH(C156&amp;"-"&amp;D156&amp;"-"&amp;E156&amp;"-Pos4",'Shooter-Squad Assignment'!$V:$V,0)),""),IF(E156="Sporting Clays",IFERROR(INDEX('Shooter-Squad Assignment'!$A:$A,MATCH(C156&amp;"-"&amp;D156&amp;"-"&amp;E156&amp;"-Pos4",'Shooter-Squad Assignment'!$Y:$Y,0)),""),"")))</f>
        <v/>
      </c>
      <c r="M156" s="73" t="str">
        <f>IF(ISBLANK(L156),"",IFERROR(INDEX('Tournament List'!$D:$D,MATCH(L156,'Tournament List'!$A:$A,0)),""))</f>
        <v/>
      </c>
      <c r="N156" s="98" t="str">
        <f>IF(E156="Skeet",IFERROR(INDEX('Shooter-Squad Assignment'!$A:$A,MATCH(C156&amp;"-"&amp;D156&amp;"-"&amp;E156&amp;"-Pos5",'Shooter-Squad Assignment'!#REF!,0)),""),IF(E156="Trap",IFERROR(INDEX('Shooter-Squad Assignment'!$A:$A,MATCH(C156&amp;"-"&amp;D156&amp;"-"&amp;E156&amp;"-Pos5",'Shooter-Squad Assignment'!$V:$V,0)),""),IF(E156="Sporting Clays",IFERROR(INDEX('Shooter-Squad Assignment'!$A:$A,MATCH(C156&amp;"-"&amp;D156&amp;"-"&amp;E156&amp;"-Pos5",'Shooter-Squad Assignment'!$Y:$Y,0)),""),"")))</f>
        <v/>
      </c>
      <c r="O156" s="80" t="str">
        <f>IF(ISBLANK(N156),"",IFERROR(INDEX('Tournament List'!$D:$D,MATCH(N156,'Tournament List'!$A:$A,0)),""))</f>
        <v/>
      </c>
    </row>
    <row r="157" spans="1:15" x14ac:dyDescent="0.3">
      <c r="A157" s="79">
        <v>165</v>
      </c>
      <c r="B157" s="73" t="str">
        <f t="shared" si="2"/>
        <v>Wiggins Tigers Sporting Club-Novice 3-Sporting Clays</v>
      </c>
      <c r="C157" s="73" t="s">
        <v>321</v>
      </c>
      <c r="D157" s="73" t="s">
        <v>351</v>
      </c>
      <c r="E157" s="73" t="s">
        <v>148</v>
      </c>
      <c r="F157" s="98" t="str">
        <f>IF(E157="Skeet",IFERROR(INDEX('Shooter-Squad Assignment'!$A:$A,MATCH(C157&amp;"-"&amp;D157&amp;"-"&amp;E157&amp;"-Pos1",'Shooter-Squad Assignment'!#REF!,0)),""),IF(E157="Trap",IFERROR(INDEX('Shooter-Squad Assignment'!$A:$A,MATCH(C157&amp;"-"&amp;D157&amp;"-"&amp;E157&amp;"-Pos1",'Shooter-Squad Assignment'!$V:$V,0)),""),IF(E157="Sporting Clays",IFERROR(INDEX('Shooter-Squad Assignment'!$A:$A,MATCH(C157&amp;"-"&amp;D157&amp;"-"&amp;E157&amp;"-Pos1",'Shooter-Squad Assignment'!$Y:$Y,0)),""),"")))</f>
        <v/>
      </c>
      <c r="G157" s="73" t="str">
        <f>IF(ISBLANK(F157),"",IFERROR(INDEX('Tournament List'!$D:$D,MATCH(F157,'Tournament List'!$A:$A,0)),""))</f>
        <v/>
      </c>
      <c r="H157" s="98" t="str">
        <f>IF(E157="Skeet",IFERROR(INDEX('Shooter-Squad Assignment'!$A:$A,MATCH(C157&amp;"-"&amp;D157&amp;"-"&amp;E157&amp;"-Pos2",'Shooter-Squad Assignment'!#REF!,0)),""),IF(E157="Trap",IFERROR(INDEX('Shooter-Squad Assignment'!$A:$A,MATCH(C157&amp;"-"&amp;D157&amp;"-"&amp;E157&amp;"-Pos2",'Shooter-Squad Assignment'!$V:$V,0)),""),IF(E157="Sporting Clays",IFERROR(INDEX('Shooter-Squad Assignment'!$A:$A,MATCH(C157&amp;"-"&amp;D157&amp;"-"&amp;E157&amp;"-Pos2",'Shooter-Squad Assignment'!$Y:$Y,0)),""),"")))</f>
        <v/>
      </c>
      <c r="I157" s="73" t="str">
        <f>IF(ISBLANK(H157),"",IFERROR(INDEX('Tournament List'!$D:$D,MATCH(H157,'Tournament List'!$A:$A,0)),""))</f>
        <v/>
      </c>
      <c r="J157" s="98" t="str">
        <f>IF(E157="Skeet",IFERROR(INDEX('Shooter-Squad Assignment'!$A:$A,MATCH(C157&amp;"-"&amp;D157&amp;"-"&amp;E157&amp;"-Pos3",'Shooter-Squad Assignment'!#REF!,0)),""),IF(E157="Trap",IFERROR(INDEX('Shooter-Squad Assignment'!$A:$A,MATCH(C157&amp;"-"&amp;D157&amp;"-"&amp;E157&amp;"-Pos3",'Shooter-Squad Assignment'!$V:$V,0)),""),IF(E157="Sporting Clays",IFERROR(INDEX('Shooter-Squad Assignment'!$A:$A,MATCH(C157&amp;"-"&amp;D157&amp;"-"&amp;E157&amp;"-Pos3",'Shooter-Squad Assignment'!$Y:$Y,0)),""),"")))</f>
        <v/>
      </c>
      <c r="K157" s="73" t="str">
        <f>IF(ISBLANK(J157),"",IFERROR(INDEX('Tournament List'!$D:$D,MATCH(J157,'Tournament List'!$A:$A,0)),""))</f>
        <v/>
      </c>
      <c r="L157" s="98" t="str">
        <f>IF(E157="Skeet",IFERROR(INDEX('Shooter-Squad Assignment'!$A:$A,MATCH(C157&amp;"-"&amp;D157&amp;"-"&amp;E157&amp;"-Pos4",'Shooter-Squad Assignment'!#REF!,0)),""),IF(E157="Trap",IFERROR(INDEX('Shooter-Squad Assignment'!$A:$A,MATCH(C157&amp;"-"&amp;D157&amp;"-"&amp;E157&amp;"-Pos4",'Shooter-Squad Assignment'!$V:$V,0)),""),IF(E157="Sporting Clays",IFERROR(INDEX('Shooter-Squad Assignment'!$A:$A,MATCH(C157&amp;"-"&amp;D157&amp;"-"&amp;E157&amp;"-Pos4",'Shooter-Squad Assignment'!$Y:$Y,0)),""),"")))</f>
        <v/>
      </c>
      <c r="M157" s="73" t="str">
        <f>IF(ISBLANK(L157),"",IFERROR(INDEX('Tournament List'!$D:$D,MATCH(L157,'Tournament List'!$A:$A,0)),""))</f>
        <v/>
      </c>
      <c r="N157" s="98" t="str">
        <f>IF(E157="Skeet",IFERROR(INDEX('Shooter-Squad Assignment'!$A:$A,MATCH(C157&amp;"-"&amp;D157&amp;"-"&amp;E157&amp;"-Pos5",'Shooter-Squad Assignment'!#REF!,0)),""),IF(E157="Trap",IFERROR(INDEX('Shooter-Squad Assignment'!$A:$A,MATCH(C157&amp;"-"&amp;D157&amp;"-"&amp;E157&amp;"-Pos5",'Shooter-Squad Assignment'!$V:$V,0)),""),IF(E157="Sporting Clays",IFERROR(INDEX('Shooter-Squad Assignment'!$A:$A,MATCH(C157&amp;"-"&amp;D157&amp;"-"&amp;E157&amp;"-Pos5",'Shooter-Squad Assignment'!$Y:$Y,0)),""),"")))</f>
        <v/>
      </c>
      <c r="O157" s="80" t="str">
        <f>IF(ISBLANK(N157),"",IFERROR(INDEX('Tournament List'!$D:$D,MATCH(N157,'Tournament List'!$A:$A,0)),""))</f>
        <v/>
      </c>
    </row>
    <row r="158" spans="1:15" x14ac:dyDescent="0.3">
      <c r="A158" s="79">
        <v>166</v>
      </c>
      <c r="B158" s="73" t="str">
        <f t="shared" si="2"/>
        <v>Wiggins Tigers Sporting Club-Open 1-Sporting Clays</v>
      </c>
      <c r="C158" s="73" t="s">
        <v>321</v>
      </c>
      <c r="D158" s="73" t="s">
        <v>343</v>
      </c>
      <c r="E158" s="73" t="s">
        <v>148</v>
      </c>
      <c r="F158" s="98" t="str">
        <f>IF(E158="Skeet",IFERROR(INDEX('Shooter-Squad Assignment'!$A:$A,MATCH(C158&amp;"-"&amp;D158&amp;"-"&amp;E158&amp;"-Pos1",'Shooter-Squad Assignment'!#REF!,0)),""),IF(E158="Trap",IFERROR(INDEX('Shooter-Squad Assignment'!$A:$A,MATCH(C158&amp;"-"&amp;D158&amp;"-"&amp;E158&amp;"-Pos1",'Shooter-Squad Assignment'!$V:$V,0)),""),IF(E158="Sporting Clays",IFERROR(INDEX('Shooter-Squad Assignment'!$A:$A,MATCH(C158&amp;"-"&amp;D158&amp;"-"&amp;E158&amp;"-Pos1",'Shooter-Squad Assignment'!$Y:$Y,0)),""),"")))</f>
        <v/>
      </c>
      <c r="G158" s="73" t="str">
        <f>IF(ISBLANK(F158),"",IFERROR(INDEX('Tournament List'!$D:$D,MATCH(F158,'Tournament List'!$A:$A,0)),""))</f>
        <v/>
      </c>
      <c r="H158" s="98" t="str">
        <f>IF(E158="Skeet",IFERROR(INDEX('Shooter-Squad Assignment'!$A:$A,MATCH(C158&amp;"-"&amp;D158&amp;"-"&amp;E158&amp;"-Pos2",'Shooter-Squad Assignment'!#REF!,0)),""),IF(E158="Trap",IFERROR(INDEX('Shooter-Squad Assignment'!$A:$A,MATCH(C158&amp;"-"&amp;D158&amp;"-"&amp;E158&amp;"-Pos2",'Shooter-Squad Assignment'!$V:$V,0)),""),IF(E158="Sporting Clays",IFERROR(INDEX('Shooter-Squad Assignment'!$A:$A,MATCH(C158&amp;"-"&amp;D158&amp;"-"&amp;E158&amp;"-Pos2",'Shooter-Squad Assignment'!$Y:$Y,0)),""),"")))</f>
        <v/>
      </c>
      <c r="I158" s="73" t="str">
        <f>IF(ISBLANK(H158),"",IFERROR(INDEX('Tournament List'!$D:$D,MATCH(H158,'Tournament List'!$A:$A,0)),""))</f>
        <v/>
      </c>
      <c r="J158" s="98" t="str">
        <f>IF(E158="Skeet",IFERROR(INDEX('Shooter-Squad Assignment'!$A:$A,MATCH(C158&amp;"-"&amp;D158&amp;"-"&amp;E158&amp;"-Pos3",'Shooter-Squad Assignment'!#REF!,0)),""),IF(E158="Trap",IFERROR(INDEX('Shooter-Squad Assignment'!$A:$A,MATCH(C158&amp;"-"&amp;D158&amp;"-"&amp;E158&amp;"-Pos3",'Shooter-Squad Assignment'!$V:$V,0)),""),IF(E158="Sporting Clays",IFERROR(INDEX('Shooter-Squad Assignment'!$A:$A,MATCH(C158&amp;"-"&amp;D158&amp;"-"&amp;E158&amp;"-Pos3",'Shooter-Squad Assignment'!$Y:$Y,0)),""),"")))</f>
        <v/>
      </c>
      <c r="K158" s="73" t="str">
        <f>IF(ISBLANK(J158),"",IFERROR(INDEX('Tournament List'!$D:$D,MATCH(J158,'Tournament List'!$A:$A,0)),""))</f>
        <v/>
      </c>
      <c r="L158" s="98" t="str">
        <f>IF(E158="Skeet",IFERROR(INDEX('Shooter-Squad Assignment'!$A:$A,MATCH(C158&amp;"-"&amp;D158&amp;"-"&amp;E158&amp;"-Pos4",'Shooter-Squad Assignment'!#REF!,0)),""),IF(E158="Trap",IFERROR(INDEX('Shooter-Squad Assignment'!$A:$A,MATCH(C158&amp;"-"&amp;D158&amp;"-"&amp;E158&amp;"-Pos4",'Shooter-Squad Assignment'!$V:$V,0)),""),IF(E158="Sporting Clays",IFERROR(INDEX('Shooter-Squad Assignment'!$A:$A,MATCH(C158&amp;"-"&amp;D158&amp;"-"&amp;E158&amp;"-Pos4",'Shooter-Squad Assignment'!$Y:$Y,0)),""),"")))</f>
        <v/>
      </c>
      <c r="M158" s="73" t="str">
        <f>IF(ISBLANK(L158),"",IFERROR(INDEX('Tournament List'!$D:$D,MATCH(L158,'Tournament List'!$A:$A,0)),""))</f>
        <v/>
      </c>
      <c r="N158" s="98" t="str">
        <f>IF(E158="Skeet",IFERROR(INDEX('Shooter-Squad Assignment'!$A:$A,MATCH(C158&amp;"-"&amp;D158&amp;"-"&amp;E158&amp;"-Pos5",'Shooter-Squad Assignment'!#REF!,0)),""),IF(E158="Trap",IFERROR(INDEX('Shooter-Squad Assignment'!$A:$A,MATCH(C158&amp;"-"&amp;D158&amp;"-"&amp;E158&amp;"-Pos5",'Shooter-Squad Assignment'!$V:$V,0)),""),IF(E158="Sporting Clays",IFERROR(INDEX('Shooter-Squad Assignment'!$A:$A,MATCH(C158&amp;"-"&amp;D158&amp;"-"&amp;E158&amp;"-Pos5",'Shooter-Squad Assignment'!$Y:$Y,0)),""),"")))</f>
        <v/>
      </c>
      <c r="O158" s="80" t="str">
        <f>IF(ISBLANK(N158),"",IFERROR(INDEX('Tournament List'!$D:$D,MATCH(N158,'Tournament List'!$A:$A,0)),""))</f>
        <v/>
      </c>
    </row>
    <row r="159" spans="1:15" x14ac:dyDescent="0.3">
      <c r="A159" s="79">
        <v>167</v>
      </c>
      <c r="B159" s="73" t="str">
        <f t="shared" si="2"/>
        <v>Wiggins Tigers Sporting Club-Open 2-Sporting Clays</v>
      </c>
      <c r="C159" s="73" t="s">
        <v>321</v>
      </c>
      <c r="D159" s="73" t="s">
        <v>349</v>
      </c>
      <c r="E159" s="73" t="s">
        <v>148</v>
      </c>
      <c r="F159" s="98" t="str">
        <f>IF(E159="Skeet",IFERROR(INDEX('Shooter-Squad Assignment'!$A:$A,MATCH(C159&amp;"-"&amp;D159&amp;"-"&amp;E159&amp;"-Pos1",'Shooter-Squad Assignment'!#REF!,0)),""),IF(E159="Trap",IFERROR(INDEX('Shooter-Squad Assignment'!$A:$A,MATCH(C159&amp;"-"&amp;D159&amp;"-"&amp;E159&amp;"-Pos1",'Shooter-Squad Assignment'!$V:$V,0)),""),IF(E159="Sporting Clays",IFERROR(INDEX('Shooter-Squad Assignment'!$A:$A,MATCH(C159&amp;"-"&amp;D159&amp;"-"&amp;E159&amp;"-Pos1",'Shooter-Squad Assignment'!$Y:$Y,0)),""),"")))</f>
        <v/>
      </c>
      <c r="G159" s="73" t="str">
        <f>IF(ISBLANK(F159),"",IFERROR(INDEX('Tournament List'!$D:$D,MATCH(F159,'Tournament List'!$A:$A,0)),""))</f>
        <v/>
      </c>
      <c r="H159" s="98" t="str">
        <f>IF(E159="Skeet",IFERROR(INDEX('Shooter-Squad Assignment'!$A:$A,MATCH(C159&amp;"-"&amp;D159&amp;"-"&amp;E159&amp;"-Pos2",'Shooter-Squad Assignment'!#REF!,0)),""),IF(E159="Trap",IFERROR(INDEX('Shooter-Squad Assignment'!$A:$A,MATCH(C159&amp;"-"&amp;D159&amp;"-"&amp;E159&amp;"-Pos2",'Shooter-Squad Assignment'!$V:$V,0)),""),IF(E159="Sporting Clays",IFERROR(INDEX('Shooter-Squad Assignment'!$A:$A,MATCH(C159&amp;"-"&amp;D159&amp;"-"&amp;E159&amp;"-Pos2",'Shooter-Squad Assignment'!$Y:$Y,0)),""),"")))</f>
        <v/>
      </c>
      <c r="I159" s="73" t="str">
        <f>IF(ISBLANK(H159),"",IFERROR(INDEX('Tournament List'!$D:$D,MATCH(H159,'Tournament List'!$A:$A,0)),""))</f>
        <v/>
      </c>
      <c r="J159" s="98" t="str">
        <f>IF(E159="Skeet",IFERROR(INDEX('Shooter-Squad Assignment'!$A:$A,MATCH(C159&amp;"-"&amp;D159&amp;"-"&amp;E159&amp;"-Pos3",'Shooter-Squad Assignment'!#REF!,0)),""),IF(E159="Trap",IFERROR(INDEX('Shooter-Squad Assignment'!$A:$A,MATCH(C159&amp;"-"&amp;D159&amp;"-"&amp;E159&amp;"-Pos3",'Shooter-Squad Assignment'!$V:$V,0)),""),IF(E159="Sporting Clays",IFERROR(INDEX('Shooter-Squad Assignment'!$A:$A,MATCH(C159&amp;"-"&amp;D159&amp;"-"&amp;E159&amp;"-Pos3",'Shooter-Squad Assignment'!$Y:$Y,0)),""),"")))</f>
        <v/>
      </c>
      <c r="K159" s="73" t="str">
        <f>IF(ISBLANK(J159),"",IFERROR(INDEX('Tournament List'!$D:$D,MATCH(J159,'Tournament List'!$A:$A,0)),""))</f>
        <v/>
      </c>
      <c r="L159" s="98" t="str">
        <f>IF(E159="Skeet",IFERROR(INDEX('Shooter-Squad Assignment'!$A:$A,MATCH(C159&amp;"-"&amp;D159&amp;"-"&amp;E159&amp;"-Pos4",'Shooter-Squad Assignment'!#REF!,0)),""),IF(E159="Trap",IFERROR(INDEX('Shooter-Squad Assignment'!$A:$A,MATCH(C159&amp;"-"&amp;D159&amp;"-"&amp;E159&amp;"-Pos4",'Shooter-Squad Assignment'!$V:$V,0)),""),IF(E159="Sporting Clays",IFERROR(INDEX('Shooter-Squad Assignment'!$A:$A,MATCH(C159&amp;"-"&amp;D159&amp;"-"&amp;E159&amp;"-Pos4",'Shooter-Squad Assignment'!$Y:$Y,0)),""),"")))</f>
        <v/>
      </c>
      <c r="M159" s="73" t="str">
        <f>IF(ISBLANK(L159),"",IFERROR(INDEX('Tournament List'!$D:$D,MATCH(L159,'Tournament List'!$A:$A,0)),""))</f>
        <v/>
      </c>
      <c r="N159" s="98" t="str">
        <f>IF(E159="Skeet",IFERROR(INDEX('Shooter-Squad Assignment'!$A:$A,MATCH(C159&amp;"-"&amp;D159&amp;"-"&amp;E159&amp;"-Pos5",'Shooter-Squad Assignment'!#REF!,0)),""),IF(E159="Trap",IFERROR(INDEX('Shooter-Squad Assignment'!$A:$A,MATCH(C159&amp;"-"&amp;D159&amp;"-"&amp;E159&amp;"-Pos5",'Shooter-Squad Assignment'!$V:$V,0)),""),IF(E159="Sporting Clays",IFERROR(INDEX('Shooter-Squad Assignment'!$A:$A,MATCH(C159&amp;"-"&amp;D159&amp;"-"&amp;E159&amp;"-Pos5",'Shooter-Squad Assignment'!$Y:$Y,0)),""),"")))</f>
        <v/>
      </c>
      <c r="O159" s="80" t="str">
        <f>IF(ISBLANK(N159),"",IFERROR(INDEX('Tournament List'!$D:$D,MATCH(N159,'Tournament List'!$A:$A,0)),""))</f>
        <v/>
      </c>
    </row>
    <row r="160" spans="1:15" x14ac:dyDescent="0.3">
      <c r="A160" s="79">
        <v>168</v>
      </c>
      <c r="B160" s="73" t="str">
        <f t="shared" si="2"/>
        <v>Wiggins Tigers Sporting Club-Open 3-Sporting Clays</v>
      </c>
      <c r="C160" s="73" t="s">
        <v>321</v>
      </c>
      <c r="D160" s="73" t="s">
        <v>355</v>
      </c>
      <c r="E160" s="73" t="s">
        <v>148</v>
      </c>
      <c r="F160" s="98" t="str">
        <f>IF(E160="Skeet",IFERROR(INDEX('Shooter-Squad Assignment'!$A:$A,MATCH(C160&amp;"-"&amp;D160&amp;"-"&amp;E160&amp;"-Pos1",'Shooter-Squad Assignment'!#REF!,0)),""),IF(E160="Trap",IFERROR(INDEX('Shooter-Squad Assignment'!$A:$A,MATCH(C160&amp;"-"&amp;D160&amp;"-"&amp;E160&amp;"-Pos1",'Shooter-Squad Assignment'!$V:$V,0)),""),IF(E160="Sporting Clays",IFERROR(INDEX('Shooter-Squad Assignment'!$A:$A,MATCH(C160&amp;"-"&amp;D160&amp;"-"&amp;E160&amp;"-Pos1",'Shooter-Squad Assignment'!$Y:$Y,0)),""),"")))</f>
        <v/>
      </c>
      <c r="G160" s="73" t="str">
        <f>IF(ISBLANK(F160),"",IFERROR(INDEX('Tournament List'!$D:$D,MATCH(F160,'Tournament List'!$A:$A,0)),""))</f>
        <v/>
      </c>
      <c r="H160" s="98" t="str">
        <f>IF(E160="Skeet",IFERROR(INDEX('Shooter-Squad Assignment'!$A:$A,MATCH(C160&amp;"-"&amp;D160&amp;"-"&amp;E160&amp;"-Pos2",'Shooter-Squad Assignment'!#REF!,0)),""),IF(E160="Trap",IFERROR(INDEX('Shooter-Squad Assignment'!$A:$A,MATCH(C160&amp;"-"&amp;D160&amp;"-"&amp;E160&amp;"-Pos2",'Shooter-Squad Assignment'!$V:$V,0)),""),IF(E160="Sporting Clays",IFERROR(INDEX('Shooter-Squad Assignment'!$A:$A,MATCH(C160&amp;"-"&amp;D160&amp;"-"&amp;E160&amp;"-Pos2",'Shooter-Squad Assignment'!$Y:$Y,0)),""),"")))</f>
        <v/>
      </c>
      <c r="I160" s="73" t="str">
        <f>IF(ISBLANK(H160),"",IFERROR(INDEX('Tournament List'!$D:$D,MATCH(H160,'Tournament List'!$A:$A,0)),""))</f>
        <v/>
      </c>
      <c r="J160" s="98" t="str">
        <f>IF(E160="Skeet",IFERROR(INDEX('Shooter-Squad Assignment'!$A:$A,MATCH(C160&amp;"-"&amp;D160&amp;"-"&amp;E160&amp;"-Pos3",'Shooter-Squad Assignment'!#REF!,0)),""),IF(E160="Trap",IFERROR(INDEX('Shooter-Squad Assignment'!$A:$A,MATCH(C160&amp;"-"&amp;D160&amp;"-"&amp;E160&amp;"-Pos3",'Shooter-Squad Assignment'!$V:$V,0)),""),IF(E160="Sporting Clays",IFERROR(INDEX('Shooter-Squad Assignment'!$A:$A,MATCH(C160&amp;"-"&amp;D160&amp;"-"&amp;E160&amp;"-Pos3",'Shooter-Squad Assignment'!$Y:$Y,0)),""),"")))</f>
        <v/>
      </c>
      <c r="K160" s="73" t="str">
        <f>IF(ISBLANK(J160),"",IFERROR(INDEX('Tournament List'!$D:$D,MATCH(J160,'Tournament List'!$A:$A,0)),""))</f>
        <v/>
      </c>
      <c r="L160" s="98" t="str">
        <f>IF(E160="Skeet",IFERROR(INDEX('Shooter-Squad Assignment'!$A:$A,MATCH(C160&amp;"-"&amp;D160&amp;"-"&amp;E160&amp;"-Pos4",'Shooter-Squad Assignment'!#REF!,0)),""),IF(E160="Trap",IFERROR(INDEX('Shooter-Squad Assignment'!$A:$A,MATCH(C160&amp;"-"&amp;D160&amp;"-"&amp;E160&amp;"-Pos4",'Shooter-Squad Assignment'!$V:$V,0)),""),IF(E160="Sporting Clays",IFERROR(INDEX('Shooter-Squad Assignment'!$A:$A,MATCH(C160&amp;"-"&amp;D160&amp;"-"&amp;E160&amp;"-Pos4",'Shooter-Squad Assignment'!$Y:$Y,0)),""),"")))</f>
        <v/>
      </c>
      <c r="M160" s="73" t="str">
        <f>IF(ISBLANK(L160),"",IFERROR(INDEX('Tournament List'!$D:$D,MATCH(L160,'Tournament List'!$A:$A,0)),""))</f>
        <v/>
      </c>
      <c r="N160" s="98" t="str">
        <f>IF(E160="Skeet",IFERROR(INDEX('Shooter-Squad Assignment'!$A:$A,MATCH(C160&amp;"-"&amp;D160&amp;"-"&amp;E160&amp;"-Pos5",'Shooter-Squad Assignment'!#REF!,0)),""),IF(E160="Trap",IFERROR(INDEX('Shooter-Squad Assignment'!$A:$A,MATCH(C160&amp;"-"&amp;D160&amp;"-"&amp;E160&amp;"-Pos5",'Shooter-Squad Assignment'!$V:$V,0)),""),IF(E160="Sporting Clays",IFERROR(INDEX('Shooter-Squad Assignment'!$A:$A,MATCH(C160&amp;"-"&amp;D160&amp;"-"&amp;E160&amp;"-Pos5",'Shooter-Squad Assignment'!$Y:$Y,0)),""),"")))</f>
        <v/>
      </c>
      <c r="O160" s="80" t="str">
        <f>IF(ISBLANK(N160),"",IFERROR(INDEX('Tournament List'!$D:$D,MATCH(N160,'Tournament List'!$A:$A,0)),""))</f>
        <v/>
      </c>
    </row>
    <row r="161" spans="1:15" x14ac:dyDescent="0.3">
      <c r="A161" s="79">
        <v>169</v>
      </c>
      <c r="B161" s="73" t="str">
        <f t="shared" si="2"/>
        <v>Wiggins Tigers Sporting Club-Varsity 1-Sporting Clays</v>
      </c>
      <c r="C161" s="73" t="s">
        <v>321</v>
      </c>
      <c r="D161" s="73" t="s">
        <v>342</v>
      </c>
      <c r="E161" s="73" t="s">
        <v>148</v>
      </c>
      <c r="F161" s="98" t="str">
        <f>IF(E161="Skeet",IFERROR(INDEX('Shooter-Squad Assignment'!$A:$A,MATCH(C161&amp;"-"&amp;D161&amp;"-"&amp;E161&amp;"-Pos1",'Shooter-Squad Assignment'!#REF!,0)),""),IF(E161="Trap",IFERROR(INDEX('Shooter-Squad Assignment'!$A:$A,MATCH(C161&amp;"-"&amp;D161&amp;"-"&amp;E161&amp;"-Pos1",'Shooter-Squad Assignment'!$V:$V,0)),""),IF(E161="Sporting Clays",IFERROR(INDEX('Shooter-Squad Assignment'!$A:$A,MATCH(C161&amp;"-"&amp;D161&amp;"-"&amp;E161&amp;"-Pos1",'Shooter-Squad Assignment'!$Y:$Y,0)),""),"")))</f>
        <v/>
      </c>
      <c r="G161" s="73" t="str">
        <f>IF(ISBLANK(F161),"",IFERROR(INDEX('Tournament List'!$D:$D,MATCH(F161,'Tournament List'!$A:$A,0)),""))</f>
        <v/>
      </c>
      <c r="H161" s="98" t="str">
        <f>IF(E161="Skeet",IFERROR(INDEX('Shooter-Squad Assignment'!$A:$A,MATCH(C161&amp;"-"&amp;D161&amp;"-"&amp;E161&amp;"-Pos2",'Shooter-Squad Assignment'!#REF!,0)),""),IF(E161="Trap",IFERROR(INDEX('Shooter-Squad Assignment'!$A:$A,MATCH(C161&amp;"-"&amp;D161&amp;"-"&amp;E161&amp;"-Pos2",'Shooter-Squad Assignment'!$V:$V,0)),""),IF(E161="Sporting Clays",IFERROR(INDEX('Shooter-Squad Assignment'!$A:$A,MATCH(C161&amp;"-"&amp;D161&amp;"-"&amp;E161&amp;"-Pos2",'Shooter-Squad Assignment'!$Y:$Y,0)),""),"")))</f>
        <v/>
      </c>
      <c r="I161" s="73" t="str">
        <f>IF(ISBLANK(H161),"",IFERROR(INDEX('Tournament List'!$D:$D,MATCH(H161,'Tournament List'!$A:$A,0)),""))</f>
        <v/>
      </c>
      <c r="J161" s="98" t="str">
        <f>IF(E161="Skeet",IFERROR(INDEX('Shooter-Squad Assignment'!$A:$A,MATCH(C161&amp;"-"&amp;D161&amp;"-"&amp;E161&amp;"-Pos3",'Shooter-Squad Assignment'!#REF!,0)),""),IF(E161="Trap",IFERROR(INDEX('Shooter-Squad Assignment'!$A:$A,MATCH(C161&amp;"-"&amp;D161&amp;"-"&amp;E161&amp;"-Pos3",'Shooter-Squad Assignment'!$V:$V,0)),""),IF(E161="Sporting Clays",IFERROR(INDEX('Shooter-Squad Assignment'!$A:$A,MATCH(C161&amp;"-"&amp;D161&amp;"-"&amp;E161&amp;"-Pos3",'Shooter-Squad Assignment'!$Y:$Y,0)),""),"")))</f>
        <v/>
      </c>
      <c r="K161" s="73" t="str">
        <f>IF(ISBLANK(J161),"",IFERROR(INDEX('Tournament List'!$D:$D,MATCH(J161,'Tournament List'!$A:$A,0)),""))</f>
        <v/>
      </c>
      <c r="L161" s="98" t="str">
        <f>IF(E161="Skeet",IFERROR(INDEX('Shooter-Squad Assignment'!$A:$A,MATCH(C161&amp;"-"&amp;D161&amp;"-"&amp;E161&amp;"-Pos4",'Shooter-Squad Assignment'!#REF!,0)),""),IF(E161="Trap",IFERROR(INDEX('Shooter-Squad Assignment'!$A:$A,MATCH(C161&amp;"-"&amp;D161&amp;"-"&amp;E161&amp;"-Pos4",'Shooter-Squad Assignment'!$V:$V,0)),""),IF(E161="Sporting Clays",IFERROR(INDEX('Shooter-Squad Assignment'!$A:$A,MATCH(C161&amp;"-"&amp;D161&amp;"-"&amp;E161&amp;"-Pos4",'Shooter-Squad Assignment'!$Y:$Y,0)),""),"")))</f>
        <v/>
      </c>
      <c r="M161" s="73" t="str">
        <f>IF(ISBLANK(L161),"",IFERROR(INDEX('Tournament List'!$D:$D,MATCH(L161,'Tournament List'!$A:$A,0)),""))</f>
        <v/>
      </c>
      <c r="N161" s="98" t="str">
        <f>IF(E161="Skeet",IFERROR(INDEX('Shooter-Squad Assignment'!$A:$A,MATCH(C161&amp;"-"&amp;D161&amp;"-"&amp;E161&amp;"-Pos5",'Shooter-Squad Assignment'!#REF!,0)),""),IF(E161="Trap",IFERROR(INDEX('Shooter-Squad Assignment'!$A:$A,MATCH(C161&amp;"-"&amp;D161&amp;"-"&amp;E161&amp;"-Pos5",'Shooter-Squad Assignment'!$V:$V,0)),""),IF(E161="Sporting Clays",IFERROR(INDEX('Shooter-Squad Assignment'!$A:$A,MATCH(C161&amp;"-"&amp;D161&amp;"-"&amp;E161&amp;"-Pos5",'Shooter-Squad Assignment'!$Y:$Y,0)),""),"")))</f>
        <v/>
      </c>
      <c r="O161" s="80" t="str">
        <f>IF(ISBLANK(N161),"",IFERROR(INDEX('Tournament List'!$D:$D,MATCH(N161,'Tournament List'!$A:$A,0)),""))</f>
        <v/>
      </c>
    </row>
    <row r="162" spans="1:15" x14ac:dyDescent="0.3">
      <c r="A162" s="79">
        <v>170</v>
      </c>
      <c r="B162" s="73" t="str">
        <f t="shared" si="2"/>
        <v>Wiggins Tigers Sporting Club-Varsity 2-Sporting Clays</v>
      </c>
      <c r="C162" s="73" t="s">
        <v>321</v>
      </c>
      <c r="D162" s="73" t="s">
        <v>348</v>
      </c>
      <c r="E162" s="73" t="s">
        <v>148</v>
      </c>
      <c r="F162" s="98" t="str">
        <f>IF(E162="Skeet",IFERROR(INDEX('Shooter-Squad Assignment'!$A:$A,MATCH(C162&amp;"-"&amp;D162&amp;"-"&amp;E162&amp;"-Pos1",'Shooter-Squad Assignment'!#REF!,0)),""),IF(E162="Trap",IFERROR(INDEX('Shooter-Squad Assignment'!$A:$A,MATCH(C162&amp;"-"&amp;D162&amp;"-"&amp;E162&amp;"-Pos1",'Shooter-Squad Assignment'!$V:$V,0)),""),IF(E162="Sporting Clays",IFERROR(INDEX('Shooter-Squad Assignment'!$A:$A,MATCH(C162&amp;"-"&amp;D162&amp;"-"&amp;E162&amp;"-Pos1",'Shooter-Squad Assignment'!$Y:$Y,0)),""),"")))</f>
        <v/>
      </c>
      <c r="G162" s="73" t="str">
        <f>IF(ISBLANK(F162),"",IFERROR(INDEX('Tournament List'!$D:$D,MATCH(F162,'Tournament List'!$A:$A,0)),""))</f>
        <v/>
      </c>
      <c r="H162" s="98" t="str">
        <f>IF(E162="Skeet",IFERROR(INDEX('Shooter-Squad Assignment'!$A:$A,MATCH(C162&amp;"-"&amp;D162&amp;"-"&amp;E162&amp;"-Pos2",'Shooter-Squad Assignment'!#REF!,0)),""),IF(E162="Trap",IFERROR(INDEX('Shooter-Squad Assignment'!$A:$A,MATCH(C162&amp;"-"&amp;D162&amp;"-"&amp;E162&amp;"-Pos2",'Shooter-Squad Assignment'!$V:$V,0)),""),IF(E162="Sporting Clays",IFERROR(INDEX('Shooter-Squad Assignment'!$A:$A,MATCH(C162&amp;"-"&amp;D162&amp;"-"&amp;E162&amp;"-Pos2",'Shooter-Squad Assignment'!$Y:$Y,0)),""),"")))</f>
        <v/>
      </c>
      <c r="I162" s="73" t="str">
        <f>IF(ISBLANK(H162),"",IFERROR(INDEX('Tournament List'!$D:$D,MATCH(H162,'Tournament List'!$A:$A,0)),""))</f>
        <v/>
      </c>
      <c r="J162" s="98" t="str">
        <f>IF(E162="Skeet",IFERROR(INDEX('Shooter-Squad Assignment'!$A:$A,MATCH(C162&amp;"-"&amp;D162&amp;"-"&amp;E162&amp;"-Pos3",'Shooter-Squad Assignment'!#REF!,0)),""),IF(E162="Trap",IFERROR(INDEX('Shooter-Squad Assignment'!$A:$A,MATCH(C162&amp;"-"&amp;D162&amp;"-"&amp;E162&amp;"-Pos3",'Shooter-Squad Assignment'!$V:$V,0)),""),IF(E162="Sporting Clays",IFERROR(INDEX('Shooter-Squad Assignment'!$A:$A,MATCH(C162&amp;"-"&amp;D162&amp;"-"&amp;E162&amp;"-Pos3",'Shooter-Squad Assignment'!$Y:$Y,0)),""),"")))</f>
        <v/>
      </c>
      <c r="K162" s="73" t="str">
        <f>IF(ISBLANK(J162),"",IFERROR(INDEX('Tournament List'!$D:$D,MATCH(J162,'Tournament List'!$A:$A,0)),""))</f>
        <v/>
      </c>
      <c r="L162" s="98" t="str">
        <f>IF(E162="Skeet",IFERROR(INDEX('Shooter-Squad Assignment'!$A:$A,MATCH(C162&amp;"-"&amp;D162&amp;"-"&amp;E162&amp;"-Pos4",'Shooter-Squad Assignment'!#REF!,0)),""),IF(E162="Trap",IFERROR(INDEX('Shooter-Squad Assignment'!$A:$A,MATCH(C162&amp;"-"&amp;D162&amp;"-"&amp;E162&amp;"-Pos4",'Shooter-Squad Assignment'!$V:$V,0)),""),IF(E162="Sporting Clays",IFERROR(INDEX('Shooter-Squad Assignment'!$A:$A,MATCH(C162&amp;"-"&amp;D162&amp;"-"&amp;E162&amp;"-Pos4",'Shooter-Squad Assignment'!$Y:$Y,0)),""),"")))</f>
        <v/>
      </c>
      <c r="M162" s="73" t="str">
        <f>IF(ISBLANK(L162),"",IFERROR(INDEX('Tournament List'!$D:$D,MATCH(L162,'Tournament List'!$A:$A,0)),""))</f>
        <v/>
      </c>
      <c r="N162" s="98" t="str">
        <f>IF(E162="Skeet",IFERROR(INDEX('Shooter-Squad Assignment'!$A:$A,MATCH(C162&amp;"-"&amp;D162&amp;"-"&amp;E162&amp;"-Pos5",'Shooter-Squad Assignment'!#REF!,0)),""),IF(E162="Trap",IFERROR(INDEX('Shooter-Squad Assignment'!$A:$A,MATCH(C162&amp;"-"&amp;D162&amp;"-"&amp;E162&amp;"-Pos5",'Shooter-Squad Assignment'!$V:$V,0)),""),IF(E162="Sporting Clays",IFERROR(INDEX('Shooter-Squad Assignment'!$A:$A,MATCH(C162&amp;"-"&amp;D162&amp;"-"&amp;E162&amp;"-Pos5",'Shooter-Squad Assignment'!$Y:$Y,0)),""),"")))</f>
        <v/>
      </c>
      <c r="O162" s="80" t="str">
        <f>IF(ISBLANK(N162),"",IFERROR(INDEX('Tournament List'!$D:$D,MATCH(N162,'Tournament List'!$A:$A,0)),""))</f>
        <v/>
      </c>
    </row>
    <row r="163" spans="1:15" ht="15" thickBot="1" x14ac:dyDescent="0.35">
      <c r="A163" s="81">
        <v>171</v>
      </c>
      <c r="B163" s="82" t="str">
        <f t="shared" si="2"/>
        <v>Wiggins Tigers Sporting Club-Varsity 3-Sporting Clays</v>
      </c>
      <c r="C163" s="82" t="s">
        <v>321</v>
      </c>
      <c r="D163" s="82" t="s">
        <v>354</v>
      </c>
      <c r="E163" s="82" t="s">
        <v>148</v>
      </c>
      <c r="F163" s="99" t="str">
        <f>IF(E163="Skeet",IFERROR(INDEX('Shooter-Squad Assignment'!$A:$A,MATCH(C163&amp;"-"&amp;D163&amp;"-"&amp;E163&amp;"-Pos1",'Shooter-Squad Assignment'!#REF!,0)),""),IF(E163="Trap",IFERROR(INDEX('Shooter-Squad Assignment'!$A:$A,MATCH(C163&amp;"-"&amp;D163&amp;"-"&amp;E163&amp;"-Pos1",'Shooter-Squad Assignment'!$V:$V,0)),""),IF(E163="Sporting Clays",IFERROR(INDEX('Shooter-Squad Assignment'!$A:$A,MATCH(C163&amp;"-"&amp;D163&amp;"-"&amp;E163&amp;"-Pos1",'Shooter-Squad Assignment'!$Y:$Y,0)),""),"")))</f>
        <v/>
      </c>
      <c r="G163" s="82" t="str">
        <f>IF(ISBLANK(F163),"",IFERROR(INDEX('Tournament List'!$D:$D,MATCH(F163,'Tournament List'!$A:$A,0)),""))</f>
        <v/>
      </c>
      <c r="H163" s="99" t="str">
        <f>IF(E163="Skeet",IFERROR(INDEX('Shooter-Squad Assignment'!$A:$A,MATCH(C163&amp;"-"&amp;D163&amp;"-"&amp;E163&amp;"-Pos2",'Shooter-Squad Assignment'!#REF!,0)),""),IF(E163="Trap",IFERROR(INDEX('Shooter-Squad Assignment'!$A:$A,MATCH(C163&amp;"-"&amp;D163&amp;"-"&amp;E163&amp;"-Pos2",'Shooter-Squad Assignment'!$V:$V,0)),""),IF(E163="Sporting Clays",IFERROR(INDEX('Shooter-Squad Assignment'!$A:$A,MATCH(C163&amp;"-"&amp;D163&amp;"-"&amp;E163&amp;"-Pos2",'Shooter-Squad Assignment'!$Y:$Y,0)),""),"")))</f>
        <v/>
      </c>
      <c r="I163" s="82" t="str">
        <f>IF(ISBLANK(H163),"",IFERROR(INDEX('Tournament List'!$D:$D,MATCH(H163,'Tournament List'!$A:$A,0)),""))</f>
        <v/>
      </c>
      <c r="J163" s="99" t="str">
        <f>IF(E163="Skeet",IFERROR(INDEX('Shooter-Squad Assignment'!$A:$A,MATCH(C163&amp;"-"&amp;D163&amp;"-"&amp;E163&amp;"-Pos3",'Shooter-Squad Assignment'!#REF!,0)),""),IF(E163="Trap",IFERROR(INDEX('Shooter-Squad Assignment'!$A:$A,MATCH(C163&amp;"-"&amp;D163&amp;"-"&amp;E163&amp;"-Pos3",'Shooter-Squad Assignment'!$V:$V,0)),""),IF(E163="Sporting Clays",IFERROR(INDEX('Shooter-Squad Assignment'!$A:$A,MATCH(C163&amp;"-"&amp;D163&amp;"-"&amp;E163&amp;"-Pos3",'Shooter-Squad Assignment'!$Y:$Y,0)),""),"")))</f>
        <v/>
      </c>
      <c r="K163" s="82" t="str">
        <f>IF(ISBLANK(J163),"",IFERROR(INDEX('Tournament List'!$D:$D,MATCH(J163,'Tournament List'!$A:$A,0)),""))</f>
        <v/>
      </c>
      <c r="L163" s="99" t="str">
        <f>IF(E163="Skeet",IFERROR(INDEX('Shooter-Squad Assignment'!$A:$A,MATCH(C163&amp;"-"&amp;D163&amp;"-"&amp;E163&amp;"-Pos4",'Shooter-Squad Assignment'!#REF!,0)),""),IF(E163="Trap",IFERROR(INDEX('Shooter-Squad Assignment'!$A:$A,MATCH(C163&amp;"-"&amp;D163&amp;"-"&amp;E163&amp;"-Pos4",'Shooter-Squad Assignment'!$V:$V,0)),""),IF(E163="Sporting Clays",IFERROR(INDEX('Shooter-Squad Assignment'!$A:$A,MATCH(C163&amp;"-"&amp;D163&amp;"-"&amp;E163&amp;"-Pos4",'Shooter-Squad Assignment'!$Y:$Y,0)),""),"")))</f>
        <v/>
      </c>
      <c r="M163" s="82" t="str">
        <f>IF(ISBLANK(L163),"",IFERROR(INDEX('Tournament List'!$D:$D,MATCH(L163,'Tournament List'!$A:$A,0)),""))</f>
        <v/>
      </c>
      <c r="N163" s="99" t="str">
        <f>IF(E163="Skeet",IFERROR(INDEX('Shooter-Squad Assignment'!$A:$A,MATCH(C163&amp;"-"&amp;D163&amp;"-"&amp;E163&amp;"-Pos5",'Shooter-Squad Assignment'!#REF!,0)),""),IF(E163="Trap",IFERROR(INDEX('Shooter-Squad Assignment'!$A:$A,MATCH(C163&amp;"-"&amp;D163&amp;"-"&amp;E163&amp;"-Pos5",'Shooter-Squad Assignment'!$V:$V,0)),""),IF(E163="Sporting Clays",IFERROR(INDEX('Shooter-Squad Assignment'!$A:$A,MATCH(C163&amp;"-"&amp;D163&amp;"-"&amp;E163&amp;"-Pos5",'Shooter-Squad Assignment'!$Y:$Y,0)),""),"")))</f>
        <v/>
      </c>
      <c r="O163" s="83" t="str">
        <f>IF(ISBLANK(N163),"",IFERROR(INDEX('Tournament List'!$D:$D,MATCH(N163,'Tournament List'!$A:$A,0)),""))</f>
        <v/>
      </c>
    </row>
    <row r="164" spans="1:15" x14ac:dyDescent="0.3">
      <c r="A164" s="88">
        <v>172</v>
      </c>
      <c r="B164" s="89" t="str">
        <f t="shared" si="2"/>
        <v>Forge Christian Shooting Team-Collegiate 1-Skeet</v>
      </c>
      <c r="C164" s="89" t="s">
        <v>322</v>
      </c>
      <c r="D164" s="89" t="s">
        <v>344</v>
      </c>
      <c r="E164" s="89" t="s">
        <v>143</v>
      </c>
      <c r="F164" s="100" t="str">
        <f>IF(E164="Skeet",IFERROR(INDEX('Shooter-Squad Assignment'!$A:$A,MATCH(C164&amp;"-"&amp;D164&amp;"-"&amp;E164&amp;"-Pos1",'Shooter-Squad Assignment'!#REF!,0)),""),IF(E164="Trap",IFERROR(INDEX('Shooter-Squad Assignment'!$A:$A,MATCH(C164&amp;"-"&amp;D164&amp;"-"&amp;E164&amp;"-Pos1",'Shooter-Squad Assignment'!$V:$V,0)),""),IF(E164="Sporting Clays",IFERROR(INDEX('Shooter-Squad Assignment'!$A:$A,MATCH(C164&amp;"-"&amp;D164&amp;"-"&amp;E164&amp;"-Pos1",'Shooter-Squad Assignment'!$Y:$Y,0)),""),"")))</f>
        <v/>
      </c>
      <c r="G164" s="89" t="str">
        <f>IF(ISBLANK(F164),"",IFERROR(INDEX('Tournament List'!$D:$D,MATCH(F164,'Tournament List'!$A:$A,0)),""))</f>
        <v/>
      </c>
      <c r="H164" s="100" t="str">
        <f>IF(E164="Skeet",IFERROR(INDEX('Shooter-Squad Assignment'!$A:$A,MATCH(C164&amp;"-"&amp;D164&amp;"-"&amp;E164&amp;"-Pos2",'Shooter-Squad Assignment'!#REF!,0)),""),IF(E164="Trap",IFERROR(INDEX('Shooter-Squad Assignment'!$A:$A,MATCH(C164&amp;"-"&amp;D164&amp;"-"&amp;E164&amp;"-Pos2",'Shooter-Squad Assignment'!$V:$V,0)),""),IF(E164="Sporting Clays",IFERROR(INDEX('Shooter-Squad Assignment'!$A:$A,MATCH(C164&amp;"-"&amp;D164&amp;"-"&amp;E164&amp;"-Pos2",'Shooter-Squad Assignment'!$Y:$Y,0)),""),"")))</f>
        <v/>
      </c>
      <c r="I164" s="89" t="str">
        <f>IF(ISBLANK(H164),"",IFERROR(INDEX('Tournament List'!$D:$D,MATCH(H164,'Tournament List'!$A:$A,0)),""))</f>
        <v/>
      </c>
      <c r="J164" s="100" t="str">
        <f>IF(E164="Skeet",IFERROR(INDEX('Shooter-Squad Assignment'!$A:$A,MATCH(C164&amp;"-"&amp;D164&amp;"-"&amp;E164&amp;"-Pos3",'Shooter-Squad Assignment'!#REF!,0)),""),IF(E164="Trap",IFERROR(INDEX('Shooter-Squad Assignment'!$A:$A,MATCH(C164&amp;"-"&amp;D164&amp;"-"&amp;E164&amp;"-Pos3",'Shooter-Squad Assignment'!$V:$V,0)),""),IF(E164="Sporting Clays",IFERROR(INDEX('Shooter-Squad Assignment'!$A:$A,MATCH(C164&amp;"-"&amp;D164&amp;"-"&amp;E164&amp;"-Pos3",'Shooter-Squad Assignment'!$Y:$Y,0)),""),"")))</f>
        <v/>
      </c>
      <c r="K164" s="89" t="str">
        <f>IF(ISBLANK(J164),"",IFERROR(INDEX('Tournament List'!$D:$D,MATCH(J164,'Tournament List'!$A:$A,0)),""))</f>
        <v/>
      </c>
      <c r="L164" s="100" t="str">
        <f>IF(E164="Skeet",IFERROR(INDEX('Shooter-Squad Assignment'!$A:$A,MATCH(C164&amp;"-"&amp;D164&amp;"-"&amp;E164&amp;"-Pos4",'Shooter-Squad Assignment'!#REF!,0)),""),IF(E164="Trap",IFERROR(INDEX('Shooter-Squad Assignment'!$A:$A,MATCH(C164&amp;"-"&amp;D164&amp;"-"&amp;E164&amp;"-Pos4",'Shooter-Squad Assignment'!$V:$V,0)),""),IF(E164="Sporting Clays",IFERROR(INDEX('Shooter-Squad Assignment'!$A:$A,MATCH(C164&amp;"-"&amp;D164&amp;"-"&amp;E164&amp;"-Pos4",'Shooter-Squad Assignment'!$Y:$Y,0)),""),"")))</f>
        <v/>
      </c>
      <c r="M164" s="89" t="str">
        <f>IF(ISBLANK(L164),"",IFERROR(INDEX('Tournament List'!$D:$D,MATCH(L164,'Tournament List'!$A:$A,0)),""))</f>
        <v/>
      </c>
      <c r="N164" s="100" t="str">
        <f>IF(E164="Skeet",IFERROR(INDEX('Shooter-Squad Assignment'!$A:$A,MATCH(C164&amp;"-"&amp;D164&amp;"-"&amp;E164&amp;"-Pos5",'Shooter-Squad Assignment'!#REF!,0)),""),IF(E164="Trap",IFERROR(INDEX('Shooter-Squad Assignment'!$A:$A,MATCH(C164&amp;"-"&amp;D164&amp;"-"&amp;E164&amp;"-Pos5",'Shooter-Squad Assignment'!$V:$V,0)),""),IF(E164="Sporting Clays",IFERROR(INDEX('Shooter-Squad Assignment'!$A:$A,MATCH(C164&amp;"-"&amp;D164&amp;"-"&amp;E164&amp;"-Pos5",'Shooter-Squad Assignment'!$Y:$Y,0)),""),"")))</f>
        <v/>
      </c>
      <c r="O164" s="90" t="str">
        <f>IF(ISBLANK(N164),"",IFERROR(INDEX('Tournament List'!$D:$D,MATCH(N164,'Tournament List'!$A:$A,0)),""))</f>
        <v/>
      </c>
    </row>
    <row r="165" spans="1:15" x14ac:dyDescent="0.3">
      <c r="A165" s="91">
        <v>173</v>
      </c>
      <c r="B165" s="92" t="str">
        <f t="shared" si="2"/>
        <v>Forge Christian Shooting Team-Collegiate 2-Skeet</v>
      </c>
      <c r="C165" s="92" t="s">
        <v>322</v>
      </c>
      <c r="D165" s="92" t="s">
        <v>350</v>
      </c>
      <c r="E165" s="92" t="s">
        <v>143</v>
      </c>
      <c r="F165" s="101" t="str">
        <f>IF(E165="Skeet",IFERROR(INDEX('Shooter-Squad Assignment'!$A:$A,MATCH(C165&amp;"-"&amp;D165&amp;"-"&amp;E165&amp;"-Pos1",'Shooter-Squad Assignment'!#REF!,0)),""),IF(E165="Trap",IFERROR(INDEX('Shooter-Squad Assignment'!$A:$A,MATCH(C165&amp;"-"&amp;D165&amp;"-"&amp;E165&amp;"-Pos1",'Shooter-Squad Assignment'!$V:$V,0)),""),IF(E165="Sporting Clays",IFERROR(INDEX('Shooter-Squad Assignment'!$A:$A,MATCH(C165&amp;"-"&amp;D165&amp;"-"&amp;E165&amp;"-Pos1",'Shooter-Squad Assignment'!$Y:$Y,0)),""),"")))</f>
        <v/>
      </c>
      <c r="G165" s="92" t="str">
        <f>IF(ISBLANK(F165),"",IFERROR(INDEX('Tournament List'!$D:$D,MATCH(F165,'Tournament List'!$A:$A,0)),""))</f>
        <v/>
      </c>
      <c r="H165" s="101" t="str">
        <f>IF(E165="Skeet",IFERROR(INDEX('Shooter-Squad Assignment'!$A:$A,MATCH(C165&amp;"-"&amp;D165&amp;"-"&amp;E165&amp;"-Pos2",'Shooter-Squad Assignment'!#REF!,0)),""),IF(E165="Trap",IFERROR(INDEX('Shooter-Squad Assignment'!$A:$A,MATCH(C165&amp;"-"&amp;D165&amp;"-"&amp;E165&amp;"-Pos2",'Shooter-Squad Assignment'!$V:$V,0)),""),IF(E165="Sporting Clays",IFERROR(INDEX('Shooter-Squad Assignment'!$A:$A,MATCH(C165&amp;"-"&amp;D165&amp;"-"&amp;E165&amp;"-Pos2",'Shooter-Squad Assignment'!$Y:$Y,0)),""),"")))</f>
        <v/>
      </c>
      <c r="I165" s="92" t="str">
        <f>IF(ISBLANK(H165),"",IFERROR(INDEX('Tournament List'!$D:$D,MATCH(H165,'Tournament List'!$A:$A,0)),""))</f>
        <v/>
      </c>
      <c r="J165" s="101" t="str">
        <f>IF(E165="Skeet",IFERROR(INDEX('Shooter-Squad Assignment'!$A:$A,MATCH(C165&amp;"-"&amp;D165&amp;"-"&amp;E165&amp;"-Pos3",'Shooter-Squad Assignment'!#REF!,0)),""),IF(E165="Trap",IFERROR(INDEX('Shooter-Squad Assignment'!$A:$A,MATCH(C165&amp;"-"&amp;D165&amp;"-"&amp;E165&amp;"-Pos3",'Shooter-Squad Assignment'!$V:$V,0)),""),IF(E165="Sporting Clays",IFERROR(INDEX('Shooter-Squad Assignment'!$A:$A,MATCH(C165&amp;"-"&amp;D165&amp;"-"&amp;E165&amp;"-Pos3",'Shooter-Squad Assignment'!$Y:$Y,0)),""),"")))</f>
        <v/>
      </c>
      <c r="K165" s="92" t="str">
        <f>IF(ISBLANK(J165),"",IFERROR(INDEX('Tournament List'!$D:$D,MATCH(J165,'Tournament List'!$A:$A,0)),""))</f>
        <v/>
      </c>
      <c r="L165" s="101" t="str">
        <f>IF(E165="Skeet",IFERROR(INDEX('Shooter-Squad Assignment'!$A:$A,MATCH(C165&amp;"-"&amp;D165&amp;"-"&amp;E165&amp;"-Pos4",'Shooter-Squad Assignment'!#REF!,0)),""),IF(E165="Trap",IFERROR(INDEX('Shooter-Squad Assignment'!$A:$A,MATCH(C165&amp;"-"&amp;D165&amp;"-"&amp;E165&amp;"-Pos4",'Shooter-Squad Assignment'!$V:$V,0)),""),IF(E165="Sporting Clays",IFERROR(INDEX('Shooter-Squad Assignment'!$A:$A,MATCH(C165&amp;"-"&amp;D165&amp;"-"&amp;E165&amp;"-Pos4",'Shooter-Squad Assignment'!$Y:$Y,0)),""),"")))</f>
        <v/>
      </c>
      <c r="M165" s="92" t="str">
        <f>IF(ISBLANK(L165),"",IFERROR(INDEX('Tournament List'!$D:$D,MATCH(L165,'Tournament List'!$A:$A,0)),""))</f>
        <v/>
      </c>
      <c r="N165" s="101" t="str">
        <f>IF(E165="Skeet",IFERROR(INDEX('Shooter-Squad Assignment'!$A:$A,MATCH(C165&amp;"-"&amp;D165&amp;"-"&amp;E165&amp;"-Pos5",'Shooter-Squad Assignment'!#REF!,0)),""),IF(E165="Trap",IFERROR(INDEX('Shooter-Squad Assignment'!$A:$A,MATCH(C165&amp;"-"&amp;D165&amp;"-"&amp;E165&amp;"-Pos5",'Shooter-Squad Assignment'!$V:$V,0)),""),IF(E165="Sporting Clays",IFERROR(INDEX('Shooter-Squad Assignment'!$A:$A,MATCH(C165&amp;"-"&amp;D165&amp;"-"&amp;E165&amp;"-Pos5",'Shooter-Squad Assignment'!$Y:$Y,0)),""),"")))</f>
        <v/>
      </c>
      <c r="O165" s="93" t="str">
        <f>IF(ISBLANK(N165),"",IFERROR(INDEX('Tournament List'!$D:$D,MATCH(N165,'Tournament List'!$A:$A,0)),""))</f>
        <v/>
      </c>
    </row>
    <row r="166" spans="1:15" x14ac:dyDescent="0.3">
      <c r="A166" s="91">
        <v>174</v>
      </c>
      <c r="B166" s="92" t="str">
        <f t="shared" si="2"/>
        <v>Forge Christian Shooting Team-Collegiate 3-Skeet</v>
      </c>
      <c r="C166" s="92" t="s">
        <v>322</v>
      </c>
      <c r="D166" s="92" t="s">
        <v>356</v>
      </c>
      <c r="E166" s="92" t="s">
        <v>143</v>
      </c>
      <c r="F166" s="101" t="str">
        <f>IF(E166="Skeet",IFERROR(INDEX('Shooter-Squad Assignment'!$A:$A,MATCH(C166&amp;"-"&amp;D166&amp;"-"&amp;E166&amp;"-Pos1",'Shooter-Squad Assignment'!#REF!,0)),""),IF(E166="Trap",IFERROR(INDEX('Shooter-Squad Assignment'!$A:$A,MATCH(C166&amp;"-"&amp;D166&amp;"-"&amp;E166&amp;"-Pos1",'Shooter-Squad Assignment'!$V:$V,0)),""),IF(E166="Sporting Clays",IFERROR(INDEX('Shooter-Squad Assignment'!$A:$A,MATCH(C166&amp;"-"&amp;D166&amp;"-"&amp;E166&amp;"-Pos1",'Shooter-Squad Assignment'!$Y:$Y,0)),""),"")))</f>
        <v/>
      </c>
      <c r="G166" s="92" t="str">
        <f>IF(ISBLANK(F166),"",IFERROR(INDEX('Tournament List'!$D:$D,MATCH(F166,'Tournament List'!$A:$A,0)),""))</f>
        <v/>
      </c>
      <c r="H166" s="101" t="str">
        <f>IF(E166="Skeet",IFERROR(INDEX('Shooter-Squad Assignment'!$A:$A,MATCH(C166&amp;"-"&amp;D166&amp;"-"&amp;E166&amp;"-Pos2",'Shooter-Squad Assignment'!#REF!,0)),""),IF(E166="Trap",IFERROR(INDEX('Shooter-Squad Assignment'!$A:$A,MATCH(C166&amp;"-"&amp;D166&amp;"-"&amp;E166&amp;"-Pos2",'Shooter-Squad Assignment'!$V:$V,0)),""),IF(E166="Sporting Clays",IFERROR(INDEX('Shooter-Squad Assignment'!$A:$A,MATCH(C166&amp;"-"&amp;D166&amp;"-"&amp;E166&amp;"-Pos2",'Shooter-Squad Assignment'!$Y:$Y,0)),""),"")))</f>
        <v/>
      </c>
      <c r="I166" s="92" t="str">
        <f>IF(ISBLANK(H166),"",IFERROR(INDEX('Tournament List'!$D:$D,MATCH(H166,'Tournament List'!$A:$A,0)),""))</f>
        <v/>
      </c>
      <c r="J166" s="101" t="str">
        <f>IF(E166="Skeet",IFERROR(INDEX('Shooter-Squad Assignment'!$A:$A,MATCH(C166&amp;"-"&amp;D166&amp;"-"&amp;E166&amp;"-Pos3",'Shooter-Squad Assignment'!#REF!,0)),""),IF(E166="Trap",IFERROR(INDEX('Shooter-Squad Assignment'!$A:$A,MATCH(C166&amp;"-"&amp;D166&amp;"-"&amp;E166&amp;"-Pos3",'Shooter-Squad Assignment'!$V:$V,0)),""),IF(E166="Sporting Clays",IFERROR(INDEX('Shooter-Squad Assignment'!$A:$A,MATCH(C166&amp;"-"&amp;D166&amp;"-"&amp;E166&amp;"-Pos3",'Shooter-Squad Assignment'!$Y:$Y,0)),""),"")))</f>
        <v/>
      </c>
      <c r="K166" s="92" t="str">
        <f>IF(ISBLANK(J166),"",IFERROR(INDEX('Tournament List'!$D:$D,MATCH(J166,'Tournament List'!$A:$A,0)),""))</f>
        <v/>
      </c>
      <c r="L166" s="101" t="str">
        <f>IF(E166="Skeet",IFERROR(INDEX('Shooter-Squad Assignment'!$A:$A,MATCH(C166&amp;"-"&amp;D166&amp;"-"&amp;E166&amp;"-Pos4",'Shooter-Squad Assignment'!#REF!,0)),""),IF(E166="Trap",IFERROR(INDEX('Shooter-Squad Assignment'!$A:$A,MATCH(C166&amp;"-"&amp;D166&amp;"-"&amp;E166&amp;"-Pos4",'Shooter-Squad Assignment'!$V:$V,0)),""),IF(E166="Sporting Clays",IFERROR(INDEX('Shooter-Squad Assignment'!$A:$A,MATCH(C166&amp;"-"&amp;D166&amp;"-"&amp;E166&amp;"-Pos4",'Shooter-Squad Assignment'!$Y:$Y,0)),""),"")))</f>
        <v/>
      </c>
      <c r="M166" s="92" t="str">
        <f>IF(ISBLANK(L166),"",IFERROR(INDEX('Tournament List'!$D:$D,MATCH(L166,'Tournament List'!$A:$A,0)),""))</f>
        <v/>
      </c>
      <c r="N166" s="101" t="str">
        <f>IF(E166="Skeet",IFERROR(INDEX('Shooter-Squad Assignment'!$A:$A,MATCH(C166&amp;"-"&amp;D166&amp;"-"&amp;E166&amp;"-Pos5",'Shooter-Squad Assignment'!#REF!,0)),""),IF(E166="Trap",IFERROR(INDEX('Shooter-Squad Assignment'!$A:$A,MATCH(C166&amp;"-"&amp;D166&amp;"-"&amp;E166&amp;"-Pos5",'Shooter-Squad Assignment'!$V:$V,0)),""),IF(E166="Sporting Clays",IFERROR(INDEX('Shooter-Squad Assignment'!$A:$A,MATCH(C166&amp;"-"&amp;D166&amp;"-"&amp;E166&amp;"-Pos5",'Shooter-Squad Assignment'!$Y:$Y,0)),""),"")))</f>
        <v/>
      </c>
      <c r="O166" s="93" t="str">
        <f>IF(ISBLANK(N166),"",IFERROR(INDEX('Tournament List'!$D:$D,MATCH(N166,'Tournament List'!$A:$A,0)),""))</f>
        <v/>
      </c>
    </row>
    <row r="167" spans="1:15" x14ac:dyDescent="0.3">
      <c r="A167" s="91">
        <v>175</v>
      </c>
      <c r="B167" s="92" t="str">
        <f t="shared" si="2"/>
        <v>Forge Christian Shooting Team-Intermediate 1-Skeet</v>
      </c>
      <c r="C167" s="92" t="s">
        <v>322</v>
      </c>
      <c r="D167" s="92" t="s">
        <v>340</v>
      </c>
      <c r="E167" s="92" t="s">
        <v>143</v>
      </c>
      <c r="F167" s="101" t="str">
        <f>IF(E167="Skeet",IFERROR(INDEX('Shooter-Squad Assignment'!$A:$A,MATCH(C167&amp;"-"&amp;D167&amp;"-"&amp;E167&amp;"-Pos1",'Shooter-Squad Assignment'!#REF!,0)),""),IF(E167="Trap",IFERROR(INDEX('Shooter-Squad Assignment'!$A:$A,MATCH(C167&amp;"-"&amp;D167&amp;"-"&amp;E167&amp;"-Pos1",'Shooter-Squad Assignment'!$V:$V,0)),""),IF(E167="Sporting Clays",IFERROR(INDEX('Shooter-Squad Assignment'!$A:$A,MATCH(C167&amp;"-"&amp;D167&amp;"-"&amp;E167&amp;"-Pos1",'Shooter-Squad Assignment'!$Y:$Y,0)),""),"")))</f>
        <v/>
      </c>
      <c r="G167" s="92" t="str">
        <f>IF(ISBLANK(F167),"",IFERROR(INDEX('Tournament List'!$D:$D,MATCH(F167,'Tournament List'!$A:$A,0)),""))</f>
        <v/>
      </c>
      <c r="H167" s="101" t="str">
        <f>IF(E167="Skeet",IFERROR(INDEX('Shooter-Squad Assignment'!$A:$A,MATCH(C167&amp;"-"&amp;D167&amp;"-"&amp;E167&amp;"-Pos2",'Shooter-Squad Assignment'!#REF!,0)),""),IF(E167="Trap",IFERROR(INDEX('Shooter-Squad Assignment'!$A:$A,MATCH(C167&amp;"-"&amp;D167&amp;"-"&amp;E167&amp;"-Pos2",'Shooter-Squad Assignment'!$V:$V,0)),""),IF(E167="Sporting Clays",IFERROR(INDEX('Shooter-Squad Assignment'!$A:$A,MATCH(C167&amp;"-"&amp;D167&amp;"-"&amp;E167&amp;"-Pos2",'Shooter-Squad Assignment'!$Y:$Y,0)),""),"")))</f>
        <v/>
      </c>
      <c r="I167" s="92" t="str">
        <f>IF(ISBLANK(H167),"",IFERROR(INDEX('Tournament List'!$D:$D,MATCH(H167,'Tournament List'!$A:$A,0)),""))</f>
        <v/>
      </c>
      <c r="J167" s="101" t="str">
        <f>IF(E167="Skeet",IFERROR(INDEX('Shooter-Squad Assignment'!$A:$A,MATCH(C167&amp;"-"&amp;D167&amp;"-"&amp;E167&amp;"-Pos3",'Shooter-Squad Assignment'!#REF!,0)),""),IF(E167="Trap",IFERROR(INDEX('Shooter-Squad Assignment'!$A:$A,MATCH(C167&amp;"-"&amp;D167&amp;"-"&amp;E167&amp;"-Pos3",'Shooter-Squad Assignment'!$V:$V,0)),""),IF(E167="Sporting Clays",IFERROR(INDEX('Shooter-Squad Assignment'!$A:$A,MATCH(C167&amp;"-"&amp;D167&amp;"-"&amp;E167&amp;"-Pos3",'Shooter-Squad Assignment'!$Y:$Y,0)),""),"")))</f>
        <v/>
      </c>
      <c r="K167" s="92" t="str">
        <f>IF(ISBLANK(J167),"",IFERROR(INDEX('Tournament List'!$D:$D,MATCH(J167,'Tournament List'!$A:$A,0)),""))</f>
        <v/>
      </c>
      <c r="L167" s="101" t="str">
        <f>IF(E167="Skeet",IFERROR(INDEX('Shooter-Squad Assignment'!$A:$A,MATCH(C167&amp;"-"&amp;D167&amp;"-"&amp;E167&amp;"-Pos4",'Shooter-Squad Assignment'!#REF!,0)),""),IF(E167="Trap",IFERROR(INDEX('Shooter-Squad Assignment'!$A:$A,MATCH(C167&amp;"-"&amp;D167&amp;"-"&amp;E167&amp;"-Pos4",'Shooter-Squad Assignment'!$V:$V,0)),""),IF(E167="Sporting Clays",IFERROR(INDEX('Shooter-Squad Assignment'!$A:$A,MATCH(C167&amp;"-"&amp;D167&amp;"-"&amp;E167&amp;"-Pos4",'Shooter-Squad Assignment'!$Y:$Y,0)),""),"")))</f>
        <v/>
      </c>
      <c r="M167" s="92" t="str">
        <f>IF(ISBLANK(L167),"",IFERROR(INDEX('Tournament List'!$D:$D,MATCH(L167,'Tournament List'!$A:$A,0)),""))</f>
        <v/>
      </c>
      <c r="N167" s="101" t="str">
        <f>IF(E167="Skeet",IFERROR(INDEX('Shooter-Squad Assignment'!$A:$A,MATCH(C167&amp;"-"&amp;D167&amp;"-"&amp;E167&amp;"-Pos5",'Shooter-Squad Assignment'!#REF!,0)),""),IF(E167="Trap",IFERROR(INDEX('Shooter-Squad Assignment'!$A:$A,MATCH(C167&amp;"-"&amp;D167&amp;"-"&amp;E167&amp;"-Pos5",'Shooter-Squad Assignment'!$V:$V,0)),""),IF(E167="Sporting Clays",IFERROR(INDEX('Shooter-Squad Assignment'!$A:$A,MATCH(C167&amp;"-"&amp;D167&amp;"-"&amp;E167&amp;"-Pos5",'Shooter-Squad Assignment'!$Y:$Y,0)),""),"")))</f>
        <v/>
      </c>
      <c r="O167" s="93" t="str">
        <f>IF(ISBLANK(N167),"",IFERROR(INDEX('Tournament List'!$D:$D,MATCH(N167,'Tournament List'!$A:$A,0)),""))</f>
        <v/>
      </c>
    </row>
    <row r="168" spans="1:15" x14ac:dyDescent="0.3">
      <c r="A168" s="91">
        <v>176</v>
      </c>
      <c r="B168" s="92" t="str">
        <f t="shared" si="2"/>
        <v>Forge Christian Shooting Team-Intermediate 2-Skeet</v>
      </c>
      <c r="C168" s="92" t="s">
        <v>322</v>
      </c>
      <c r="D168" s="92" t="s">
        <v>346</v>
      </c>
      <c r="E168" s="92" t="s">
        <v>143</v>
      </c>
      <c r="F168" s="101" t="str">
        <f>IF(E168="Skeet",IFERROR(INDEX('Shooter-Squad Assignment'!$A:$A,MATCH(C168&amp;"-"&amp;D168&amp;"-"&amp;E168&amp;"-Pos1",'Shooter-Squad Assignment'!#REF!,0)),""),IF(E168="Trap",IFERROR(INDEX('Shooter-Squad Assignment'!$A:$A,MATCH(C168&amp;"-"&amp;D168&amp;"-"&amp;E168&amp;"-Pos1",'Shooter-Squad Assignment'!$V:$V,0)),""),IF(E168="Sporting Clays",IFERROR(INDEX('Shooter-Squad Assignment'!$A:$A,MATCH(C168&amp;"-"&amp;D168&amp;"-"&amp;E168&amp;"-Pos1",'Shooter-Squad Assignment'!$Y:$Y,0)),""),"")))</f>
        <v/>
      </c>
      <c r="G168" s="92" t="str">
        <f>IF(ISBLANK(F168),"",IFERROR(INDEX('Tournament List'!$D:$D,MATCH(F168,'Tournament List'!$A:$A,0)),""))</f>
        <v/>
      </c>
      <c r="H168" s="101" t="str">
        <f>IF(E168="Skeet",IFERROR(INDEX('Shooter-Squad Assignment'!$A:$A,MATCH(C168&amp;"-"&amp;D168&amp;"-"&amp;E168&amp;"-Pos2",'Shooter-Squad Assignment'!#REF!,0)),""),IF(E168="Trap",IFERROR(INDEX('Shooter-Squad Assignment'!$A:$A,MATCH(C168&amp;"-"&amp;D168&amp;"-"&amp;E168&amp;"-Pos2",'Shooter-Squad Assignment'!$V:$V,0)),""),IF(E168="Sporting Clays",IFERROR(INDEX('Shooter-Squad Assignment'!$A:$A,MATCH(C168&amp;"-"&amp;D168&amp;"-"&amp;E168&amp;"-Pos2",'Shooter-Squad Assignment'!$Y:$Y,0)),""),"")))</f>
        <v/>
      </c>
      <c r="I168" s="92" t="str">
        <f>IF(ISBLANK(H168),"",IFERROR(INDEX('Tournament List'!$D:$D,MATCH(H168,'Tournament List'!$A:$A,0)),""))</f>
        <v/>
      </c>
      <c r="J168" s="101" t="str">
        <f>IF(E168="Skeet",IFERROR(INDEX('Shooter-Squad Assignment'!$A:$A,MATCH(C168&amp;"-"&amp;D168&amp;"-"&amp;E168&amp;"-Pos3",'Shooter-Squad Assignment'!#REF!,0)),""),IF(E168="Trap",IFERROR(INDEX('Shooter-Squad Assignment'!$A:$A,MATCH(C168&amp;"-"&amp;D168&amp;"-"&amp;E168&amp;"-Pos3",'Shooter-Squad Assignment'!$V:$V,0)),""),IF(E168="Sporting Clays",IFERROR(INDEX('Shooter-Squad Assignment'!$A:$A,MATCH(C168&amp;"-"&amp;D168&amp;"-"&amp;E168&amp;"-Pos3",'Shooter-Squad Assignment'!$Y:$Y,0)),""),"")))</f>
        <v/>
      </c>
      <c r="K168" s="92" t="str">
        <f>IF(ISBLANK(J168),"",IFERROR(INDEX('Tournament List'!$D:$D,MATCH(J168,'Tournament List'!$A:$A,0)),""))</f>
        <v/>
      </c>
      <c r="L168" s="101" t="str">
        <f>IF(E168="Skeet",IFERROR(INDEX('Shooter-Squad Assignment'!$A:$A,MATCH(C168&amp;"-"&amp;D168&amp;"-"&amp;E168&amp;"-Pos4",'Shooter-Squad Assignment'!#REF!,0)),""),IF(E168="Trap",IFERROR(INDEX('Shooter-Squad Assignment'!$A:$A,MATCH(C168&amp;"-"&amp;D168&amp;"-"&amp;E168&amp;"-Pos4",'Shooter-Squad Assignment'!$V:$V,0)),""),IF(E168="Sporting Clays",IFERROR(INDEX('Shooter-Squad Assignment'!$A:$A,MATCH(C168&amp;"-"&amp;D168&amp;"-"&amp;E168&amp;"-Pos4",'Shooter-Squad Assignment'!$Y:$Y,0)),""),"")))</f>
        <v/>
      </c>
      <c r="M168" s="92" t="str">
        <f>IF(ISBLANK(L168),"",IFERROR(INDEX('Tournament List'!$D:$D,MATCH(L168,'Tournament List'!$A:$A,0)),""))</f>
        <v/>
      </c>
      <c r="N168" s="101" t="str">
        <f>IF(E168="Skeet",IFERROR(INDEX('Shooter-Squad Assignment'!$A:$A,MATCH(C168&amp;"-"&amp;D168&amp;"-"&amp;E168&amp;"-Pos5",'Shooter-Squad Assignment'!#REF!,0)),""),IF(E168="Trap",IFERROR(INDEX('Shooter-Squad Assignment'!$A:$A,MATCH(C168&amp;"-"&amp;D168&amp;"-"&amp;E168&amp;"-Pos5",'Shooter-Squad Assignment'!$V:$V,0)),""),IF(E168="Sporting Clays",IFERROR(INDEX('Shooter-Squad Assignment'!$A:$A,MATCH(C168&amp;"-"&amp;D168&amp;"-"&amp;E168&amp;"-Pos5",'Shooter-Squad Assignment'!$Y:$Y,0)),""),"")))</f>
        <v/>
      </c>
      <c r="O168" s="93" t="str">
        <f>IF(ISBLANK(N168),"",IFERROR(INDEX('Tournament List'!$D:$D,MATCH(N168,'Tournament List'!$A:$A,0)),""))</f>
        <v/>
      </c>
    </row>
    <row r="169" spans="1:15" x14ac:dyDescent="0.3">
      <c r="A169" s="91">
        <v>177</v>
      </c>
      <c r="B169" s="92" t="str">
        <f t="shared" si="2"/>
        <v>Forge Christian Shooting Team-Intermediate 3-Skeet</v>
      </c>
      <c r="C169" s="92" t="s">
        <v>322</v>
      </c>
      <c r="D169" s="92" t="s">
        <v>352</v>
      </c>
      <c r="E169" s="92" t="s">
        <v>143</v>
      </c>
      <c r="F169" s="101" t="str">
        <f>IF(E169="Skeet",IFERROR(INDEX('Shooter-Squad Assignment'!$A:$A,MATCH(C169&amp;"-"&amp;D169&amp;"-"&amp;E169&amp;"-Pos1",'Shooter-Squad Assignment'!#REF!,0)),""),IF(E169="Trap",IFERROR(INDEX('Shooter-Squad Assignment'!$A:$A,MATCH(C169&amp;"-"&amp;D169&amp;"-"&amp;E169&amp;"-Pos1",'Shooter-Squad Assignment'!$V:$V,0)),""),IF(E169="Sporting Clays",IFERROR(INDEX('Shooter-Squad Assignment'!$A:$A,MATCH(C169&amp;"-"&amp;D169&amp;"-"&amp;E169&amp;"-Pos1",'Shooter-Squad Assignment'!$Y:$Y,0)),""),"")))</f>
        <v/>
      </c>
      <c r="G169" s="92" t="str">
        <f>IF(ISBLANK(F169),"",IFERROR(INDEX('Tournament List'!$D:$D,MATCH(F169,'Tournament List'!$A:$A,0)),""))</f>
        <v/>
      </c>
      <c r="H169" s="101" t="str">
        <f>IF(E169="Skeet",IFERROR(INDEX('Shooter-Squad Assignment'!$A:$A,MATCH(C169&amp;"-"&amp;D169&amp;"-"&amp;E169&amp;"-Pos2",'Shooter-Squad Assignment'!#REF!,0)),""),IF(E169="Trap",IFERROR(INDEX('Shooter-Squad Assignment'!$A:$A,MATCH(C169&amp;"-"&amp;D169&amp;"-"&amp;E169&amp;"-Pos2",'Shooter-Squad Assignment'!$V:$V,0)),""),IF(E169="Sporting Clays",IFERROR(INDEX('Shooter-Squad Assignment'!$A:$A,MATCH(C169&amp;"-"&amp;D169&amp;"-"&amp;E169&amp;"-Pos2",'Shooter-Squad Assignment'!$Y:$Y,0)),""),"")))</f>
        <v/>
      </c>
      <c r="I169" s="92" t="str">
        <f>IF(ISBLANK(H169),"",IFERROR(INDEX('Tournament List'!$D:$D,MATCH(H169,'Tournament List'!$A:$A,0)),""))</f>
        <v/>
      </c>
      <c r="J169" s="101" t="str">
        <f>IF(E169="Skeet",IFERROR(INDEX('Shooter-Squad Assignment'!$A:$A,MATCH(C169&amp;"-"&amp;D169&amp;"-"&amp;E169&amp;"-Pos3",'Shooter-Squad Assignment'!#REF!,0)),""),IF(E169="Trap",IFERROR(INDEX('Shooter-Squad Assignment'!$A:$A,MATCH(C169&amp;"-"&amp;D169&amp;"-"&amp;E169&amp;"-Pos3",'Shooter-Squad Assignment'!$V:$V,0)),""),IF(E169="Sporting Clays",IFERROR(INDEX('Shooter-Squad Assignment'!$A:$A,MATCH(C169&amp;"-"&amp;D169&amp;"-"&amp;E169&amp;"-Pos3",'Shooter-Squad Assignment'!$Y:$Y,0)),""),"")))</f>
        <v/>
      </c>
      <c r="K169" s="92" t="str">
        <f>IF(ISBLANK(J169),"",IFERROR(INDEX('Tournament List'!$D:$D,MATCH(J169,'Tournament List'!$A:$A,0)),""))</f>
        <v/>
      </c>
      <c r="L169" s="101" t="str">
        <f>IF(E169="Skeet",IFERROR(INDEX('Shooter-Squad Assignment'!$A:$A,MATCH(C169&amp;"-"&amp;D169&amp;"-"&amp;E169&amp;"-Pos4",'Shooter-Squad Assignment'!#REF!,0)),""),IF(E169="Trap",IFERROR(INDEX('Shooter-Squad Assignment'!$A:$A,MATCH(C169&amp;"-"&amp;D169&amp;"-"&amp;E169&amp;"-Pos4",'Shooter-Squad Assignment'!$V:$V,0)),""),IF(E169="Sporting Clays",IFERROR(INDEX('Shooter-Squad Assignment'!$A:$A,MATCH(C169&amp;"-"&amp;D169&amp;"-"&amp;E169&amp;"-Pos4",'Shooter-Squad Assignment'!$Y:$Y,0)),""),"")))</f>
        <v/>
      </c>
      <c r="M169" s="92" t="str">
        <f>IF(ISBLANK(L169),"",IFERROR(INDEX('Tournament List'!$D:$D,MATCH(L169,'Tournament List'!$A:$A,0)),""))</f>
        <v/>
      </c>
      <c r="N169" s="101" t="str">
        <f>IF(E169="Skeet",IFERROR(INDEX('Shooter-Squad Assignment'!$A:$A,MATCH(C169&amp;"-"&amp;D169&amp;"-"&amp;E169&amp;"-Pos5",'Shooter-Squad Assignment'!#REF!,0)),""),IF(E169="Trap",IFERROR(INDEX('Shooter-Squad Assignment'!$A:$A,MATCH(C169&amp;"-"&amp;D169&amp;"-"&amp;E169&amp;"-Pos5",'Shooter-Squad Assignment'!$V:$V,0)),""),IF(E169="Sporting Clays",IFERROR(INDEX('Shooter-Squad Assignment'!$A:$A,MATCH(C169&amp;"-"&amp;D169&amp;"-"&amp;E169&amp;"-Pos5",'Shooter-Squad Assignment'!$Y:$Y,0)),""),"")))</f>
        <v/>
      </c>
      <c r="O169" s="93" t="str">
        <f>IF(ISBLANK(N169),"",IFERROR(INDEX('Tournament List'!$D:$D,MATCH(N169,'Tournament List'!$A:$A,0)),""))</f>
        <v/>
      </c>
    </row>
    <row r="170" spans="1:15" x14ac:dyDescent="0.3">
      <c r="A170" s="91">
        <v>178</v>
      </c>
      <c r="B170" s="92" t="str">
        <f t="shared" si="2"/>
        <v>Forge Christian Shooting Team-Junior Varsity 1-Skeet</v>
      </c>
      <c r="C170" s="92" t="s">
        <v>322</v>
      </c>
      <c r="D170" s="92" t="s">
        <v>341</v>
      </c>
      <c r="E170" s="92" t="s">
        <v>143</v>
      </c>
      <c r="F170" s="101" t="str">
        <f>IF(E170="Skeet",IFERROR(INDEX('Shooter-Squad Assignment'!$A:$A,MATCH(C170&amp;"-"&amp;D170&amp;"-"&amp;E170&amp;"-Pos1",'Shooter-Squad Assignment'!#REF!,0)),""),IF(E170="Trap",IFERROR(INDEX('Shooter-Squad Assignment'!$A:$A,MATCH(C170&amp;"-"&amp;D170&amp;"-"&amp;E170&amp;"-Pos1",'Shooter-Squad Assignment'!$V:$V,0)),""),IF(E170="Sporting Clays",IFERROR(INDEX('Shooter-Squad Assignment'!$A:$A,MATCH(C170&amp;"-"&amp;D170&amp;"-"&amp;E170&amp;"-Pos1",'Shooter-Squad Assignment'!$Y:$Y,0)),""),"")))</f>
        <v/>
      </c>
      <c r="G170" s="92" t="str">
        <f>IF(ISBLANK(F170),"",IFERROR(INDEX('Tournament List'!$D:$D,MATCH(F170,'Tournament List'!$A:$A,0)),""))</f>
        <v/>
      </c>
      <c r="H170" s="101" t="str">
        <f>IF(E170="Skeet",IFERROR(INDEX('Shooter-Squad Assignment'!$A:$A,MATCH(C170&amp;"-"&amp;D170&amp;"-"&amp;E170&amp;"-Pos2",'Shooter-Squad Assignment'!#REF!,0)),""),IF(E170="Trap",IFERROR(INDEX('Shooter-Squad Assignment'!$A:$A,MATCH(C170&amp;"-"&amp;D170&amp;"-"&amp;E170&amp;"-Pos2",'Shooter-Squad Assignment'!$V:$V,0)),""),IF(E170="Sporting Clays",IFERROR(INDEX('Shooter-Squad Assignment'!$A:$A,MATCH(C170&amp;"-"&amp;D170&amp;"-"&amp;E170&amp;"-Pos2",'Shooter-Squad Assignment'!$Y:$Y,0)),""),"")))</f>
        <v/>
      </c>
      <c r="I170" s="92" t="str">
        <f>IF(ISBLANK(H170),"",IFERROR(INDEX('Tournament List'!$D:$D,MATCH(H170,'Tournament List'!$A:$A,0)),""))</f>
        <v/>
      </c>
      <c r="J170" s="101" t="str">
        <f>IF(E170="Skeet",IFERROR(INDEX('Shooter-Squad Assignment'!$A:$A,MATCH(C170&amp;"-"&amp;D170&amp;"-"&amp;E170&amp;"-Pos3",'Shooter-Squad Assignment'!#REF!,0)),""),IF(E170="Trap",IFERROR(INDEX('Shooter-Squad Assignment'!$A:$A,MATCH(C170&amp;"-"&amp;D170&amp;"-"&amp;E170&amp;"-Pos3",'Shooter-Squad Assignment'!$V:$V,0)),""),IF(E170="Sporting Clays",IFERROR(INDEX('Shooter-Squad Assignment'!$A:$A,MATCH(C170&amp;"-"&amp;D170&amp;"-"&amp;E170&amp;"-Pos3",'Shooter-Squad Assignment'!$Y:$Y,0)),""),"")))</f>
        <v/>
      </c>
      <c r="K170" s="92" t="str">
        <f>IF(ISBLANK(J170),"",IFERROR(INDEX('Tournament List'!$D:$D,MATCH(J170,'Tournament List'!$A:$A,0)),""))</f>
        <v/>
      </c>
      <c r="L170" s="101" t="str">
        <f>IF(E170="Skeet",IFERROR(INDEX('Shooter-Squad Assignment'!$A:$A,MATCH(C170&amp;"-"&amp;D170&amp;"-"&amp;E170&amp;"-Pos4",'Shooter-Squad Assignment'!#REF!,0)),""),IF(E170="Trap",IFERROR(INDEX('Shooter-Squad Assignment'!$A:$A,MATCH(C170&amp;"-"&amp;D170&amp;"-"&amp;E170&amp;"-Pos4",'Shooter-Squad Assignment'!$V:$V,0)),""),IF(E170="Sporting Clays",IFERROR(INDEX('Shooter-Squad Assignment'!$A:$A,MATCH(C170&amp;"-"&amp;D170&amp;"-"&amp;E170&amp;"-Pos4",'Shooter-Squad Assignment'!$Y:$Y,0)),""),"")))</f>
        <v/>
      </c>
      <c r="M170" s="92" t="str">
        <f>IF(ISBLANK(L170),"",IFERROR(INDEX('Tournament List'!$D:$D,MATCH(L170,'Tournament List'!$A:$A,0)),""))</f>
        <v/>
      </c>
      <c r="N170" s="101" t="str">
        <f>IF(E170="Skeet",IFERROR(INDEX('Shooter-Squad Assignment'!$A:$A,MATCH(C170&amp;"-"&amp;D170&amp;"-"&amp;E170&amp;"-Pos5",'Shooter-Squad Assignment'!#REF!,0)),""),IF(E170="Trap",IFERROR(INDEX('Shooter-Squad Assignment'!$A:$A,MATCH(C170&amp;"-"&amp;D170&amp;"-"&amp;E170&amp;"-Pos5",'Shooter-Squad Assignment'!$V:$V,0)),""),IF(E170="Sporting Clays",IFERROR(INDEX('Shooter-Squad Assignment'!$A:$A,MATCH(C170&amp;"-"&amp;D170&amp;"-"&amp;E170&amp;"-Pos5",'Shooter-Squad Assignment'!$Y:$Y,0)),""),"")))</f>
        <v/>
      </c>
      <c r="O170" s="93" t="str">
        <f>IF(ISBLANK(N170),"",IFERROR(INDEX('Tournament List'!$D:$D,MATCH(N170,'Tournament List'!$A:$A,0)),""))</f>
        <v/>
      </c>
    </row>
    <row r="171" spans="1:15" x14ac:dyDescent="0.3">
      <c r="A171" s="91">
        <v>179</v>
      </c>
      <c r="B171" s="92" t="str">
        <f t="shared" si="2"/>
        <v>Forge Christian Shooting Team-Junior Varsity 2-Skeet</v>
      </c>
      <c r="C171" s="92" t="s">
        <v>322</v>
      </c>
      <c r="D171" s="92" t="s">
        <v>347</v>
      </c>
      <c r="E171" s="92" t="s">
        <v>143</v>
      </c>
      <c r="F171" s="101" t="str">
        <f>IF(E171="Skeet",IFERROR(INDEX('Shooter-Squad Assignment'!$A:$A,MATCH(C171&amp;"-"&amp;D171&amp;"-"&amp;E171&amp;"-Pos1",'Shooter-Squad Assignment'!#REF!,0)),""),IF(E171="Trap",IFERROR(INDEX('Shooter-Squad Assignment'!$A:$A,MATCH(C171&amp;"-"&amp;D171&amp;"-"&amp;E171&amp;"-Pos1",'Shooter-Squad Assignment'!$V:$V,0)),""),IF(E171="Sporting Clays",IFERROR(INDEX('Shooter-Squad Assignment'!$A:$A,MATCH(C171&amp;"-"&amp;D171&amp;"-"&amp;E171&amp;"-Pos1",'Shooter-Squad Assignment'!$Y:$Y,0)),""),"")))</f>
        <v/>
      </c>
      <c r="G171" s="92" t="str">
        <f>IF(ISBLANK(F171),"",IFERROR(INDEX('Tournament List'!$D:$D,MATCH(F171,'Tournament List'!$A:$A,0)),""))</f>
        <v/>
      </c>
      <c r="H171" s="101" t="str">
        <f>IF(E171="Skeet",IFERROR(INDEX('Shooter-Squad Assignment'!$A:$A,MATCH(C171&amp;"-"&amp;D171&amp;"-"&amp;E171&amp;"-Pos2",'Shooter-Squad Assignment'!#REF!,0)),""),IF(E171="Trap",IFERROR(INDEX('Shooter-Squad Assignment'!$A:$A,MATCH(C171&amp;"-"&amp;D171&amp;"-"&amp;E171&amp;"-Pos2",'Shooter-Squad Assignment'!$V:$V,0)),""),IF(E171="Sporting Clays",IFERROR(INDEX('Shooter-Squad Assignment'!$A:$A,MATCH(C171&amp;"-"&amp;D171&amp;"-"&amp;E171&amp;"-Pos2",'Shooter-Squad Assignment'!$Y:$Y,0)),""),"")))</f>
        <v/>
      </c>
      <c r="I171" s="92" t="str">
        <f>IF(ISBLANK(H171),"",IFERROR(INDEX('Tournament List'!$D:$D,MATCH(H171,'Tournament List'!$A:$A,0)),""))</f>
        <v/>
      </c>
      <c r="J171" s="101" t="str">
        <f>IF(E171="Skeet",IFERROR(INDEX('Shooter-Squad Assignment'!$A:$A,MATCH(C171&amp;"-"&amp;D171&amp;"-"&amp;E171&amp;"-Pos3",'Shooter-Squad Assignment'!#REF!,0)),""),IF(E171="Trap",IFERROR(INDEX('Shooter-Squad Assignment'!$A:$A,MATCH(C171&amp;"-"&amp;D171&amp;"-"&amp;E171&amp;"-Pos3",'Shooter-Squad Assignment'!$V:$V,0)),""),IF(E171="Sporting Clays",IFERROR(INDEX('Shooter-Squad Assignment'!$A:$A,MATCH(C171&amp;"-"&amp;D171&amp;"-"&amp;E171&amp;"-Pos3",'Shooter-Squad Assignment'!$Y:$Y,0)),""),"")))</f>
        <v/>
      </c>
      <c r="K171" s="92" t="str">
        <f>IF(ISBLANK(J171),"",IFERROR(INDEX('Tournament List'!$D:$D,MATCH(J171,'Tournament List'!$A:$A,0)),""))</f>
        <v/>
      </c>
      <c r="L171" s="101" t="str">
        <f>IF(E171="Skeet",IFERROR(INDEX('Shooter-Squad Assignment'!$A:$A,MATCH(C171&amp;"-"&amp;D171&amp;"-"&amp;E171&amp;"-Pos4",'Shooter-Squad Assignment'!#REF!,0)),""),IF(E171="Trap",IFERROR(INDEX('Shooter-Squad Assignment'!$A:$A,MATCH(C171&amp;"-"&amp;D171&amp;"-"&amp;E171&amp;"-Pos4",'Shooter-Squad Assignment'!$V:$V,0)),""),IF(E171="Sporting Clays",IFERROR(INDEX('Shooter-Squad Assignment'!$A:$A,MATCH(C171&amp;"-"&amp;D171&amp;"-"&amp;E171&amp;"-Pos4",'Shooter-Squad Assignment'!$Y:$Y,0)),""),"")))</f>
        <v/>
      </c>
      <c r="M171" s="92" t="str">
        <f>IF(ISBLANK(L171),"",IFERROR(INDEX('Tournament List'!$D:$D,MATCH(L171,'Tournament List'!$A:$A,0)),""))</f>
        <v/>
      </c>
      <c r="N171" s="101" t="str">
        <f>IF(E171="Skeet",IFERROR(INDEX('Shooter-Squad Assignment'!$A:$A,MATCH(C171&amp;"-"&amp;D171&amp;"-"&amp;E171&amp;"-Pos5",'Shooter-Squad Assignment'!#REF!,0)),""),IF(E171="Trap",IFERROR(INDEX('Shooter-Squad Assignment'!$A:$A,MATCH(C171&amp;"-"&amp;D171&amp;"-"&amp;E171&amp;"-Pos5",'Shooter-Squad Assignment'!$V:$V,0)),""),IF(E171="Sporting Clays",IFERROR(INDEX('Shooter-Squad Assignment'!$A:$A,MATCH(C171&amp;"-"&amp;D171&amp;"-"&amp;E171&amp;"-Pos5",'Shooter-Squad Assignment'!$Y:$Y,0)),""),"")))</f>
        <v/>
      </c>
      <c r="O171" s="93" t="str">
        <f>IF(ISBLANK(N171),"",IFERROR(INDEX('Tournament List'!$D:$D,MATCH(N171,'Tournament List'!$A:$A,0)),""))</f>
        <v/>
      </c>
    </row>
    <row r="172" spans="1:15" x14ac:dyDescent="0.3">
      <c r="A172" s="91">
        <v>180</v>
      </c>
      <c r="B172" s="92" t="str">
        <f t="shared" si="2"/>
        <v>Forge Christian Shooting Team-Junior Varsity 3-Skeet</v>
      </c>
      <c r="C172" s="92" t="s">
        <v>322</v>
      </c>
      <c r="D172" s="92" t="s">
        <v>353</v>
      </c>
      <c r="E172" s="92" t="s">
        <v>143</v>
      </c>
      <c r="F172" s="101" t="str">
        <f>IF(E172="Skeet",IFERROR(INDEX('Shooter-Squad Assignment'!$A:$A,MATCH(C172&amp;"-"&amp;D172&amp;"-"&amp;E172&amp;"-Pos1",'Shooter-Squad Assignment'!#REF!,0)),""),IF(E172="Trap",IFERROR(INDEX('Shooter-Squad Assignment'!$A:$A,MATCH(C172&amp;"-"&amp;D172&amp;"-"&amp;E172&amp;"-Pos1",'Shooter-Squad Assignment'!$V:$V,0)),""),IF(E172="Sporting Clays",IFERROR(INDEX('Shooter-Squad Assignment'!$A:$A,MATCH(C172&amp;"-"&amp;D172&amp;"-"&amp;E172&amp;"-Pos1",'Shooter-Squad Assignment'!$Y:$Y,0)),""),"")))</f>
        <v/>
      </c>
      <c r="G172" s="92" t="str">
        <f>IF(ISBLANK(F172),"",IFERROR(INDEX('Tournament List'!$D:$D,MATCH(F172,'Tournament List'!$A:$A,0)),""))</f>
        <v/>
      </c>
      <c r="H172" s="101" t="str">
        <f>IF(E172="Skeet",IFERROR(INDEX('Shooter-Squad Assignment'!$A:$A,MATCH(C172&amp;"-"&amp;D172&amp;"-"&amp;E172&amp;"-Pos2",'Shooter-Squad Assignment'!#REF!,0)),""),IF(E172="Trap",IFERROR(INDEX('Shooter-Squad Assignment'!$A:$A,MATCH(C172&amp;"-"&amp;D172&amp;"-"&amp;E172&amp;"-Pos2",'Shooter-Squad Assignment'!$V:$V,0)),""),IF(E172="Sporting Clays",IFERROR(INDEX('Shooter-Squad Assignment'!$A:$A,MATCH(C172&amp;"-"&amp;D172&amp;"-"&amp;E172&amp;"-Pos2",'Shooter-Squad Assignment'!$Y:$Y,0)),""),"")))</f>
        <v/>
      </c>
      <c r="I172" s="92" t="str">
        <f>IF(ISBLANK(H172),"",IFERROR(INDEX('Tournament List'!$D:$D,MATCH(H172,'Tournament List'!$A:$A,0)),""))</f>
        <v/>
      </c>
      <c r="J172" s="101" t="str">
        <f>IF(E172="Skeet",IFERROR(INDEX('Shooter-Squad Assignment'!$A:$A,MATCH(C172&amp;"-"&amp;D172&amp;"-"&amp;E172&amp;"-Pos3",'Shooter-Squad Assignment'!#REF!,0)),""),IF(E172="Trap",IFERROR(INDEX('Shooter-Squad Assignment'!$A:$A,MATCH(C172&amp;"-"&amp;D172&amp;"-"&amp;E172&amp;"-Pos3",'Shooter-Squad Assignment'!$V:$V,0)),""),IF(E172="Sporting Clays",IFERROR(INDEX('Shooter-Squad Assignment'!$A:$A,MATCH(C172&amp;"-"&amp;D172&amp;"-"&amp;E172&amp;"-Pos3",'Shooter-Squad Assignment'!$Y:$Y,0)),""),"")))</f>
        <v/>
      </c>
      <c r="K172" s="92" t="str">
        <f>IF(ISBLANK(J172),"",IFERROR(INDEX('Tournament List'!$D:$D,MATCH(J172,'Tournament List'!$A:$A,0)),""))</f>
        <v/>
      </c>
      <c r="L172" s="101" t="str">
        <f>IF(E172="Skeet",IFERROR(INDEX('Shooter-Squad Assignment'!$A:$A,MATCH(C172&amp;"-"&amp;D172&amp;"-"&amp;E172&amp;"-Pos4",'Shooter-Squad Assignment'!#REF!,0)),""),IF(E172="Trap",IFERROR(INDEX('Shooter-Squad Assignment'!$A:$A,MATCH(C172&amp;"-"&amp;D172&amp;"-"&amp;E172&amp;"-Pos4",'Shooter-Squad Assignment'!$V:$V,0)),""),IF(E172="Sporting Clays",IFERROR(INDEX('Shooter-Squad Assignment'!$A:$A,MATCH(C172&amp;"-"&amp;D172&amp;"-"&amp;E172&amp;"-Pos4",'Shooter-Squad Assignment'!$Y:$Y,0)),""),"")))</f>
        <v/>
      </c>
      <c r="M172" s="92" t="str">
        <f>IF(ISBLANK(L172),"",IFERROR(INDEX('Tournament List'!$D:$D,MATCH(L172,'Tournament List'!$A:$A,0)),""))</f>
        <v/>
      </c>
      <c r="N172" s="101" t="str">
        <f>IF(E172="Skeet",IFERROR(INDEX('Shooter-Squad Assignment'!$A:$A,MATCH(C172&amp;"-"&amp;D172&amp;"-"&amp;E172&amp;"-Pos5",'Shooter-Squad Assignment'!#REF!,0)),""),IF(E172="Trap",IFERROR(INDEX('Shooter-Squad Assignment'!$A:$A,MATCH(C172&amp;"-"&amp;D172&amp;"-"&amp;E172&amp;"-Pos5",'Shooter-Squad Assignment'!$V:$V,0)),""),IF(E172="Sporting Clays",IFERROR(INDEX('Shooter-Squad Assignment'!$A:$A,MATCH(C172&amp;"-"&amp;D172&amp;"-"&amp;E172&amp;"-Pos5",'Shooter-Squad Assignment'!$Y:$Y,0)),""),"")))</f>
        <v/>
      </c>
      <c r="O172" s="93" t="str">
        <f>IF(ISBLANK(N172),"",IFERROR(INDEX('Tournament List'!$D:$D,MATCH(N172,'Tournament List'!$A:$A,0)),""))</f>
        <v/>
      </c>
    </row>
    <row r="173" spans="1:15" x14ac:dyDescent="0.3">
      <c r="A173" s="91">
        <v>181</v>
      </c>
      <c r="B173" s="92" t="str">
        <f t="shared" si="2"/>
        <v>Forge Christian Shooting Team-Novice 1-Skeet</v>
      </c>
      <c r="C173" s="92" t="s">
        <v>322</v>
      </c>
      <c r="D173" s="92" t="s">
        <v>339</v>
      </c>
      <c r="E173" s="92" t="s">
        <v>143</v>
      </c>
      <c r="F173" s="101" t="str">
        <f>IF(E173="Skeet",IFERROR(INDEX('Shooter-Squad Assignment'!$A:$A,MATCH(C173&amp;"-"&amp;D173&amp;"-"&amp;E173&amp;"-Pos1",'Shooter-Squad Assignment'!#REF!,0)),""),IF(E173="Trap",IFERROR(INDEX('Shooter-Squad Assignment'!$A:$A,MATCH(C173&amp;"-"&amp;D173&amp;"-"&amp;E173&amp;"-Pos1",'Shooter-Squad Assignment'!$V:$V,0)),""),IF(E173="Sporting Clays",IFERROR(INDEX('Shooter-Squad Assignment'!$A:$A,MATCH(C173&amp;"-"&amp;D173&amp;"-"&amp;E173&amp;"-Pos1",'Shooter-Squad Assignment'!$Y:$Y,0)),""),"")))</f>
        <v/>
      </c>
      <c r="G173" s="92" t="str">
        <f>IF(ISBLANK(F173),"",IFERROR(INDEX('Tournament List'!$D:$D,MATCH(F173,'Tournament List'!$A:$A,0)),""))</f>
        <v/>
      </c>
      <c r="H173" s="101" t="str">
        <f>IF(E173="Skeet",IFERROR(INDEX('Shooter-Squad Assignment'!$A:$A,MATCH(C173&amp;"-"&amp;D173&amp;"-"&amp;E173&amp;"-Pos2",'Shooter-Squad Assignment'!#REF!,0)),""),IF(E173="Trap",IFERROR(INDEX('Shooter-Squad Assignment'!$A:$A,MATCH(C173&amp;"-"&amp;D173&amp;"-"&amp;E173&amp;"-Pos2",'Shooter-Squad Assignment'!$V:$V,0)),""),IF(E173="Sporting Clays",IFERROR(INDEX('Shooter-Squad Assignment'!$A:$A,MATCH(C173&amp;"-"&amp;D173&amp;"-"&amp;E173&amp;"-Pos2",'Shooter-Squad Assignment'!$Y:$Y,0)),""),"")))</f>
        <v/>
      </c>
      <c r="I173" s="92" t="str">
        <f>IF(ISBLANK(H173),"",IFERROR(INDEX('Tournament List'!$D:$D,MATCH(H173,'Tournament List'!$A:$A,0)),""))</f>
        <v/>
      </c>
      <c r="J173" s="101" t="str">
        <f>IF(E173="Skeet",IFERROR(INDEX('Shooter-Squad Assignment'!$A:$A,MATCH(C173&amp;"-"&amp;D173&amp;"-"&amp;E173&amp;"-Pos3",'Shooter-Squad Assignment'!#REF!,0)),""),IF(E173="Trap",IFERROR(INDEX('Shooter-Squad Assignment'!$A:$A,MATCH(C173&amp;"-"&amp;D173&amp;"-"&amp;E173&amp;"-Pos3",'Shooter-Squad Assignment'!$V:$V,0)),""),IF(E173="Sporting Clays",IFERROR(INDEX('Shooter-Squad Assignment'!$A:$A,MATCH(C173&amp;"-"&amp;D173&amp;"-"&amp;E173&amp;"-Pos3",'Shooter-Squad Assignment'!$Y:$Y,0)),""),"")))</f>
        <v/>
      </c>
      <c r="K173" s="92" t="str">
        <f>IF(ISBLANK(J173),"",IFERROR(INDEX('Tournament List'!$D:$D,MATCH(J173,'Tournament List'!$A:$A,0)),""))</f>
        <v/>
      </c>
      <c r="L173" s="101" t="str">
        <f>IF(E173="Skeet",IFERROR(INDEX('Shooter-Squad Assignment'!$A:$A,MATCH(C173&amp;"-"&amp;D173&amp;"-"&amp;E173&amp;"-Pos4",'Shooter-Squad Assignment'!#REF!,0)),""),IF(E173="Trap",IFERROR(INDEX('Shooter-Squad Assignment'!$A:$A,MATCH(C173&amp;"-"&amp;D173&amp;"-"&amp;E173&amp;"-Pos4",'Shooter-Squad Assignment'!$V:$V,0)),""),IF(E173="Sporting Clays",IFERROR(INDEX('Shooter-Squad Assignment'!$A:$A,MATCH(C173&amp;"-"&amp;D173&amp;"-"&amp;E173&amp;"-Pos4",'Shooter-Squad Assignment'!$Y:$Y,0)),""),"")))</f>
        <v/>
      </c>
      <c r="M173" s="92" t="str">
        <f>IF(ISBLANK(L173),"",IFERROR(INDEX('Tournament List'!$D:$D,MATCH(L173,'Tournament List'!$A:$A,0)),""))</f>
        <v/>
      </c>
      <c r="N173" s="101" t="str">
        <f>IF(E173="Skeet",IFERROR(INDEX('Shooter-Squad Assignment'!$A:$A,MATCH(C173&amp;"-"&amp;D173&amp;"-"&amp;E173&amp;"-Pos5",'Shooter-Squad Assignment'!#REF!,0)),""),IF(E173="Trap",IFERROR(INDEX('Shooter-Squad Assignment'!$A:$A,MATCH(C173&amp;"-"&amp;D173&amp;"-"&amp;E173&amp;"-Pos5",'Shooter-Squad Assignment'!$V:$V,0)),""),IF(E173="Sporting Clays",IFERROR(INDEX('Shooter-Squad Assignment'!$A:$A,MATCH(C173&amp;"-"&amp;D173&amp;"-"&amp;E173&amp;"-Pos5",'Shooter-Squad Assignment'!$Y:$Y,0)),""),"")))</f>
        <v/>
      </c>
      <c r="O173" s="93" t="str">
        <f>IF(ISBLANK(N173),"",IFERROR(INDEX('Tournament List'!$D:$D,MATCH(N173,'Tournament List'!$A:$A,0)),""))</f>
        <v/>
      </c>
    </row>
    <row r="174" spans="1:15" x14ac:dyDescent="0.3">
      <c r="A174" s="91">
        <v>182</v>
      </c>
      <c r="B174" s="92" t="str">
        <f t="shared" si="2"/>
        <v>Forge Christian Shooting Team-Novice 2-Skeet</v>
      </c>
      <c r="C174" s="92" t="s">
        <v>322</v>
      </c>
      <c r="D174" s="92" t="s">
        <v>345</v>
      </c>
      <c r="E174" s="92" t="s">
        <v>143</v>
      </c>
      <c r="F174" s="101" t="str">
        <f>IF(E174="Skeet",IFERROR(INDEX('Shooter-Squad Assignment'!$A:$A,MATCH(C174&amp;"-"&amp;D174&amp;"-"&amp;E174&amp;"-Pos1",'Shooter-Squad Assignment'!#REF!,0)),""),IF(E174="Trap",IFERROR(INDEX('Shooter-Squad Assignment'!$A:$A,MATCH(C174&amp;"-"&amp;D174&amp;"-"&amp;E174&amp;"-Pos1",'Shooter-Squad Assignment'!$V:$V,0)),""),IF(E174="Sporting Clays",IFERROR(INDEX('Shooter-Squad Assignment'!$A:$A,MATCH(C174&amp;"-"&amp;D174&amp;"-"&amp;E174&amp;"-Pos1",'Shooter-Squad Assignment'!$Y:$Y,0)),""),"")))</f>
        <v/>
      </c>
      <c r="G174" s="92" t="str">
        <f>IF(ISBLANK(F174),"",IFERROR(INDEX('Tournament List'!$D:$D,MATCH(F174,'Tournament List'!$A:$A,0)),""))</f>
        <v/>
      </c>
      <c r="H174" s="101" t="str">
        <f>IF(E174="Skeet",IFERROR(INDEX('Shooter-Squad Assignment'!$A:$A,MATCH(C174&amp;"-"&amp;D174&amp;"-"&amp;E174&amp;"-Pos2",'Shooter-Squad Assignment'!#REF!,0)),""),IF(E174="Trap",IFERROR(INDEX('Shooter-Squad Assignment'!$A:$A,MATCH(C174&amp;"-"&amp;D174&amp;"-"&amp;E174&amp;"-Pos2",'Shooter-Squad Assignment'!$V:$V,0)),""),IF(E174="Sporting Clays",IFERROR(INDEX('Shooter-Squad Assignment'!$A:$A,MATCH(C174&amp;"-"&amp;D174&amp;"-"&amp;E174&amp;"-Pos2",'Shooter-Squad Assignment'!$Y:$Y,0)),""),"")))</f>
        <v/>
      </c>
      <c r="I174" s="92" t="str">
        <f>IF(ISBLANK(H174),"",IFERROR(INDEX('Tournament List'!$D:$D,MATCH(H174,'Tournament List'!$A:$A,0)),""))</f>
        <v/>
      </c>
      <c r="J174" s="101" t="str">
        <f>IF(E174="Skeet",IFERROR(INDEX('Shooter-Squad Assignment'!$A:$A,MATCH(C174&amp;"-"&amp;D174&amp;"-"&amp;E174&amp;"-Pos3",'Shooter-Squad Assignment'!#REF!,0)),""),IF(E174="Trap",IFERROR(INDEX('Shooter-Squad Assignment'!$A:$A,MATCH(C174&amp;"-"&amp;D174&amp;"-"&amp;E174&amp;"-Pos3",'Shooter-Squad Assignment'!$V:$V,0)),""),IF(E174="Sporting Clays",IFERROR(INDEX('Shooter-Squad Assignment'!$A:$A,MATCH(C174&amp;"-"&amp;D174&amp;"-"&amp;E174&amp;"-Pos3",'Shooter-Squad Assignment'!$Y:$Y,0)),""),"")))</f>
        <v/>
      </c>
      <c r="K174" s="92" t="str">
        <f>IF(ISBLANK(J174),"",IFERROR(INDEX('Tournament List'!$D:$D,MATCH(J174,'Tournament List'!$A:$A,0)),""))</f>
        <v/>
      </c>
      <c r="L174" s="101" t="str">
        <f>IF(E174="Skeet",IFERROR(INDEX('Shooter-Squad Assignment'!$A:$A,MATCH(C174&amp;"-"&amp;D174&amp;"-"&amp;E174&amp;"-Pos4",'Shooter-Squad Assignment'!#REF!,0)),""),IF(E174="Trap",IFERROR(INDEX('Shooter-Squad Assignment'!$A:$A,MATCH(C174&amp;"-"&amp;D174&amp;"-"&amp;E174&amp;"-Pos4",'Shooter-Squad Assignment'!$V:$V,0)),""),IF(E174="Sporting Clays",IFERROR(INDEX('Shooter-Squad Assignment'!$A:$A,MATCH(C174&amp;"-"&amp;D174&amp;"-"&amp;E174&amp;"-Pos4",'Shooter-Squad Assignment'!$Y:$Y,0)),""),"")))</f>
        <v/>
      </c>
      <c r="M174" s="92" t="str">
        <f>IF(ISBLANK(L174),"",IFERROR(INDEX('Tournament List'!$D:$D,MATCH(L174,'Tournament List'!$A:$A,0)),""))</f>
        <v/>
      </c>
      <c r="N174" s="101" t="str">
        <f>IF(E174="Skeet",IFERROR(INDEX('Shooter-Squad Assignment'!$A:$A,MATCH(C174&amp;"-"&amp;D174&amp;"-"&amp;E174&amp;"-Pos5",'Shooter-Squad Assignment'!#REF!,0)),""),IF(E174="Trap",IFERROR(INDEX('Shooter-Squad Assignment'!$A:$A,MATCH(C174&amp;"-"&amp;D174&amp;"-"&amp;E174&amp;"-Pos5",'Shooter-Squad Assignment'!$V:$V,0)),""),IF(E174="Sporting Clays",IFERROR(INDEX('Shooter-Squad Assignment'!$A:$A,MATCH(C174&amp;"-"&amp;D174&amp;"-"&amp;E174&amp;"-Pos5",'Shooter-Squad Assignment'!$Y:$Y,0)),""),"")))</f>
        <v/>
      </c>
      <c r="O174" s="93" t="str">
        <f>IF(ISBLANK(N174),"",IFERROR(INDEX('Tournament List'!$D:$D,MATCH(N174,'Tournament List'!$A:$A,0)),""))</f>
        <v/>
      </c>
    </row>
    <row r="175" spans="1:15" x14ac:dyDescent="0.3">
      <c r="A175" s="91">
        <v>183</v>
      </c>
      <c r="B175" s="92" t="str">
        <f t="shared" si="2"/>
        <v>Forge Christian Shooting Team-Novice 3-Skeet</v>
      </c>
      <c r="C175" s="92" t="s">
        <v>322</v>
      </c>
      <c r="D175" s="92" t="s">
        <v>351</v>
      </c>
      <c r="E175" s="92" t="s">
        <v>143</v>
      </c>
      <c r="F175" s="101" t="str">
        <f>IF(E175="Skeet",IFERROR(INDEX('Shooter-Squad Assignment'!$A:$A,MATCH(C175&amp;"-"&amp;D175&amp;"-"&amp;E175&amp;"-Pos1",'Shooter-Squad Assignment'!#REF!,0)),""),IF(E175="Trap",IFERROR(INDEX('Shooter-Squad Assignment'!$A:$A,MATCH(C175&amp;"-"&amp;D175&amp;"-"&amp;E175&amp;"-Pos1",'Shooter-Squad Assignment'!$V:$V,0)),""),IF(E175="Sporting Clays",IFERROR(INDEX('Shooter-Squad Assignment'!$A:$A,MATCH(C175&amp;"-"&amp;D175&amp;"-"&amp;E175&amp;"-Pos1",'Shooter-Squad Assignment'!$Y:$Y,0)),""),"")))</f>
        <v/>
      </c>
      <c r="G175" s="92" t="str">
        <f>IF(ISBLANK(F175),"",IFERROR(INDEX('Tournament List'!$D:$D,MATCH(F175,'Tournament List'!$A:$A,0)),""))</f>
        <v/>
      </c>
      <c r="H175" s="101" t="str">
        <f>IF(E175="Skeet",IFERROR(INDEX('Shooter-Squad Assignment'!$A:$A,MATCH(C175&amp;"-"&amp;D175&amp;"-"&amp;E175&amp;"-Pos2",'Shooter-Squad Assignment'!#REF!,0)),""),IF(E175="Trap",IFERROR(INDEX('Shooter-Squad Assignment'!$A:$A,MATCH(C175&amp;"-"&amp;D175&amp;"-"&amp;E175&amp;"-Pos2",'Shooter-Squad Assignment'!$V:$V,0)),""),IF(E175="Sporting Clays",IFERROR(INDEX('Shooter-Squad Assignment'!$A:$A,MATCH(C175&amp;"-"&amp;D175&amp;"-"&amp;E175&amp;"-Pos2",'Shooter-Squad Assignment'!$Y:$Y,0)),""),"")))</f>
        <v/>
      </c>
      <c r="I175" s="92" t="str">
        <f>IF(ISBLANK(H175),"",IFERROR(INDEX('Tournament List'!$D:$D,MATCH(H175,'Tournament List'!$A:$A,0)),""))</f>
        <v/>
      </c>
      <c r="J175" s="101" t="str">
        <f>IF(E175="Skeet",IFERROR(INDEX('Shooter-Squad Assignment'!$A:$A,MATCH(C175&amp;"-"&amp;D175&amp;"-"&amp;E175&amp;"-Pos3",'Shooter-Squad Assignment'!#REF!,0)),""),IF(E175="Trap",IFERROR(INDEX('Shooter-Squad Assignment'!$A:$A,MATCH(C175&amp;"-"&amp;D175&amp;"-"&amp;E175&amp;"-Pos3",'Shooter-Squad Assignment'!$V:$V,0)),""),IF(E175="Sporting Clays",IFERROR(INDEX('Shooter-Squad Assignment'!$A:$A,MATCH(C175&amp;"-"&amp;D175&amp;"-"&amp;E175&amp;"-Pos3",'Shooter-Squad Assignment'!$Y:$Y,0)),""),"")))</f>
        <v/>
      </c>
      <c r="K175" s="92" t="str">
        <f>IF(ISBLANK(J175),"",IFERROR(INDEX('Tournament List'!$D:$D,MATCH(J175,'Tournament List'!$A:$A,0)),""))</f>
        <v/>
      </c>
      <c r="L175" s="101" t="str">
        <f>IF(E175="Skeet",IFERROR(INDEX('Shooter-Squad Assignment'!$A:$A,MATCH(C175&amp;"-"&amp;D175&amp;"-"&amp;E175&amp;"-Pos4",'Shooter-Squad Assignment'!#REF!,0)),""),IF(E175="Trap",IFERROR(INDEX('Shooter-Squad Assignment'!$A:$A,MATCH(C175&amp;"-"&amp;D175&amp;"-"&amp;E175&amp;"-Pos4",'Shooter-Squad Assignment'!$V:$V,0)),""),IF(E175="Sporting Clays",IFERROR(INDEX('Shooter-Squad Assignment'!$A:$A,MATCH(C175&amp;"-"&amp;D175&amp;"-"&amp;E175&amp;"-Pos4",'Shooter-Squad Assignment'!$Y:$Y,0)),""),"")))</f>
        <v/>
      </c>
      <c r="M175" s="92" t="str">
        <f>IF(ISBLANK(L175),"",IFERROR(INDEX('Tournament List'!$D:$D,MATCH(L175,'Tournament List'!$A:$A,0)),""))</f>
        <v/>
      </c>
      <c r="N175" s="101" t="str">
        <f>IF(E175="Skeet",IFERROR(INDEX('Shooter-Squad Assignment'!$A:$A,MATCH(C175&amp;"-"&amp;D175&amp;"-"&amp;E175&amp;"-Pos5",'Shooter-Squad Assignment'!#REF!,0)),""),IF(E175="Trap",IFERROR(INDEX('Shooter-Squad Assignment'!$A:$A,MATCH(C175&amp;"-"&amp;D175&amp;"-"&amp;E175&amp;"-Pos5",'Shooter-Squad Assignment'!$V:$V,0)),""),IF(E175="Sporting Clays",IFERROR(INDEX('Shooter-Squad Assignment'!$A:$A,MATCH(C175&amp;"-"&amp;D175&amp;"-"&amp;E175&amp;"-Pos5",'Shooter-Squad Assignment'!$Y:$Y,0)),""),"")))</f>
        <v/>
      </c>
      <c r="O175" s="93" t="str">
        <f>IF(ISBLANK(N175),"",IFERROR(INDEX('Tournament List'!$D:$D,MATCH(N175,'Tournament List'!$A:$A,0)),""))</f>
        <v/>
      </c>
    </row>
    <row r="176" spans="1:15" x14ac:dyDescent="0.3">
      <c r="A176" s="91">
        <v>184</v>
      </c>
      <c r="B176" s="92" t="str">
        <f t="shared" si="2"/>
        <v>Forge Christian Shooting Team-Open 1-Skeet</v>
      </c>
      <c r="C176" s="92" t="s">
        <v>322</v>
      </c>
      <c r="D176" s="92" t="s">
        <v>343</v>
      </c>
      <c r="E176" s="92" t="s">
        <v>143</v>
      </c>
      <c r="F176" s="101" t="str">
        <f>IF(E176="Skeet",IFERROR(INDEX('Shooter-Squad Assignment'!$A:$A,MATCH(C176&amp;"-"&amp;D176&amp;"-"&amp;E176&amp;"-Pos1",'Shooter-Squad Assignment'!#REF!,0)),""),IF(E176="Trap",IFERROR(INDEX('Shooter-Squad Assignment'!$A:$A,MATCH(C176&amp;"-"&amp;D176&amp;"-"&amp;E176&amp;"-Pos1",'Shooter-Squad Assignment'!$V:$V,0)),""),IF(E176="Sporting Clays",IFERROR(INDEX('Shooter-Squad Assignment'!$A:$A,MATCH(C176&amp;"-"&amp;D176&amp;"-"&amp;E176&amp;"-Pos1",'Shooter-Squad Assignment'!$Y:$Y,0)),""),"")))</f>
        <v/>
      </c>
      <c r="G176" s="92" t="str">
        <f>IF(ISBLANK(F176),"",IFERROR(INDEX('Tournament List'!$D:$D,MATCH(F176,'Tournament List'!$A:$A,0)),""))</f>
        <v/>
      </c>
      <c r="H176" s="101" t="str">
        <f>IF(E176="Skeet",IFERROR(INDEX('Shooter-Squad Assignment'!$A:$A,MATCH(C176&amp;"-"&amp;D176&amp;"-"&amp;E176&amp;"-Pos2",'Shooter-Squad Assignment'!#REF!,0)),""),IF(E176="Trap",IFERROR(INDEX('Shooter-Squad Assignment'!$A:$A,MATCH(C176&amp;"-"&amp;D176&amp;"-"&amp;E176&amp;"-Pos2",'Shooter-Squad Assignment'!$V:$V,0)),""),IF(E176="Sporting Clays",IFERROR(INDEX('Shooter-Squad Assignment'!$A:$A,MATCH(C176&amp;"-"&amp;D176&amp;"-"&amp;E176&amp;"-Pos2",'Shooter-Squad Assignment'!$Y:$Y,0)),""),"")))</f>
        <v/>
      </c>
      <c r="I176" s="92" t="str">
        <f>IF(ISBLANK(H176),"",IFERROR(INDEX('Tournament List'!$D:$D,MATCH(H176,'Tournament List'!$A:$A,0)),""))</f>
        <v/>
      </c>
      <c r="J176" s="101" t="str">
        <f>IF(E176="Skeet",IFERROR(INDEX('Shooter-Squad Assignment'!$A:$A,MATCH(C176&amp;"-"&amp;D176&amp;"-"&amp;E176&amp;"-Pos3",'Shooter-Squad Assignment'!#REF!,0)),""),IF(E176="Trap",IFERROR(INDEX('Shooter-Squad Assignment'!$A:$A,MATCH(C176&amp;"-"&amp;D176&amp;"-"&amp;E176&amp;"-Pos3",'Shooter-Squad Assignment'!$V:$V,0)),""),IF(E176="Sporting Clays",IFERROR(INDEX('Shooter-Squad Assignment'!$A:$A,MATCH(C176&amp;"-"&amp;D176&amp;"-"&amp;E176&amp;"-Pos3",'Shooter-Squad Assignment'!$Y:$Y,0)),""),"")))</f>
        <v/>
      </c>
      <c r="K176" s="92" t="str">
        <f>IF(ISBLANK(J176),"",IFERROR(INDEX('Tournament List'!$D:$D,MATCH(J176,'Tournament List'!$A:$A,0)),""))</f>
        <v/>
      </c>
      <c r="L176" s="101" t="str">
        <f>IF(E176="Skeet",IFERROR(INDEX('Shooter-Squad Assignment'!$A:$A,MATCH(C176&amp;"-"&amp;D176&amp;"-"&amp;E176&amp;"-Pos4",'Shooter-Squad Assignment'!#REF!,0)),""),IF(E176="Trap",IFERROR(INDEX('Shooter-Squad Assignment'!$A:$A,MATCH(C176&amp;"-"&amp;D176&amp;"-"&amp;E176&amp;"-Pos4",'Shooter-Squad Assignment'!$V:$V,0)),""),IF(E176="Sporting Clays",IFERROR(INDEX('Shooter-Squad Assignment'!$A:$A,MATCH(C176&amp;"-"&amp;D176&amp;"-"&amp;E176&amp;"-Pos4",'Shooter-Squad Assignment'!$Y:$Y,0)),""),"")))</f>
        <v/>
      </c>
      <c r="M176" s="92" t="str">
        <f>IF(ISBLANK(L176),"",IFERROR(INDEX('Tournament List'!$D:$D,MATCH(L176,'Tournament List'!$A:$A,0)),""))</f>
        <v/>
      </c>
      <c r="N176" s="101" t="str">
        <f>IF(E176="Skeet",IFERROR(INDEX('Shooter-Squad Assignment'!$A:$A,MATCH(C176&amp;"-"&amp;D176&amp;"-"&amp;E176&amp;"-Pos5",'Shooter-Squad Assignment'!#REF!,0)),""),IF(E176="Trap",IFERROR(INDEX('Shooter-Squad Assignment'!$A:$A,MATCH(C176&amp;"-"&amp;D176&amp;"-"&amp;E176&amp;"-Pos5",'Shooter-Squad Assignment'!$V:$V,0)),""),IF(E176="Sporting Clays",IFERROR(INDEX('Shooter-Squad Assignment'!$A:$A,MATCH(C176&amp;"-"&amp;D176&amp;"-"&amp;E176&amp;"-Pos5",'Shooter-Squad Assignment'!$Y:$Y,0)),""),"")))</f>
        <v/>
      </c>
      <c r="O176" s="93" t="str">
        <f>IF(ISBLANK(N176),"",IFERROR(INDEX('Tournament List'!$D:$D,MATCH(N176,'Tournament List'!$A:$A,0)),""))</f>
        <v/>
      </c>
    </row>
    <row r="177" spans="1:15" x14ac:dyDescent="0.3">
      <c r="A177" s="91">
        <v>185</v>
      </c>
      <c r="B177" s="92" t="str">
        <f t="shared" si="2"/>
        <v>Forge Christian Shooting Team-Open 2-Skeet</v>
      </c>
      <c r="C177" s="92" t="s">
        <v>322</v>
      </c>
      <c r="D177" s="92" t="s">
        <v>349</v>
      </c>
      <c r="E177" s="92" t="s">
        <v>143</v>
      </c>
      <c r="F177" s="101" t="str">
        <f>IF(E177="Skeet",IFERROR(INDEX('Shooter-Squad Assignment'!$A:$A,MATCH(C177&amp;"-"&amp;D177&amp;"-"&amp;E177&amp;"-Pos1",'Shooter-Squad Assignment'!#REF!,0)),""),IF(E177="Trap",IFERROR(INDEX('Shooter-Squad Assignment'!$A:$A,MATCH(C177&amp;"-"&amp;D177&amp;"-"&amp;E177&amp;"-Pos1",'Shooter-Squad Assignment'!$V:$V,0)),""),IF(E177="Sporting Clays",IFERROR(INDEX('Shooter-Squad Assignment'!$A:$A,MATCH(C177&amp;"-"&amp;D177&amp;"-"&amp;E177&amp;"-Pos1",'Shooter-Squad Assignment'!$Y:$Y,0)),""),"")))</f>
        <v/>
      </c>
      <c r="G177" s="92" t="str">
        <f>IF(ISBLANK(F177),"",IFERROR(INDEX('Tournament List'!$D:$D,MATCH(F177,'Tournament List'!$A:$A,0)),""))</f>
        <v/>
      </c>
      <c r="H177" s="101" t="str">
        <f>IF(E177="Skeet",IFERROR(INDEX('Shooter-Squad Assignment'!$A:$A,MATCH(C177&amp;"-"&amp;D177&amp;"-"&amp;E177&amp;"-Pos2",'Shooter-Squad Assignment'!#REF!,0)),""),IF(E177="Trap",IFERROR(INDEX('Shooter-Squad Assignment'!$A:$A,MATCH(C177&amp;"-"&amp;D177&amp;"-"&amp;E177&amp;"-Pos2",'Shooter-Squad Assignment'!$V:$V,0)),""),IF(E177="Sporting Clays",IFERROR(INDEX('Shooter-Squad Assignment'!$A:$A,MATCH(C177&amp;"-"&amp;D177&amp;"-"&amp;E177&amp;"-Pos2",'Shooter-Squad Assignment'!$Y:$Y,0)),""),"")))</f>
        <v/>
      </c>
      <c r="I177" s="92" t="str">
        <f>IF(ISBLANK(H177),"",IFERROR(INDEX('Tournament List'!$D:$D,MATCH(H177,'Tournament List'!$A:$A,0)),""))</f>
        <v/>
      </c>
      <c r="J177" s="101" t="str">
        <f>IF(E177="Skeet",IFERROR(INDEX('Shooter-Squad Assignment'!$A:$A,MATCH(C177&amp;"-"&amp;D177&amp;"-"&amp;E177&amp;"-Pos3",'Shooter-Squad Assignment'!#REF!,0)),""),IF(E177="Trap",IFERROR(INDEX('Shooter-Squad Assignment'!$A:$A,MATCH(C177&amp;"-"&amp;D177&amp;"-"&amp;E177&amp;"-Pos3",'Shooter-Squad Assignment'!$V:$V,0)),""),IF(E177="Sporting Clays",IFERROR(INDEX('Shooter-Squad Assignment'!$A:$A,MATCH(C177&amp;"-"&amp;D177&amp;"-"&amp;E177&amp;"-Pos3",'Shooter-Squad Assignment'!$Y:$Y,0)),""),"")))</f>
        <v/>
      </c>
      <c r="K177" s="92" t="str">
        <f>IF(ISBLANK(J177),"",IFERROR(INDEX('Tournament List'!$D:$D,MATCH(J177,'Tournament List'!$A:$A,0)),""))</f>
        <v/>
      </c>
      <c r="L177" s="101" t="str">
        <f>IF(E177="Skeet",IFERROR(INDEX('Shooter-Squad Assignment'!$A:$A,MATCH(C177&amp;"-"&amp;D177&amp;"-"&amp;E177&amp;"-Pos4",'Shooter-Squad Assignment'!#REF!,0)),""),IF(E177="Trap",IFERROR(INDEX('Shooter-Squad Assignment'!$A:$A,MATCH(C177&amp;"-"&amp;D177&amp;"-"&amp;E177&amp;"-Pos4",'Shooter-Squad Assignment'!$V:$V,0)),""),IF(E177="Sporting Clays",IFERROR(INDEX('Shooter-Squad Assignment'!$A:$A,MATCH(C177&amp;"-"&amp;D177&amp;"-"&amp;E177&amp;"-Pos4",'Shooter-Squad Assignment'!$Y:$Y,0)),""),"")))</f>
        <v/>
      </c>
      <c r="M177" s="92" t="str">
        <f>IF(ISBLANK(L177),"",IFERROR(INDEX('Tournament List'!$D:$D,MATCH(L177,'Tournament List'!$A:$A,0)),""))</f>
        <v/>
      </c>
      <c r="N177" s="101" t="str">
        <f>IF(E177="Skeet",IFERROR(INDEX('Shooter-Squad Assignment'!$A:$A,MATCH(C177&amp;"-"&amp;D177&amp;"-"&amp;E177&amp;"-Pos5",'Shooter-Squad Assignment'!#REF!,0)),""),IF(E177="Trap",IFERROR(INDEX('Shooter-Squad Assignment'!$A:$A,MATCH(C177&amp;"-"&amp;D177&amp;"-"&amp;E177&amp;"-Pos5",'Shooter-Squad Assignment'!$V:$V,0)),""),IF(E177="Sporting Clays",IFERROR(INDEX('Shooter-Squad Assignment'!$A:$A,MATCH(C177&amp;"-"&amp;D177&amp;"-"&amp;E177&amp;"-Pos5",'Shooter-Squad Assignment'!$Y:$Y,0)),""),"")))</f>
        <v/>
      </c>
      <c r="O177" s="93" t="str">
        <f>IF(ISBLANK(N177),"",IFERROR(INDEX('Tournament List'!$D:$D,MATCH(N177,'Tournament List'!$A:$A,0)),""))</f>
        <v/>
      </c>
    </row>
    <row r="178" spans="1:15" x14ac:dyDescent="0.3">
      <c r="A178" s="91">
        <v>186</v>
      </c>
      <c r="B178" s="92" t="str">
        <f t="shared" si="2"/>
        <v>Forge Christian Shooting Team-Open 3-Skeet</v>
      </c>
      <c r="C178" s="92" t="s">
        <v>322</v>
      </c>
      <c r="D178" s="92" t="s">
        <v>355</v>
      </c>
      <c r="E178" s="92" t="s">
        <v>143</v>
      </c>
      <c r="F178" s="101" t="str">
        <f>IF(E178="Skeet",IFERROR(INDEX('Shooter-Squad Assignment'!$A:$A,MATCH(C178&amp;"-"&amp;D178&amp;"-"&amp;E178&amp;"-Pos1",'Shooter-Squad Assignment'!#REF!,0)),""),IF(E178="Trap",IFERROR(INDEX('Shooter-Squad Assignment'!$A:$A,MATCH(C178&amp;"-"&amp;D178&amp;"-"&amp;E178&amp;"-Pos1",'Shooter-Squad Assignment'!$V:$V,0)),""),IF(E178="Sporting Clays",IFERROR(INDEX('Shooter-Squad Assignment'!$A:$A,MATCH(C178&amp;"-"&amp;D178&amp;"-"&amp;E178&amp;"-Pos1",'Shooter-Squad Assignment'!$Y:$Y,0)),""),"")))</f>
        <v/>
      </c>
      <c r="G178" s="92" t="str">
        <f>IF(ISBLANK(F178),"",IFERROR(INDEX('Tournament List'!$D:$D,MATCH(F178,'Tournament List'!$A:$A,0)),""))</f>
        <v/>
      </c>
      <c r="H178" s="101" t="str">
        <f>IF(E178="Skeet",IFERROR(INDEX('Shooter-Squad Assignment'!$A:$A,MATCH(C178&amp;"-"&amp;D178&amp;"-"&amp;E178&amp;"-Pos2",'Shooter-Squad Assignment'!#REF!,0)),""),IF(E178="Trap",IFERROR(INDEX('Shooter-Squad Assignment'!$A:$A,MATCH(C178&amp;"-"&amp;D178&amp;"-"&amp;E178&amp;"-Pos2",'Shooter-Squad Assignment'!$V:$V,0)),""),IF(E178="Sporting Clays",IFERROR(INDEX('Shooter-Squad Assignment'!$A:$A,MATCH(C178&amp;"-"&amp;D178&amp;"-"&amp;E178&amp;"-Pos2",'Shooter-Squad Assignment'!$Y:$Y,0)),""),"")))</f>
        <v/>
      </c>
      <c r="I178" s="92" t="str">
        <f>IF(ISBLANK(H178),"",IFERROR(INDEX('Tournament List'!$D:$D,MATCH(H178,'Tournament List'!$A:$A,0)),""))</f>
        <v/>
      </c>
      <c r="J178" s="101" t="str">
        <f>IF(E178="Skeet",IFERROR(INDEX('Shooter-Squad Assignment'!$A:$A,MATCH(C178&amp;"-"&amp;D178&amp;"-"&amp;E178&amp;"-Pos3",'Shooter-Squad Assignment'!#REF!,0)),""),IF(E178="Trap",IFERROR(INDEX('Shooter-Squad Assignment'!$A:$A,MATCH(C178&amp;"-"&amp;D178&amp;"-"&amp;E178&amp;"-Pos3",'Shooter-Squad Assignment'!$V:$V,0)),""),IF(E178="Sporting Clays",IFERROR(INDEX('Shooter-Squad Assignment'!$A:$A,MATCH(C178&amp;"-"&amp;D178&amp;"-"&amp;E178&amp;"-Pos3",'Shooter-Squad Assignment'!$Y:$Y,0)),""),"")))</f>
        <v/>
      </c>
      <c r="K178" s="92" t="str">
        <f>IF(ISBLANK(J178),"",IFERROR(INDEX('Tournament List'!$D:$D,MATCH(J178,'Tournament List'!$A:$A,0)),""))</f>
        <v/>
      </c>
      <c r="L178" s="101" t="str">
        <f>IF(E178="Skeet",IFERROR(INDEX('Shooter-Squad Assignment'!$A:$A,MATCH(C178&amp;"-"&amp;D178&amp;"-"&amp;E178&amp;"-Pos4",'Shooter-Squad Assignment'!#REF!,0)),""),IF(E178="Trap",IFERROR(INDEX('Shooter-Squad Assignment'!$A:$A,MATCH(C178&amp;"-"&amp;D178&amp;"-"&amp;E178&amp;"-Pos4",'Shooter-Squad Assignment'!$V:$V,0)),""),IF(E178="Sporting Clays",IFERROR(INDEX('Shooter-Squad Assignment'!$A:$A,MATCH(C178&amp;"-"&amp;D178&amp;"-"&amp;E178&amp;"-Pos4",'Shooter-Squad Assignment'!$Y:$Y,0)),""),"")))</f>
        <v/>
      </c>
      <c r="M178" s="92" t="str">
        <f>IF(ISBLANK(L178),"",IFERROR(INDEX('Tournament List'!$D:$D,MATCH(L178,'Tournament List'!$A:$A,0)),""))</f>
        <v/>
      </c>
      <c r="N178" s="101" t="str">
        <f>IF(E178="Skeet",IFERROR(INDEX('Shooter-Squad Assignment'!$A:$A,MATCH(C178&amp;"-"&amp;D178&amp;"-"&amp;E178&amp;"-Pos5",'Shooter-Squad Assignment'!#REF!,0)),""),IF(E178="Trap",IFERROR(INDEX('Shooter-Squad Assignment'!$A:$A,MATCH(C178&amp;"-"&amp;D178&amp;"-"&amp;E178&amp;"-Pos5",'Shooter-Squad Assignment'!$V:$V,0)),""),IF(E178="Sporting Clays",IFERROR(INDEX('Shooter-Squad Assignment'!$A:$A,MATCH(C178&amp;"-"&amp;D178&amp;"-"&amp;E178&amp;"-Pos5",'Shooter-Squad Assignment'!$Y:$Y,0)),""),"")))</f>
        <v/>
      </c>
      <c r="O178" s="93" t="str">
        <f>IF(ISBLANK(N178),"",IFERROR(INDEX('Tournament List'!$D:$D,MATCH(N178,'Tournament List'!$A:$A,0)),""))</f>
        <v/>
      </c>
    </row>
    <row r="179" spans="1:15" x14ac:dyDescent="0.3">
      <c r="A179" s="91">
        <v>187</v>
      </c>
      <c r="B179" s="92" t="str">
        <f t="shared" si="2"/>
        <v>Forge Christian Shooting Team-Varsity 1-Skeet</v>
      </c>
      <c r="C179" s="92" t="s">
        <v>322</v>
      </c>
      <c r="D179" s="92" t="s">
        <v>342</v>
      </c>
      <c r="E179" s="92" t="s">
        <v>143</v>
      </c>
      <c r="F179" s="101" t="str">
        <f>IF(E179="Skeet",IFERROR(INDEX('Shooter-Squad Assignment'!$A:$A,MATCH(C179&amp;"-"&amp;D179&amp;"-"&amp;E179&amp;"-Pos1",'Shooter-Squad Assignment'!#REF!,0)),""),IF(E179="Trap",IFERROR(INDEX('Shooter-Squad Assignment'!$A:$A,MATCH(C179&amp;"-"&amp;D179&amp;"-"&amp;E179&amp;"-Pos1",'Shooter-Squad Assignment'!$V:$V,0)),""),IF(E179="Sporting Clays",IFERROR(INDEX('Shooter-Squad Assignment'!$A:$A,MATCH(C179&amp;"-"&amp;D179&amp;"-"&amp;E179&amp;"-Pos1",'Shooter-Squad Assignment'!$Y:$Y,0)),""),"")))</f>
        <v/>
      </c>
      <c r="G179" s="92" t="str">
        <f>IF(ISBLANK(F179),"",IFERROR(INDEX('Tournament List'!$D:$D,MATCH(F179,'Tournament List'!$A:$A,0)),""))</f>
        <v/>
      </c>
      <c r="H179" s="101" t="str">
        <f>IF(E179="Skeet",IFERROR(INDEX('Shooter-Squad Assignment'!$A:$A,MATCH(C179&amp;"-"&amp;D179&amp;"-"&amp;E179&amp;"-Pos2",'Shooter-Squad Assignment'!#REF!,0)),""),IF(E179="Trap",IFERROR(INDEX('Shooter-Squad Assignment'!$A:$A,MATCH(C179&amp;"-"&amp;D179&amp;"-"&amp;E179&amp;"-Pos2",'Shooter-Squad Assignment'!$V:$V,0)),""),IF(E179="Sporting Clays",IFERROR(INDEX('Shooter-Squad Assignment'!$A:$A,MATCH(C179&amp;"-"&amp;D179&amp;"-"&amp;E179&amp;"-Pos2",'Shooter-Squad Assignment'!$Y:$Y,0)),""),"")))</f>
        <v/>
      </c>
      <c r="I179" s="92" t="str">
        <f>IF(ISBLANK(H179),"",IFERROR(INDEX('Tournament List'!$D:$D,MATCH(H179,'Tournament List'!$A:$A,0)),""))</f>
        <v/>
      </c>
      <c r="J179" s="101" t="str">
        <f>IF(E179="Skeet",IFERROR(INDEX('Shooter-Squad Assignment'!$A:$A,MATCH(C179&amp;"-"&amp;D179&amp;"-"&amp;E179&amp;"-Pos3",'Shooter-Squad Assignment'!#REF!,0)),""),IF(E179="Trap",IFERROR(INDEX('Shooter-Squad Assignment'!$A:$A,MATCH(C179&amp;"-"&amp;D179&amp;"-"&amp;E179&amp;"-Pos3",'Shooter-Squad Assignment'!$V:$V,0)),""),IF(E179="Sporting Clays",IFERROR(INDEX('Shooter-Squad Assignment'!$A:$A,MATCH(C179&amp;"-"&amp;D179&amp;"-"&amp;E179&amp;"-Pos3",'Shooter-Squad Assignment'!$Y:$Y,0)),""),"")))</f>
        <v/>
      </c>
      <c r="K179" s="92" t="str">
        <f>IF(ISBLANK(J179),"",IFERROR(INDEX('Tournament List'!$D:$D,MATCH(J179,'Tournament List'!$A:$A,0)),""))</f>
        <v/>
      </c>
      <c r="L179" s="101" t="str">
        <f>IF(E179="Skeet",IFERROR(INDEX('Shooter-Squad Assignment'!$A:$A,MATCH(C179&amp;"-"&amp;D179&amp;"-"&amp;E179&amp;"-Pos4",'Shooter-Squad Assignment'!#REF!,0)),""),IF(E179="Trap",IFERROR(INDEX('Shooter-Squad Assignment'!$A:$A,MATCH(C179&amp;"-"&amp;D179&amp;"-"&amp;E179&amp;"-Pos4",'Shooter-Squad Assignment'!$V:$V,0)),""),IF(E179="Sporting Clays",IFERROR(INDEX('Shooter-Squad Assignment'!$A:$A,MATCH(C179&amp;"-"&amp;D179&amp;"-"&amp;E179&amp;"-Pos4",'Shooter-Squad Assignment'!$Y:$Y,0)),""),"")))</f>
        <v/>
      </c>
      <c r="M179" s="92" t="str">
        <f>IF(ISBLANK(L179),"",IFERROR(INDEX('Tournament List'!$D:$D,MATCH(L179,'Tournament List'!$A:$A,0)),""))</f>
        <v/>
      </c>
      <c r="N179" s="101" t="str">
        <f>IF(E179="Skeet",IFERROR(INDEX('Shooter-Squad Assignment'!$A:$A,MATCH(C179&amp;"-"&amp;D179&amp;"-"&amp;E179&amp;"-Pos5",'Shooter-Squad Assignment'!#REF!,0)),""),IF(E179="Trap",IFERROR(INDEX('Shooter-Squad Assignment'!$A:$A,MATCH(C179&amp;"-"&amp;D179&amp;"-"&amp;E179&amp;"-Pos5",'Shooter-Squad Assignment'!$V:$V,0)),""),IF(E179="Sporting Clays",IFERROR(INDEX('Shooter-Squad Assignment'!$A:$A,MATCH(C179&amp;"-"&amp;D179&amp;"-"&amp;E179&amp;"-Pos5",'Shooter-Squad Assignment'!$Y:$Y,0)),""),"")))</f>
        <v/>
      </c>
      <c r="O179" s="93" t="str">
        <f>IF(ISBLANK(N179),"",IFERROR(INDEX('Tournament List'!$D:$D,MATCH(N179,'Tournament List'!$A:$A,0)),""))</f>
        <v/>
      </c>
    </row>
    <row r="180" spans="1:15" x14ac:dyDescent="0.3">
      <c r="A180" s="91">
        <v>188</v>
      </c>
      <c r="B180" s="92" t="str">
        <f t="shared" si="2"/>
        <v>Forge Christian Shooting Team-Varsity 2-Skeet</v>
      </c>
      <c r="C180" s="92" t="s">
        <v>322</v>
      </c>
      <c r="D180" s="92" t="s">
        <v>348</v>
      </c>
      <c r="E180" s="92" t="s">
        <v>143</v>
      </c>
      <c r="F180" s="101" t="str">
        <f>IF(E180="Skeet",IFERROR(INDEX('Shooter-Squad Assignment'!$A:$A,MATCH(C180&amp;"-"&amp;D180&amp;"-"&amp;E180&amp;"-Pos1",'Shooter-Squad Assignment'!#REF!,0)),""),IF(E180="Trap",IFERROR(INDEX('Shooter-Squad Assignment'!$A:$A,MATCH(C180&amp;"-"&amp;D180&amp;"-"&amp;E180&amp;"-Pos1",'Shooter-Squad Assignment'!$V:$V,0)),""),IF(E180="Sporting Clays",IFERROR(INDEX('Shooter-Squad Assignment'!$A:$A,MATCH(C180&amp;"-"&amp;D180&amp;"-"&amp;E180&amp;"-Pos1",'Shooter-Squad Assignment'!$Y:$Y,0)),""),"")))</f>
        <v/>
      </c>
      <c r="G180" s="92" t="str">
        <f>IF(ISBLANK(F180),"",IFERROR(INDEX('Tournament List'!$D:$D,MATCH(F180,'Tournament List'!$A:$A,0)),""))</f>
        <v/>
      </c>
      <c r="H180" s="101" t="str">
        <f>IF(E180="Skeet",IFERROR(INDEX('Shooter-Squad Assignment'!$A:$A,MATCH(C180&amp;"-"&amp;D180&amp;"-"&amp;E180&amp;"-Pos2",'Shooter-Squad Assignment'!#REF!,0)),""),IF(E180="Trap",IFERROR(INDEX('Shooter-Squad Assignment'!$A:$A,MATCH(C180&amp;"-"&amp;D180&amp;"-"&amp;E180&amp;"-Pos2",'Shooter-Squad Assignment'!$V:$V,0)),""),IF(E180="Sporting Clays",IFERROR(INDEX('Shooter-Squad Assignment'!$A:$A,MATCH(C180&amp;"-"&amp;D180&amp;"-"&amp;E180&amp;"-Pos2",'Shooter-Squad Assignment'!$Y:$Y,0)),""),"")))</f>
        <v/>
      </c>
      <c r="I180" s="92" t="str">
        <f>IF(ISBLANK(H180),"",IFERROR(INDEX('Tournament List'!$D:$D,MATCH(H180,'Tournament List'!$A:$A,0)),""))</f>
        <v/>
      </c>
      <c r="J180" s="101" t="str">
        <f>IF(E180="Skeet",IFERROR(INDEX('Shooter-Squad Assignment'!$A:$A,MATCH(C180&amp;"-"&amp;D180&amp;"-"&amp;E180&amp;"-Pos3",'Shooter-Squad Assignment'!#REF!,0)),""),IF(E180="Trap",IFERROR(INDEX('Shooter-Squad Assignment'!$A:$A,MATCH(C180&amp;"-"&amp;D180&amp;"-"&amp;E180&amp;"-Pos3",'Shooter-Squad Assignment'!$V:$V,0)),""),IF(E180="Sporting Clays",IFERROR(INDEX('Shooter-Squad Assignment'!$A:$A,MATCH(C180&amp;"-"&amp;D180&amp;"-"&amp;E180&amp;"-Pos3",'Shooter-Squad Assignment'!$Y:$Y,0)),""),"")))</f>
        <v/>
      </c>
      <c r="K180" s="92" t="str">
        <f>IF(ISBLANK(J180),"",IFERROR(INDEX('Tournament List'!$D:$D,MATCH(J180,'Tournament List'!$A:$A,0)),""))</f>
        <v/>
      </c>
      <c r="L180" s="101" t="str">
        <f>IF(E180="Skeet",IFERROR(INDEX('Shooter-Squad Assignment'!$A:$A,MATCH(C180&amp;"-"&amp;D180&amp;"-"&amp;E180&amp;"-Pos4",'Shooter-Squad Assignment'!#REF!,0)),""),IF(E180="Trap",IFERROR(INDEX('Shooter-Squad Assignment'!$A:$A,MATCH(C180&amp;"-"&amp;D180&amp;"-"&amp;E180&amp;"-Pos4",'Shooter-Squad Assignment'!$V:$V,0)),""),IF(E180="Sporting Clays",IFERROR(INDEX('Shooter-Squad Assignment'!$A:$A,MATCH(C180&amp;"-"&amp;D180&amp;"-"&amp;E180&amp;"-Pos4",'Shooter-Squad Assignment'!$Y:$Y,0)),""),"")))</f>
        <v/>
      </c>
      <c r="M180" s="92" t="str">
        <f>IF(ISBLANK(L180),"",IFERROR(INDEX('Tournament List'!$D:$D,MATCH(L180,'Tournament List'!$A:$A,0)),""))</f>
        <v/>
      </c>
      <c r="N180" s="101" t="str">
        <f>IF(E180="Skeet",IFERROR(INDEX('Shooter-Squad Assignment'!$A:$A,MATCH(C180&amp;"-"&amp;D180&amp;"-"&amp;E180&amp;"-Pos5",'Shooter-Squad Assignment'!#REF!,0)),""),IF(E180="Trap",IFERROR(INDEX('Shooter-Squad Assignment'!$A:$A,MATCH(C180&amp;"-"&amp;D180&amp;"-"&amp;E180&amp;"-Pos5",'Shooter-Squad Assignment'!$V:$V,0)),""),IF(E180="Sporting Clays",IFERROR(INDEX('Shooter-Squad Assignment'!$A:$A,MATCH(C180&amp;"-"&amp;D180&amp;"-"&amp;E180&amp;"-Pos5",'Shooter-Squad Assignment'!$Y:$Y,0)),""),"")))</f>
        <v/>
      </c>
      <c r="O180" s="93" t="str">
        <f>IF(ISBLANK(N180),"",IFERROR(INDEX('Tournament List'!$D:$D,MATCH(N180,'Tournament List'!$A:$A,0)),""))</f>
        <v/>
      </c>
    </row>
    <row r="181" spans="1:15" x14ac:dyDescent="0.3">
      <c r="A181" s="91">
        <v>189</v>
      </c>
      <c r="B181" s="92" t="str">
        <f t="shared" si="2"/>
        <v>Forge Christian Shooting Team-Varsity 3-Skeet</v>
      </c>
      <c r="C181" s="92" t="s">
        <v>322</v>
      </c>
      <c r="D181" s="92" t="s">
        <v>354</v>
      </c>
      <c r="E181" s="92" t="s">
        <v>143</v>
      </c>
      <c r="F181" s="101" t="str">
        <f>IF(E181="Skeet",IFERROR(INDEX('Shooter-Squad Assignment'!$A:$A,MATCH(C181&amp;"-"&amp;D181&amp;"-"&amp;E181&amp;"-Pos1",'Shooter-Squad Assignment'!#REF!,0)),""),IF(E181="Trap",IFERROR(INDEX('Shooter-Squad Assignment'!$A:$A,MATCH(C181&amp;"-"&amp;D181&amp;"-"&amp;E181&amp;"-Pos1",'Shooter-Squad Assignment'!$V:$V,0)),""),IF(E181="Sporting Clays",IFERROR(INDEX('Shooter-Squad Assignment'!$A:$A,MATCH(C181&amp;"-"&amp;D181&amp;"-"&amp;E181&amp;"-Pos1",'Shooter-Squad Assignment'!$Y:$Y,0)),""),"")))</f>
        <v/>
      </c>
      <c r="G181" s="92" t="str">
        <f>IF(ISBLANK(F181),"",IFERROR(INDEX('Tournament List'!$D:$D,MATCH(F181,'Tournament List'!$A:$A,0)),""))</f>
        <v/>
      </c>
      <c r="H181" s="101" t="str">
        <f>IF(E181="Skeet",IFERROR(INDEX('Shooter-Squad Assignment'!$A:$A,MATCH(C181&amp;"-"&amp;D181&amp;"-"&amp;E181&amp;"-Pos2",'Shooter-Squad Assignment'!#REF!,0)),""),IF(E181="Trap",IFERROR(INDEX('Shooter-Squad Assignment'!$A:$A,MATCH(C181&amp;"-"&amp;D181&amp;"-"&amp;E181&amp;"-Pos2",'Shooter-Squad Assignment'!$V:$V,0)),""),IF(E181="Sporting Clays",IFERROR(INDEX('Shooter-Squad Assignment'!$A:$A,MATCH(C181&amp;"-"&amp;D181&amp;"-"&amp;E181&amp;"-Pos2",'Shooter-Squad Assignment'!$Y:$Y,0)),""),"")))</f>
        <v/>
      </c>
      <c r="I181" s="92" t="str">
        <f>IF(ISBLANK(H181),"",IFERROR(INDEX('Tournament List'!$D:$D,MATCH(H181,'Tournament List'!$A:$A,0)),""))</f>
        <v/>
      </c>
      <c r="J181" s="101" t="str">
        <f>IF(E181="Skeet",IFERROR(INDEX('Shooter-Squad Assignment'!$A:$A,MATCH(C181&amp;"-"&amp;D181&amp;"-"&amp;E181&amp;"-Pos3",'Shooter-Squad Assignment'!#REF!,0)),""),IF(E181="Trap",IFERROR(INDEX('Shooter-Squad Assignment'!$A:$A,MATCH(C181&amp;"-"&amp;D181&amp;"-"&amp;E181&amp;"-Pos3",'Shooter-Squad Assignment'!$V:$V,0)),""),IF(E181="Sporting Clays",IFERROR(INDEX('Shooter-Squad Assignment'!$A:$A,MATCH(C181&amp;"-"&amp;D181&amp;"-"&amp;E181&amp;"-Pos3",'Shooter-Squad Assignment'!$Y:$Y,0)),""),"")))</f>
        <v/>
      </c>
      <c r="K181" s="92" t="str">
        <f>IF(ISBLANK(J181),"",IFERROR(INDEX('Tournament List'!$D:$D,MATCH(J181,'Tournament List'!$A:$A,0)),""))</f>
        <v/>
      </c>
      <c r="L181" s="101" t="str">
        <f>IF(E181="Skeet",IFERROR(INDEX('Shooter-Squad Assignment'!$A:$A,MATCH(C181&amp;"-"&amp;D181&amp;"-"&amp;E181&amp;"-Pos4",'Shooter-Squad Assignment'!#REF!,0)),""),IF(E181="Trap",IFERROR(INDEX('Shooter-Squad Assignment'!$A:$A,MATCH(C181&amp;"-"&amp;D181&amp;"-"&amp;E181&amp;"-Pos4",'Shooter-Squad Assignment'!$V:$V,0)),""),IF(E181="Sporting Clays",IFERROR(INDEX('Shooter-Squad Assignment'!$A:$A,MATCH(C181&amp;"-"&amp;D181&amp;"-"&amp;E181&amp;"-Pos4",'Shooter-Squad Assignment'!$Y:$Y,0)),""),"")))</f>
        <v/>
      </c>
      <c r="M181" s="92" t="str">
        <f>IF(ISBLANK(L181),"",IFERROR(INDEX('Tournament List'!$D:$D,MATCH(L181,'Tournament List'!$A:$A,0)),""))</f>
        <v/>
      </c>
      <c r="N181" s="101" t="str">
        <f>IF(E181="Skeet",IFERROR(INDEX('Shooter-Squad Assignment'!$A:$A,MATCH(C181&amp;"-"&amp;D181&amp;"-"&amp;E181&amp;"-Pos5",'Shooter-Squad Assignment'!#REF!,0)),""),IF(E181="Trap",IFERROR(INDEX('Shooter-Squad Assignment'!$A:$A,MATCH(C181&amp;"-"&amp;D181&amp;"-"&amp;E181&amp;"-Pos5",'Shooter-Squad Assignment'!$V:$V,0)),""),IF(E181="Sporting Clays",IFERROR(INDEX('Shooter-Squad Assignment'!$A:$A,MATCH(C181&amp;"-"&amp;D181&amp;"-"&amp;E181&amp;"-Pos5",'Shooter-Squad Assignment'!$Y:$Y,0)),""),"")))</f>
        <v/>
      </c>
      <c r="O181" s="93" t="str">
        <f>IF(ISBLANK(N181),"",IFERROR(INDEX('Tournament List'!$D:$D,MATCH(N181,'Tournament List'!$A:$A,0)),""))</f>
        <v/>
      </c>
    </row>
    <row r="182" spans="1:15" x14ac:dyDescent="0.3">
      <c r="A182" s="91">
        <v>190</v>
      </c>
      <c r="B182" s="92" t="str">
        <f t="shared" si="2"/>
        <v>Forge Christian Shooting Team-Collegiate 1-Trap</v>
      </c>
      <c r="C182" s="92" t="s">
        <v>322</v>
      </c>
      <c r="D182" s="92" t="s">
        <v>344</v>
      </c>
      <c r="E182" s="92" t="s">
        <v>147</v>
      </c>
      <c r="F182" s="101" t="str">
        <f>IF(E182="Skeet",IFERROR(INDEX('Shooter-Squad Assignment'!$A:$A,MATCH(C182&amp;"-"&amp;D182&amp;"-"&amp;E182&amp;"-Pos1",'Shooter-Squad Assignment'!#REF!,0)),""),IF(E182="Trap",IFERROR(INDEX('Shooter-Squad Assignment'!$A:$A,MATCH(C182&amp;"-"&amp;D182&amp;"-"&amp;E182&amp;"-Pos1",'Shooter-Squad Assignment'!$V:$V,0)),""),IF(E182="Sporting Clays",IFERROR(INDEX('Shooter-Squad Assignment'!$A:$A,MATCH(C182&amp;"-"&amp;D182&amp;"-"&amp;E182&amp;"-Pos1",'Shooter-Squad Assignment'!$Y:$Y,0)),""),"")))</f>
        <v/>
      </c>
      <c r="G182" s="92" t="str">
        <f>IF(ISBLANK(F182),"",IFERROR(INDEX('Tournament List'!$D:$D,MATCH(F182,'Tournament List'!$A:$A,0)),""))</f>
        <v/>
      </c>
      <c r="H182" s="101" t="str">
        <f>IF(E182="Skeet",IFERROR(INDEX('Shooter-Squad Assignment'!$A:$A,MATCH(C182&amp;"-"&amp;D182&amp;"-"&amp;E182&amp;"-Pos2",'Shooter-Squad Assignment'!#REF!,0)),""),IF(E182="Trap",IFERROR(INDEX('Shooter-Squad Assignment'!$A:$A,MATCH(C182&amp;"-"&amp;D182&amp;"-"&amp;E182&amp;"-Pos2",'Shooter-Squad Assignment'!$V:$V,0)),""),IF(E182="Sporting Clays",IFERROR(INDEX('Shooter-Squad Assignment'!$A:$A,MATCH(C182&amp;"-"&amp;D182&amp;"-"&amp;E182&amp;"-Pos2",'Shooter-Squad Assignment'!$Y:$Y,0)),""),"")))</f>
        <v/>
      </c>
      <c r="I182" s="92" t="str">
        <f>IF(ISBLANK(H182),"",IFERROR(INDEX('Tournament List'!$D:$D,MATCH(H182,'Tournament List'!$A:$A,0)),""))</f>
        <v/>
      </c>
      <c r="J182" s="101" t="str">
        <f>IF(E182="Skeet",IFERROR(INDEX('Shooter-Squad Assignment'!$A:$A,MATCH(C182&amp;"-"&amp;D182&amp;"-"&amp;E182&amp;"-Pos3",'Shooter-Squad Assignment'!#REF!,0)),""),IF(E182="Trap",IFERROR(INDEX('Shooter-Squad Assignment'!$A:$A,MATCH(C182&amp;"-"&amp;D182&amp;"-"&amp;E182&amp;"-Pos3",'Shooter-Squad Assignment'!$V:$V,0)),""),IF(E182="Sporting Clays",IFERROR(INDEX('Shooter-Squad Assignment'!$A:$A,MATCH(C182&amp;"-"&amp;D182&amp;"-"&amp;E182&amp;"-Pos3",'Shooter-Squad Assignment'!$Y:$Y,0)),""),"")))</f>
        <v/>
      </c>
      <c r="K182" s="92" t="str">
        <f>IF(ISBLANK(J182),"",IFERROR(INDEX('Tournament List'!$D:$D,MATCH(J182,'Tournament List'!$A:$A,0)),""))</f>
        <v/>
      </c>
      <c r="L182" s="101" t="str">
        <f>IF(E182="Skeet",IFERROR(INDEX('Shooter-Squad Assignment'!$A:$A,MATCH(C182&amp;"-"&amp;D182&amp;"-"&amp;E182&amp;"-Pos4",'Shooter-Squad Assignment'!#REF!,0)),""),IF(E182="Trap",IFERROR(INDEX('Shooter-Squad Assignment'!$A:$A,MATCH(C182&amp;"-"&amp;D182&amp;"-"&amp;E182&amp;"-Pos4",'Shooter-Squad Assignment'!$V:$V,0)),""),IF(E182="Sporting Clays",IFERROR(INDEX('Shooter-Squad Assignment'!$A:$A,MATCH(C182&amp;"-"&amp;D182&amp;"-"&amp;E182&amp;"-Pos4",'Shooter-Squad Assignment'!$Y:$Y,0)),""),"")))</f>
        <v/>
      </c>
      <c r="M182" s="92" t="str">
        <f>IF(ISBLANK(L182),"",IFERROR(INDEX('Tournament List'!$D:$D,MATCH(L182,'Tournament List'!$A:$A,0)),""))</f>
        <v/>
      </c>
      <c r="N182" s="101" t="str">
        <f>IF(E182="Skeet",IFERROR(INDEX('Shooter-Squad Assignment'!$A:$A,MATCH(C182&amp;"-"&amp;D182&amp;"-"&amp;E182&amp;"-Pos5",'Shooter-Squad Assignment'!#REF!,0)),""),IF(E182="Trap",IFERROR(INDEX('Shooter-Squad Assignment'!$A:$A,MATCH(C182&amp;"-"&amp;D182&amp;"-"&amp;E182&amp;"-Pos5",'Shooter-Squad Assignment'!$V:$V,0)),""),IF(E182="Sporting Clays",IFERROR(INDEX('Shooter-Squad Assignment'!$A:$A,MATCH(C182&amp;"-"&amp;D182&amp;"-"&amp;E182&amp;"-Pos5",'Shooter-Squad Assignment'!$Y:$Y,0)),""),"")))</f>
        <v/>
      </c>
      <c r="O182" s="93" t="str">
        <f>IF(ISBLANK(N182),"",IFERROR(INDEX('Tournament List'!$D:$D,MATCH(N182,'Tournament List'!$A:$A,0)),""))</f>
        <v/>
      </c>
    </row>
    <row r="183" spans="1:15" x14ac:dyDescent="0.3">
      <c r="A183" s="91">
        <v>191</v>
      </c>
      <c r="B183" s="92" t="str">
        <f t="shared" si="2"/>
        <v>Forge Christian Shooting Team-Collegiate 2-Trap</v>
      </c>
      <c r="C183" s="92" t="s">
        <v>322</v>
      </c>
      <c r="D183" s="92" t="s">
        <v>350</v>
      </c>
      <c r="E183" s="92" t="s">
        <v>147</v>
      </c>
      <c r="F183" s="101" t="str">
        <f>IF(E183="Skeet",IFERROR(INDEX('Shooter-Squad Assignment'!$A:$A,MATCH(C183&amp;"-"&amp;D183&amp;"-"&amp;E183&amp;"-Pos1",'Shooter-Squad Assignment'!#REF!,0)),""),IF(E183="Trap",IFERROR(INDEX('Shooter-Squad Assignment'!$A:$A,MATCH(C183&amp;"-"&amp;D183&amp;"-"&amp;E183&amp;"-Pos1",'Shooter-Squad Assignment'!$V:$V,0)),""),IF(E183="Sporting Clays",IFERROR(INDEX('Shooter-Squad Assignment'!$A:$A,MATCH(C183&amp;"-"&amp;D183&amp;"-"&amp;E183&amp;"-Pos1",'Shooter-Squad Assignment'!$Y:$Y,0)),""),"")))</f>
        <v/>
      </c>
      <c r="G183" s="92" t="str">
        <f>IF(ISBLANK(F183),"",IFERROR(INDEX('Tournament List'!$D:$D,MATCH(F183,'Tournament List'!$A:$A,0)),""))</f>
        <v/>
      </c>
      <c r="H183" s="101" t="str">
        <f>IF(E183="Skeet",IFERROR(INDEX('Shooter-Squad Assignment'!$A:$A,MATCH(C183&amp;"-"&amp;D183&amp;"-"&amp;E183&amp;"-Pos2",'Shooter-Squad Assignment'!#REF!,0)),""),IF(E183="Trap",IFERROR(INDEX('Shooter-Squad Assignment'!$A:$A,MATCH(C183&amp;"-"&amp;D183&amp;"-"&amp;E183&amp;"-Pos2",'Shooter-Squad Assignment'!$V:$V,0)),""),IF(E183="Sporting Clays",IFERROR(INDEX('Shooter-Squad Assignment'!$A:$A,MATCH(C183&amp;"-"&amp;D183&amp;"-"&amp;E183&amp;"-Pos2",'Shooter-Squad Assignment'!$Y:$Y,0)),""),"")))</f>
        <v/>
      </c>
      <c r="I183" s="92" t="str">
        <f>IF(ISBLANK(H183),"",IFERROR(INDEX('Tournament List'!$D:$D,MATCH(H183,'Tournament List'!$A:$A,0)),""))</f>
        <v/>
      </c>
      <c r="J183" s="101" t="str">
        <f>IF(E183="Skeet",IFERROR(INDEX('Shooter-Squad Assignment'!$A:$A,MATCH(C183&amp;"-"&amp;D183&amp;"-"&amp;E183&amp;"-Pos3",'Shooter-Squad Assignment'!#REF!,0)),""),IF(E183="Trap",IFERROR(INDEX('Shooter-Squad Assignment'!$A:$A,MATCH(C183&amp;"-"&amp;D183&amp;"-"&amp;E183&amp;"-Pos3",'Shooter-Squad Assignment'!$V:$V,0)),""),IF(E183="Sporting Clays",IFERROR(INDEX('Shooter-Squad Assignment'!$A:$A,MATCH(C183&amp;"-"&amp;D183&amp;"-"&amp;E183&amp;"-Pos3",'Shooter-Squad Assignment'!$Y:$Y,0)),""),"")))</f>
        <v/>
      </c>
      <c r="K183" s="92" t="str">
        <f>IF(ISBLANK(J183),"",IFERROR(INDEX('Tournament List'!$D:$D,MATCH(J183,'Tournament List'!$A:$A,0)),""))</f>
        <v/>
      </c>
      <c r="L183" s="101" t="str">
        <f>IF(E183="Skeet",IFERROR(INDEX('Shooter-Squad Assignment'!$A:$A,MATCH(C183&amp;"-"&amp;D183&amp;"-"&amp;E183&amp;"-Pos4",'Shooter-Squad Assignment'!#REF!,0)),""),IF(E183="Trap",IFERROR(INDEX('Shooter-Squad Assignment'!$A:$A,MATCH(C183&amp;"-"&amp;D183&amp;"-"&amp;E183&amp;"-Pos4",'Shooter-Squad Assignment'!$V:$V,0)),""),IF(E183="Sporting Clays",IFERROR(INDEX('Shooter-Squad Assignment'!$A:$A,MATCH(C183&amp;"-"&amp;D183&amp;"-"&amp;E183&amp;"-Pos4",'Shooter-Squad Assignment'!$Y:$Y,0)),""),"")))</f>
        <v/>
      </c>
      <c r="M183" s="92" t="str">
        <f>IF(ISBLANK(L183),"",IFERROR(INDEX('Tournament List'!$D:$D,MATCH(L183,'Tournament List'!$A:$A,0)),""))</f>
        <v/>
      </c>
      <c r="N183" s="101" t="str">
        <f>IF(E183="Skeet",IFERROR(INDEX('Shooter-Squad Assignment'!$A:$A,MATCH(C183&amp;"-"&amp;D183&amp;"-"&amp;E183&amp;"-Pos5",'Shooter-Squad Assignment'!#REF!,0)),""),IF(E183="Trap",IFERROR(INDEX('Shooter-Squad Assignment'!$A:$A,MATCH(C183&amp;"-"&amp;D183&amp;"-"&amp;E183&amp;"-Pos5",'Shooter-Squad Assignment'!$V:$V,0)),""),IF(E183="Sporting Clays",IFERROR(INDEX('Shooter-Squad Assignment'!$A:$A,MATCH(C183&amp;"-"&amp;D183&amp;"-"&amp;E183&amp;"-Pos5",'Shooter-Squad Assignment'!$Y:$Y,0)),""),"")))</f>
        <v/>
      </c>
      <c r="O183" s="93" t="str">
        <f>IF(ISBLANK(N183),"",IFERROR(INDEX('Tournament List'!$D:$D,MATCH(N183,'Tournament List'!$A:$A,0)),""))</f>
        <v/>
      </c>
    </row>
    <row r="184" spans="1:15" x14ac:dyDescent="0.3">
      <c r="A184" s="91">
        <v>192</v>
      </c>
      <c r="B184" s="92" t="str">
        <f t="shared" si="2"/>
        <v>Forge Christian Shooting Team-Collegiate 3-Trap</v>
      </c>
      <c r="C184" s="92" t="s">
        <v>322</v>
      </c>
      <c r="D184" s="92" t="s">
        <v>356</v>
      </c>
      <c r="E184" s="92" t="s">
        <v>147</v>
      </c>
      <c r="F184" s="101" t="str">
        <f>IF(E184="Skeet",IFERROR(INDEX('Shooter-Squad Assignment'!$A:$A,MATCH(C184&amp;"-"&amp;D184&amp;"-"&amp;E184&amp;"-Pos1",'Shooter-Squad Assignment'!#REF!,0)),""),IF(E184="Trap",IFERROR(INDEX('Shooter-Squad Assignment'!$A:$A,MATCH(C184&amp;"-"&amp;D184&amp;"-"&amp;E184&amp;"-Pos1",'Shooter-Squad Assignment'!$V:$V,0)),""),IF(E184="Sporting Clays",IFERROR(INDEX('Shooter-Squad Assignment'!$A:$A,MATCH(C184&amp;"-"&amp;D184&amp;"-"&amp;E184&amp;"-Pos1",'Shooter-Squad Assignment'!$Y:$Y,0)),""),"")))</f>
        <v/>
      </c>
      <c r="G184" s="92" t="str">
        <f>IF(ISBLANK(F184),"",IFERROR(INDEX('Tournament List'!$D:$D,MATCH(F184,'Tournament List'!$A:$A,0)),""))</f>
        <v/>
      </c>
      <c r="H184" s="101" t="str">
        <f>IF(E184="Skeet",IFERROR(INDEX('Shooter-Squad Assignment'!$A:$A,MATCH(C184&amp;"-"&amp;D184&amp;"-"&amp;E184&amp;"-Pos2",'Shooter-Squad Assignment'!#REF!,0)),""),IF(E184="Trap",IFERROR(INDEX('Shooter-Squad Assignment'!$A:$A,MATCH(C184&amp;"-"&amp;D184&amp;"-"&amp;E184&amp;"-Pos2",'Shooter-Squad Assignment'!$V:$V,0)),""),IF(E184="Sporting Clays",IFERROR(INDEX('Shooter-Squad Assignment'!$A:$A,MATCH(C184&amp;"-"&amp;D184&amp;"-"&amp;E184&amp;"-Pos2",'Shooter-Squad Assignment'!$Y:$Y,0)),""),"")))</f>
        <v/>
      </c>
      <c r="I184" s="92" t="str">
        <f>IF(ISBLANK(H184),"",IFERROR(INDEX('Tournament List'!$D:$D,MATCH(H184,'Tournament List'!$A:$A,0)),""))</f>
        <v/>
      </c>
      <c r="J184" s="101" t="str">
        <f>IF(E184="Skeet",IFERROR(INDEX('Shooter-Squad Assignment'!$A:$A,MATCH(C184&amp;"-"&amp;D184&amp;"-"&amp;E184&amp;"-Pos3",'Shooter-Squad Assignment'!#REF!,0)),""),IF(E184="Trap",IFERROR(INDEX('Shooter-Squad Assignment'!$A:$A,MATCH(C184&amp;"-"&amp;D184&amp;"-"&amp;E184&amp;"-Pos3",'Shooter-Squad Assignment'!$V:$V,0)),""),IF(E184="Sporting Clays",IFERROR(INDEX('Shooter-Squad Assignment'!$A:$A,MATCH(C184&amp;"-"&amp;D184&amp;"-"&amp;E184&amp;"-Pos3",'Shooter-Squad Assignment'!$Y:$Y,0)),""),"")))</f>
        <v/>
      </c>
      <c r="K184" s="92" t="str">
        <f>IF(ISBLANK(J184),"",IFERROR(INDEX('Tournament List'!$D:$D,MATCH(J184,'Tournament List'!$A:$A,0)),""))</f>
        <v/>
      </c>
      <c r="L184" s="101" t="str">
        <f>IF(E184="Skeet",IFERROR(INDEX('Shooter-Squad Assignment'!$A:$A,MATCH(C184&amp;"-"&amp;D184&amp;"-"&amp;E184&amp;"-Pos4",'Shooter-Squad Assignment'!#REF!,0)),""),IF(E184="Trap",IFERROR(INDEX('Shooter-Squad Assignment'!$A:$A,MATCH(C184&amp;"-"&amp;D184&amp;"-"&amp;E184&amp;"-Pos4",'Shooter-Squad Assignment'!$V:$V,0)),""),IF(E184="Sporting Clays",IFERROR(INDEX('Shooter-Squad Assignment'!$A:$A,MATCH(C184&amp;"-"&amp;D184&amp;"-"&amp;E184&amp;"-Pos4",'Shooter-Squad Assignment'!$Y:$Y,0)),""),"")))</f>
        <v/>
      </c>
      <c r="M184" s="92" t="str">
        <f>IF(ISBLANK(L184),"",IFERROR(INDEX('Tournament List'!$D:$D,MATCH(L184,'Tournament List'!$A:$A,0)),""))</f>
        <v/>
      </c>
      <c r="N184" s="101" t="str">
        <f>IF(E184="Skeet",IFERROR(INDEX('Shooter-Squad Assignment'!$A:$A,MATCH(C184&amp;"-"&amp;D184&amp;"-"&amp;E184&amp;"-Pos5",'Shooter-Squad Assignment'!#REF!,0)),""),IF(E184="Trap",IFERROR(INDEX('Shooter-Squad Assignment'!$A:$A,MATCH(C184&amp;"-"&amp;D184&amp;"-"&amp;E184&amp;"-Pos5",'Shooter-Squad Assignment'!$V:$V,0)),""),IF(E184="Sporting Clays",IFERROR(INDEX('Shooter-Squad Assignment'!$A:$A,MATCH(C184&amp;"-"&amp;D184&amp;"-"&amp;E184&amp;"-Pos5",'Shooter-Squad Assignment'!$Y:$Y,0)),""),"")))</f>
        <v/>
      </c>
      <c r="O184" s="93" t="str">
        <f>IF(ISBLANK(N184),"",IFERROR(INDEX('Tournament List'!$D:$D,MATCH(N184,'Tournament List'!$A:$A,0)),""))</f>
        <v/>
      </c>
    </row>
    <row r="185" spans="1:15" x14ac:dyDescent="0.3">
      <c r="A185" s="91">
        <v>193</v>
      </c>
      <c r="B185" s="92" t="str">
        <f t="shared" si="2"/>
        <v>Forge Christian Shooting Team-Intermediate 1-Trap</v>
      </c>
      <c r="C185" s="92" t="s">
        <v>322</v>
      </c>
      <c r="D185" s="92" t="s">
        <v>340</v>
      </c>
      <c r="E185" s="92" t="s">
        <v>147</v>
      </c>
      <c r="F185" s="101" t="str">
        <f>IF(E185="Skeet",IFERROR(INDEX('Shooter-Squad Assignment'!$A:$A,MATCH(C185&amp;"-"&amp;D185&amp;"-"&amp;E185&amp;"-Pos1",'Shooter-Squad Assignment'!#REF!,0)),""),IF(E185="Trap",IFERROR(INDEX('Shooter-Squad Assignment'!$A:$A,MATCH(C185&amp;"-"&amp;D185&amp;"-"&amp;E185&amp;"-Pos1",'Shooter-Squad Assignment'!$V:$V,0)),""),IF(E185="Sporting Clays",IFERROR(INDEX('Shooter-Squad Assignment'!$A:$A,MATCH(C185&amp;"-"&amp;D185&amp;"-"&amp;E185&amp;"-Pos1",'Shooter-Squad Assignment'!$Y:$Y,0)),""),"")))</f>
        <v/>
      </c>
      <c r="G185" s="92" t="str">
        <f>IF(ISBLANK(F185),"",IFERROR(INDEX('Tournament List'!$D:$D,MATCH(F185,'Tournament List'!$A:$A,0)),""))</f>
        <v/>
      </c>
      <c r="H185" s="101" t="str">
        <f>IF(E185="Skeet",IFERROR(INDEX('Shooter-Squad Assignment'!$A:$A,MATCH(C185&amp;"-"&amp;D185&amp;"-"&amp;E185&amp;"-Pos2",'Shooter-Squad Assignment'!#REF!,0)),""),IF(E185="Trap",IFERROR(INDEX('Shooter-Squad Assignment'!$A:$A,MATCH(C185&amp;"-"&amp;D185&amp;"-"&amp;E185&amp;"-Pos2",'Shooter-Squad Assignment'!$V:$V,0)),""),IF(E185="Sporting Clays",IFERROR(INDEX('Shooter-Squad Assignment'!$A:$A,MATCH(C185&amp;"-"&amp;D185&amp;"-"&amp;E185&amp;"-Pos2",'Shooter-Squad Assignment'!$Y:$Y,0)),""),"")))</f>
        <v/>
      </c>
      <c r="I185" s="92" t="str">
        <f>IF(ISBLANK(H185),"",IFERROR(INDEX('Tournament List'!$D:$D,MATCH(H185,'Tournament List'!$A:$A,0)),""))</f>
        <v/>
      </c>
      <c r="J185" s="101" t="str">
        <f>IF(E185="Skeet",IFERROR(INDEX('Shooter-Squad Assignment'!$A:$A,MATCH(C185&amp;"-"&amp;D185&amp;"-"&amp;E185&amp;"-Pos3",'Shooter-Squad Assignment'!#REF!,0)),""),IF(E185="Trap",IFERROR(INDEX('Shooter-Squad Assignment'!$A:$A,MATCH(C185&amp;"-"&amp;D185&amp;"-"&amp;E185&amp;"-Pos3",'Shooter-Squad Assignment'!$V:$V,0)),""),IF(E185="Sporting Clays",IFERROR(INDEX('Shooter-Squad Assignment'!$A:$A,MATCH(C185&amp;"-"&amp;D185&amp;"-"&amp;E185&amp;"-Pos3",'Shooter-Squad Assignment'!$Y:$Y,0)),""),"")))</f>
        <v/>
      </c>
      <c r="K185" s="92" t="str">
        <f>IF(ISBLANK(J185),"",IFERROR(INDEX('Tournament List'!$D:$D,MATCH(J185,'Tournament List'!$A:$A,0)),""))</f>
        <v/>
      </c>
      <c r="L185" s="101" t="str">
        <f>IF(E185="Skeet",IFERROR(INDEX('Shooter-Squad Assignment'!$A:$A,MATCH(C185&amp;"-"&amp;D185&amp;"-"&amp;E185&amp;"-Pos4",'Shooter-Squad Assignment'!#REF!,0)),""),IF(E185="Trap",IFERROR(INDEX('Shooter-Squad Assignment'!$A:$A,MATCH(C185&amp;"-"&amp;D185&amp;"-"&amp;E185&amp;"-Pos4",'Shooter-Squad Assignment'!$V:$V,0)),""),IF(E185="Sporting Clays",IFERROR(INDEX('Shooter-Squad Assignment'!$A:$A,MATCH(C185&amp;"-"&amp;D185&amp;"-"&amp;E185&amp;"-Pos4",'Shooter-Squad Assignment'!$Y:$Y,0)),""),"")))</f>
        <v/>
      </c>
      <c r="M185" s="92" t="str">
        <f>IF(ISBLANK(L185),"",IFERROR(INDEX('Tournament List'!$D:$D,MATCH(L185,'Tournament List'!$A:$A,0)),""))</f>
        <v/>
      </c>
      <c r="N185" s="101" t="str">
        <f>IF(E185="Skeet",IFERROR(INDEX('Shooter-Squad Assignment'!$A:$A,MATCH(C185&amp;"-"&amp;D185&amp;"-"&amp;E185&amp;"-Pos5",'Shooter-Squad Assignment'!#REF!,0)),""),IF(E185="Trap",IFERROR(INDEX('Shooter-Squad Assignment'!$A:$A,MATCH(C185&amp;"-"&amp;D185&amp;"-"&amp;E185&amp;"-Pos5",'Shooter-Squad Assignment'!$V:$V,0)),""),IF(E185="Sporting Clays",IFERROR(INDEX('Shooter-Squad Assignment'!$A:$A,MATCH(C185&amp;"-"&amp;D185&amp;"-"&amp;E185&amp;"-Pos5",'Shooter-Squad Assignment'!$Y:$Y,0)),""),"")))</f>
        <v/>
      </c>
      <c r="O185" s="93" t="str">
        <f>IF(ISBLANK(N185),"",IFERROR(INDEX('Tournament List'!$D:$D,MATCH(N185,'Tournament List'!$A:$A,0)),""))</f>
        <v/>
      </c>
    </row>
    <row r="186" spans="1:15" x14ac:dyDescent="0.3">
      <c r="A186" s="91">
        <v>194</v>
      </c>
      <c r="B186" s="92" t="str">
        <f t="shared" si="2"/>
        <v>Forge Christian Shooting Team-Intermediate 2-Trap</v>
      </c>
      <c r="C186" s="92" t="s">
        <v>322</v>
      </c>
      <c r="D186" s="92" t="s">
        <v>346</v>
      </c>
      <c r="E186" s="92" t="s">
        <v>147</v>
      </c>
      <c r="F186" s="101" t="str">
        <f>IF(E186="Skeet",IFERROR(INDEX('Shooter-Squad Assignment'!$A:$A,MATCH(C186&amp;"-"&amp;D186&amp;"-"&amp;E186&amp;"-Pos1",'Shooter-Squad Assignment'!#REF!,0)),""),IF(E186="Trap",IFERROR(INDEX('Shooter-Squad Assignment'!$A:$A,MATCH(C186&amp;"-"&amp;D186&amp;"-"&amp;E186&amp;"-Pos1",'Shooter-Squad Assignment'!$V:$V,0)),""),IF(E186="Sporting Clays",IFERROR(INDEX('Shooter-Squad Assignment'!$A:$A,MATCH(C186&amp;"-"&amp;D186&amp;"-"&amp;E186&amp;"-Pos1",'Shooter-Squad Assignment'!$Y:$Y,0)),""),"")))</f>
        <v/>
      </c>
      <c r="G186" s="92" t="str">
        <f>IF(ISBLANK(F186),"",IFERROR(INDEX('Tournament List'!$D:$D,MATCH(F186,'Tournament List'!$A:$A,0)),""))</f>
        <v/>
      </c>
      <c r="H186" s="101" t="str">
        <f>IF(E186="Skeet",IFERROR(INDEX('Shooter-Squad Assignment'!$A:$A,MATCH(C186&amp;"-"&amp;D186&amp;"-"&amp;E186&amp;"-Pos2",'Shooter-Squad Assignment'!#REF!,0)),""),IF(E186="Trap",IFERROR(INDEX('Shooter-Squad Assignment'!$A:$A,MATCH(C186&amp;"-"&amp;D186&amp;"-"&amp;E186&amp;"-Pos2",'Shooter-Squad Assignment'!$V:$V,0)),""),IF(E186="Sporting Clays",IFERROR(INDEX('Shooter-Squad Assignment'!$A:$A,MATCH(C186&amp;"-"&amp;D186&amp;"-"&amp;E186&amp;"-Pos2",'Shooter-Squad Assignment'!$Y:$Y,0)),""),"")))</f>
        <v/>
      </c>
      <c r="I186" s="92" t="str">
        <f>IF(ISBLANK(H186),"",IFERROR(INDEX('Tournament List'!$D:$D,MATCH(H186,'Tournament List'!$A:$A,0)),""))</f>
        <v/>
      </c>
      <c r="J186" s="101" t="str">
        <f>IF(E186="Skeet",IFERROR(INDEX('Shooter-Squad Assignment'!$A:$A,MATCH(C186&amp;"-"&amp;D186&amp;"-"&amp;E186&amp;"-Pos3",'Shooter-Squad Assignment'!#REF!,0)),""),IF(E186="Trap",IFERROR(INDEX('Shooter-Squad Assignment'!$A:$A,MATCH(C186&amp;"-"&amp;D186&amp;"-"&amp;E186&amp;"-Pos3",'Shooter-Squad Assignment'!$V:$V,0)),""),IF(E186="Sporting Clays",IFERROR(INDEX('Shooter-Squad Assignment'!$A:$A,MATCH(C186&amp;"-"&amp;D186&amp;"-"&amp;E186&amp;"-Pos3",'Shooter-Squad Assignment'!$Y:$Y,0)),""),"")))</f>
        <v/>
      </c>
      <c r="K186" s="92" t="str">
        <f>IF(ISBLANK(J186),"",IFERROR(INDEX('Tournament List'!$D:$D,MATCH(J186,'Tournament List'!$A:$A,0)),""))</f>
        <v/>
      </c>
      <c r="L186" s="101" t="str">
        <f>IF(E186="Skeet",IFERROR(INDEX('Shooter-Squad Assignment'!$A:$A,MATCH(C186&amp;"-"&amp;D186&amp;"-"&amp;E186&amp;"-Pos4",'Shooter-Squad Assignment'!#REF!,0)),""),IF(E186="Trap",IFERROR(INDEX('Shooter-Squad Assignment'!$A:$A,MATCH(C186&amp;"-"&amp;D186&amp;"-"&amp;E186&amp;"-Pos4",'Shooter-Squad Assignment'!$V:$V,0)),""),IF(E186="Sporting Clays",IFERROR(INDEX('Shooter-Squad Assignment'!$A:$A,MATCH(C186&amp;"-"&amp;D186&amp;"-"&amp;E186&amp;"-Pos4",'Shooter-Squad Assignment'!$Y:$Y,0)),""),"")))</f>
        <v/>
      </c>
      <c r="M186" s="92" t="str">
        <f>IF(ISBLANK(L186),"",IFERROR(INDEX('Tournament List'!$D:$D,MATCH(L186,'Tournament List'!$A:$A,0)),""))</f>
        <v/>
      </c>
      <c r="N186" s="101" t="str">
        <f>IF(E186="Skeet",IFERROR(INDEX('Shooter-Squad Assignment'!$A:$A,MATCH(C186&amp;"-"&amp;D186&amp;"-"&amp;E186&amp;"-Pos5",'Shooter-Squad Assignment'!#REF!,0)),""),IF(E186="Trap",IFERROR(INDEX('Shooter-Squad Assignment'!$A:$A,MATCH(C186&amp;"-"&amp;D186&amp;"-"&amp;E186&amp;"-Pos5",'Shooter-Squad Assignment'!$V:$V,0)),""),IF(E186="Sporting Clays",IFERROR(INDEX('Shooter-Squad Assignment'!$A:$A,MATCH(C186&amp;"-"&amp;D186&amp;"-"&amp;E186&amp;"-Pos5",'Shooter-Squad Assignment'!$Y:$Y,0)),""),"")))</f>
        <v/>
      </c>
      <c r="O186" s="93" t="str">
        <f>IF(ISBLANK(N186),"",IFERROR(INDEX('Tournament List'!$D:$D,MATCH(N186,'Tournament List'!$A:$A,0)),""))</f>
        <v/>
      </c>
    </row>
    <row r="187" spans="1:15" x14ac:dyDescent="0.3">
      <c r="A187" s="91">
        <v>195</v>
      </c>
      <c r="B187" s="92" t="str">
        <f t="shared" si="2"/>
        <v>Forge Christian Shooting Team-Intermediate 3-Trap</v>
      </c>
      <c r="C187" s="92" t="s">
        <v>322</v>
      </c>
      <c r="D187" s="92" t="s">
        <v>352</v>
      </c>
      <c r="E187" s="92" t="s">
        <v>147</v>
      </c>
      <c r="F187" s="101" t="str">
        <f>IF(E187="Skeet",IFERROR(INDEX('Shooter-Squad Assignment'!$A:$A,MATCH(C187&amp;"-"&amp;D187&amp;"-"&amp;E187&amp;"-Pos1",'Shooter-Squad Assignment'!#REF!,0)),""),IF(E187="Trap",IFERROR(INDEX('Shooter-Squad Assignment'!$A:$A,MATCH(C187&amp;"-"&amp;D187&amp;"-"&amp;E187&amp;"-Pos1",'Shooter-Squad Assignment'!$V:$V,0)),""),IF(E187="Sporting Clays",IFERROR(INDEX('Shooter-Squad Assignment'!$A:$A,MATCH(C187&amp;"-"&amp;D187&amp;"-"&amp;E187&amp;"-Pos1",'Shooter-Squad Assignment'!$Y:$Y,0)),""),"")))</f>
        <v/>
      </c>
      <c r="G187" s="92" t="str">
        <f>IF(ISBLANK(F187),"",IFERROR(INDEX('Tournament List'!$D:$D,MATCH(F187,'Tournament List'!$A:$A,0)),""))</f>
        <v/>
      </c>
      <c r="H187" s="101" t="str">
        <f>IF(E187="Skeet",IFERROR(INDEX('Shooter-Squad Assignment'!$A:$A,MATCH(C187&amp;"-"&amp;D187&amp;"-"&amp;E187&amp;"-Pos2",'Shooter-Squad Assignment'!#REF!,0)),""),IF(E187="Trap",IFERROR(INDEX('Shooter-Squad Assignment'!$A:$A,MATCH(C187&amp;"-"&amp;D187&amp;"-"&amp;E187&amp;"-Pos2",'Shooter-Squad Assignment'!$V:$V,0)),""),IF(E187="Sporting Clays",IFERROR(INDEX('Shooter-Squad Assignment'!$A:$A,MATCH(C187&amp;"-"&amp;D187&amp;"-"&amp;E187&amp;"-Pos2",'Shooter-Squad Assignment'!$Y:$Y,0)),""),"")))</f>
        <v/>
      </c>
      <c r="I187" s="92" t="str">
        <f>IF(ISBLANK(H187),"",IFERROR(INDEX('Tournament List'!$D:$D,MATCH(H187,'Tournament List'!$A:$A,0)),""))</f>
        <v/>
      </c>
      <c r="J187" s="101" t="str">
        <f>IF(E187="Skeet",IFERROR(INDEX('Shooter-Squad Assignment'!$A:$A,MATCH(C187&amp;"-"&amp;D187&amp;"-"&amp;E187&amp;"-Pos3",'Shooter-Squad Assignment'!#REF!,0)),""),IF(E187="Trap",IFERROR(INDEX('Shooter-Squad Assignment'!$A:$A,MATCH(C187&amp;"-"&amp;D187&amp;"-"&amp;E187&amp;"-Pos3",'Shooter-Squad Assignment'!$V:$V,0)),""),IF(E187="Sporting Clays",IFERROR(INDEX('Shooter-Squad Assignment'!$A:$A,MATCH(C187&amp;"-"&amp;D187&amp;"-"&amp;E187&amp;"-Pos3",'Shooter-Squad Assignment'!$Y:$Y,0)),""),"")))</f>
        <v/>
      </c>
      <c r="K187" s="92" t="str">
        <f>IF(ISBLANK(J187),"",IFERROR(INDEX('Tournament List'!$D:$D,MATCH(J187,'Tournament List'!$A:$A,0)),""))</f>
        <v/>
      </c>
      <c r="L187" s="101" t="str">
        <f>IF(E187="Skeet",IFERROR(INDEX('Shooter-Squad Assignment'!$A:$A,MATCH(C187&amp;"-"&amp;D187&amp;"-"&amp;E187&amp;"-Pos4",'Shooter-Squad Assignment'!#REF!,0)),""),IF(E187="Trap",IFERROR(INDEX('Shooter-Squad Assignment'!$A:$A,MATCH(C187&amp;"-"&amp;D187&amp;"-"&amp;E187&amp;"-Pos4",'Shooter-Squad Assignment'!$V:$V,0)),""),IF(E187="Sporting Clays",IFERROR(INDEX('Shooter-Squad Assignment'!$A:$A,MATCH(C187&amp;"-"&amp;D187&amp;"-"&amp;E187&amp;"-Pos4",'Shooter-Squad Assignment'!$Y:$Y,0)),""),"")))</f>
        <v/>
      </c>
      <c r="M187" s="92" t="str">
        <f>IF(ISBLANK(L187),"",IFERROR(INDEX('Tournament List'!$D:$D,MATCH(L187,'Tournament List'!$A:$A,0)),""))</f>
        <v/>
      </c>
      <c r="N187" s="101" t="str">
        <f>IF(E187="Skeet",IFERROR(INDEX('Shooter-Squad Assignment'!$A:$A,MATCH(C187&amp;"-"&amp;D187&amp;"-"&amp;E187&amp;"-Pos5",'Shooter-Squad Assignment'!#REF!,0)),""),IF(E187="Trap",IFERROR(INDEX('Shooter-Squad Assignment'!$A:$A,MATCH(C187&amp;"-"&amp;D187&amp;"-"&amp;E187&amp;"-Pos5",'Shooter-Squad Assignment'!$V:$V,0)),""),IF(E187="Sporting Clays",IFERROR(INDEX('Shooter-Squad Assignment'!$A:$A,MATCH(C187&amp;"-"&amp;D187&amp;"-"&amp;E187&amp;"-Pos5",'Shooter-Squad Assignment'!$Y:$Y,0)),""),"")))</f>
        <v/>
      </c>
      <c r="O187" s="93" t="str">
        <f>IF(ISBLANK(N187),"",IFERROR(INDEX('Tournament List'!$D:$D,MATCH(N187,'Tournament List'!$A:$A,0)),""))</f>
        <v/>
      </c>
    </row>
    <row r="188" spans="1:15" x14ac:dyDescent="0.3">
      <c r="A188" s="91">
        <v>196</v>
      </c>
      <c r="B188" s="92" t="str">
        <f t="shared" si="2"/>
        <v>Forge Christian Shooting Team-Junior Varsity 1-Trap</v>
      </c>
      <c r="C188" s="92" t="s">
        <v>322</v>
      </c>
      <c r="D188" s="92" t="s">
        <v>341</v>
      </c>
      <c r="E188" s="92" t="s">
        <v>147</v>
      </c>
      <c r="F188" s="101" t="str">
        <f>IF(E188="Skeet",IFERROR(INDEX('Shooter-Squad Assignment'!$A:$A,MATCH(C188&amp;"-"&amp;D188&amp;"-"&amp;E188&amp;"-Pos1",'Shooter-Squad Assignment'!#REF!,0)),""),IF(E188="Trap",IFERROR(INDEX('Shooter-Squad Assignment'!$A:$A,MATCH(C188&amp;"-"&amp;D188&amp;"-"&amp;E188&amp;"-Pos1",'Shooter-Squad Assignment'!$V:$V,0)),""),IF(E188="Sporting Clays",IFERROR(INDEX('Shooter-Squad Assignment'!$A:$A,MATCH(C188&amp;"-"&amp;D188&amp;"-"&amp;E188&amp;"-Pos1",'Shooter-Squad Assignment'!$Y:$Y,0)),""),"")))</f>
        <v/>
      </c>
      <c r="G188" s="92" t="str">
        <f>IF(ISBLANK(F188),"",IFERROR(INDEX('Tournament List'!$D:$D,MATCH(F188,'Tournament List'!$A:$A,0)),""))</f>
        <v/>
      </c>
      <c r="H188" s="101" t="str">
        <f>IF(E188="Skeet",IFERROR(INDEX('Shooter-Squad Assignment'!$A:$A,MATCH(C188&amp;"-"&amp;D188&amp;"-"&amp;E188&amp;"-Pos2",'Shooter-Squad Assignment'!#REF!,0)),""),IF(E188="Trap",IFERROR(INDEX('Shooter-Squad Assignment'!$A:$A,MATCH(C188&amp;"-"&amp;D188&amp;"-"&amp;E188&amp;"-Pos2",'Shooter-Squad Assignment'!$V:$V,0)),""),IF(E188="Sporting Clays",IFERROR(INDEX('Shooter-Squad Assignment'!$A:$A,MATCH(C188&amp;"-"&amp;D188&amp;"-"&amp;E188&amp;"-Pos2",'Shooter-Squad Assignment'!$Y:$Y,0)),""),"")))</f>
        <v/>
      </c>
      <c r="I188" s="92" t="str">
        <f>IF(ISBLANK(H188),"",IFERROR(INDEX('Tournament List'!$D:$D,MATCH(H188,'Tournament List'!$A:$A,0)),""))</f>
        <v/>
      </c>
      <c r="J188" s="101" t="str">
        <f>IF(E188="Skeet",IFERROR(INDEX('Shooter-Squad Assignment'!$A:$A,MATCH(C188&amp;"-"&amp;D188&amp;"-"&amp;E188&amp;"-Pos3",'Shooter-Squad Assignment'!#REF!,0)),""),IF(E188="Trap",IFERROR(INDEX('Shooter-Squad Assignment'!$A:$A,MATCH(C188&amp;"-"&amp;D188&amp;"-"&amp;E188&amp;"-Pos3",'Shooter-Squad Assignment'!$V:$V,0)),""),IF(E188="Sporting Clays",IFERROR(INDEX('Shooter-Squad Assignment'!$A:$A,MATCH(C188&amp;"-"&amp;D188&amp;"-"&amp;E188&amp;"-Pos3",'Shooter-Squad Assignment'!$Y:$Y,0)),""),"")))</f>
        <v/>
      </c>
      <c r="K188" s="92" t="str">
        <f>IF(ISBLANK(J188),"",IFERROR(INDEX('Tournament List'!$D:$D,MATCH(J188,'Tournament List'!$A:$A,0)),""))</f>
        <v/>
      </c>
      <c r="L188" s="101" t="str">
        <f>IF(E188="Skeet",IFERROR(INDEX('Shooter-Squad Assignment'!$A:$A,MATCH(C188&amp;"-"&amp;D188&amp;"-"&amp;E188&amp;"-Pos4",'Shooter-Squad Assignment'!#REF!,0)),""),IF(E188="Trap",IFERROR(INDEX('Shooter-Squad Assignment'!$A:$A,MATCH(C188&amp;"-"&amp;D188&amp;"-"&amp;E188&amp;"-Pos4",'Shooter-Squad Assignment'!$V:$V,0)),""),IF(E188="Sporting Clays",IFERROR(INDEX('Shooter-Squad Assignment'!$A:$A,MATCH(C188&amp;"-"&amp;D188&amp;"-"&amp;E188&amp;"-Pos4",'Shooter-Squad Assignment'!$Y:$Y,0)),""),"")))</f>
        <v/>
      </c>
      <c r="M188" s="92" t="str">
        <f>IF(ISBLANK(L188),"",IFERROR(INDEX('Tournament List'!$D:$D,MATCH(L188,'Tournament List'!$A:$A,0)),""))</f>
        <v/>
      </c>
      <c r="N188" s="101" t="str">
        <f>IF(E188="Skeet",IFERROR(INDEX('Shooter-Squad Assignment'!$A:$A,MATCH(C188&amp;"-"&amp;D188&amp;"-"&amp;E188&amp;"-Pos5",'Shooter-Squad Assignment'!#REF!,0)),""),IF(E188="Trap",IFERROR(INDEX('Shooter-Squad Assignment'!$A:$A,MATCH(C188&amp;"-"&amp;D188&amp;"-"&amp;E188&amp;"-Pos5",'Shooter-Squad Assignment'!$V:$V,0)),""),IF(E188="Sporting Clays",IFERROR(INDEX('Shooter-Squad Assignment'!$A:$A,MATCH(C188&amp;"-"&amp;D188&amp;"-"&amp;E188&amp;"-Pos5",'Shooter-Squad Assignment'!$Y:$Y,0)),""),"")))</f>
        <v/>
      </c>
      <c r="O188" s="93" t="str">
        <f>IF(ISBLANK(N188),"",IFERROR(INDEX('Tournament List'!$D:$D,MATCH(N188,'Tournament List'!$A:$A,0)),""))</f>
        <v/>
      </c>
    </row>
    <row r="189" spans="1:15" x14ac:dyDescent="0.3">
      <c r="A189" s="91">
        <v>197</v>
      </c>
      <c r="B189" s="92" t="str">
        <f t="shared" si="2"/>
        <v>Forge Christian Shooting Team-Junior Varsity 2-Trap</v>
      </c>
      <c r="C189" s="92" t="s">
        <v>322</v>
      </c>
      <c r="D189" s="92" t="s">
        <v>347</v>
      </c>
      <c r="E189" s="92" t="s">
        <v>147</v>
      </c>
      <c r="F189" s="101" t="str">
        <f>IF(E189="Skeet",IFERROR(INDEX('Shooter-Squad Assignment'!$A:$A,MATCH(C189&amp;"-"&amp;D189&amp;"-"&amp;E189&amp;"-Pos1",'Shooter-Squad Assignment'!#REF!,0)),""),IF(E189="Trap",IFERROR(INDEX('Shooter-Squad Assignment'!$A:$A,MATCH(C189&amp;"-"&amp;D189&amp;"-"&amp;E189&amp;"-Pos1",'Shooter-Squad Assignment'!$V:$V,0)),""),IF(E189="Sporting Clays",IFERROR(INDEX('Shooter-Squad Assignment'!$A:$A,MATCH(C189&amp;"-"&amp;D189&amp;"-"&amp;E189&amp;"-Pos1",'Shooter-Squad Assignment'!$Y:$Y,0)),""),"")))</f>
        <v/>
      </c>
      <c r="G189" s="92" t="str">
        <f>IF(ISBLANK(F189),"",IFERROR(INDEX('Tournament List'!$D:$D,MATCH(F189,'Tournament List'!$A:$A,0)),""))</f>
        <v/>
      </c>
      <c r="H189" s="101" t="str">
        <f>IF(E189="Skeet",IFERROR(INDEX('Shooter-Squad Assignment'!$A:$A,MATCH(C189&amp;"-"&amp;D189&amp;"-"&amp;E189&amp;"-Pos2",'Shooter-Squad Assignment'!#REF!,0)),""),IF(E189="Trap",IFERROR(INDEX('Shooter-Squad Assignment'!$A:$A,MATCH(C189&amp;"-"&amp;D189&amp;"-"&amp;E189&amp;"-Pos2",'Shooter-Squad Assignment'!$V:$V,0)),""),IF(E189="Sporting Clays",IFERROR(INDEX('Shooter-Squad Assignment'!$A:$A,MATCH(C189&amp;"-"&amp;D189&amp;"-"&amp;E189&amp;"-Pos2",'Shooter-Squad Assignment'!$Y:$Y,0)),""),"")))</f>
        <v/>
      </c>
      <c r="I189" s="92" t="str">
        <f>IF(ISBLANK(H189),"",IFERROR(INDEX('Tournament List'!$D:$D,MATCH(H189,'Tournament List'!$A:$A,0)),""))</f>
        <v/>
      </c>
      <c r="J189" s="101" t="str">
        <f>IF(E189="Skeet",IFERROR(INDEX('Shooter-Squad Assignment'!$A:$A,MATCH(C189&amp;"-"&amp;D189&amp;"-"&amp;E189&amp;"-Pos3",'Shooter-Squad Assignment'!#REF!,0)),""),IF(E189="Trap",IFERROR(INDEX('Shooter-Squad Assignment'!$A:$A,MATCH(C189&amp;"-"&amp;D189&amp;"-"&amp;E189&amp;"-Pos3",'Shooter-Squad Assignment'!$V:$V,0)),""),IF(E189="Sporting Clays",IFERROR(INDEX('Shooter-Squad Assignment'!$A:$A,MATCH(C189&amp;"-"&amp;D189&amp;"-"&amp;E189&amp;"-Pos3",'Shooter-Squad Assignment'!$Y:$Y,0)),""),"")))</f>
        <v/>
      </c>
      <c r="K189" s="92" t="str">
        <f>IF(ISBLANK(J189),"",IFERROR(INDEX('Tournament List'!$D:$D,MATCH(J189,'Tournament List'!$A:$A,0)),""))</f>
        <v/>
      </c>
      <c r="L189" s="101" t="str">
        <f>IF(E189="Skeet",IFERROR(INDEX('Shooter-Squad Assignment'!$A:$A,MATCH(C189&amp;"-"&amp;D189&amp;"-"&amp;E189&amp;"-Pos4",'Shooter-Squad Assignment'!#REF!,0)),""),IF(E189="Trap",IFERROR(INDEX('Shooter-Squad Assignment'!$A:$A,MATCH(C189&amp;"-"&amp;D189&amp;"-"&amp;E189&amp;"-Pos4",'Shooter-Squad Assignment'!$V:$V,0)),""),IF(E189="Sporting Clays",IFERROR(INDEX('Shooter-Squad Assignment'!$A:$A,MATCH(C189&amp;"-"&amp;D189&amp;"-"&amp;E189&amp;"-Pos4",'Shooter-Squad Assignment'!$Y:$Y,0)),""),"")))</f>
        <v/>
      </c>
      <c r="M189" s="92" t="str">
        <f>IF(ISBLANK(L189),"",IFERROR(INDEX('Tournament List'!$D:$D,MATCH(L189,'Tournament List'!$A:$A,0)),""))</f>
        <v/>
      </c>
      <c r="N189" s="101" t="str">
        <f>IF(E189="Skeet",IFERROR(INDEX('Shooter-Squad Assignment'!$A:$A,MATCH(C189&amp;"-"&amp;D189&amp;"-"&amp;E189&amp;"-Pos5",'Shooter-Squad Assignment'!#REF!,0)),""),IF(E189="Trap",IFERROR(INDEX('Shooter-Squad Assignment'!$A:$A,MATCH(C189&amp;"-"&amp;D189&amp;"-"&amp;E189&amp;"-Pos5",'Shooter-Squad Assignment'!$V:$V,0)),""),IF(E189="Sporting Clays",IFERROR(INDEX('Shooter-Squad Assignment'!$A:$A,MATCH(C189&amp;"-"&amp;D189&amp;"-"&amp;E189&amp;"-Pos5",'Shooter-Squad Assignment'!$Y:$Y,0)),""),"")))</f>
        <v/>
      </c>
      <c r="O189" s="93" t="str">
        <f>IF(ISBLANK(N189),"",IFERROR(INDEX('Tournament List'!$D:$D,MATCH(N189,'Tournament List'!$A:$A,0)),""))</f>
        <v/>
      </c>
    </row>
    <row r="190" spans="1:15" x14ac:dyDescent="0.3">
      <c r="A190" s="91">
        <v>198</v>
      </c>
      <c r="B190" s="92" t="str">
        <f t="shared" si="2"/>
        <v>Forge Christian Shooting Team-Junior Varsity 3-Trap</v>
      </c>
      <c r="C190" s="92" t="s">
        <v>322</v>
      </c>
      <c r="D190" s="92" t="s">
        <v>353</v>
      </c>
      <c r="E190" s="92" t="s">
        <v>147</v>
      </c>
      <c r="F190" s="101" t="str">
        <f>IF(E190="Skeet",IFERROR(INDEX('Shooter-Squad Assignment'!$A:$A,MATCH(C190&amp;"-"&amp;D190&amp;"-"&amp;E190&amp;"-Pos1",'Shooter-Squad Assignment'!#REF!,0)),""),IF(E190="Trap",IFERROR(INDEX('Shooter-Squad Assignment'!$A:$A,MATCH(C190&amp;"-"&amp;D190&amp;"-"&amp;E190&amp;"-Pos1",'Shooter-Squad Assignment'!$V:$V,0)),""),IF(E190="Sporting Clays",IFERROR(INDEX('Shooter-Squad Assignment'!$A:$A,MATCH(C190&amp;"-"&amp;D190&amp;"-"&amp;E190&amp;"-Pos1",'Shooter-Squad Assignment'!$Y:$Y,0)),""),"")))</f>
        <v/>
      </c>
      <c r="G190" s="92" t="str">
        <f>IF(ISBLANK(F190),"",IFERROR(INDEX('Tournament List'!$D:$D,MATCH(F190,'Tournament List'!$A:$A,0)),""))</f>
        <v/>
      </c>
      <c r="H190" s="101" t="str">
        <f>IF(E190="Skeet",IFERROR(INDEX('Shooter-Squad Assignment'!$A:$A,MATCH(C190&amp;"-"&amp;D190&amp;"-"&amp;E190&amp;"-Pos2",'Shooter-Squad Assignment'!#REF!,0)),""),IF(E190="Trap",IFERROR(INDEX('Shooter-Squad Assignment'!$A:$A,MATCH(C190&amp;"-"&amp;D190&amp;"-"&amp;E190&amp;"-Pos2",'Shooter-Squad Assignment'!$V:$V,0)),""),IF(E190="Sporting Clays",IFERROR(INDEX('Shooter-Squad Assignment'!$A:$A,MATCH(C190&amp;"-"&amp;D190&amp;"-"&amp;E190&amp;"-Pos2",'Shooter-Squad Assignment'!$Y:$Y,0)),""),"")))</f>
        <v/>
      </c>
      <c r="I190" s="92" t="str">
        <f>IF(ISBLANK(H190),"",IFERROR(INDEX('Tournament List'!$D:$D,MATCH(H190,'Tournament List'!$A:$A,0)),""))</f>
        <v/>
      </c>
      <c r="J190" s="101" t="str">
        <f>IF(E190="Skeet",IFERROR(INDEX('Shooter-Squad Assignment'!$A:$A,MATCH(C190&amp;"-"&amp;D190&amp;"-"&amp;E190&amp;"-Pos3",'Shooter-Squad Assignment'!#REF!,0)),""),IF(E190="Trap",IFERROR(INDEX('Shooter-Squad Assignment'!$A:$A,MATCH(C190&amp;"-"&amp;D190&amp;"-"&amp;E190&amp;"-Pos3",'Shooter-Squad Assignment'!$V:$V,0)),""),IF(E190="Sporting Clays",IFERROR(INDEX('Shooter-Squad Assignment'!$A:$A,MATCH(C190&amp;"-"&amp;D190&amp;"-"&amp;E190&amp;"-Pos3",'Shooter-Squad Assignment'!$Y:$Y,0)),""),"")))</f>
        <v/>
      </c>
      <c r="K190" s="92" t="str">
        <f>IF(ISBLANK(J190),"",IFERROR(INDEX('Tournament List'!$D:$D,MATCH(J190,'Tournament List'!$A:$A,0)),""))</f>
        <v/>
      </c>
      <c r="L190" s="101" t="str">
        <f>IF(E190="Skeet",IFERROR(INDEX('Shooter-Squad Assignment'!$A:$A,MATCH(C190&amp;"-"&amp;D190&amp;"-"&amp;E190&amp;"-Pos4",'Shooter-Squad Assignment'!#REF!,0)),""),IF(E190="Trap",IFERROR(INDEX('Shooter-Squad Assignment'!$A:$A,MATCH(C190&amp;"-"&amp;D190&amp;"-"&amp;E190&amp;"-Pos4",'Shooter-Squad Assignment'!$V:$V,0)),""),IF(E190="Sporting Clays",IFERROR(INDEX('Shooter-Squad Assignment'!$A:$A,MATCH(C190&amp;"-"&amp;D190&amp;"-"&amp;E190&amp;"-Pos4",'Shooter-Squad Assignment'!$Y:$Y,0)),""),"")))</f>
        <v/>
      </c>
      <c r="M190" s="92" t="str">
        <f>IF(ISBLANK(L190),"",IFERROR(INDEX('Tournament List'!$D:$D,MATCH(L190,'Tournament List'!$A:$A,0)),""))</f>
        <v/>
      </c>
      <c r="N190" s="101" t="str">
        <f>IF(E190="Skeet",IFERROR(INDEX('Shooter-Squad Assignment'!$A:$A,MATCH(C190&amp;"-"&amp;D190&amp;"-"&amp;E190&amp;"-Pos5",'Shooter-Squad Assignment'!#REF!,0)),""),IF(E190="Trap",IFERROR(INDEX('Shooter-Squad Assignment'!$A:$A,MATCH(C190&amp;"-"&amp;D190&amp;"-"&amp;E190&amp;"-Pos5",'Shooter-Squad Assignment'!$V:$V,0)),""),IF(E190="Sporting Clays",IFERROR(INDEX('Shooter-Squad Assignment'!$A:$A,MATCH(C190&amp;"-"&amp;D190&amp;"-"&amp;E190&amp;"-Pos5",'Shooter-Squad Assignment'!$Y:$Y,0)),""),"")))</f>
        <v/>
      </c>
      <c r="O190" s="93" t="str">
        <f>IF(ISBLANK(N190),"",IFERROR(INDEX('Tournament List'!$D:$D,MATCH(N190,'Tournament List'!$A:$A,0)),""))</f>
        <v/>
      </c>
    </row>
    <row r="191" spans="1:15" x14ac:dyDescent="0.3">
      <c r="A191" s="91">
        <v>199</v>
      </c>
      <c r="B191" s="92" t="str">
        <f t="shared" si="2"/>
        <v>Forge Christian Shooting Team-Novice 1-Trap</v>
      </c>
      <c r="C191" s="92" t="s">
        <v>322</v>
      </c>
      <c r="D191" s="92" t="s">
        <v>339</v>
      </c>
      <c r="E191" s="92" t="s">
        <v>147</v>
      </c>
      <c r="F191" s="101" t="str">
        <f>IF(E191="Skeet",IFERROR(INDEX('Shooter-Squad Assignment'!$A:$A,MATCH(C191&amp;"-"&amp;D191&amp;"-"&amp;E191&amp;"-Pos1",'Shooter-Squad Assignment'!#REF!,0)),""),IF(E191="Trap",IFERROR(INDEX('Shooter-Squad Assignment'!$A:$A,MATCH(C191&amp;"-"&amp;D191&amp;"-"&amp;E191&amp;"-Pos1",'Shooter-Squad Assignment'!$V:$V,0)),""),IF(E191="Sporting Clays",IFERROR(INDEX('Shooter-Squad Assignment'!$A:$A,MATCH(C191&amp;"-"&amp;D191&amp;"-"&amp;E191&amp;"-Pos1",'Shooter-Squad Assignment'!$Y:$Y,0)),""),"")))</f>
        <v/>
      </c>
      <c r="G191" s="92" t="str">
        <f>IF(ISBLANK(F191),"",IFERROR(INDEX('Tournament List'!$D:$D,MATCH(F191,'Tournament List'!$A:$A,0)),""))</f>
        <v/>
      </c>
      <c r="H191" s="101" t="str">
        <f>IF(E191="Skeet",IFERROR(INDEX('Shooter-Squad Assignment'!$A:$A,MATCH(C191&amp;"-"&amp;D191&amp;"-"&amp;E191&amp;"-Pos2",'Shooter-Squad Assignment'!#REF!,0)),""),IF(E191="Trap",IFERROR(INDEX('Shooter-Squad Assignment'!$A:$A,MATCH(C191&amp;"-"&amp;D191&amp;"-"&amp;E191&amp;"-Pos2",'Shooter-Squad Assignment'!$V:$V,0)),""),IF(E191="Sporting Clays",IFERROR(INDEX('Shooter-Squad Assignment'!$A:$A,MATCH(C191&amp;"-"&amp;D191&amp;"-"&amp;E191&amp;"-Pos2",'Shooter-Squad Assignment'!$Y:$Y,0)),""),"")))</f>
        <v/>
      </c>
      <c r="I191" s="92" t="str">
        <f>IF(ISBLANK(H191),"",IFERROR(INDEX('Tournament List'!$D:$D,MATCH(H191,'Tournament List'!$A:$A,0)),""))</f>
        <v/>
      </c>
      <c r="J191" s="101" t="str">
        <f>IF(E191="Skeet",IFERROR(INDEX('Shooter-Squad Assignment'!$A:$A,MATCH(C191&amp;"-"&amp;D191&amp;"-"&amp;E191&amp;"-Pos3",'Shooter-Squad Assignment'!#REF!,0)),""),IF(E191="Trap",IFERROR(INDEX('Shooter-Squad Assignment'!$A:$A,MATCH(C191&amp;"-"&amp;D191&amp;"-"&amp;E191&amp;"-Pos3",'Shooter-Squad Assignment'!$V:$V,0)),""),IF(E191="Sporting Clays",IFERROR(INDEX('Shooter-Squad Assignment'!$A:$A,MATCH(C191&amp;"-"&amp;D191&amp;"-"&amp;E191&amp;"-Pos3",'Shooter-Squad Assignment'!$Y:$Y,0)),""),"")))</f>
        <v/>
      </c>
      <c r="K191" s="92" t="str">
        <f>IF(ISBLANK(J191),"",IFERROR(INDEX('Tournament List'!$D:$D,MATCH(J191,'Tournament List'!$A:$A,0)),""))</f>
        <v/>
      </c>
      <c r="L191" s="101" t="str">
        <f>IF(E191="Skeet",IFERROR(INDEX('Shooter-Squad Assignment'!$A:$A,MATCH(C191&amp;"-"&amp;D191&amp;"-"&amp;E191&amp;"-Pos4",'Shooter-Squad Assignment'!#REF!,0)),""),IF(E191="Trap",IFERROR(INDEX('Shooter-Squad Assignment'!$A:$A,MATCH(C191&amp;"-"&amp;D191&amp;"-"&amp;E191&amp;"-Pos4",'Shooter-Squad Assignment'!$V:$V,0)),""),IF(E191="Sporting Clays",IFERROR(INDEX('Shooter-Squad Assignment'!$A:$A,MATCH(C191&amp;"-"&amp;D191&amp;"-"&amp;E191&amp;"-Pos4",'Shooter-Squad Assignment'!$Y:$Y,0)),""),"")))</f>
        <v/>
      </c>
      <c r="M191" s="92" t="str">
        <f>IF(ISBLANK(L191),"",IFERROR(INDEX('Tournament List'!$D:$D,MATCH(L191,'Tournament List'!$A:$A,0)),""))</f>
        <v/>
      </c>
      <c r="N191" s="101" t="str">
        <f>IF(E191="Skeet",IFERROR(INDEX('Shooter-Squad Assignment'!$A:$A,MATCH(C191&amp;"-"&amp;D191&amp;"-"&amp;E191&amp;"-Pos5",'Shooter-Squad Assignment'!#REF!,0)),""),IF(E191="Trap",IFERROR(INDEX('Shooter-Squad Assignment'!$A:$A,MATCH(C191&amp;"-"&amp;D191&amp;"-"&amp;E191&amp;"-Pos5",'Shooter-Squad Assignment'!$V:$V,0)),""),IF(E191="Sporting Clays",IFERROR(INDEX('Shooter-Squad Assignment'!$A:$A,MATCH(C191&amp;"-"&amp;D191&amp;"-"&amp;E191&amp;"-Pos5",'Shooter-Squad Assignment'!$Y:$Y,0)),""),"")))</f>
        <v/>
      </c>
      <c r="O191" s="93" t="str">
        <f>IF(ISBLANK(N191),"",IFERROR(INDEX('Tournament List'!$D:$D,MATCH(N191,'Tournament List'!$A:$A,0)),""))</f>
        <v/>
      </c>
    </row>
    <row r="192" spans="1:15" x14ac:dyDescent="0.3">
      <c r="A192" s="91">
        <v>200</v>
      </c>
      <c r="B192" s="92" t="str">
        <f t="shared" si="2"/>
        <v>Forge Christian Shooting Team-Novice 2-Trap</v>
      </c>
      <c r="C192" s="92" t="s">
        <v>322</v>
      </c>
      <c r="D192" s="92" t="s">
        <v>345</v>
      </c>
      <c r="E192" s="92" t="s">
        <v>147</v>
      </c>
      <c r="F192" s="101" t="str">
        <f>IF(E192="Skeet",IFERROR(INDEX('Shooter-Squad Assignment'!$A:$A,MATCH(C192&amp;"-"&amp;D192&amp;"-"&amp;E192&amp;"-Pos1",'Shooter-Squad Assignment'!#REF!,0)),""),IF(E192="Trap",IFERROR(INDEX('Shooter-Squad Assignment'!$A:$A,MATCH(C192&amp;"-"&amp;D192&amp;"-"&amp;E192&amp;"-Pos1",'Shooter-Squad Assignment'!$V:$V,0)),""),IF(E192="Sporting Clays",IFERROR(INDEX('Shooter-Squad Assignment'!$A:$A,MATCH(C192&amp;"-"&amp;D192&amp;"-"&amp;E192&amp;"-Pos1",'Shooter-Squad Assignment'!$Y:$Y,0)),""),"")))</f>
        <v/>
      </c>
      <c r="G192" s="92" t="str">
        <f>IF(ISBLANK(F192),"",IFERROR(INDEX('Tournament List'!$D:$D,MATCH(F192,'Tournament List'!$A:$A,0)),""))</f>
        <v/>
      </c>
      <c r="H192" s="101" t="str">
        <f>IF(E192="Skeet",IFERROR(INDEX('Shooter-Squad Assignment'!$A:$A,MATCH(C192&amp;"-"&amp;D192&amp;"-"&amp;E192&amp;"-Pos2",'Shooter-Squad Assignment'!#REF!,0)),""),IF(E192="Trap",IFERROR(INDEX('Shooter-Squad Assignment'!$A:$A,MATCH(C192&amp;"-"&amp;D192&amp;"-"&amp;E192&amp;"-Pos2",'Shooter-Squad Assignment'!$V:$V,0)),""),IF(E192="Sporting Clays",IFERROR(INDEX('Shooter-Squad Assignment'!$A:$A,MATCH(C192&amp;"-"&amp;D192&amp;"-"&amp;E192&amp;"-Pos2",'Shooter-Squad Assignment'!$Y:$Y,0)),""),"")))</f>
        <v/>
      </c>
      <c r="I192" s="92" t="str">
        <f>IF(ISBLANK(H192),"",IFERROR(INDEX('Tournament List'!$D:$D,MATCH(H192,'Tournament List'!$A:$A,0)),""))</f>
        <v/>
      </c>
      <c r="J192" s="101" t="str">
        <f>IF(E192="Skeet",IFERROR(INDEX('Shooter-Squad Assignment'!$A:$A,MATCH(C192&amp;"-"&amp;D192&amp;"-"&amp;E192&amp;"-Pos3",'Shooter-Squad Assignment'!#REF!,0)),""),IF(E192="Trap",IFERROR(INDEX('Shooter-Squad Assignment'!$A:$A,MATCH(C192&amp;"-"&amp;D192&amp;"-"&amp;E192&amp;"-Pos3",'Shooter-Squad Assignment'!$V:$V,0)),""),IF(E192="Sporting Clays",IFERROR(INDEX('Shooter-Squad Assignment'!$A:$A,MATCH(C192&amp;"-"&amp;D192&amp;"-"&amp;E192&amp;"-Pos3",'Shooter-Squad Assignment'!$Y:$Y,0)),""),"")))</f>
        <v/>
      </c>
      <c r="K192" s="92" t="str">
        <f>IF(ISBLANK(J192),"",IFERROR(INDEX('Tournament List'!$D:$D,MATCH(J192,'Tournament List'!$A:$A,0)),""))</f>
        <v/>
      </c>
      <c r="L192" s="101" t="str">
        <f>IF(E192="Skeet",IFERROR(INDEX('Shooter-Squad Assignment'!$A:$A,MATCH(C192&amp;"-"&amp;D192&amp;"-"&amp;E192&amp;"-Pos4",'Shooter-Squad Assignment'!#REF!,0)),""),IF(E192="Trap",IFERROR(INDEX('Shooter-Squad Assignment'!$A:$A,MATCH(C192&amp;"-"&amp;D192&amp;"-"&amp;E192&amp;"-Pos4",'Shooter-Squad Assignment'!$V:$V,0)),""),IF(E192="Sporting Clays",IFERROR(INDEX('Shooter-Squad Assignment'!$A:$A,MATCH(C192&amp;"-"&amp;D192&amp;"-"&amp;E192&amp;"-Pos4",'Shooter-Squad Assignment'!$Y:$Y,0)),""),"")))</f>
        <v/>
      </c>
      <c r="M192" s="92" t="str">
        <f>IF(ISBLANK(L192),"",IFERROR(INDEX('Tournament List'!$D:$D,MATCH(L192,'Tournament List'!$A:$A,0)),""))</f>
        <v/>
      </c>
      <c r="N192" s="101" t="str">
        <f>IF(E192="Skeet",IFERROR(INDEX('Shooter-Squad Assignment'!$A:$A,MATCH(C192&amp;"-"&amp;D192&amp;"-"&amp;E192&amp;"-Pos5",'Shooter-Squad Assignment'!#REF!,0)),""),IF(E192="Trap",IFERROR(INDEX('Shooter-Squad Assignment'!$A:$A,MATCH(C192&amp;"-"&amp;D192&amp;"-"&amp;E192&amp;"-Pos5",'Shooter-Squad Assignment'!$V:$V,0)),""),IF(E192="Sporting Clays",IFERROR(INDEX('Shooter-Squad Assignment'!$A:$A,MATCH(C192&amp;"-"&amp;D192&amp;"-"&amp;E192&amp;"-Pos5",'Shooter-Squad Assignment'!$Y:$Y,0)),""),"")))</f>
        <v/>
      </c>
      <c r="O192" s="93" t="str">
        <f>IF(ISBLANK(N192),"",IFERROR(INDEX('Tournament List'!$D:$D,MATCH(N192,'Tournament List'!$A:$A,0)),""))</f>
        <v/>
      </c>
    </row>
    <row r="193" spans="1:15" x14ac:dyDescent="0.3">
      <c r="A193" s="91">
        <v>201</v>
      </c>
      <c r="B193" s="92" t="str">
        <f t="shared" si="2"/>
        <v>Forge Christian Shooting Team-Novice 3-Trap</v>
      </c>
      <c r="C193" s="92" t="s">
        <v>322</v>
      </c>
      <c r="D193" s="92" t="s">
        <v>351</v>
      </c>
      <c r="E193" s="92" t="s">
        <v>147</v>
      </c>
      <c r="F193" s="101" t="str">
        <f>IF(E193="Skeet",IFERROR(INDEX('Shooter-Squad Assignment'!$A:$A,MATCH(C193&amp;"-"&amp;D193&amp;"-"&amp;E193&amp;"-Pos1",'Shooter-Squad Assignment'!#REF!,0)),""),IF(E193="Trap",IFERROR(INDEX('Shooter-Squad Assignment'!$A:$A,MATCH(C193&amp;"-"&amp;D193&amp;"-"&amp;E193&amp;"-Pos1",'Shooter-Squad Assignment'!$V:$V,0)),""),IF(E193="Sporting Clays",IFERROR(INDEX('Shooter-Squad Assignment'!$A:$A,MATCH(C193&amp;"-"&amp;D193&amp;"-"&amp;E193&amp;"-Pos1",'Shooter-Squad Assignment'!$Y:$Y,0)),""),"")))</f>
        <v/>
      </c>
      <c r="G193" s="92" t="str">
        <f>IF(ISBLANK(F193),"",IFERROR(INDEX('Tournament List'!$D:$D,MATCH(F193,'Tournament List'!$A:$A,0)),""))</f>
        <v/>
      </c>
      <c r="H193" s="101" t="str">
        <f>IF(E193="Skeet",IFERROR(INDEX('Shooter-Squad Assignment'!$A:$A,MATCH(C193&amp;"-"&amp;D193&amp;"-"&amp;E193&amp;"-Pos2",'Shooter-Squad Assignment'!#REF!,0)),""),IF(E193="Trap",IFERROR(INDEX('Shooter-Squad Assignment'!$A:$A,MATCH(C193&amp;"-"&amp;D193&amp;"-"&amp;E193&amp;"-Pos2",'Shooter-Squad Assignment'!$V:$V,0)),""),IF(E193="Sporting Clays",IFERROR(INDEX('Shooter-Squad Assignment'!$A:$A,MATCH(C193&amp;"-"&amp;D193&amp;"-"&amp;E193&amp;"-Pos2",'Shooter-Squad Assignment'!$Y:$Y,0)),""),"")))</f>
        <v/>
      </c>
      <c r="I193" s="92" t="str">
        <f>IF(ISBLANK(H193),"",IFERROR(INDEX('Tournament List'!$D:$D,MATCH(H193,'Tournament List'!$A:$A,0)),""))</f>
        <v/>
      </c>
      <c r="J193" s="101" t="str">
        <f>IF(E193="Skeet",IFERROR(INDEX('Shooter-Squad Assignment'!$A:$A,MATCH(C193&amp;"-"&amp;D193&amp;"-"&amp;E193&amp;"-Pos3",'Shooter-Squad Assignment'!#REF!,0)),""),IF(E193="Trap",IFERROR(INDEX('Shooter-Squad Assignment'!$A:$A,MATCH(C193&amp;"-"&amp;D193&amp;"-"&amp;E193&amp;"-Pos3",'Shooter-Squad Assignment'!$V:$V,0)),""),IF(E193="Sporting Clays",IFERROR(INDEX('Shooter-Squad Assignment'!$A:$A,MATCH(C193&amp;"-"&amp;D193&amp;"-"&amp;E193&amp;"-Pos3",'Shooter-Squad Assignment'!$Y:$Y,0)),""),"")))</f>
        <v/>
      </c>
      <c r="K193" s="92" t="str">
        <f>IF(ISBLANK(J193),"",IFERROR(INDEX('Tournament List'!$D:$D,MATCH(J193,'Tournament List'!$A:$A,0)),""))</f>
        <v/>
      </c>
      <c r="L193" s="101" t="str">
        <f>IF(E193="Skeet",IFERROR(INDEX('Shooter-Squad Assignment'!$A:$A,MATCH(C193&amp;"-"&amp;D193&amp;"-"&amp;E193&amp;"-Pos4",'Shooter-Squad Assignment'!#REF!,0)),""),IF(E193="Trap",IFERROR(INDEX('Shooter-Squad Assignment'!$A:$A,MATCH(C193&amp;"-"&amp;D193&amp;"-"&amp;E193&amp;"-Pos4",'Shooter-Squad Assignment'!$V:$V,0)),""),IF(E193="Sporting Clays",IFERROR(INDEX('Shooter-Squad Assignment'!$A:$A,MATCH(C193&amp;"-"&amp;D193&amp;"-"&amp;E193&amp;"-Pos4",'Shooter-Squad Assignment'!$Y:$Y,0)),""),"")))</f>
        <v/>
      </c>
      <c r="M193" s="92" t="str">
        <f>IF(ISBLANK(L193),"",IFERROR(INDEX('Tournament List'!$D:$D,MATCH(L193,'Tournament List'!$A:$A,0)),""))</f>
        <v/>
      </c>
      <c r="N193" s="101" t="str">
        <f>IF(E193="Skeet",IFERROR(INDEX('Shooter-Squad Assignment'!$A:$A,MATCH(C193&amp;"-"&amp;D193&amp;"-"&amp;E193&amp;"-Pos5",'Shooter-Squad Assignment'!#REF!,0)),""),IF(E193="Trap",IFERROR(INDEX('Shooter-Squad Assignment'!$A:$A,MATCH(C193&amp;"-"&amp;D193&amp;"-"&amp;E193&amp;"-Pos5",'Shooter-Squad Assignment'!$V:$V,0)),""),IF(E193="Sporting Clays",IFERROR(INDEX('Shooter-Squad Assignment'!$A:$A,MATCH(C193&amp;"-"&amp;D193&amp;"-"&amp;E193&amp;"-Pos5",'Shooter-Squad Assignment'!$Y:$Y,0)),""),"")))</f>
        <v/>
      </c>
      <c r="O193" s="93" t="str">
        <f>IF(ISBLANK(N193),"",IFERROR(INDEX('Tournament List'!$D:$D,MATCH(N193,'Tournament List'!$A:$A,0)),""))</f>
        <v/>
      </c>
    </row>
    <row r="194" spans="1:15" x14ac:dyDescent="0.3">
      <c r="A194" s="91">
        <v>202</v>
      </c>
      <c r="B194" s="92" t="str">
        <f t="shared" si="2"/>
        <v>Forge Christian Shooting Team-Open 1-Trap</v>
      </c>
      <c r="C194" s="92" t="s">
        <v>322</v>
      </c>
      <c r="D194" s="92" t="s">
        <v>343</v>
      </c>
      <c r="E194" s="92" t="s">
        <v>147</v>
      </c>
      <c r="F194" s="101" t="str">
        <f>IF(E194="Skeet",IFERROR(INDEX('Shooter-Squad Assignment'!$A:$A,MATCH(C194&amp;"-"&amp;D194&amp;"-"&amp;E194&amp;"-Pos1",'Shooter-Squad Assignment'!#REF!,0)),""),IF(E194="Trap",IFERROR(INDEX('Shooter-Squad Assignment'!$A:$A,MATCH(C194&amp;"-"&amp;D194&amp;"-"&amp;E194&amp;"-Pos1",'Shooter-Squad Assignment'!$V:$V,0)),""),IF(E194="Sporting Clays",IFERROR(INDEX('Shooter-Squad Assignment'!$A:$A,MATCH(C194&amp;"-"&amp;D194&amp;"-"&amp;E194&amp;"-Pos1",'Shooter-Squad Assignment'!$Y:$Y,0)),""),"")))</f>
        <v/>
      </c>
      <c r="G194" s="92" t="str">
        <f>IF(ISBLANK(F194),"",IFERROR(INDEX('Tournament List'!$D:$D,MATCH(F194,'Tournament List'!$A:$A,0)),""))</f>
        <v/>
      </c>
      <c r="H194" s="101" t="str">
        <f>IF(E194="Skeet",IFERROR(INDEX('Shooter-Squad Assignment'!$A:$A,MATCH(C194&amp;"-"&amp;D194&amp;"-"&amp;E194&amp;"-Pos2",'Shooter-Squad Assignment'!#REF!,0)),""),IF(E194="Trap",IFERROR(INDEX('Shooter-Squad Assignment'!$A:$A,MATCH(C194&amp;"-"&amp;D194&amp;"-"&amp;E194&amp;"-Pos2",'Shooter-Squad Assignment'!$V:$V,0)),""),IF(E194="Sporting Clays",IFERROR(INDEX('Shooter-Squad Assignment'!$A:$A,MATCH(C194&amp;"-"&amp;D194&amp;"-"&amp;E194&amp;"-Pos2",'Shooter-Squad Assignment'!$Y:$Y,0)),""),"")))</f>
        <v/>
      </c>
      <c r="I194" s="92" t="str">
        <f>IF(ISBLANK(H194),"",IFERROR(INDEX('Tournament List'!$D:$D,MATCH(H194,'Tournament List'!$A:$A,0)),""))</f>
        <v/>
      </c>
      <c r="J194" s="101" t="str">
        <f>IF(E194="Skeet",IFERROR(INDEX('Shooter-Squad Assignment'!$A:$A,MATCH(C194&amp;"-"&amp;D194&amp;"-"&amp;E194&amp;"-Pos3",'Shooter-Squad Assignment'!#REF!,0)),""),IF(E194="Trap",IFERROR(INDEX('Shooter-Squad Assignment'!$A:$A,MATCH(C194&amp;"-"&amp;D194&amp;"-"&amp;E194&amp;"-Pos3",'Shooter-Squad Assignment'!$V:$V,0)),""),IF(E194="Sporting Clays",IFERROR(INDEX('Shooter-Squad Assignment'!$A:$A,MATCH(C194&amp;"-"&amp;D194&amp;"-"&amp;E194&amp;"-Pos3",'Shooter-Squad Assignment'!$Y:$Y,0)),""),"")))</f>
        <v/>
      </c>
      <c r="K194" s="92" t="str">
        <f>IF(ISBLANK(J194),"",IFERROR(INDEX('Tournament List'!$D:$D,MATCH(J194,'Tournament List'!$A:$A,0)),""))</f>
        <v/>
      </c>
      <c r="L194" s="101" t="str">
        <f>IF(E194="Skeet",IFERROR(INDEX('Shooter-Squad Assignment'!$A:$A,MATCH(C194&amp;"-"&amp;D194&amp;"-"&amp;E194&amp;"-Pos4",'Shooter-Squad Assignment'!#REF!,0)),""),IF(E194="Trap",IFERROR(INDEX('Shooter-Squad Assignment'!$A:$A,MATCH(C194&amp;"-"&amp;D194&amp;"-"&amp;E194&amp;"-Pos4",'Shooter-Squad Assignment'!$V:$V,0)),""),IF(E194="Sporting Clays",IFERROR(INDEX('Shooter-Squad Assignment'!$A:$A,MATCH(C194&amp;"-"&amp;D194&amp;"-"&amp;E194&amp;"-Pos4",'Shooter-Squad Assignment'!$Y:$Y,0)),""),"")))</f>
        <v/>
      </c>
      <c r="M194" s="92" t="str">
        <f>IF(ISBLANK(L194),"",IFERROR(INDEX('Tournament List'!$D:$D,MATCH(L194,'Tournament List'!$A:$A,0)),""))</f>
        <v/>
      </c>
      <c r="N194" s="101" t="str">
        <f>IF(E194="Skeet",IFERROR(INDEX('Shooter-Squad Assignment'!$A:$A,MATCH(C194&amp;"-"&amp;D194&amp;"-"&amp;E194&amp;"-Pos5",'Shooter-Squad Assignment'!#REF!,0)),""),IF(E194="Trap",IFERROR(INDEX('Shooter-Squad Assignment'!$A:$A,MATCH(C194&amp;"-"&amp;D194&amp;"-"&amp;E194&amp;"-Pos5",'Shooter-Squad Assignment'!$V:$V,0)),""),IF(E194="Sporting Clays",IFERROR(INDEX('Shooter-Squad Assignment'!$A:$A,MATCH(C194&amp;"-"&amp;D194&amp;"-"&amp;E194&amp;"-Pos5",'Shooter-Squad Assignment'!$Y:$Y,0)),""),"")))</f>
        <v/>
      </c>
      <c r="O194" s="93" t="str">
        <f>IF(ISBLANK(N194),"",IFERROR(INDEX('Tournament List'!$D:$D,MATCH(N194,'Tournament List'!$A:$A,0)),""))</f>
        <v/>
      </c>
    </row>
    <row r="195" spans="1:15" x14ac:dyDescent="0.3">
      <c r="A195" s="91">
        <v>203</v>
      </c>
      <c r="B195" s="92" t="str">
        <f t="shared" ref="B195:B258" si="3">C195&amp;"-"&amp;D195&amp;"-"&amp;E195</f>
        <v>Forge Christian Shooting Team-Open 2-Trap</v>
      </c>
      <c r="C195" s="92" t="s">
        <v>322</v>
      </c>
      <c r="D195" s="92" t="s">
        <v>349</v>
      </c>
      <c r="E195" s="92" t="s">
        <v>147</v>
      </c>
      <c r="F195" s="101" t="str">
        <f>IF(E195="Skeet",IFERROR(INDEX('Shooter-Squad Assignment'!$A:$A,MATCH(C195&amp;"-"&amp;D195&amp;"-"&amp;E195&amp;"-Pos1",'Shooter-Squad Assignment'!#REF!,0)),""),IF(E195="Trap",IFERROR(INDEX('Shooter-Squad Assignment'!$A:$A,MATCH(C195&amp;"-"&amp;D195&amp;"-"&amp;E195&amp;"-Pos1",'Shooter-Squad Assignment'!$V:$V,0)),""),IF(E195="Sporting Clays",IFERROR(INDEX('Shooter-Squad Assignment'!$A:$A,MATCH(C195&amp;"-"&amp;D195&amp;"-"&amp;E195&amp;"-Pos1",'Shooter-Squad Assignment'!$Y:$Y,0)),""),"")))</f>
        <v/>
      </c>
      <c r="G195" s="92" t="str">
        <f>IF(ISBLANK(F195),"",IFERROR(INDEX('Tournament List'!$D:$D,MATCH(F195,'Tournament List'!$A:$A,0)),""))</f>
        <v/>
      </c>
      <c r="H195" s="101" t="str">
        <f>IF(E195="Skeet",IFERROR(INDEX('Shooter-Squad Assignment'!$A:$A,MATCH(C195&amp;"-"&amp;D195&amp;"-"&amp;E195&amp;"-Pos2",'Shooter-Squad Assignment'!#REF!,0)),""),IF(E195="Trap",IFERROR(INDEX('Shooter-Squad Assignment'!$A:$A,MATCH(C195&amp;"-"&amp;D195&amp;"-"&amp;E195&amp;"-Pos2",'Shooter-Squad Assignment'!$V:$V,0)),""),IF(E195="Sporting Clays",IFERROR(INDEX('Shooter-Squad Assignment'!$A:$A,MATCH(C195&amp;"-"&amp;D195&amp;"-"&amp;E195&amp;"-Pos2",'Shooter-Squad Assignment'!$Y:$Y,0)),""),"")))</f>
        <v/>
      </c>
      <c r="I195" s="92" t="str">
        <f>IF(ISBLANK(H195),"",IFERROR(INDEX('Tournament List'!$D:$D,MATCH(H195,'Tournament List'!$A:$A,0)),""))</f>
        <v/>
      </c>
      <c r="J195" s="101" t="str">
        <f>IF(E195="Skeet",IFERROR(INDEX('Shooter-Squad Assignment'!$A:$A,MATCH(C195&amp;"-"&amp;D195&amp;"-"&amp;E195&amp;"-Pos3",'Shooter-Squad Assignment'!#REF!,0)),""),IF(E195="Trap",IFERROR(INDEX('Shooter-Squad Assignment'!$A:$A,MATCH(C195&amp;"-"&amp;D195&amp;"-"&amp;E195&amp;"-Pos3",'Shooter-Squad Assignment'!$V:$V,0)),""),IF(E195="Sporting Clays",IFERROR(INDEX('Shooter-Squad Assignment'!$A:$A,MATCH(C195&amp;"-"&amp;D195&amp;"-"&amp;E195&amp;"-Pos3",'Shooter-Squad Assignment'!$Y:$Y,0)),""),"")))</f>
        <v/>
      </c>
      <c r="K195" s="92" t="str">
        <f>IF(ISBLANK(J195),"",IFERROR(INDEX('Tournament List'!$D:$D,MATCH(J195,'Tournament List'!$A:$A,0)),""))</f>
        <v/>
      </c>
      <c r="L195" s="101" t="str">
        <f>IF(E195="Skeet",IFERROR(INDEX('Shooter-Squad Assignment'!$A:$A,MATCH(C195&amp;"-"&amp;D195&amp;"-"&amp;E195&amp;"-Pos4",'Shooter-Squad Assignment'!#REF!,0)),""),IF(E195="Trap",IFERROR(INDEX('Shooter-Squad Assignment'!$A:$A,MATCH(C195&amp;"-"&amp;D195&amp;"-"&amp;E195&amp;"-Pos4",'Shooter-Squad Assignment'!$V:$V,0)),""),IF(E195="Sporting Clays",IFERROR(INDEX('Shooter-Squad Assignment'!$A:$A,MATCH(C195&amp;"-"&amp;D195&amp;"-"&amp;E195&amp;"-Pos4",'Shooter-Squad Assignment'!$Y:$Y,0)),""),"")))</f>
        <v/>
      </c>
      <c r="M195" s="92" t="str">
        <f>IF(ISBLANK(L195),"",IFERROR(INDEX('Tournament List'!$D:$D,MATCH(L195,'Tournament List'!$A:$A,0)),""))</f>
        <v/>
      </c>
      <c r="N195" s="101" t="str">
        <f>IF(E195="Skeet",IFERROR(INDEX('Shooter-Squad Assignment'!$A:$A,MATCH(C195&amp;"-"&amp;D195&amp;"-"&amp;E195&amp;"-Pos5",'Shooter-Squad Assignment'!#REF!,0)),""),IF(E195="Trap",IFERROR(INDEX('Shooter-Squad Assignment'!$A:$A,MATCH(C195&amp;"-"&amp;D195&amp;"-"&amp;E195&amp;"-Pos5",'Shooter-Squad Assignment'!$V:$V,0)),""),IF(E195="Sporting Clays",IFERROR(INDEX('Shooter-Squad Assignment'!$A:$A,MATCH(C195&amp;"-"&amp;D195&amp;"-"&amp;E195&amp;"-Pos5",'Shooter-Squad Assignment'!$Y:$Y,0)),""),"")))</f>
        <v/>
      </c>
      <c r="O195" s="93" t="str">
        <f>IF(ISBLANK(N195),"",IFERROR(INDEX('Tournament List'!$D:$D,MATCH(N195,'Tournament List'!$A:$A,0)),""))</f>
        <v/>
      </c>
    </row>
    <row r="196" spans="1:15" x14ac:dyDescent="0.3">
      <c r="A196" s="91">
        <v>204</v>
      </c>
      <c r="B196" s="92" t="str">
        <f t="shared" si="3"/>
        <v>Forge Christian Shooting Team-Open 3-Trap</v>
      </c>
      <c r="C196" s="92" t="s">
        <v>322</v>
      </c>
      <c r="D196" s="92" t="s">
        <v>355</v>
      </c>
      <c r="E196" s="92" t="s">
        <v>147</v>
      </c>
      <c r="F196" s="101" t="str">
        <f>IF(E196="Skeet",IFERROR(INDEX('Shooter-Squad Assignment'!$A:$A,MATCH(C196&amp;"-"&amp;D196&amp;"-"&amp;E196&amp;"-Pos1",'Shooter-Squad Assignment'!#REF!,0)),""),IF(E196="Trap",IFERROR(INDEX('Shooter-Squad Assignment'!$A:$A,MATCH(C196&amp;"-"&amp;D196&amp;"-"&amp;E196&amp;"-Pos1",'Shooter-Squad Assignment'!$V:$V,0)),""),IF(E196="Sporting Clays",IFERROR(INDEX('Shooter-Squad Assignment'!$A:$A,MATCH(C196&amp;"-"&amp;D196&amp;"-"&amp;E196&amp;"-Pos1",'Shooter-Squad Assignment'!$Y:$Y,0)),""),"")))</f>
        <v/>
      </c>
      <c r="G196" s="92" t="str">
        <f>IF(ISBLANK(F196),"",IFERROR(INDEX('Tournament List'!$D:$D,MATCH(F196,'Tournament List'!$A:$A,0)),""))</f>
        <v/>
      </c>
      <c r="H196" s="101" t="str">
        <f>IF(E196="Skeet",IFERROR(INDEX('Shooter-Squad Assignment'!$A:$A,MATCH(C196&amp;"-"&amp;D196&amp;"-"&amp;E196&amp;"-Pos2",'Shooter-Squad Assignment'!#REF!,0)),""),IF(E196="Trap",IFERROR(INDEX('Shooter-Squad Assignment'!$A:$A,MATCH(C196&amp;"-"&amp;D196&amp;"-"&amp;E196&amp;"-Pos2",'Shooter-Squad Assignment'!$V:$V,0)),""),IF(E196="Sporting Clays",IFERROR(INDEX('Shooter-Squad Assignment'!$A:$A,MATCH(C196&amp;"-"&amp;D196&amp;"-"&amp;E196&amp;"-Pos2",'Shooter-Squad Assignment'!$Y:$Y,0)),""),"")))</f>
        <v/>
      </c>
      <c r="I196" s="92" t="str">
        <f>IF(ISBLANK(H196),"",IFERROR(INDEX('Tournament List'!$D:$D,MATCH(H196,'Tournament List'!$A:$A,0)),""))</f>
        <v/>
      </c>
      <c r="J196" s="101" t="str">
        <f>IF(E196="Skeet",IFERROR(INDEX('Shooter-Squad Assignment'!$A:$A,MATCH(C196&amp;"-"&amp;D196&amp;"-"&amp;E196&amp;"-Pos3",'Shooter-Squad Assignment'!#REF!,0)),""),IF(E196="Trap",IFERROR(INDEX('Shooter-Squad Assignment'!$A:$A,MATCH(C196&amp;"-"&amp;D196&amp;"-"&amp;E196&amp;"-Pos3",'Shooter-Squad Assignment'!$V:$V,0)),""),IF(E196="Sporting Clays",IFERROR(INDEX('Shooter-Squad Assignment'!$A:$A,MATCH(C196&amp;"-"&amp;D196&amp;"-"&amp;E196&amp;"-Pos3",'Shooter-Squad Assignment'!$Y:$Y,0)),""),"")))</f>
        <v/>
      </c>
      <c r="K196" s="92" t="str">
        <f>IF(ISBLANK(J196),"",IFERROR(INDEX('Tournament List'!$D:$D,MATCH(J196,'Tournament List'!$A:$A,0)),""))</f>
        <v/>
      </c>
      <c r="L196" s="101" t="str">
        <f>IF(E196="Skeet",IFERROR(INDEX('Shooter-Squad Assignment'!$A:$A,MATCH(C196&amp;"-"&amp;D196&amp;"-"&amp;E196&amp;"-Pos4",'Shooter-Squad Assignment'!#REF!,0)),""),IF(E196="Trap",IFERROR(INDEX('Shooter-Squad Assignment'!$A:$A,MATCH(C196&amp;"-"&amp;D196&amp;"-"&amp;E196&amp;"-Pos4",'Shooter-Squad Assignment'!$V:$V,0)),""),IF(E196="Sporting Clays",IFERROR(INDEX('Shooter-Squad Assignment'!$A:$A,MATCH(C196&amp;"-"&amp;D196&amp;"-"&amp;E196&amp;"-Pos4",'Shooter-Squad Assignment'!$Y:$Y,0)),""),"")))</f>
        <v/>
      </c>
      <c r="M196" s="92" t="str">
        <f>IF(ISBLANK(L196),"",IFERROR(INDEX('Tournament List'!$D:$D,MATCH(L196,'Tournament List'!$A:$A,0)),""))</f>
        <v/>
      </c>
      <c r="N196" s="101" t="str">
        <f>IF(E196="Skeet",IFERROR(INDEX('Shooter-Squad Assignment'!$A:$A,MATCH(C196&amp;"-"&amp;D196&amp;"-"&amp;E196&amp;"-Pos5",'Shooter-Squad Assignment'!#REF!,0)),""),IF(E196="Trap",IFERROR(INDEX('Shooter-Squad Assignment'!$A:$A,MATCH(C196&amp;"-"&amp;D196&amp;"-"&amp;E196&amp;"-Pos5",'Shooter-Squad Assignment'!$V:$V,0)),""),IF(E196="Sporting Clays",IFERROR(INDEX('Shooter-Squad Assignment'!$A:$A,MATCH(C196&amp;"-"&amp;D196&amp;"-"&amp;E196&amp;"-Pos5",'Shooter-Squad Assignment'!$Y:$Y,0)),""),"")))</f>
        <v/>
      </c>
      <c r="O196" s="93" t="str">
        <f>IF(ISBLANK(N196),"",IFERROR(INDEX('Tournament List'!$D:$D,MATCH(N196,'Tournament List'!$A:$A,0)),""))</f>
        <v/>
      </c>
    </row>
    <row r="197" spans="1:15" x14ac:dyDescent="0.3">
      <c r="A197" s="91">
        <v>205</v>
      </c>
      <c r="B197" s="92" t="str">
        <f t="shared" si="3"/>
        <v>Forge Christian Shooting Team-Varsity 1-Trap</v>
      </c>
      <c r="C197" s="92" t="s">
        <v>322</v>
      </c>
      <c r="D197" s="92" t="s">
        <v>342</v>
      </c>
      <c r="E197" s="92" t="s">
        <v>147</v>
      </c>
      <c r="F197" s="101" t="str">
        <f>IF(E197="Skeet",IFERROR(INDEX('Shooter-Squad Assignment'!$A:$A,MATCH(C197&amp;"-"&amp;D197&amp;"-"&amp;E197&amp;"-Pos1",'Shooter-Squad Assignment'!#REF!,0)),""),IF(E197="Trap",IFERROR(INDEX('Shooter-Squad Assignment'!$A:$A,MATCH(C197&amp;"-"&amp;D197&amp;"-"&amp;E197&amp;"-Pos1",'Shooter-Squad Assignment'!$V:$V,0)),""),IF(E197="Sporting Clays",IFERROR(INDEX('Shooter-Squad Assignment'!$A:$A,MATCH(C197&amp;"-"&amp;D197&amp;"-"&amp;E197&amp;"-Pos1",'Shooter-Squad Assignment'!$Y:$Y,0)),""),"")))</f>
        <v/>
      </c>
      <c r="G197" s="92" t="str">
        <f>IF(ISBLANK(F197),"",IFERROR(INDEX('Tournament List'!$D:$D,MATCH(F197,'Tournament List'!$A:$A,0)),""))</f>
        <v/>
      </c>
      <c r="H197" s="101" t="str">
        <f>IF(E197="Skeet",IFERROR(INDEX('Shooter-Squad Assignment'!$A:$A,MATCH(C197&amp;"-"&amp;D197&amp;"-"&amp;E197&amp;"-Pos2",'Shooter-Squad Assignment'!#REF!,0)),""),IF(E197="Trap",IFERROR(INDEX('Shooter-Squad Assignment'!$A:$A,MATCH(C197&amp;"-"&amp;D197&amp;"-"&amp;E197&amp;"-Pos2",'Shooter-Squad Assignment'!$V:$V,0)),""),IF(E197="Sporting Clays",IFERROR(INDEX('Shooter-Squad Assignment'!$A:$A,MATCH(C197&amp;"-"&amp;D197&amp;"-"&amp;E197&amp;"-Pos2",'Shooter-Squad Assignment'!$Y:$Y,0)),""),"")))</f>
        <v/>
      </c>
      <c r="I197" s="92" t="str">
        <f>IF(ISBLANK(H197),"",IFERROR(INDEX('Tournament List'!$D:$D,MATCH(H197,'Tournament List'!$A:$A,0)),""))</f>
        <v/>
      </c>
      <c r="J197" s="101" t="str">
        <f>IF(E197="Skeet",IFERROR(INDEX('Shooter-Squad Assignment'!$A:$A,MATCH(C197&amp;"-"&amp;D197&amp;"-"&amp;E197&amp;"-Pos3",'Shooter-Squad Assignment'!#REF!,0)),""),IF(E197="Trap",IFERROR(INDEX('Shooter-Squad Assignment'!$A:$A,MATCH(C197&amp;"-"&amp;D197&amp;"-"&amp;E197&amp;"-Pos3",'Shooter-Squad Assignment'!$V:$V,0)),""),IF(E197="Sporting Clays",IFERROR(INDEX('Shooter-Squad Assignment'!$A:$A,MATCH(C197&amp;"-"&amp;D197&amp;"-"&amp;E197&amp;"-Pos3",'Shooter-Squad Assignment'!$Y:$Y,0)),""),"")))</f>
        <v/>
      </c>
      <c r="K197" s="92" t="str">
        <f>IF(ISBLANK(J197),"",IFERROR(INDEX('Tournament List'!$D:$D,MATCH(J197,'Tournament List'!$A:$A,0)),""))</f>
        <v/>
      </c>
      <c r="L197" s="101" t="str">
        <f>IF(E197="Skeet",IFERROR(INDEX('Shooter-Squad Assignment'!$A:$A,MATCH(C197&amp;"-"&amp;D197&amp;"-"&amp;E197&amp;"-Pos4",'Shooter-Squad Assignment'!#REF!,0)),""),IF(E197="Trap",IFERROR(INDEX('Shooter-Squad Assignment'!$A:$A,MATCH(C197&amp;"-"&amp;D197&amp;"-"&amp;E197&amp;"-Pos4",'Shooter-Squad Assignment'!$V:$V,0)),""),IF(E197="Sporting Clays",IFERROR(INDEX('Shooter-Squad Assignment'!$A:$A,MATCH(C197&amp;"-"&amp;D197&amp;"-"&amp;E197&amp;"-Pos4",'Shooter-Squad Assignment'!$Y:$Y,0)),""),"")))</f>
        <v/>
      </c>
      <c r="M197" s="92" t="str">
        <f>IF(ISBLANK(L197),"",IFERROR(INDEX('Tournament List'!$D:$D,MATCH(L197,'Tournament List'!$A:$A,0)),""))</f>
        <v/>
      </c>
      <c r="N197" s="101" t="str">
        <f>IF(E197="Skeet",IFERROR(INDEX('Shooter-Squad Assignment'!$A:$A,MATCH(C197&amp;"-"&amp;D197&amp;"-"&amp;E197&amp;"-Pos5",'Shooter-Squad Assignment'!#REF!,0)),""),IF(E197="Trap",IFERROR(INDEX('Shooter-Squad Assignment'!$A:$A,MATCH(C197&amp;"-"&amp;D197&amp;"-"&amp;E197&amp;"-Pos5",'Shooter-Squad Assignment'!$V:$V,0)),""),IF(E197="Sporting Clays",IFERROR(INDEX('Shooter-Squad Assignment'!$A:$A,MATCH(C197&amp;"-"&amp;D197&amp;"-"&amp;E197&amp;"-Pos5",'Shooter-Squad Assignment'!$Y:$Y,0)),""),"")))</f>
        <v/>
      </c>
      <c r="O197" s="93" t="str">
        <f>IF(ISBLANK(N197),"",IFERROR(INDEX('Tournament List'!$D:$D,MATCH(N197,'Tournament List'!$A:$A,0)),""))</f>
        <v/>
      </c>
    </row>
    <row r="198" spans="1:15" x14ac:dyDescent="0.3">
      <c r="A198" s="91">
        <v>206</v>
      </c>
      <c r="B198" s="92" t="str">
        <f t="shared" si="3"/>
        <v>Forge Christian Shooting Team-Varsity 2-Trap</v>
      </c>
      <c r="C198" s="92" t="s">
        <v>322</v>
      </c>
      <c r="D198" s="92" t="s">
        <v>348</v>
      </c>
      <c r="E198" s="92" t="s">
        <v>147</v>
      </c>
      <c r="F198" s="101" t="str">
        <f>IF(E198="Skeet",IFERROR(INDEX('Shooter-Squad Assignment'!$A:$A,MATCH(C198&amp;"-"&amp;D198&amp;"-"&amp;E198&amp;"-Pos1",'Shooter-Squad Assignment'!#REF!,0)),""),IF(E198="Trap",IFERROR(INDEX('Shooter-Squad Assignment'!$A:$A,MATCH(C198&amp;"-"&amp;D198&amp;"-"&amp;E198&amp;"-Pos1",'Shooter-Squad Assignment'!$V:$V,0)),""),IF(E198="Sporting Clays",IFERROR(INDEX('Shooter-Squad Assignment'!$A:$A,MATCH(C198&amp;"-"&amp;D198&amp;"-"&amp;E198&amp;"-Pos1",'Shooter-Squad Assignment'!$Y:$Y,0)),""),"")))</f>
        <v/>
      </c>
      <c r="G198" s="92" t="str">
        <f>IF(ISBLANK(F198),"",IFERROR(INDEX('Tournament List'!$D:$D,MATCH(F198,'Tournament List'!$A:$A,0)),""))</f>
        <v/>
      </c>
      <c r="H198" s="101" t="str">
        <f>IF(E198="Skeet",IFERROR(INDEX('Shooter-Squad Assignment'!$A:$A,MATCH(C198&amp;"-"&amp;D198&amp;"-"&amp;E198&amp;"-Pos2",'Shooter-Squad Assignment'!#REF!,0)),""),IF(E198="Trap",IFERROR(INDEX('Shooter-Squad Assignment'!$A:$A,MATCH(C198&amp;"-"&amp;D198&amp;"-"&amp;E198&amp;"-Pos2",'Shooter-Squad Assignment'!$V:$V,0)),""),IF(E198="Sporting Clays",IFERROR(INDEX('Shooter-Squad Assignment'!$A:$A,MATCH(C198&amp;"-"&amp;D198&amp;"-"&amp;E198&amp;"-Pos2",'Shooter-Squad Assignment'!$Y:$Y,0)),""),"")))</f>
        <v/>
      </c>
      <c r="I198" s="92" t="str">
        <f>IF(ISBLANK(H198),"",IFERROR(INDEX('Tournament List'!$D:$D,MATCH(H198,'Tournament List'!$A:$A,0)),""))</f>
        <v/>
      </c>
      <c r="J198" s="101" t="str">
        <f>IF(E198="Skeet",IFERROR(INDEX('Shooter-Squad Assignment'!$A:$A,MATCH(C198&amp;"-"&amp;D198&amp;"-"&amp;E198&amp;"-Pos3",'Shooter-Squad Assignment'!#REF!,0)),""),IF(E198="Trap",IFERROR(INDEX('Shooter-Squad Assignment'!$A:$A,MATCH(C198&amp;"-"&amp;D198&amp;"-"&amp;E198&amp;"-Pos3",'Shooter-Squad Assignment'!$V:$V,0)),""),IF(E198="Sporting Clays",IFERROR(INDEX('Shooter-Squad Assignment'!$A:$A,MATCH(C198&amp;"-"&amp;D198&amp;"-"&amp;E198&amp;"-Pos3",'Shooter-Squad Assignment'!$Y:$Y,0)),""),"")))</f>
        <v/>
      </c>
      <c r="K198" s="92" t="str">
        <f>IF(ISBLANK(J198),"",IFERROR(INDEX('Tournament List'!$D:$D,MATCH(J198,'Tournament List'!$A:$A,0)),""))</f>
        <v/>
      </c>
      <c r="L198" s="101" t="str">
        <f>IF(E198="Skeet",IFERROR(INDEX('Shooter-Squad Assignment'!$A:$A,MATCH(C198&amp;"-"&amp;D198&amp;"-"&amp;E198&amp;"-Pos4",'Shooter-Squad Assignment'!#REF!,0)),""),IF(E198="Trap",IFERROR(INDEX('Shooter-Squad Assignment'!$A:$A,MATCH(C198&amp;"-"&amp;D198&amp;"-"&amp;E198&amp;"-Pos4",'Shooter-Squad Assignment'!$V:$V,0)),""),IF(E198="Sporting Clays",IFERROR(INDEX('Shooter-Squad Assignment'!$A:$A,MATCH(C198&amp;"-"&amp;D198&amp;"-"&amp;E198&amp;"-Pos4",'Shooter-Squad Assignment'!$Y:$Y,0)),""),"")))</f>
        <v/>
      </c>
      <c r="M198" s="92" t="str">
        <f>IF(ISBLANK(L198),"",IFERROR(INDEX('Tournament List'!$D:$D,MATCH(L198,'Tournament List'!$A:$A,0)),""))</f>
        <v/>
      </c>
      <c r="N198" s="101" t="str">
        <f>IF(E198="Skeet",IFERROR(INDEX('Shooter-Squad Assignment'!$A:$A,MATCH(C198&amp;"-"&amp;D198&amp;"-"&amp;E198&amp;"-Pos5",'Shooter-Squad Assignment'!#REF!,0)),""),IF(E198="Trap",IFERROR(INDEX('Shooter-Squad Assignment'!$A:$A,MATCH(C198&amp;"-"&amp;D198&amp;"-"&amp;E198&amp;"-Pos5",'Shooter-Squad Assignment'!$V:$V,0)),""),IF(E198="Sporting Clays",IFERROR(INDEX('Shooter-Squad Assignment'!$A:$A,MATCH(C198&amp;"-"&amp;D198&amp;"-"&amp;E198&amp;"-Pos5",'Shooter-Squad Assignment'!$Y:$Y,0)),""),"")))</f>
        <v/>
      </c>
      <c r="O198" s="93" t="str">
        <f>IF(ISBLANK(N198),"",IFERROR(INDEX('Tournament List'!$D:$D,MATCH(N198,'Tournament List'!$A:$A,0)),""))</f>
        <v/>
      </c>
    </row>
    <row r="199" spans="1:15" x14ac:dyDescent="0.3">
      <c r="A199" s="91">
        <v>207</v>
      </c>
      <c r="B199" s="92" t="str">
        <f t="shared" si="3"/>
        <v>Forge Christian Shooting Team-Varsity 3-Trap</v>
      </c>
      <c r="C199" s="92" t="s">
        <v>322</v>
      </c>
      <c r="D199" s="92" t="s">
        <v>354</v>
      </c>
      <c r="E199" s="92" t="s">
        <v>147</v>
      </c>
      <c r="F199" s="101" t="str">
        <f>IF(E199="Skeet",IFERROR(INDEX('Shooter-Squad Assignment'!$A:$A,MATCH(C199&amp;"-"&amp;D199&amp;"-"&amp;E199&amp;"-Pos1",'Shooter-Squad Assignment'!#REF!,0)),""),IF(E199="Trap",IFERROR(INDEX('Shooter-Squad Assignment'!$A:$A,MATCH(C199&amp;"-"&amp;D199&amp;"-"&amp;E199&amp;"-Pos1",'Shooter-Squad Assignment'!$V:$V,0)),""),IF(E199="Sporting Clays",IFERROR(INDEX('Shooter-Squad Assignment'!$A:$A,MATCH(C199&amp;"-"&amp;D199&amp;"-"&amp;E199&amp;"-Pos1",'Shooter-Squad Assignment'!$Y:$Y,0)),""),"")))</f>
        <v/>
      </c>
      <c r="G199" s="92" t="str">
        <f>IF(ISBLANK(F199),"",IFERROR(INDEX('Tournament List'!$D:$D,MATCH(F199,'Tournament List'!$A:$A,0)),""))</f>
        <v/>
      </c>
      <c r="H199" s="101" t="str">
        <f>IF(E199="Skeet",IFERROR(INDEX('Shooter-Squad Assignment'!$A:$A,MATCH(C199&amp;"-"&amp;D199&amp;"-"&amp;E199&amp;"-Pos2",'Shooter-Squad Assignment'!#REF!,0)),""),IF(E199="Trap",IFERROR(INDEX('Shooter-Squad Assignment'!$A:$A,MATCH(C199&amp;"-"&amp;D199&amp;"-"&amp;E199&amp;"-Pos2",'Shooter-Squad Assignment'!$V:$V,0)),""),IF(E199="Sporting Clays",IFERROR(INDEX('Shooter-Squad Assignment'!$A:$A,MATCH(C199&amp;"-"&amp;D199&amp;"-"&amp;E199&amp;"-Pos2",'Shooter-Squad Assignment'!$Y:$Y,0)),""),"")))</f>
        <v/>
      </c>
      <c r="I199" s="92" t="str">
        <f>IF(ISBLANK(H199),"",IFERROR(INDEX('Tournament List'!$D:$D,MATCH(H199,'Tournament List'!$A:$A,0)),""))</f>
        <v/>
      </c>
      <c r="J199" s="101" t="str">
        <f>IF(E199="Skeet",IFERROR(INDEX('Shooter-Squad Assignment'!$A:$A,MATCH(C199&amp;"-"&amp;D199&amp;"-"&amp;E199&amp;"-Pos3",'Shooter-Squad Assignment'!#REF!,0)),""),IF(E199="Trap",IFERROR(INDEX('Shooter-Squad Assignment'!$A:$A,MATCH(C199&amp;"-"&amp;D199&amp;"-"&amp;E199&amp;"-Pos3",'Shooter-Squad Assignment'!$V:$V,0)),""),IF(E199="Sporting Clays",IFERROR(INDEX('Shooter-Squad Assignment'!$A:$A,MATCH(C199&amp;"-"&amp;D199&amp;"-"&amp;E199&amp;"-Pos3",'Shooter-Squad Assignment'!$Y:$Y,0)),""),"")))</f>
        <v/>
      </c>
      <c r="K199" s="92" t="str">
        <f>IF(ISBLANK(J199),"",IFERROR(INDEX('Tournament List'!$D:$D,MATCH(J199,'Tournament List'!$A:$A,0)),""))</f>
        <v/>
      </c>
      <c r="L199" s="101" t="str">
        <f>IF(E199="Skeet",IFERROR(INDEX('Shooter-Squad Assignment'!$A:$A,MATCH(C199&amp;"-"&amp;D199&amp;"-"&amp;E199&amp;"-Pos4",'Shooter-Squad Assignment'!#REF!,0)),""),IF(E199="Trap",IFERROR(INDEX('Shooter-Squad Assignment'!$A:$A,MATCH(C199&amp;"-"&amp;D199&amp;"-"&amp;E199&amp;"-Pos4",'Shooter-Squad Assignment'!$V:$V,0)),""),IF(E199="Sporting Clays",IFERROR(INDEX('Shooter-Squad Assignment'!$A:$A,MATCH(C199&amp;"-"&amp;D199&amp;"-"&amp;E199&amp;"-Pos4",'Shooter-Squad Assignment'!$Y:$Y,0)),""),"")))</f>
        <v/>
      </c>
      <c r="M199" s="92" t="str">
        <f>IF(ISBLANK(L199),"",IFERROR(INDEX('Tournament List'!$D:$D,MATCH(L199,'Tournament List'!$A:$A,0)),""))</f>
        <v/>
      </c>
      <c r="N199" s="101" t="str">
        <f>IF(E199="Skeet",IFERROR(INDEX('Shooter-Squad Assignment'!$A:$A,MATCH(C199&amp;"-"&amp;D199&amp;"-"&amp;E199&amp;"-Pos5",'Shooter-Squad Assignment'!#REF!,0)),""),IF(E199="Trap",IFERROR(INDEX('Shooter-Squad Assignment'!$A:$A,MATCH(C199&amp;"-"&amp;D199&amp;"-"&amp;E199&amp;"-Pos5",'Shooter-Squad Assignment'!$V:$V,0)),""),IF(E199="Sporting Clays",IFERROR(INDEX('Shooter-Squad Assignment'!$A:$A,MATCH(C199&amp;"-"&amp;D199&amp;"-"&amp;E199&amp;"-Pos5",'Shooter-Squad Assignment'!$Y:$Y,0)),""),"")))</f>
        <v/>
      </c>
      <c r="O199" s="93" t="str">
        <f>IF(ISBLANK(N199),"",IFERROR(INDEX('Tournament List'!$D:$D,MATCH(N199,'Tournament List'!$A:$A,0)),""))</f>
        <v/>
      </c>
    </row>
    <row r="200" spans="1:15" x14ac:dyDescent="0.3">
      <c r="A200" s="91">
        <v>208</v>
      </c>
      <c r="B200" s="92" t="str">
        <f t="shared" si="3"/>
        <v>Forge Christian Shooting Team-Collegiate 1-Sporting Clays</v>
      </c>
      <c r="C200" s="92" t="s">
        <v>322</v>
      </c>
      <c r="D200" s="92" t="s">
        <v>344</v>
      </c>
      <c r="E200" s="92" t="s">
        <v>148</v>
      </c>
      <c r="F200" s="101" t="str">
        <f>IF(E200="Skeet",IFERROR(INDEX('Shooter-Squad Assignment'!$A:$A,MATCH(C200&amp;"-"&amp;D200&amp;"-"&amp;E200&amp;"-Pos1",'Shooter-Squad Assignment'!#REF!,0)),""),IF(E200="Trap",IFERROR(INDEX('Shooter-Squad Assignment'!$A:$A,MATCH(C200&amp;"-"&amp;D200&amp;"-"&amp;E200&amp;"-Pos1",'Shooter-Squad Assignment'!$V:$V,0)),""),IF(E200="Sporting Clays",IFERROR(INDEX('Shooter-Squad Assignment'!$A:$A,MATCH(C200&amp;"-"&amp;D200&amp;"-"&amp;E200&amp;"-Pos1",'Shooter-Squad Assignment'!$Y:$Y,0)),""),"")))</f>
        <v/>
      </c>
      <c r="G200" s="92" t="str">
        <f>IF(ISBLANK(F200),"",IFERROR(INDEX('Tournament List'!$D:$D,MATCH(F200,'Tournament List'!$A:$A,0)),""))</f>
        <v/>
      </c>
      <c r="H200" s="101" t="str">
        <f>IF(E200="Skeet",IFERROR(INDEX('Shooter-Squad Assignment'!$A:$A,MATCH(C200&amp;"-"&amp;D200&amp;"-"&amp;E200&amp;"-Pos2",'Shooter-Squad Assignment'!#REF!,0)),""),IF(E200="Trap",IFERROR(INDEX('Shooter-Squad Assignment'!$A:$A,MATCH(C200&amp;"-"&amp;D200&amp;"-"&amp;E200&amp;"-Pos2",'Shooter-Squad Assignment'!$V:$V,0)),""),IF(E200="Sporting Clays",IFERROR(INDEX('Shooter-Squad Assignment'!$A:$A,MATCH(C200&amp;"-"&amp;D200&amp;"-"&amp;E200&amp;"-Pos2",'Shooter-Squad Assignment'!$Y:$Y,0)),""),"")))</f>
        <v/>
      </c>
      <c r="I200" s="92" t="str">
        <f>IF(ISBLANK(H200),"",IFERROR(INDEX('Tournament List'!$D:$D,MATCH(H200,'Tournament List'!$A:$A,0)),""))</f>
        <v/>
      </c>
      <c r="J200" s="101" t="str">
        <f>IF(E200="Skeet",IFERROR(INDEX('Shooter-Squad Assignment'!$A:$A,MATCH(C200&amp;"-"&amp;D200&amp;"-"&amp;E200&amp;"-Pos3",'Shooter-Squad Assignment'!#REF!,0)),""),IF(E200="Trap",IFERROR(INDEX('Shooter-Squad Assignment'!$A:$A,MATCH(C200&amp;"-"&amp;D200&amp;"-"&amp;E200&amp;"-Pos3",'Shooter-Squad Assignment'!$V:$V,0)),""),IF(E200="Sporting Clays",IFERROR(INDEX('Shooter-Squad Assignment'!$A:$A,MATCH(C200&amp;"-"&amp;D200&amp;"-"&amp;E200&amp;"-Pos3",'Shooter-Squad Assignment'!$Y:$Y,0)),""),"")))</f>
        <v/>
      </c>
      <c r="K200" s="92" t="str">
        <f>IF(ISBLANK(J200),"",IFERROR(INDEX('Tournament List'!$D:$D,MATCH(J200,'Tournament List'!$A:$A,0)),""))</f>
        <v/>
      </c>
      <c r="L200" s="101" t="str">
        <f>IF(E200="Skeet",IFERROR(INDEX('Shooter-Squad Assignment'!$A:$A,MATCH(C200&amp;"-"&amp;D200&amp;"-"&amp;E200&amp;"-Pos4",'Shooter-Squad Assignment'!#REF!,0)),""),IF(E200="Trap",IFERROR(INDEX('Shooter-Squad Assignment'!$A:$A,MATCH(C200&amp;"-"&amp;D200&amp;"-"&amp;E200&amp;"-Pos4",'Shooter-Squad Assignment'!$V:$V,0)),""),IF(E200="Sporting Clays",IFERROR(INDEX('Shooter-Squad Assignment'!$A:$A,MATCH(C200&amp;"-"&amp;D200&amp;"-"&amp;E200&amp;"-Pos4",'Shooter-Squad Assignment'!$Y:$Y,0)),""),"")))</f>
        <v/>
      </c>
      <c r="M200" s="92" t="str">
        <f>IF(ISBLANK(L200),"",IFERROR(INDEX('Tournament List'!$D:$D,MATCH(L200,'Tournament List'!$A:$A,0)),""))</f>
        <v/>
      </c>
      <c r="N200" s="101" t="str">
        <f>IF(E200="Skeet",IFERROR(INDEX('Shooter-Squad Assignment'!$A:$A,MATCH(C200&amp;"-"&amp;D200&amp;"-"&amp;E200&amp;"-Pos5",'Shooter-Squad Assignment'!#REF!,0)),""),IF(E200="Trap",IFERROR(INDEX('Shooter-Squad Assignment'!$A:$A,MATCH(C200&amp;"-"&amp;D200&amp;"-"&amp;E200&amp;"-Pos5",'Shooter-Squad Assignment'!$V:$V,0)),""),IF(E200="Sporting Clays",IFERROR(INDEX('Shooter-Squad Assignment'!$A:$A,MATCH(C200&amp;"-"&amp;D200&amp;"-"&amp;E200&amp;"-Pos5",'Shooter-Squad Assignment'!$Y:$Y,0)),""),"")))</f>
        <v/>
      </c>
      <c r="O200" s="93" t="str">
        <f>IF(ISBLANK(N200),"",IFERROR(INDEX('Tournament List'!$D:$D,MATCH(N200,'Tournament List'!$A:$A,0)),""))</f>
        <v/>
      </c>
    </row>
    <row r="201" spans="1:15" x14ac:dyDescent="0.3">
      <c r="A201" s="91">
        <v>209</v>
      </c>
      <c r="B201" s="92" t="str">
        <f t="shared" si="3"/>
        <v>Forge Christian Shooting Team-Collegiate 2-Sporting Clays</v>
      </c>
      <c r="C201" s="92" t="s">
        <v>322</v>
      </c>
      <c r="D201" s="92" t="s">
        <v>350</v>
      </c>
      <c r="E201" s="92" t="s">
        <v>148</v>
      </c>
      <c r="F201" s="101" t="str">
        <f>IF(E201="Skeet",IFERROR(INDEX('Shooter-Squad Assignment'!$A:$A,MATCH(C201&amp;"-"&amp;D201&amp;"-"&amp;E201&amp;"-Pos1",'Shooter-Squad Assignment'!#REF!,0)),""),IF(E201="Trap",IFERROR(INDEX('Shooter-Squad Assignment'!$A:$A,MATCH(C201&amp;"-"&amp;D201&amp;"-"&amp;E201&amp;"-Pos1",'Shooter-Squad Assignment'!$V:$V,0)),""),IF(E201="Sporting Clays",IFERROR(INDEX('Shooter-Squad Assignment'!$A:$A,MATCH(C201&amp;"-"&amp;D201&amp;"-"&amp;E201&amp;"-Pos1",'Shooter-Squad Assignment'!$Y:$Y,0)),""),"")))</f>
        <v/>
      </c>
      <c r="G201" s="92" t="str">
        <f>IF(ISBLANK(F201),"",IFERROR(INDEX('Tournament List'!$D:$D,MATCH(F201,'Tournament List'!$A:$A,0)),""))</f>
        <v/>
      </c>
      <c r="H201" s="101" t="str">
        <f>IF(E201="Skeet",IFERROR(INDEX('Shooter-Squad Assignment'!$A:$A,MATCH(C201&amp;"-"&amp;D201&amp;"-"&amp;E201&amp;"-Pos2",'Shooter-Squad Assignment'!#REF!,0)),""),IF(E201="Trap",IFERROR(INDEX('Shooter-Squad Assignment'!$A:$A,MATCH(C201&amp;"-"&amp;D201&amp;"-"&amp;E201&amp;"-Pos2",'Shooter-Squad Assignment'!$V:$V,0)),""),IF(E201="Sporting Clays",IFERROR(INDEX('Shooter-Squad Assignment'!$A:$A,MATCH(C201&amp;"-"&amp;D201&amp;"-"&amp;E201&amp;"-Pos2",'Shooter-Squad Assignment'!$Y:$Y,0)),""),"")))</f>
        <v/>
      </c>
      <c r="I201" s="92" t="str">
        <f>IF(ISBLANK(H201),"",IFERROR(INDEX('Tournament List'!$D:$D,MATCH(H201,'Tournament List'!$A:$A,0)),""))</f>
        <v/>
      </c>
      <c r="J201" s="101" t="str">
        <f>IF(E201="Skeet",IFERROR(INDEX('Shooter-Squad Assignment'!$A:$A,MATCH(C201&amp;"-"&amp;D201&amp;"-"&amp;E201&amp;"-Pos3",'Shooter-Squad Assignment'!#REF!,0)),""),IF(E201="Trap",IFERROR(INDEX('Shooter-Squad Assignment'!$A:$A,MATCH(C201&amp;"-"&amp;D201&amp;"-"&amp;E201&amp;"-Pos3",'Shooter-Squad Assignment'!$V:$V,0)),""),IF(E201="Sporting Clays",IFERROR(INDEX('Shooter-Squad Assignment'!$A:$A,MATCH(C201&amp;"-"&amp;D201&amp;"-"&amp;E201&amp;"-Pos3",'Shooter-Squad Assignment'!$Y:$Y,0)),""),"")))</f>
        <v/>
      </c>
      <c r="K201" s="92" t="str">
        <f>IF(ISBLANK(J201),"",IFERROR(INDEX('Tournament List'!$D:$D,MATCH(J201,'Tournament List'!$A:$A,0)),""))</f>
        <v/>
      </c>
      <c r="L201" s="101" t="str">
        <f>IF(E201="Skeet",IFERROR(INDEX('Shooter-Squad Assignment'!$A:$A,MATCH(C201&amp;"-"&amp;D201&amp;"-"&amp;E201&amp;"-Pos4",'Shooter-Squad Assignment'!#REF!,0)),""),IF(E201="Trap",IFERROR(INDEX('Shooter-Squad Assignment'!$A:$A,MATCH(C201&amp;"-"&amp;D201&amp;"-"&amp;E201&amp;"-Pos4",'Shooter-Squad Assignment'!$V:$V,0)),""),IF(E201="Sporting Clays",IFERROR(INDEX('Shooter-Squad Assignment'!$A:$A,MATCH(C201&amp;"-"&amp;D201&amp;"-"&amp;E201&amp;"-Pos4",'Shooter-Squad Assignment'!$Y:$Y,0)),""),"")))</f>
        <v/>
      </c>
      <c r="M201" s="92" t="str">
        <f>IF(ISBLANK(L201),"",IFERROR(INDEX('Tournament List'!$D:$D,MATCH(L201,'Tournament List'!$A:$A,0)),""))</f>
        <v/>
      </c>
      <c r="N201" s="101" t="str">
        <f>IF(E201="Skeet",IFERROR(INDEX('Shooter-Squad Assignment'!$A:$A,MATCH(C201&amp;"-"&amp;D201&amp;"-"&amp;E201&amp;"-Pos5",'Shooter-Squad Assignment'!#REF!,0)),""),IF(E201="Trap",IFERROR(INDEX('Shooter-Squad Assignment'!$A:$A,MATCH(C201&amp;"-"&amp;D201&amp;"-"&amp;E201&amp;"-Pos5",'Shooter-Squad Assignment'!$V:$V,0)),""),IF(E201="Sporting Clays",IFERROR(INDEX('Shooter-Squad Assignment'!$A:$A,MATCH(C201&amp;"-"&amp;D201&amp;"-"&amp;E201&amp;"-Pos5",'Shooter-Squad Assignment'!$Y:$Y,0)),""),"")))</f>
        <v/>
      </c>
      <c r="O201" s="93" t="str">
        <f>IF(ISBLANK(N201),"",IFERROR(INDEX('Tournament List'!$D:$D,MATCH(N201,'Tournament List'!$A:$A,0)),""))</f>
        <v/>
      </c>
    </row>
    <row r="202" spans="1:15" x14ac:dyDescent="0.3">
      <c r="A202" s="91">
        <v>210</v>
      </c>
      <c r="B202" s="92" t="str">
        <f t="shared" si="3"/>
        <v>Forge Christian Shooting Team-Collegiate 3-Sporting Clays</v>
      </c>
      <c r="C202" s="92" t="s">
        <v>322</v>
      </c>
      <c r="D202" s="92" t="s">
        <v>356</v>
      </c>
      <c r="E202" s="92" t="s">
        <v>148</v>
      </c>
      <c r="F202" s="101" t="str">
        <f>IF(E202="Skeet",IFERROR(INDEX('Shooter-Squad Assignment'!$A:$A,MATCH(C202&amp;"-"&amp;D202&amp;"-"&amp;E202&amp;"-Pos1",'Shooter-Squad Assignment'!#REF!,0)),""),IF(E202="Trap",IFERROR(INDEX('Shooter-Squad Assignment'!$A:$A,MATCH(C202&amp;"-"&amp;D202&amp;"-"&amp;E202&amp;"-Pos1",'Shooter-Squad Assignment'!$V:$V,0)),""),IF(E202="Sporting Clays",IFERROR(INDEX('Shooter-Squad Assignment'!$A:$A,MATCH(C202&amp;"-"&amp;D202&amp;"-"&amp;E202&amp;"-Pos1",'Shooter-Squad Assignment'!$Y:$Y,0)),""),"")))</f>
        <v/>
      </c>
      <c r="G202" s="92" t="str">
        <f>IF(ISBLANK(F202),"",IFERROR(INDEX('Tournament List'!$D:$D,MATCH(F202,'Tournament List'!$A:$A,0)),""))</f>
        <v/>
      </c>
      <c r="H202" s="101" t="str">
        <f>IF(E202="Skeet",IFERROR(INDEX('Shooter-Squad Assignment'!$A:$A,MATCH(C202&amp;"-"&amp;D202&amp;"-"&amp;E202&amp;"-Pos2",'Shooter-Squad Assignment'!#REF!,0)),""),IF(E202="Trap",IFERROR(INDEX('Shooter-Squad Assignment'!$A:$A,MATCH(C202&amp;"-"&amp;D202&amp;"-"&amp;E202&amp;"-Pos2",'Shooter-Squad Assignment'!$V:$V,0)),""),IF(E202="Sporting Clays",IFERROR(INDEX('Shooter-Squad Assignment'!$A:$A,MATCH(C202&amp;"-"&amp;D202&amp;"-"&amp;E202&amp;"-Pos2",'Shooter-Squad Assignment'!$Y:$Y,0)),""),"")))</f>
        <v/>
      </c>
      <c r="I202" s="92" t="str">
        <f>IF(ISBLANK(H202),"",IFERROR(INDEX('Tournament List'!$D:$D,MATCH(H202,'Tournament List'!$A:$A,0)),""))</f>
        <v/>
      </c>
      <c r="J202" s="101" t="str">
        <f>IF(E202="Skeet",IFERROR(INDEX('Shooter-Squad Assignment'!$A:$A,MATCH(C202&amp;"-"&amp;D202&amp;"-"&amp;E202&amp;"-Pos3",'Shooter-Squad Assignment'!#REF!,0)),""),IF(E202="Trap",IFERROR(INDEX('Shooter-Squad Assignment'!$A:$A,MATCH(C202&amp;"-"&amp;D202&amp;"-"&amp;E202&amp;"-Pos3",'Shooter-Squad Assignment'!$V:$V,0)),""),IF(E202="Sporting Clays",IFERROR(INDEX('Shooter-Squad Assignment'!$A:$A,MATCH(C202&amp;"-"&amp;D202&amp;"-"&amp;E202&amp;"-Pos3",'Shooter-Squad Assignment'!$Y:$Y,0)),""),"")))</f>
        <v/>
      </c>
      <c r="K202" s="92" t="str">
        <f>IF(ISBLANK(J202),"",IFERROR(INDEX('Tournament List'!$D:$D,MATCH(J202,'Tournament List'!$A:$A,0)),""))</f>
        <v/>
      </c>
      <c r="L202" s="101" t="str">
        <f>IF(E202="Skeet",IFERROR(INDEX('Shooter-Squad Assignment'!$A:$A,MATCH(C202&amp;"-"&amp;D202&amp;"-"&amp;E202&amp;"-Pos4",'Shooter-Squad Assignment'!#REF!,0)),""),IF(E202="Trap",IFERROR(INDEX('Shooter-Squad Assignment'!$A:$A,MATCH(C202&amp;"-"&amp;D202&amp;"-"&amp;E202&amp;"-Pos4",'Shooter-Squad Assignment'!$V:$V,0)),""),IF(E202="Sporting Clays",IFERROR(INDEX('Shooter-Squad Assignment'!$A:$A,MATCH(C202&amp;"-"&amp;D202&amp;"-"&amp;E202&amp;"-Pos4",'Shooter-Squad Assignment'!$Y:$Y,0)),""),"")))</f>
        <v/>
      </c>
      <c r="M202" s="92" t="str">
        <f>IF(ISBLANK(L202),"",IFERROR(INDEX('Tournament List'!$D:$D,MATCH(L202,'Tournament List'!$A:$A,0)),""))</f>
        <v/>
      </c>
      <c r="N202" s="101" t="str">
        <f>IF(E202="Skeet",IFERROR(INDEX('Shooter-Squad Assignment'!$A:$A,MATCH(C202&amp;"-"&amp;D202&amp;"-"&amp;E202&amp;"-Pos5",'Shooter-Squad Assignment'!#REF!,0)),""),IF(E202="Trap",IFERROR(INDEX('Shooter-Squad Assignment'!$A:$A,MATCH(C202&amp;"-"&amp;D202&amp;"-"&amp;E202&amp;"-Pos5",'Shooter-Squad Assignment'!$V:$V,0)),""),IF(E202="Sporting Clays",IFERROR(INDEX('Shooter-Squad Assignment'!$A:$A,MATCH(C202&amp;"-"&amp;D202&amp;"-"&amp;E202&amp;"-Pos5",'Shooter-Squad Assignment'!$Y:$Y,0)),""),"")))</f>
        <v/>
      </c>
      <c r="O202" s="93" t="str">
        <f>IF(ISBLANK(N202),"",IFERROR(INDEX('Tournament List'!$D:$D,MATCH(N202,'Tournament List'!$A:$A,0)),""))</f>
        <v/>
      </c>
    </row>
    <row r="203" spans="1:15" x14ac:dyDescent="0.3">
      <c r="A203" s="91">
        <v>211</v>
      </c>
      <c r="B203" s="92" t="str">
        <f t="shared" si="3"/>
        <v>Forge Christian Shooting Team-Intermediate 1-Sporting Clays</v>
      </c>
      <c r="C203" s="92" t="s">
        <v>322</v>
      </c>
      <c r="D203" s="92" t="s">
        <v>340</v>
      </c>
      <c r="E203" s="92" t="s">
        <v>148</v>
      </c>
      <c r="F203" s="101" t="str">
        <f>IF(E203="Skeet",IFERROR(INDEX('Shooter-Squad Assignment'!$A:$A,MATCH(C203&amp;"-"&amp;D203&amp;"-"&amp;E203&amp;"-Pos1",'Shooter-Squad Assignment'!#REF!,0)),""),IF(E203="Trap",IFERROR(INDEX('Shooter-Squad Assignment'!$A:$A,MATCH(C203&amp;"-"&amp;D203&amp;"-"&amp;E203&amp;"-Pos1",'Shooter-Squad Assignment'!$V:$V,0)),""),IF(E203="Sporting Clays",IFERROR(INDEX('Shooter-Squad Assignment'!$A:$A,MATCH(C203&amp;"-"&amp;D203&amp;"-"&amp;E203&amp;"-Pos1",'Shooter-Squad Assignment'!$Y:$Y,0)),""),"")))</f>
        <v/>
      </c>
      <c r="G203" s="92" t="str">
        <f>IF(ISBLANK(F203),"",IFERROR(INDEX('Tournament List'!$D:$D,MATCH(F203,'Tournament List'!$A:$A,0)),""))</f>
        <v/>
      </c>
      <c r="H203" s="101" t="str">
        <f>IF(E203="Skeet",IFERROR(INDEX('Shooter-Squad Assignment'!$A:$A,MATCH(C203&amp;"-"&amp;D203&amp;"-"&amp;E203&amp;"-Pos2",'Shooter-Squad Assignment'!#REF!,0)),""),IF(E203="Trap",IFERROR(INDEX('Shooter-Squad Assignment'!$A:$A,MATCH(C203&amp;"-"&amp;D203&amp;"-"&amp;E203&amp;"-Pos2",'Shooter-Squad Assignment'!$V:$V,0)),""),IF(E203="Sporting Clays",IFERROR(INDEX('Shooter-Squad Assignment'!$A:$A,MATCH(C203&amp;"-"&amp;D203&amp;"-"&amp;E203&amp;"-Pos2",'Shooter-Squad Assignment'!$Y:$Y,0)),""),"")))</f>
        <v/>
      </c>
      <c r="I203" s="92" t="str">
        <f>IF(ISBLANK(H203),"",IFERROR(INDEX('Tournament List'!$D:$D,MATCH(H203,'Tournament List'!$A:$A,0)),""))</f>
        <v/>
      </c>
      <c r="J203" s="101" t="str">
        <f>IF(E203="Skeet",IFERROR(INDEX('Shooter-Squad Assignment'!$A:$A,MATCH(C203&amp;"-"&amp;D203&amp;"-"&amp;E203&amp;"-Pos3",'Shooter-Squad Assignment'!#REF!,0)),""),IF(E203="Trap",IFERROR(INDEX('Shooter-Squad Assignment'!$A:$A,MATCH(C203&amp;"-"&amp;D203&amp;"-"&amp;E203&amp;"-Pos3",'Shooter-Squad Assignment'!$V:$V,0)),""),IF(E203="Sporting Clays",IFERROR(INDEX('Shooter-Squad Assignment'!$A:$A,MATCH(C203&amp;"-"&amp;D203&amp;"-"&amp;E203&amp;"-Pos3",'Shooter-Squad Assignment'!$Y:$Y,0)),""),"")))</f>
        <v/>
      </c>
      <c r="K203" s="92" t="str">
        <f>IF(ISBLANK(J203),"",IFERROR(INDEX('Tournament List'!$D:$D,MATCH(J203,'Tournament List'!$A:$A,0)),""))</f>
        <v/>
      </c>
      <c r="L203" s="101" t="str">
        <f>IF(E203="Skeet",IFERROR(INDEX('Shooter-Squad Assignment'!$A:$A,MATCH(C203&amp;"-"&amp;D203&amp;"-"&amp;E203&amp;"-Pos4",'Shooter-Squad Assignment'!#REF!,0)),""),IF(E203="Trap",IFERROR(INDEX('Shooter-Squad Assignment'!$A:$A,MATCH(C203&amp;"-"&amp;D203&amp;"-"&amp;E203&amp;"-Pos4",'Shooter-Squad Assignment'!$V:$V,0)),""),IF(E203="Sporting Clays",IFERROR(INDEX('Shooter-Squad Assignment'!$A:$A,MATCH(C203&amp;"-"&amp;D203&amp;"-"&amp;E203&amp;"-Pos4",'Shooter-Squad Assignment'!$Y:$Y,0)),""),"")))</f>
        <v/>
      </c>
      <c r="M203" s="92" t="str">
        <f>IF(ISBLANK(L203),"",IFERROR(INDEX('Tournament List'!$D:$D,MATCH(L203,'Tournament List'!$A:$A,0)),""))</f>
        <v/>
      </c>
      <c r="N203" s="101" t="str">
        <f>IF(E203="Skeet",IFERROR(INDEX('Shooter-Squad Assignment'!$A:$A,MATCH(C203&amp;"-"&amp;D203&amp;"-"&amp;E203&amp;"-Pos5",'Shooter-Squad Assignment'!#REF!,0)),""),IF(E203="Trap",IFERROR(INDEX('Shooter-Squad Assignment'!$A:$A,MATCH(C203&amp;"-"&amp;D203&amp;"-"&amp;E203&amp;"-Pos5",'Shooter-Squad Assignment'!$V:$V,0)),""),IF(E203="Sporting Clays",IFERROR(INDEX('Shooter-Squad Assignment'!$A:$A,MATCH(C203&amp;"-"&amp;D203&amp;"-"&amp;E203&amp;"-Pos5",'Shooter-Squad Assignment'!$Y:$Y,0)),""),"")))</f>
        <v/>
      </c>
      <c r="O203" s="93" t="str">
        <f>IF(ISBLANK(N203),"",IFERROR(INDEX('Tournament List'!$D:$D,MATCH(N203,'Tournament List'!$A:$A,0)),""))</f>
        <v/>
      </c>
    </row>
    <row r="204" spans="1:15" x14ac:dyDescent="0.3">
      <c r="A204" s="91">
        <v>212</v>
      </c>
      <c r="B204" s="92" t="str">
        <f t="shared" si="3"/>
        <v>Forge Christian Shooting Team-Intermediate 2-Sporting Clays</v>
      </c>
      <c r="C204" s="92" t="s">
        <v>322</v>
      </c>
      <c r="D204" s="92" t="s">
        <v>346</v>
      </c>
      <c r="E204" s="92" t="s">
        <v>148</v>
      </c>
      <c r="F204" s="101" t="str">
        <f>IF(E204="Skeet",IFERROR(INDEX('Shooter-Squad Assignment'!$A:$A,MATCH(C204&amp;"-"&amp;D204&amp;"-"&amp;E204&amp;"-Pos1",'Shooter-Squad Assignment'!#REF!,0)),""),IF(E204="Trap",IFERROR(INDEX('Shooter-Squad Assignment'!$A:$A,MATCH(C204&amp;"-"&amp;D204&amp;"-"&amp;E204&amp;"-Pos1",'Shooter-Squad Assignment'!$V:$V,0)),""),IF(E204="Sporting Clays",IFERROR(INDEX('Shooter-Squad Assignment'!$A:$A,MATCH(C204&amp;"-"&amp;D204&amp;"-"&amp;E204&amp;"-Pos1",'Shooter-Squad Assignment'!$Y:$Y,0)),""),"")))</f>
        <v/>
      </c>
      <c r="G204" s="92" t="str">
        <f>IF(ISBLANK(F204),"",IFERROR(INDEX('Tournament List'!$D:$D,MATCH(F204,'Tournament List'!$A:$A,0)),""))</f>
        <v/>
      </c>
      <c r="H204" s="101" t="str">
        <f>IF(E204="Skeet",IFERROR(INDEX('Shooter-Squad Assignment'!$A:$A,MATCH(C204&amp;"-"&amp;D204&amp;"-"&amp;E204&amp;"-Pos2",'Shooter-Squad Assignment'!#REF!,0)),""),IF(E204="Trap",IFERROR(INDEX('Shooter-Squad Assignment'!$A:$A,MATCH(C204&amp;"-"&amp;D204&amp;"-"&amp;E204&amp;"-Pos2",'Shooter-Squad Assignment'!$V:$V,0)),""),IF(E204="Sporting Clays",IFERROR(INDEX('Shooter-Squad Assignment'!$A:$A,MATCH(C204&amp;"-"&amp;D204&amp;"-"&amp;E204&amp;"-Pos2",'Shooter-Squad Assignment'!$Y:$Y,0)),""),"")))</f>
        <v/>
      </c>
      <c r="I204" s="92" t="str">
        <f>IF(ISBLANK(H204),"",IFERROR(INDEX('Tournament List'!$D:$D,MATCH(H204,'Tournament List'!$A:$A,0)),""))</f>
        <v/>
      </c>
      <c r="J204" s="101" t="str">
        <f>IF(E204="Skeet",IFERROR(INDEX('Shooter-Squad Assignment'!$A:$A,MATCH(C204&amp;"-"&amp;D204&amp;"-"&amp;E204&amp;"-Pos3",'Shooter-Squad Assignment'!#REF!,0)),""),IF(E204="Trap",IFERROR(INDEX('Shooter-Squad Assignment'!$A:$A,MATCH(C204&amp;"-"&amp;D204&amp;"-"&amp;E204&amp;"-Pos3",'Shooter-Squad Assignment'!$V:$V,0)),""),IF(E204="Sporting Clays",IFERROR(INDEX('Shooter-Squad Assignment'!$A:$A,MATCH(C204&amp;"-"&amp;D204&amp;"-"&amp;E204&amp;"-Pos3",'Shooter-Squad Assignment'!$Y:$Y,0)),""),"")))</f>
        <v/>
      </c>
      <c r="K204" s="92" t="str">
        <f>IF(ISBLANK(J204),"",IFERROR(INDEX('Tournament List'!$D:$D,MATCH(J204,'Tournament List'!$A:$A,0)),""))</f>
        <v/>
      </c>
      <c r="L204" s="101" t="str">
        <f>IF(E204="Skeet",IFERROR(INDEX('Shooter-Squad Assignment'!$A:$A,MATCH(C204&amp;"-"&amp;D204&amp;"-"&amp;E204&amp;"-Pos4",'Shooter-Squad Assignment'!#REF!,0)),""),IF(E204="Trap",IFERROR(INDEX('Shooter-Squad Assignment'!$A:$A,MATCH(C204&amp;"-"&amp;D204&amp;"-"&amp;E204&amp;"-Pos4",'Shooter-Squad Assignment'!$V:$V,0)),""),IF(E204="Sporting Clays",IFERROR(INDEX('Shooter-Squad Assignment'!$A:$A,MATCH(C204&amp;"-"&amp;D204&amp;"-"&amp;E204&amp;"-Pos4",'Shooter-Squad Assignment'!$Y:$Y,0)),""),"")))</f>
        <v/>
      </c>
      <c r="M204" s="92" t="str">
        <f>IF(ISBLANK(L204),"",IFERROR(INDEX('Tournament List'!$D:$D,MATCH(L204,'Tournament List'!$A:$A,0)),""))</f>
        <v/>
      </c>
      <c r="N204" s="101" t="str">
        <f>IF(E204="Skeet",IFERROR(INDEX('Shooter-Squad Assignment'!$A:$A,MATCH(C204&amp;"-"&amp;D204&amp;"-"&amp;E204&amp;"-Pos5",'Shooter-Squad Assignment'!#REF!,0)),""),IF(E204="Trap",IFERROR(INDEX('Shooter-Squad Assignment'!$A:$A,MATCH(C204&amp;"-"&amp;D204&amp;"-"&amp;E204&amp;"-Pos5",'Shooter-Squad Assignment'!$V:$V,0)),""),IF(E204="Sporting Clays",IFERROR(INDEX('Shooter-Squad Assignment'!$A:$A,MATCH(C204&amp;"-"&amp;D204&amp;"-"&amp;E204&amp;"-Pos5",'Shooter-Squad Assignment'!$Y:$Y,0)),""),"")))</f>
        <v/>
      </c>
      <c r="O204" s="93" t="str">
        <f>IF(ISBLANK(N204),"",IFERROR(INDEX('Tournament List'!$D:$D,MATCH(N204,'Tournament List'!$A:$A,0)),""))</f>
        <v/>
      </c>
    </row>
    <row r="205" spans="1:15" x14ac:dyDescent="0.3">
      <c r="A205" s="91">
        <v>213</v>
      </c>
      <c r="B205" s="92" t="str">
        <f t="shared" si="3"/>
        <v>Forge Christian Shooting Team-Intermediate 3-Sporting Clays</v>
      </c>
      <c r="C205" s="92" t="s">
        <v>322</v>
      </c>
      <c r="D205" s="92" t="s">
        <v>352</v>
      </c>
      <c r="E205" s="92" t="s">
        <v>148</v>
      </c>
      <c r="F205" s="101" t="str">
        <f>IF(E205="Skeet",IFERROR(INDEX('Shooter-Squad Assignment'!$A:$A,MATCH(C205&amp;"-"&amp;D205&amp;"-"&amp;E205&amp;"-Pos1",'Shooter-Squad Assignment'!#REF!,0)),""),IF(E205="Trap",IFERROR(INDEX('Shooter-Squad Assignment'!$A:$A,MATCH(C205&amp;"-"&amp;D205&amp;"-"&amp;E205&amp;"-Pos1",'Shooter-Squad Assignment'!$V:$V,0)),""),IF(E205="Sporting Clays",IFERROR(INDEX('Shooter-Squad Assignment'!$A:$A,MATCH(C205&amp;"-"&amp;D205&amp;"-"&amp;E205&amp;"-Pos1",'Shooter-Squad Assignment'!$Y:$Y,0)),""),"")))</f>
        <v/>
      </c>
      <c r="G205" s="92" t="str">
        <f>IF(ISBLANK(F205),"",IFERROR(INDEX('Tournament List'!$D:$D,MATCH(F205,'Tournament List'!$A:$A,0)),""))</f>
        <v/>
      </c>
      <c r="H205" s="101" t="str">
        <f>IF(E205="Skeet",IFERROR(INDEX('Shooter-Squad Assignment'!$A:$A,MATCH(C205&amp;"-"&amp;D205&amp;"-"&amp;E205&amp;"-Pos2",'Shooter-Squad Assignment'!#REF!,0)),""),IF(E205="Trap",IFERROR(INDEX('Shooter-Squad Assignment'!$A:$A,MATCH(C205&amp;"-"&amp;D205&amp;"-"&amp;E205&amp;"-Pos2",'Shooter-Squad Assignment'!$V:$V,0)),""),IF(E205="Sporting Clays",IFERROR(INDEX('Shooter-Squad Assignment'!$A:$A,MATCH(C205&amp;"-"&amp;D205&amp;"-"&amp;E205&amp;"-Pos2",'Shooter-Squad Assignment'!$Y:$Y,0)),""),"")))</f>
        <v/>
      </c>
      <c r="I205" s="92" t="str">
        <f>IF(ISBLANK(H205),"",IFERROR(INDEX('Tournament List'!$D:$D,MATCH(H205,'Tournament List'!$A:$A,0)),""))</f>
        <v/>
      </c>
      <c r="J205" s="101" t="str">
        <f>IF(E205="Skeet",IFERROR(INDEX('Shooter-Squad Assignment'!$A:$A,MATCH(C205&amp;"-"&amp;D205&amp;"-"&amp;E205&amp;"-Pos3",'Shooter-Squad Assignment'!#REF!,0)),""),IF(E205="Trap",IFERROR(INDEX('Shooter-Squad Assignment'!$A:$A,MATCH(C205&amp;"-"&amp;D205&amp;"-"&amp;E205&amp;"-Pos3",'Shooter-Squad Assignment'!$V:$V,0)),""),IF(E205="Sporting Clays",IFERROR(INDEX('Shooter-Squad Assignment'!$A:$A,MATCH(C205&amp;"-"&amp;D205&amp;"-"&amp;E205&amp;"-Pos3",'Shooter-Squad Assignment'!$Y:$Y,0)),""),"")))</f>
        <v/>
      </c>
      <c r="K205" s="92" t="str">
        <f>IF(ISBLANK(J205),"",IFERROR(INDEX('Tournament List'!$D:$D,MATCH(J205,'Tournament List'!$A:$A,0)),""))</f>
        <v/>
      </c>
      <c r="L205" s="101" t="str">
        <f>IF(E205="Skeet",IFERROR(INDEX('Shooter-Squad Assignment'!$A:$A,MATCH(C205&amp;"-"&amp;D205&amp;"-"&amp;E205&amp;"-Pos4",'Shooter-Squad Assignment'!#REF!,0)),""),IF(E205="Trap",IFERROR(INDEX('Shooter-Squad Assignment'!$A:$A,MATCH(C205&amp;"-"&amp;D205&amp;"-"&amp;E205&amp;"-Pos4",'Shooter-Squad Assignment'!$V:$V,0)),""),IF(E205="Sporting Clays",IFERROR(INDEX('Shooter-Squad Assignment'!$A:$A,MATCH(C205&amp;"-"&amp;D205&amp;"-"&amp;E205&amp;"-Pos4",'Shooter-Squad Assignment'!$Y:$Y,0)),""),"")))</f>
        <v/>
      </c>
      <c r="M205" s="92" t="str">
        <f>IF(ISBLANK(L205),"",IFERROR(INDEX('Tournament List'!$D:$D,MATCH(L205,'Tournament List'!$A:$A,0)),""))</f>
        <v/>
      </c>
      <c r="N205" s="101" t="str">
        <f>IF(E205="Skeet",IFERROR(INDEX('Shooter-Squad Assignment'!$A:$A,MATCH(C205&amp;"-"&amp;D205&amp;"-"&amp;E205&amp;"-Pos5",'Shooter-Squad Assignment'!#REF!,0)),""),IF(E205="Trap",IFERROR(INDEX('Shooter-Squad Assignment'!$A:$A,MATCH(C205&amp;"-"&amp;D205&amp;"-"&amp;E205&amp;"-Pos5",'Shooter-Squad Assignment'!$V:$V,0)),""),IF(E205="Sporting Clays",IFERROR(INDEX('Shooter-Squad Assignment'!$A:$A,MATCH(C205&amp;"-"&amp;D205&amp;"-"&amp;E205&amp;"-Pos5",'Shooter-Squad Assignment'!$Y:$Y,0)),""),"")))</f>
        <v/>
      </c>
      <c r="O205" s="93" t="str">
        <f>IF(ISBLANK(N205),"",IFERROR(INDEX('Tournament List'!$D:$D,MATCH(N205,'Tournament List'!$A:$A,0)),""))</f>
        <v/>
      </c>
    </row>
    <row r="206" spans="1:15" x14ac:dyDescent="0.3">
      <c r="A206" s="91">
        <v>214</v>
      </c>
      <c r="B206" s="92" t="str">
        <f t="shared" si="3"/>
        <v>Forge Christian Shooting Team-Junior Varsity 1-Sporting Clays</v>
      </c>
      <c r="C206" s="92" t="s">
        <v>322</v>
      </c>
      <c r="D206" s="92" t="s">
        <v>341</v>
      </c>
      <c r="E206" s="92" t="s">
        <v>148</v>
      </c>
      <c r="F206" s="101" t="str">
        <f>IF(E206="Skeet",IFERROR(INDEX('Shooter-Squad Assignment'!$A:$A,MATCH(C206&amp;"-"&amp;D206&amp;"-"&amp;E206&amp;"-Pos1",'Shooter-Squad Assignment'!#REF!,0)),""),IF(E206="Trap",IFERROR(INDEX('Shooter-Squad Assignment'!$A:$A,MATCH(C206&amp;"-"&amp;D206&amp;"-"&amp;E206&amp;"-Pos1",'Shooter-Squad Assignment'!$V:$V,0)),""),IF(E206="Sporting Clays",IFERROR(INDEX('Shooter-Squad Assignment'!$A:$A,MATCH(C206&amp;"-"&amp;D206&amp;"-"&amp;E206&amp;"-Pos1",'Shooter-Squad Assignment'!$Y:$Y,0)),""),"")))</f>
        <v/>
      </c>
      <c r="G206" s="92" t="str">
        <f>IF(ISBLANK(F206),"",IFERROR(INDEX('Tournament List'!$D:$D,MATCH(F206,'Tournament List'!$A:$A,0)),""))</f>
        <v/>
      </c>
      <c r="H206" s="101" t="str">
        <f>IF(E206="Skeet",IFERROR(INDEX('Shooter-Squad Assignment'!$A:$A,MATCH(C206&amp;"-"&amp;D206&amp;"-"&amp;E206&amp;"-Pos2",'Shooter-Squad Assignment'!#REF!,0)),""),IF(E206="Trap",IFERROR(INDEX('Shooter-Squad Assignment'!$A:$A,MATCH(C206&amp;"-"&amp;D206&amp;"-"&amp;E206&amp;"-Pos2",'Shooter-Squad Assignment'!$V:$V,0)),""),IF(E206="Sporting Clays",IFERROR(INDEX('Shooter-Squad Assignment'!$A:$A,MATCH(C206&amp;"-"&amp;D206&amp;"-"&amp;E206&amp;"-Pos2",'Shooter-Squad Assignment'!$Y:$Y,0)),""),"")))</f>
        <v/>
      </c>
      <c r="I206" s="92" t="str">
        <f>IF(ISBLANK(H206),"",IFERROR(INDEX('Tournament List'!$D:$D,MATCH(H206,'Tournament List'!$A:$A,0)),""))</f>
        <v/>
      </c>
      <c r="J206" s="101" t="str">
        <f>IF(E206="Skeet",IFERROR(INDEX('Shooter-Squad Assignment'!$A:$A,MATCH(C206&amp;"-"&amp;D206&amp;"-"&amp;E206&amp;"-Pos3",'Shooter-Squad Assignment'!#REF!,0)),""),IF(E206="Trap",IFERROR(INDEX('Shooter-Squad Assignment'!$A:$A,MATCH(C206&amp;"-"&amp;D206&amp;"-"&amp;E206&amp;"-Pos3",'Shooter-Squad Assignment'!$V:$V,0)),""),IF(E206="Sporting Clays",IFERROR(INDEX('Shooter-Squad Assignment'!$A:$A,MATCH(C206&amp;"-"&amp;D206&amp;"-"&amp;E206&amp;"-Pos3",'Shooter-Squad Assignment'!$Y:$Y,0)),""),"")))</f>
        <v/>
      </c>
      <c r="K206" s="92" t="str">
        <f>IF(ISBLANK(J206),"",IFERROR(INDEX('Tournament List'!$D:$D,MATCH(J206,'Tournament List'!$A:$A,0)),""))</f>
        <v/>
      </c>
      <c r="L206" s="101" t="str">
        <f>IF(E206="Skeet",IFERROR(INDEX('Shooter-Squad Assignment'!$A:$A,MATCH(C206&amp;"-"&amp;D206&amp;"-"&amp;E206&amp;"-Pos4",'Shooter-Squad Assignment'!#REF!,0)),""),IF(E206="Trap",IFERROR(INDEX('Shooter-Squad Assignment'!$A:$A,MATCH(C206&amp;"-"&amp;D206&amp;"-"&amp;E206&amp;"-Pos4",'Shooter-Squad Assignment'!$V:$V,0)),""),IF(E206="Sporting Clays",IFERROR(INDEX('Shooter-Squad Assignment'!$A:$A,MATCH(C206&amp;"-"&amp;D206&amp;"-"&amp;E206&amp;"-Pos4",'Shooter-Squad Assignment'!$Y:$Y,0)),""),"")))</f>
        <v/>
      </c>
      <c r="M206" s="92" t="str">
        <f>IF(ISBLANK(L206),"",IFERROR(INDEX('Tournament List'!$D:$D,MATCH(L206,'Tournament List'!$A:$A,0)),""))</f>
        <v/>
      </c>
      <c r="N206" s="101" t="str">
        <f>IF(E206="Skeet",IFERROR(INDEX('Shooter-Squad Assignment'!$A:$A,MATCH(C206&amp;"-"&amp;D206&amp;"-"&amp;E206&amp;"-Pos5",'Shooter-Squad Assignment'!#REF!,0)),""),IF(E206="Trap",IFERROR(INDEX('Shooter-Squad Assignment'!$A:$A,MATCH(C206&amp;"-"&amp;D206&amp;"-"&amp;E206&amp;"-Pos5",'Shooter-Squad Assignment'!$V:$V,0)),""),IF(E206="Sporting Clays",IFERROR(INDEX('Shooter-Squad Assignment'!$A:$A,MATCH(C206&amp;"-"&amp;D206&amp;"-"&amp;E206&amp;"-Pos5",'Shooter-Squad Assignment'!$Y:$Y,0)),""),"")))</f>
        <v/>
      </c>
      <c r="O206" s="93" t="str">
        <f>IF(ISBLANK(N206),"",IFERROR(INDEX('Tournament List'!$D:$D,MATCH(N206,'Tournament List'!$A:$A,0)),""))</f>
        <v/>
      </c>
    </row>
    <row r="207" spans="1:15" x14ac:dyDescent="0.3">
      <c r="A207" s="91">
        <v>215</v>
      </c>
      <c r="B207" s="92" t="str">
        <f t="shared" si="3"/>
        <v>Forge Christian Shooting Team-Junior Varsity 2-Sporting Clays</v>
      </c>
      <c r="C207" s="92" t="s">
        <v>322</v>
      </c>
      <c r="D207" s="92" t="s">
        <v>347</v>
      </c>
      <c r="E207" s="92" t="s">
        <v>148</v>
      </c>
      <c r="F207" s="101" t="str">
        <f>IF(E207="Skeet",IFERROR(INDEX('Shooter-Squad Assignment'!$A:$A,MATCH(C207&amp;"-"&amp;D207&amp;"-"&amp;E207&amp;"-Pos1",'Shooter-Squad Assignment'!#REF!,0)),""),IF(E207="Trap",IFERROR(INDEX('Shooter-Squad Assignment'!$A:$A,MATCH(C207&amp;"-"&amp;D207&amp;"-"&amp;E207&amp;"-Pos1",'Shooter-Squad Assignment'!$V:$V,0)),""),IF(E207="Sporting Clays",IFERROR(INDEX('Shooter-Squad Assignment'!$A:$A,MATCH(C207&amp;"-"&amp;D207&amp;"-"&amp;E207&amp;"-Pos1",'Shooter-Squad Assignment'!$Y:$Y,0)),""),"")))</f>
        <v/>
      </c>
      <c r="G207" s="92" t="str">
        <f>IF(ISBLANK(F207),"",IFERROR(INDEX('Tournament List'!$D:$D,MATCH(F207,'Tournament List'!$A:$A,0)),""))</f>
        <v/>
      </c>
      <c r="H207" s="101" t="str">
        <f>IF(E207="Skeet",IFERROR(INDEX('Shooter-Squad Assignment'!$A:$A,MATCH(C207&amp;"-"&amp;D207&amp;"-"&amp;E207&amp;"-Pos2",'Shooter-Squad Assignment'!#REF!,0)),""),IF(E207="Trap",IFERROR(INDEX('Shooter-Squad Assignment'!$A:$A,MATCH(C207&amp;"-"&amp;D207&amp;"-"&amp;E207&amp;"-Pos2",'Shooter-Squad Assignment'!$V:$V,0)),""),IF(E207="Sporting Clays",IFERROR(INDEX('Shooter-Squad Assignment'!$A:$A,MATCH(C207&amp;"-"&amp;D207&amp;"-"&amp;E207&amp;"-Pos2",'Shooter-Squad Assignment'!$Y:$Y,0)),""),"")))</f>
        <v/>
      </c>
      <c r="I207" s="92" t="str">
        <f>IF(ISBLANK(H207),"",IFERROR(INDEX('Tournament List'!$D:$D,MATCH(H207,'Tournament List'!$A:$A,0)),""))</f>
        <v/>
      </c>
      <c r="J207" s="101" t="str">
        <f>IF(E207="Skeet",IFERROR(INDEX('Shooter-Squad Assignment'!$A:$A,MATCH(C207&amp;"-"&amp;D207&amp;"-"&amp;E207&amp;"-Pos3",'Shooter-Squad Assignment'!#REF!,0)),""),IF(E207="Trap",IFERROR(INDEX('Shooter-Squad Assignment'!$A:$A,MATCH(C207&amp;"-"&amp;D207&amp;"-"&amp;E207&amp;"-Pos3",'Shooter-Squad Assignment'!$V:$V,0)),""),IF(E207="Sporting Clays",IFERROR(INDEX('Shooter-Squad Assignment'!$A:$A,MATCH(C207&amp;"-"&amp;D207&amp;"-"&amp;E207&amp;"-Pos3",'Shooter-Squad Assignment'!$Y:$Y,0)),""),"")))</f>
        <v/>
      </c>
      <c r="K207" s="92" t="str">
        <f>IF(ISBLANK(J207),"",IFERROR(INDEX('Tournament List'!$D:$D,MATCH(J207,'Tournament List'!$A:$A,0)),""))</f>
        <v/>
      </c>
      <c r="L207" s="101" t="str">
        <f>IF(E207="Skeet",IFERROR(INDEX('Shooter-Squad Assignment'!$A:$A,MATCH(C207&amp;"-"&amp;D207&amp;"-"&amp;E207&amp;"-Pos4",'Shooter-Squad Assignment'!#REF!,0)),""),IF(E207="Trap",IFERROR(INDEX('Shooter-Squad Assignment'!$A:$A,MATCH(C207&amp;"-"&amp;D207&amp;"-"&amp;E207&amp;"-Pos4",'Shooter-Squad Assignment'!$V:$V,0)),""),IF(E207="Sporting Clays",IFERROR(INDEX('Shooter-Squad Assignment'!$A:$A,MATCH(C207&amp;"-"&amp;D207&amp;"-"&amp;E207&amp;"-Pos4",'Shooter-Squad Assignment'!$Y:$Y,0)),""),"")))</f>
        <v/>
      </c>
      <c r="M207" s="92" t="str">
        <f>IF(ISBLANK(L207),"",IFERROR(INDEX('Tournament List'!$D:$D,MATCH(L207,'Tournament List'!$A:$A,0)),""))</f>
        <v/>
      </c>
      <c r="N207" s="101" t="str">
        <f>IF(E207="Skeet",IFERROR(INDEX('Shooter-Squad Assignment'!$A:$A,MATCH(C207&amp;"-"&amp;D207&amp;"-"&amp;E207&amp;"-Pos5",'Shooter-Squad Assignment'!#REF!,0)),""),IF(E207="Trap",IFERROR(INDEX('Shooter-Squad Assignment'!$A:$A,MATCH(C207&amp;"-"&amp;D207&amp;"-"&amp;E207&amp;"-Pos5",'Shooter-Squad Assignment'!$V:$V,0)),""),IF(E207="Sporting Clays",IFERROR(INDEX('Shooter-Squad Assignment'!$A:$A,MATCH(C207&amp;"-"&amp;D207&amp;"-"&amp;E207&amp;"-Pos5",'Shooter-Squad Assignment'!$Y:$Y,0)),""),"")))</f>
        <v/>
      </c>
      <c r="O207" s="93" t="str">
        <f>IF(ISBLANK(N207),"",IFERROR(INDEX('Tournament List'!$D:$D,MATCH(N207,'Tournament List'!$A:$A,0)),""))</f>
        <v/>
      </c>
    </row>
    <row r="208" spans="1:15" x14ac:dyDescent="0.3">
      <c r="A208" s="91">
        <v>216</v>
      </c>
      <c r="B208" s="92" t="str">
        <f t="shared" si="3"/>
        <v>Forge Christian Shooting Team-Junior Varsity 3-Sporting Clays</v>
      </c>
      <c r="C208" s="92" t="s">
        <v>322</v>
      </c>
      <c r="D208" s="92" t="s">
        <v>353</v>
      </c>
      <c r="E208" s="92" t="s">
        <v>148</v>
      </c>
      <c r="F208" s="101" t="str">
        <f>IF(E208="Skeet",IFERROR(INDEX('Shooter-Squad Assignment'!$A:$A,MATCH(C208&amp;"-"&amp;D208&amp;"-"&amp;E208&amp;"-Pos1",'Shooter-Squad Assignment'!#REF!,0)),""),IF(E208="Trap",IFERROR(INDEX('Shooter-Squad Assignment'!$A:$A,MATCH(C208&amp;"-"&amp;D208&amp;"-"&amp;E208&amp;"-Pos1",'Shooter-Squad Assignment'!$V:$V,0)),""),IF(E208="Sporting Clays",IFERROR(INDEX('Shooter-Squad Assignment'!$A:$A,MATCH(C208&amp;"-"&amp;D208&amp;"-"&amp;E208&amp;"-Pos1",'Shooter-Squad Assignment'!$Y:$Y,0)),""),"")))</f>
        <v/>
      </c>
      <c r="G208" s="92" t="str">
        <f>IF(ISBLANK(F208),"",IFERROR(INDEX('Tournament List'!$D:$D,MATCH(F208,'Tournament List'!$A:$A,0)),""))</f>
        <v/>
      </c>
      <c r="H208" s="101" t="str">
        <f>IF(E208="Skeet",IFERROR(INDEX('Shooter-Squad Assignment'!$A:$A,MATCH(C208&amp;"-"&amp;D208&amp;"-"&amp;E208&amp;"-Pos2",'Shooter-Squad Assignment'!#REF!,0)),""),IF(E208="Trap",IFERROR(INDEX('Shooter-Squad Assignment'!$A:$A,MATCH(C208&amp;"-"&amp;D208&amp;"-"&amp;E208&amp;"-Pos2",'Shooter-Squad Assignment'!$V:$V,0)),""),IF(E208="Sporting Clays",IFERROR(INDEX('Shooter-Squad Assignment'!$A:$A,MATCH(C208&amp;"-"&amp;D208&amp;"-"&amp;E208&amp;"-Pos2",'Shooter-Squad Assignment'!$Y:$Y,0)),""),"")))</f>
        <v/>
      </c>
      <c r="I208" s="92" t="str">
        <f>IF(ISBLANK(H208),"",IFERROR(INDEX('Tournament List'!$D:$D,MATCH(H208,'Tournament List'!$A:$A,0)),""))</f>
        <v/>
      </c>
      <c r="J208" s="101" t="str">
        <f>IF(E208="Skeet",IFERROR(INDEX('Shooter-Squad Assignment'!$A:$A,MATCH(C208&amp;"-"&amp;D208&amp;"-"&amp;E208&amp;"-Pos3",'Shooter-Squad Assignment'!#REF!,0)),""),IF(E208="Trap",IFERROR(INDEX('Shooter-Squad Assignment'!$A:$A,MATCH(C208&amp;"-"&amp;D208&amp;"-"&amp;E208&amp;"-Pos3",'Shooter-Squad Assignment'!$V:$V,0)),""),IF(E208="Sporting Clays",IFERROR(INDEX('Shooter-Squad Assignment'!$A:$A,MATCH(C208&amp;"-"&amp;D208&amp;"-"&amp;E208&amp;"-Pos3",'Shooter-Squad Assignment'!$Y:$Y,0)),""),"")))</f>
        <v/>
      </c>
      <c r="K208" s="92" t="str">
        <f>IF(ISBLANK(J208),"",IFERROR(INDEX('Tournament List'!$D:$D,MATCH(J208,'Tournament List'!$A:$A,0)),""))</f>
        <v/>
      </c>
      <c r="L208" s="101" t="str">
        <f>IF(E208="Skeet",IFERROR(INDEX('Shooter-Squad Assignment'!$A:$A,MATCH(C208&amp;"-"&amp;D208&amp;"-"&amp;E208&amp;"-Pos4",'Shooter-Squad Assignment'!#REF!,0)),""),IF(E208="Trap",IFERROR(INDEX('Shooter-Squad Assignment'!$A:$A,MATCH(C208&amp;"-"&amp;D208&amp;"-"&amp;E208&amp;"-Pos4",'Shooter-Squad Assignment'!$V:$V,0)),""),IF(E208="Sporting Clays",IFERROR(INDEX('Shooter-Squad Assignment'!$A:$A,MATCH(C208&amp;"-"&amp;D208&amp;"-"&amp;E208&amp;"-Pos4",'Shooter-Squad Assignment'!$Y:$Y,0)),""),"")))</f>
        <v/>
      </c>
      <c r="M208" s="92" t="str">
        <f>IF(ISBLANK(L208),"",IFERROR(INDEX('Tournament List'!$D:$D,MATCH(L208,'Tournament List'!$A:$A,0)),""))</f>
        <v/>
      </c>
      <c r="N208" s="101" t="str">
        <f>IF(E208="Skeet",IFERROR(INDEX('Shooter-Squad Assignment'!$A:$A,MATCH(C208&amp;"-"&amp;D208&amp;"-"&amp;E208&amp;"-Pos5",'Shooter-Squad Assignment'!#REF!,0)),""),IF(E208="Trap",IFERROR(INDEX('Shooter-Squad Assignment'!$A:$A,MATCH(C208&amp;"-"&amp;D208&amp;"-"&amp;E208&amp;"-Pos5",'Shooter-Squad Assignment'!$V:$V,0)),""),IF(E208="Sporting Clays",IFERROR(INDEX('Shooter-Squad Assignment'!$A:$A,MATCH(C208&amp;"-"&amp;D208&amp;"-"&amp;E208&amp;"-Pos5",'Shooter-Squad Assignment'!$Y:$Y,0)),""),"")))</f>
        <v/>
      </c>
      <c r="O208" s="93" t="str">
        <f>IF(ISBLANK(N208),"",IFERROR(INDEX('Tournament List'!$D:$D,MATCH(N208,'Tournament List'!$A:$A,0)),""))</f>
        <v/>
      </c>
    </row>
    <row r="209" spans="1:15" x14ac:dyDescent="0.3">
      <c r="A209" s="91">
        <v>217</v>
      </c>
      <c r="B209" s="92" t="str">
        <f t="shared" si="3"/>
        <v>Forge Christian Shooting Team-Novice 1-Sporting Clays</v>
      </c>
      <c r="C209" s="92" t="s">
        <v>322</v>
      </c>
      <c r="D209" s="92" t="s">
        <v>339</v>
      </c>
      <c r="E209" s="92" t="s">
        <v>148</v>
      </c>
      <c r="F209" s="101" t="str">
        <f>IF(E209="Skeet",IFERROR(INDEX('Shooter-Squad Assignment'!$A:$A,MATCH(C209&amp;"-"&amp;D209&amp;"-"&amp;E209&amp;"-Pos1",'Shooter-Squad Assignment'!#REF!,0)),""),IF(E209="Trap",IFERROR(INDEX('Shooter-Squad Assignment'!$A:$A,MATCH(C209&amp;"-"&amp;D209&amp;"-"&amp;E209&amp;"-Pos1",'Shooter-Squad Assignment'!$V:$V,0)),""),IF(E209="Sporting Clays",IFERROR(INDEX('Shooter-Squad Assignment'!$A:$A,MATCH(C209&amp;"-"&amp;D209&amp;"-"&amp;E209&amp;"-Pos1",'Shooter-Squad Assignment'!$Y:$Y,0)),""),"")))</f>
        <v/>
      </c>
      <c r="G209" s="92" t="str">
        <f>IF(ISBLANK(F209),"",IFERROR(INDEX('Tournament List'!$D:$D,MATCH(F209,'Tournament List'!$A:$A,0)),""))</f>
        <v/>
      </c>
      <c r="H209" s="101" t="str">
        <f>IF(E209="Skeet",IFERROR(INDEX('Shooter-Squad Assignment'!$A:$A,MATCH(C209&amp;"-"&amp;D209&amp;"-"&amp;E209&amp;"-Pos2",'Shooter-Squad Assignment'!#REF!,0)),""),IF(E209="Trap",IFERROR(INDEX('Shooter-Squad Assignment'!$A:$A,MATCH(C209&amp;"-"&amp;D209&amp;"-"&amp;E209&amp;"-Pos2",'Shooter-Squad Assignment'!$V:$V,0)),""),IF(E209="Sporting Clays",IFERROR(INDEX('Shooter-Squad Assignment'!$A:$A,MATCH(C209&amp;"-"&amp;D209&amp;"-"&amp;E209&amp;"-Pos2",'Shooter-Squad Assignment'!$Y:$Y,0)),""),"")))</f>
        <v/>
      </c>
      <c r="I209" s="92" t="str">
        <f>IF(ISBLANK(H209),"",IFERROR(INDEX('Tournament List'!$D:$D,MATCH(H209,'Tournament List'!$A:$A,0)),""))</f>
        <v/>
      </c>
      <c r="J209" s="101" t="str">
        <f>IF(E209="Skeet",IFERROR(INDEX('Shooter-Squad Assignment'!$A:$A,MATCH(C209&amp;"-"&amp;D209&amp;"-"&amp;E209&amp;"-Pos3",'Shooter-Squad Assignment'!#REF!,0)),""),IF(E209="Trap",IFERROR(INDEX('Shooter-Squad Assignment'!$A:$A,MATCH(C209&amp;"-"&amp;D209&amp;"-"&amp;E209&amp;"-Pos3",'Shooter-Squad Assignment'!$V:$V,0)),""),IF(E209="Sporting Clays",IFERROR(INDEX('Shooter-Squad Assignment'!$A:$A,MATCH(C209&amp;"-"&amp;D209&amp;"-"&amp;E209&amp;"-Pos3",'Shooter-Squad Assignment'!$Y:$Y,0)),""),"")))</f>
        <v/>
      </c>
      <c r="K209" s="92" t="str">
        <f>IF(ISBLANK(J209),"",IFERROR(INDEX('Tournament List'!$D:$D,MATCH(J209,'Tournament List'!$A:$A,0)),""))</f>
        <v/>
      </c>
      <c r="L209" s="101" t="str">
        <f>IF(E209="Skeet",IFERROR(INDEX('Shooter-Squad Assignment'!$A:$A,MATCH(C209&amp;"-"&amp;D209&amp;"-"&amp;E209&amp;"-Pos4",'Shooter-Squad Assignment'!#REF!,0)),""),IF(E209="Trap",IFERROR(INDEX('Shooter-Squad Assignment'!$A:$A,MATCH(C209&amp;"-"&amp;D209&amp;"-"&amp;E209&amp;"-Pos4",'Shooter-Squad Assignment'!$V:$V,0)),""),IF(E209="Sporting Clays",IFERROR(INDEX('Shooter-Squad Assignment'!$A:$A,MATCH(C209&amp;"-"&amp;D209&amp;"-"&amp;E209&amp;"-Pos4",'Shooter-Squad Assignment'!$Y:$Y,0)),""),"")))</f>
        <v/>
      </c>
      <c r="M209" s="92" t="str">
        <f>IF(ISBLANK(L209),"",IFERROR(INDEX('Tournament List'!$D:$D,MATCH(L209,'Tournament List'!$A:$A,0)),""))</f>
        <v/>
      </c>
      <c r="N209" s="101" t="str">
        <f>IF(E209="Skeet",IFERROR(INDEX('Shooter-Squad Assignment'!$A:$A,MATCH(C209&amp;"-"&amp;D209&amp;"-"&amp;E209&amp;"-Pos5",'Shooter-Squad Assignment'!#REF!,0)),""),IF(E209="Trap",IFERROR(INDEX('Shooter-Squad Assignment'!$A:$A,MATCH(C209&amp;"-"&amp;D209&amp;"-"&amp;E209&amp;"-Pos5",'Shooter-Squad Assignment'!$V:$V,0)),""),IF(E209="Sporting Clays",IFERROR(INDEX('Shooter-Squad Assignment'!$A:$A,MATCH(C209&amp;"-"&amp;D209&amp;"-"&amp;E209&amp;"-Pos5",'Shooter-Squad Assignment'!$Y:$Y,0)),""),"")))</f>
        <v/>
      </c>
      <c r="O209" s="93" t="str">
        <f>IF(ISBLANK(N209),"",IFERROR(INDEX('Tournament List'!$D:$D,MATCH(N209,'Tournament List'!$A:$A,0)),""))</f>
        <v/>
      </c>
    </row>
    <row r="210" spans="1:15" x14ac:dyDescent="0.3">
      <c r="A210" s="91">
        <v>218</v>
      </c>
      <c r="B210" s="92" t="str">
        <f t="shared" si="3"/>
        <v>Forge Christian Shooting Team-Novice 2-Sporting Clays</v>
      </c>
      <c r="C210" s="92" t="s">
        <v>322</v>
      </c>
      <c r="D210" s="92" t="s">
        <v>345</v>
      </c>
      <c r="E210" s="92" t="s">
        <v>148</v>
      </c>
      <c r="F210" s="101" t="str">
        <f>IF(E210="Skeet",IFERROR(INDEX('Shooter-Squad Assignment'!$A:$A,MATCH(C210&amp;"-"&amp;D210&amp;"-"&amp;E210&amp;"-Pos1",'Shooter-Squad Assignment'!#REF!,0)),""),IF(E210="Trap",IFERROR(INDEX('Shooter-Squad Assignment'!$A:$A,MATCH(C210&amp;"-"&amp;D210&amp;"-"&amp;E210&amp;"-Pos1",'Shooter-Squad Assignment'!$V:$V,0)),""),IF(E210="Sporting Clays",IFERROR(INDEX('Shooter-Squad Assignment'!$A:$A,MATCH(C210&amp;"-"&amp;D210&amp;"-"&amp;E210&amp;"-Pos1",'Shooter-Squad Assignment'!$Y:$Y,0)),""),"")))</f>
        <v/>
      </c>
      <c r="G210" s="92" t="str">
        <f>IF(ISBLANK(F210),"",IFERROR(INDEX('Tournament List'!$D:$D,MATCH(F210,'Tournament List'!$A:$A,0)),""))</f>
        <v/>
      </c>
      <c r="H210" s="101" t="str">
        <f>IF(E210="Skeet",IFERROR(INDEX('Shooter-Squad Assignment'!$A:$A,MATCH(C210&amp;"-"&amp;D210&amp;"-"&amp;E210&amp;"-Pos2",'Shooter-Squad Assignment'!#REF!,0)),""),IF(E210="Trap",IFERROR(INDEX('Shooter-Squad Assignment'!$A:$A,MATCH(C210&amp;"-"&amp;D210&amp;"-"&amp;E210&amp;"-Pos2",'Shooter-Squad Assignment'!$V:$V,0)),""),IF(E210="Sporting Clays",IFERROR(INDEX('Shooter-Squad Assignment'!$A:$A,MATCH(C210&amp;"-"&amp;D210&amp;"-"&amp;E210&amp;"-Pos2",'Shooter-Squad Assignment'!$Y:$Y,0)),""),"")))</f>
        <v/>
      </c>
      <c r="I210" s="92" t="str">
        <f>IF(ISBLANK(H210),"",IFERROR(INDEX('Tournament List'!$D:$D,MATCH(H210,'Tournament List'!$A:$A,0)),""))</f>
        <v/>
      </c>
      <c r="J210" s="101" t="str">
        <f>IF(E210="Skeet",IFERROR(INDEX('Shooter-Squad Assignment'!$A:$A,MATCH(C210&amp;"-"&amp;D210&amp;"-"&amp;E210&amp;"-Pos3",'Shooter-Squad Assignment'!#REF!,0)),""),IF(E210="Trap",IFERROR(INDEX('Shooter-Squad Assignment'!$A:$A,MATCH(C210&amp;"-"&amp;D210&amp;"-"&amp;E210&amp;"-Pos3",'Shooter-Squad Assignment'!$V:$V,0)),""),IF(E210="Sporting Clays",IFERROR(INDEX('Shooter-Squad Assignment'!$A:$A,MATCH(C210&amp;"-"&amp;D210&amp;"-"&amp;E210&amp;"-Pos3",'Shooter-Squad Assignment'!$Y:$Y,0)),""),"")))</f>
        <v/>
      </c>
      <c r="K210" s="92" t="str">
        <f>IF(ISBLANK(J210),"",IFERROR(INDEX('Tournament List'!$D:$D,MATCH(J210,'Tournament List'!$A:$A,0)),""))</f>
        <v/>
      </c>
      <c r="L210" s="101" t="str">
        <f>IF(E210="Skeet",IFERROR(INDEX('Shooter-Squad Assignment'!$A:$A,MATCH(C210&amp;"-"&amp;D210&amp;"-"&amp;E210&amp;"-Pos4",'Shooter-Squad Assignment'!#REF!,0)),""),IF(E210="Trap",IFERROR(INDEX('Shooter-Squad Assignment'!$A:$A,MATCH(C210&amp;"-"&amp;D210&amp;"-"&amp;E210&amp;"-Pos4",'Shooter-Squad Assignment'!$V:$V,0)),""),IF(E210="Sporting Clays",IFERROR(INDEX('Shooter-Squad Assignment'!$A:$A,MATCH(C210&amp;"-"&amp;D210&amp;"-"&amp;E210&amp;"-Pos4",'Shooter-Squad Assignment'!$Y:$Y,0)),""),"")))</f>
        <v/>
      </c>
      <c r="M210" s="92" t="str">
        <f>IF(ISBLANK(L210),"",IFERROR(INDEX('Tournament List'!$D:$D,MATCH(L210,'Tournament List'!$A:$A,0)),""))</f>
        <v/>
      </c>
      <c r="N210" s="101" t="str">
        <f>IF(E210="Skeet",IFERROR(INDEX('Shooter-Squad Assignment'!$A:$A,MATCH(C210&amp;"-"&amp;D210&amp;"-"&amp;E210&amp;"-Pos5",'Shooter-Squad Assignment'!#REF!,0)),""),IF(E210="Trap",IFERROR(INDEX('Shooter-Squad Assignment'!$A:$A,MATCH(C210&amp;"-"&amp;D210&amp;"-"&amp;E210&amp;"-Pos5",'Shooter-Squad Assignment'!$V:$V,0)),""),IF(E210="Sporting Clays",IFERROR(INDEX('Shooter-Squad Assignment'!$A:$A,MATCH(C210&amp;"-"&amp;D210&amp;"-"&amp;E210&amp;"-Pos5",'Shooter-Squad Assignment'!$Y:$Y,0)),""),"")))</f>
        <v/>
      </c>
      <c r="O210" s="93" t="str">
        <f>IF(ISBLANK(N210),"",IFERROR(INDEX('Tournament List'!$D:$D,MATCH(N210,'Tournament List'!$A:$A,0)),""))</f>
        <v/>
      </c>
    </row>
    <row r="211" spans="1:15" x14ac:dyDescent="0.3">
      <c r="A211" s="91">
        <v>219</v>
      </c>
      <c r="B211" s="92" t="str">
        <f t="shared" si="3"/>
        <v>Forge Christian Shooting Team-Novice 3-Sporting Clays</v>
      </c>
      <c r="C211" s="92" t="s">
        <v>322</v>
      </c>
      <c r="D211" s="92" t="s">
        <v>351</v>
      </c>
      <c r="E211" s="92" t="s">
        <v>148</v>
      </c>
      <c r="F211" s="101" t="str">
        <f>IF(E211="Skeet",IFERROR(INDEX('Shooter-Squad Assignment'!$A:$A,MATCH(C211&amp;"-"&amp;D211&amp;"-"&amp;E211&amp;"-Pos1",'Shooter-Squad Assignment'!#REF!,0)),""),IF(E211="Trap",IFERROR(INDEX('Shooter-Squad Assignment'!$A:$A,MATCH(C211&amp;"-"&amp;D211&amp;"-"&amp;E211&amp;"-Pos1",'Shooter-Squad Assignment'!$V:$V,0)),""),IF(E211="Sporting Clays",IFERROR(INDEX('Shooter-Squad Assignment'!$A:$A,MATCH(C211&amp;"-"&amp;D211&amp;"-"&amp;E211&amp;"-Pos1",'Shooter-Squad Assignment'!$Y:$Y,0)),""),"")))</f>
        <v/>
      </c>
      <c r="G211" s="92" t="str">
        <f>IF(ISBLANK(F211),"",IFERROR(INDEX('Tournament List'!$D:$D,MATCH(F211,'Tournament List'!$A:$A,0)),""))</f>
        <v/>
      </c>
      <c r="H211" s="101" t="str">
        <f>IF(E211="Skeet",IFERROR(INDEX('Shooter-Squad Assignment'!$A:$A,MATCH(C211&amp;"-"&amp;D211&amp;"-"&amp;E211&amp;"-Pos2",'Shooter-Squad Assignment'!#REF!,0)),""),IF(E211="Trap",IFERROR(INDEX('Shooter-Squad Assignment'!$A:$A,MATCH(C211&amp;"-"&amp;D211&amp;"-"&amp;E211&amp;"-Pos2",'Shooter-Squad Assignment'!$V:$V,0)),""),IF(E211="Sporting Clays",IFERROR(INDEX('Shooter-Squad Assignment'!$A:$A,MATCH(C211&amp;"-"&amp;D211&amp;"-"&amp;E211&amp;"-Pos2",'Shooter-Squad Assignment'!$Y:$Y,0)),""),"")))</f>
        <v/>
      </c>
      <c r="I211" s="92" t="str">
        <f>IF(ISBLANK(H211),"",IFERROR(INDEX('Tournament List'!$D:$D,MATCH(H211,'Tournament List'!$A:$A,0)),""))</f>
        <v/>
      </c>
      <c r="J211" s="101" t="str">
        <f>IF(E211="Skeet",IFERROR(INDEX('Shooter-Squad Assignment'!$A:$A,MATCH(C211&amp;"-"&amp;D211&amp;"-"&amp;E211&amp;"-Pos3",'Shooter-Squad Assignment'!#REF!,0)),""),IF(E211="Trap",IFERROR(INDEX('Shooter-Squad Assignment'!$A:$A,MATCH(C211&amp;"-"&amp;D211&amp;"-"&amp;E211&amp;"-Pos3",'Shooter-Squad Assignment'!$V:$V,0)),""),IF(E211="Sporting Clays",IFERROR(INDEX('Shooter-Squad Assignment'!$A:$A,MATCH(C211&amp;"-"&amp;D211&amp;"-"&amp;E211&amp;"-Pos3",'Shooter-Squad Assignment'!$Y:$Y,0)),""),"")))</f>
        <v/>
      </c>
      <c r="K211" s="92" t="str">
        <f>IF(ISBLANK(J211),"",IFERROR(INDEX('Tournament List'!$D:$D,MATCH(J211,'Tournament List'!$A:$A,0)),""))</f>
        <v/>
      </c>
      <c r="L211" s="101" t="str">
        <f>IF(E211="Skeet",IFERROR(INDEX('Shooter-Squad Assignment'!$A:$A,MATCH(C211&amp;"-"&amp;D211&amp;"-"&amp;E211&amp;"-Pos4",'Shooter-Squad Assignment'!#REF!,0)),""),IF(E211="Trap",IFERROR(INDEX('Shooter-Squad Assignment'!$A:$A,MATCH(C211&amp;"-"&amp;D211&amp;"-"&amp;E211&amp;"-Pos4",'Shooter-Squad Assignment'!$V:$V,0)),""),IF(E211="Sporting Clays",IFERROR(INDEX('Shooter-Squad Assignment'!$A:$A,MATCH(C211&amp;"-"&amp;D211&amp;"-"&amp;E211&amp;"-Pos4",'Shooter-Squad Assignment'!$Y:$Y,0)),""),"")))</f>
        <v/>
      </c>
      <c r="M211" s="92" t="str">
        <f>IF(ISBLANK(L211),"",IFERROR(INDEX('Tournament List'!$D:$D,MATCH(L211,'Tournament List'!$A:$A,0)),""))</f>
        <v/>
      </c>
      <c r="N211" s="101" t="str">
        <f>IF(E211="Skeet",IFERROR(INDEX('Shooter-Squad Assignment'!$A:$A,MATCH(C211&amp;"-"&amp;D211&amp;"-"&amp;E211&amp;"-Pos5",'Shooter-Squad Assignment'!#REF!,0)),""),IF(E211="Trap",IFERROR(INDEX('Shooter-Squad Assignment'!$A:$A,MATCH(C211&amp;"-"&amp;D211&amp;"-"&amp;E211&amp;"-Pos5",'Shooter-Squad Assignment'!$V:$V,0)),""),IF(E211="Sporting Clays",IFERROR(INDEX('Shooter-Squad Assignment'!$A:$A,MATCH(C211&amp;"-"&amp;D211&amp;"-"&amp;E211&amp;"-Pos5",'Shooter-Squad Assignment'!$Y:$Y,0)),""),"")))</f>
        <v/>
      </c>
      <c r="O211" s="93" t="str">
        <f>IF(ISBLANK(N211),"",IFERROR(INDEX('Tournament List'!$D:$D,MATCH(N211,'Tournament List'!$A:$A,0)),""))</f>
        <v/>
      </c>
    </row>
    <row r="212" spans="1:15" x14ac:dyDescent="0.3">
      <c r="A212" s="91">
        <v>220</v>
      </c>
      <c r="B212" s="92" t="str">
        <f t="shared" si="3"/>
        <v>Forge Christian Shooting Team-Open 1-Sporting Clays</v>
      </c>
      <c r="C212" s="92" t="s">
        <v>322</v>
      </c>
      <c r="D212" s="92" t="s">
        <v>343</v>
      </c>
      <c r="E212" s="92" t="s">
        <v>148</v>
      </c>
      <c r="F212" s="101" t="str">
        <f>IF(E212="Skeet",IFERROR(INDEX('Shooter-Squad Assignment'!$A:$A,MATCH(C212&amp;"-"&amp;D212&amp;"-"&amp;E212&amp;"-Pos1",'Shooter-Squad Assignment'!#REF!,0)),""),IF(E212="Trap",IFERROR(INDEX('Shooter-Squad Assignment'!$A:$A,MATCH(C212&amp;"-"&amp;D212&amp;"-"&amp;E212&amp;"-Pos1",'Shooter-Squad Assignment'!$V:$V,0)),""),IF(E212="Sporting Clays",IFERROR(INDEX('Shooter-Squad Assignment'!$A:$A,MATCH(C212&amp;"-"&amp;D212&amp;"-"&amp;E212&amp;"-Pos1",'Shooter-Squad Assignment'!$Y:$Y,0)),""),"")))</f>
        <v/>
      </c>
      <c r="G212" s="92" t="str">
        <f>IF(ISBLANK(F212),"",IFERROR(INDEX('Tournament List'!$D:$D,MATCH(F212,'Tournament List'!$A:$A,0)),""))</f>
        <v/>
      </c>
      <c r="H212" s="101" t="str">
        <f>IF(E212="Skeet",IFERROR(INDEX('Shooter-Squad Assignment'!$A:$A,MATCH(C212&amp;"-"&amp;D212&amp;"-"&amp;E212&amp;"-Pos2",'Shooter-Squad Assignment'!#REF!,0)),""),IF(E212="Trap",IFERROR(INDEX('Shooter-Squad Assignment'!$A:$A,MATCH(C212&amp;"-"&amp;D212&amp;"-"&amp;E212&amp;"-Pos2",'Shooter-Squad Assignment'!$V:$V,0)),""),IF(E212="Sporting Clays",IFERROR(INDEX('Shooter-Squad Assignment'!$A:$A,MATCH(C212&amp;"-"&amp;D212&amp;"-"&amp;E212&amp;"-Pos2",'Shooter-Squad Assignment'!$Y:$Y,0)),""),"")))</f>
        <v/>
      </c>
      <c r="I212" s="92" t="str">
        <f>IF(ISBLANK(H212),"",IFERROR(INDEX('Tournament List'!$D:$D,MATCH(H212,'Tournament List'!$A:$A,0)),""))</f>
        <v/>
      </c>
      <c r="J212" s="101" t="str">
        <f>IF(E212="Skeet",IFERROR(INDEX('Shooter-Squad Assignment'!$A:$A,MATCH(C212&amp;"-"&amp;D212&amp;"-"&amp;E212&amp;"-Pos3",'Shooter-Squad Assignment'!#REF!,0)),""),IF(E212="Trap",IFERROR(INDEX('Shooter-Squad Assignment'!$A:$A,MATCH(C212&amp;"-"&amp;D212&amp;"-"&amp;E212&amp;"-Pos3",'Shooter-Squad Assignment'!$V:$V,0)),""),IF(E212="Sporting Clays",IFERROR(INDEX('Shooter-Squad Assignment'!$A:$A,MATCH(C212&amp;"-"&amp;D212&amp;"-"&amp;E212&amp;"-Pos3",'Shooter-Squad Assignment'!$Y:$Y,0)),""),"")))</f>
        <v/>
      </c>
      <c r="K212" s="92" t="str">
        <f>IF(ISBLANK(J212),"",IFERROR(INDEX('Tournament List'!$D:$D,MATCH(J212,'Tournament List'!$A:$A,0)),""))</f>
        <v/>
      </c>
      <c r="L212" s="101" t="str">
        <f>IF(E212="Skeet",IFERROR(INDEX('Shooter-Squad Assignment'!$A:$A,MATCH(C212&amp;"-"&amp;D212&amp;"-"&amp;E212&amp;"-Pos4",'Shooter-Squad Assignment'!#REF!,0)),""),IF(E212="Trap",IFERROR(INDEX('Shooter-Squad Assignment'!$A:$A,MATCH(C212&amp;"-"&amp;D212&amp;"-"&amp;E212&amp;"-Pos4",'Shooter-Squad Assignment'!$V:$V,0)),""),IF(E212="Sporting Clays",IFERROR(INDEX('Shooter-Squad Assignment'!$A:$A,MATCH(C212&amp;"-"&amp;D212&amp;"-"&amp;E212&amp;"-Pos4",'Shooter-Squad Assignment'!$Y:$Y,0)),""),"")))</f>
        <v/>
      </c>
      <c r="M212" s="92" t="str">
        <f>IF(ISBLANK(L212),"",IFERROR(INDEX('Tournament List'!$D:$D,MATCH(L212,'Tournament List'!$A:$A,0)),""))</f>
        <v/>
      </c>
      <c r="N212" s="101" t="str">
        <f>IF(E212="Skeet",IFERROR(INDEX('Shooter-Squad Assignment'!$A:$A,MATCH(C212&amp;"-"&amp;D212&amp;"-"&amp;E212&amp;"-Pos5",'Shooter-Squad Assignment'!#REF!,0)),""),IF(E212="Trap",IFERROR(INDEX('Shooter-Squad Assignment'!$A:$A,MATCH(C212&amp;"-"&amp;D212&amp;"-"&amp;E212&amp;"-Pos5",'Shooter-Squad Assignment'!$V:$V,0)),""),IF(E212="Sporting Clays",IFERROR(INDEX('Shooter-Squad Assignment'!$A:$A,MATCH(C212&amp;"-"&amp;D212&amp;"-"&amp;E212&amp;"-Pos5",'Shooter-Squad Assignment'!$Y:$Y,0)),""),"")))</f>
        <v/>
      </c>
      <c r="O212" s="93" t="str">
        <f>IF(ISBLANK(N212),"",IFERROR(INDEX('Tournament List'!$D:$D,MATCH(N212,'Tournament List'!$A:$A,0)),""))</f>
        <v/>
      </c>
    </row>
    <row r="213" spans="1:15" x14ac:dyDescent="0.3">
      <c r="A213" s="91">
        <v>221</v>
      </c>
      <c r="B213" s="92" t="str">
        <f t="shared" si="3"/>
        <v>Forge Christian Shooting Team-Open 2-Sporting Clays</v>
      </c>
      <c r="C213" s="92" t="s">
        <v>322</v>
      </c>
      <c r="D213" s="92" t="s">
        <v>349</v>
      </c>
      <c r="E213" s="92" t="s">
        <v>148</v>
      </c>
      <c r="F213" s="101" t="str">
        <f>IF(E213="Skeet",IFERROR(INDEX('Shooter-Squad Assignment'!$A:$A,MATCH(C213&amp;"-"&amp;D213&amp;"-"&amp;E213&amp;"-Pos1",'Shooter-Squad Assignment'!#REF!,0)),""),IF(E213="Trap",IFERROR(INDEX('Shooter-Squad Assignment'!$A:$A,MATCH(C213&amp;"-"&amp;D213&amp;"-"&amp;E213&amp;"-Pos1",'Shooter-Squad Assignment'!$V:$V,0)),""),IF(E213="Sporting Clays",IFERROR(INDEX('Shooter-Squad Assignment'!$A:$A,MATCH(C213&amp;"-"&amp;D213&amp;"-"&amp;E213&amp;"-Pos1",'Shooter-Squad Assignment'!$Y:$Y,0)),""),"")))</f>
        <v/>
      </c>
      <c r="G213" s="92" t="str">
        <f>IF(ISBLANK(F213),"",IFERROR(INDEX('Tournament List'!$D:$D,MATCH(F213,'Tournament List'!$A:$A,0)),""))</f>
        <v/>
      </c>
      <c r="H213" s="101" t="str">
        <f>IF(E213="Skeet",IFERROR(INDEX('Shooter-Squad Assignment'!$A:$A,MATCH(C213&amp;"-"&amp;D213&amp;"-"&amp;E213&amp;"-Pos2",'Shooter-Squad Assignment'!#REF!,0)),""),IF(E213="Trap",IFERROR(INDEX('Shooter-Squad Assignment'!$A:$A,MATCH(C213&amp;"-"&amp;D213&amp;"-"&amp;E213&amp;"-Pos2",'Shooter-Squad Assignment'!$V:$V,0)),""),IF(E213="Sporting Clays",IFERROR(INDEX('Shooter-Squad Assignment'!$A:$A,MATCH(C213&amp;"-"&amp;D213&amp;"-"&amp;E213&amp;"-Pos2",'Shooter-Squad Assignment'!$Y:$Y,0)),""),"")))</f>
        <v/>
      </c>
      <c r="I213" s="92" t="str">
        <f>IF(ISBLANK(H213),"",IFERROR(INDEX('Tournament List'!$D:$D,MATCH(H213,'Tournament List'!$A:$A,0)),""))</f>
        <v/>
      </c>
      <c r="J213" s="101" t="str">
        <f>IF(E213="Skeet",IFERROR(INDEX('Shooter-Squad Assignment'!$A:$A,MATCH(C213&amp;"-"&amp;D213&amp;"-"&amp;E213&amp;"-Pos3",'Shooter-Squad Assignment'!#REF!,0)),""),IF(E213="Trap",IFERROR(INDEX('Shooter-Squad Assignment'!$A:$A,MATCH(C213&amp;"-"&amp;D213&amp;"-"&amp;E213&amp;"-Pos3",'Shooter-Squad Assignment'!$V:$V,0)),""),IF(E213="Sporting Clays",IFERROR(INDEX('Shooter-Squad Assignment'!$A:$A,MATCH(C213&amp;"-"&amp;D213&amp;"-"&amp;E213&amp;"-Pos3",'Shooter-Squad Assignment'!$Y:$Y,0)),""),"")))</f>
        <v/>
      </c>
      <c r="K213" s="92" t="str">
        <f>IF(ISBLANK(J213),"",IFERROR(INDEX('Tournament List'!$D:$D,MATCH(J213,'Tournament List'!$A:$A,0)),""))</f>
        <v/>
      </c>
      <c r="L213" s="101" t="str">
        <f>IF(E213="Skeet",IFERROR(INDEX('Shooter-Squad Assignment'!$A:$A,MATCH(C213&amp;"-"&amp;D213&amp;"-"&amp;E213&amp;"-Pos4",'Shooter-Squad Assignment'!#REF!,0)),""),IF(E213="Trap",IFERROR(INDEX('Shooter-Squad Assignment'!$A:$A,MATCH(C213&amp;"-"&amp;D213&amp;"-"&amp;E213&amp;"-Pos4",'Shooter-Squad Assignment'!$V:$V,0)),""),IF(E213="Sporting Clays",IFERROR(INDEX('Shooter-Squad Assignment'!$A:$A,MATCH(C213&amp;"-"&amp;D213&amp;"-"&amp;E213&amp;"-Pos4",'Shooter-Squad Assignment'!$Y:$Y,0)),""),"")))</f>
        <v/>
      </c>
      <c r="M213" s="92" t="str">
        <f>IF(ISBLANK(L213),"",IFERROR(INDEX('Tournament List'!$D:$D,MATCH(L213,'Tournament List'!$A:$A,0)),""))</f>
        <v/>
      </c>
      <c r="N213" s="101" t="str">
        <f>IF(E213="Skeet",IFERROR(INDEX('Shooter-Squad Assignment'!$A:$A,MATCH(C213&amp;"-"&amp;D213&amp;"-"&amp;E213&amp;"-Pos5",'Shooter-Squad Assignment'!#REF!,0)),""),IF(E213="Trap",IFERROR(INDEX('Shooter-Squad Assignment'!$A:$A,MATCH(C213&amp;"-"&amp;D213&amp;"-"&amp;E213&amp;"-Pos5",'Shooter-Squad Assignment'!$V:$V,0)),""),IF(E213="Sporting Clays",IFERROR(INDEX('Shooter-Squad Assignment'!$A:$A,MATCH(C213&amp;"-"&amp;D213&amp;"-"&amp;E213&amp;"-Pos5",'Shooter-Squad Assignment'!$Y:$Y,0)),""),"")))</f>
        <v/>
      </c>
      <c r="O213" s="93" t="str">
        <f>IF(ISBLANK(N213),"",IFERROR(INDEX('Tournament List'!$D:$D,MATCH(N213,'Tournament List'!$A:$A,0)),""))</f>
        <v/>
      </c>
    </row>
    <row r="214" spans="1:15" x14ac:dyDescent="0.3">
      <c r="A214" s="91">
        <v>222</v>
      </c>
      <c r="B214" s="92" t="str">
        <f t="shared" si="3"/>
        <v>Forge Christian Shooting Team-Open 3-Sporting Clays</v>
      </c>
      <c r="C214" s="92" t="s">
        <v>322</v>
      </c>
      <c r="D214" s="92" t="s">
        <v>355</v>
      </c>
      <c r="E214" s="92" t="s">
        <v>148</v>
      </c>
      <c r="F214" s="101" t="str">
        <f>IF(E214="Skeet",IFERROR(INDEX('Shooter-Squad Assignment'!$A:$A,MATCH(C214&amp;"-"&amp;D214&amp;"-"&amp;E214&amp;"-Pos1",'Shooter-Squad Assignment'!#REF!,0)),""),IF(E214="Trap",IFERROR(INDEX('Shooter-Squad Assignment'!$A:$A,MATCH(C214&amp;"-"&amp;D214&amp;"-"&amp;E214&amp;"-Pos1",'Shooter-Squad Assignment'!$V:$V,0)),""),IF(E214="Sporting Clays",IFERROR(INDEX('Shooter-Squad Assignment'!$A:$A,MATCH(C214&amp;"-"&amp;D214&amp;"-"&amp;E214&amp;"-Pos1",'Shooter-Squad Assignment'!$Y:$Y,0)),""),"")))</f>
        <v/>
      </c>
      <c r="G214" s="92" t="str">
        <f>IF(ISBLANK(F214),"",IFERROR(INDEX('Tournament List'!$D:$D,MATCH(F214,'Tournament List'!$A:$A,0)),""))</f>
        <v/>
      </c>
      <c r="H214" s="101" t="str">
        <f>IF(E214="Skeet",IFERROR(INDEX('Shooter-Squad Assignment'!$A:$A,MATCH(C214&amp;"-"&amp;D214&amp;"-"&amp;E214&amp;"-Pos2",'Shooter-Squad Assignment'!#REF!,0)),""),IF(E214="Trap",IFERROR(INDEX('Shooter-Squad Assignment'!$A:$A,MATCH(C214&amp;"-"&amp;D214&amp;"-"&amp;E214&amp;"-Pos2",'Shooter-Squad Assignment'!$V:$V,0)),""),IF(E214="Sporting Clays",IFERROR(INDEX('Shooter-Squad Assignment'!$A:$A,MATCH(C214&amp;"-"&amp;D214&amp;"-"&amp;E214&amp;"-Pos2",'Shooter-Squad Assignment'!$Y:$Y,0)),""),"")))</f>
        <v/>
      </c>
      <c r="I214" s="92" t="str">
        <f>IF(ISBLANK(H214),"",IFERROR(INDEX('Tournament List'!$D:$D,MATCH(H214,'Tournament List'!$A:$A,0)),""))</f>
        <v/>
      </c>
      <c r="J214" s="101" t="str">
        <f>IF(E214="Skeet",IFERROR(INDEX('Shooter-Squad Assignment'!$A:$A,MATCH(C214&amp;"-"&amp;D214&amp;"-"&amp;E214&amp;"-Pos3",'Shooter-Squad Assignment'!#REF!,0)),""),IF(E214="Trap",IFERROR(INDEX('Shooter-Squad Assignment'!$A:$A,MATCH(C214&amp;"-"&amp;D214&amp;"-"&amp;E214&amp;"-Pos3",'Shooter-Squad Assignment'!$V:$V,0)),""),IF(E214="Sporting Clays",IFERROR(INDEX('Shooter-Squad Assignment'!$A:$A,MATCH(C214&amp;"-"&amp;D214&amp;"-"&amp;E214&amp;"-Pos3",'Shooter-Squad Assignment'!$Y:$Y,0)),""),"")))</f>
        <v/>
      </c>
      <c r="K214" s="92" t="str">
        <f>IF(ISBLANK(J214),"",IFERROR(INDEX('Tournament List'!$D:$D,MATCH(J214,'Tournament List'!$A:$A,0)),""))</f>
        <v/>
      </c>
      <c r="L214" s="101" t="str">
        <f>IF(E214="Skeet",IFERROR(INDEX('Shooter-Squad Assignment'!$A:$A,MATCH(C214&amp;"-"&amp;D214&amp;"-"&amp;E214&amp;"-Pos4",'Shooter-Squad Assignment'!#REF!,0)),""),IF(E214="Trap",IFERROR(INDEX('Shooter-Squad Assignment'!$A:$A,MATCH(C214&amp;"-"&amp;D214&amp;"-"&amp;E214&amp;"-Pos4",'Shooter-Squad Assignment'!$V:$V,0)),""),IF(E214="Sporting Clays",IFERROR(INDEX('Shooter-Squad Assignment'!$A:$A,MATCH(C214&amp;"-"&amp;D214&amp;"-"&amp;E214&amp;"-Pos4",'Shooter-Squad Assignment'!$Y:$Y,0)),""),"")))</f>
        <v/>
      </c>
      <c r="M214" s="92" t="str">
        <f>IF(ISBLANK(L214),"",IFERROR(INDEX('Tournament List'!$D:$D,MATCH(L214,'Tournament List'!$A:$A,0)),""))</f>
        <v/>
      </c>
      <c r="N214" s="101" t="str">
        <f>IF(E214="Skeet",IFERROR(INDEX('Shooter-Squad Assignment'!$A:$A,MATCH(C214&amp;"-"&amp;D214&amp;"-"&amp;E214&amp;"-Pos5",'Shooter-Squad Assignment'!#REF!,0)),""),IF(E214="Trap",IFERROR(INDEX('Shooter-Squad Assignment'!$A:$A,MATCH(C214&amp;"-"&amp;D214&amp;"-"&amp;E214&amp;"-Pos5",'Shooter-Squad Assignment'!$V:$V,0)),""),IF(E214="Sporting Clays",IFERROR(INDEX('Shooter-Squad Assignment'!$A:$A,MATCH(C214&amp;"-"&amp;D214&amp;"-"&amp;E214&amp;"-Pos5",'Shooter-Squad Assignment'!$Y:$Y,0)),""),"")))</f>
        <v/>
      </c>
      <c r="O214" s="93" t="str">
        <f>IF(ISBLANK(N214),"",IFERROR(INDEX('Tournament List'!$D:$D,MATCH(N214,'Tournament List'!$A:$A,0)),""))</f>
        <v/>
      </c>
    </row>
    <row r="215" spans="1:15" x14ac:dyDescent="0.3">
      <c r="A215" s="91">
        <v>223</v>
      </c>
      <c r="B215" s="92" t="str">
        <f t="shared" si="3"/>
        <v>Forge Christian Shooting Team-Varsity 1-Sporting Clays</v>
      </c>
      <c r="C215" s="92" t="s">
        <v>322</v>
      </c>
      <c r="D215" s="92" t="s">
        <v>342</v>
      </c>
      <c r="E215" s="92" t="s">
        <v>148</v>
      </c>
      <c r="F215" s="101" t="str">
        <f>IF(E215="Skeet",IFERROR(INDEX('Shooter-Squad Assignment'!$A:$A,MATCH(C215&amp;"-"&amp;D215&amp;"-"&amp;E215&amp;"-Pos1",'Shooter-Squad Assignment'!#REF!,0)),""),IF(E215="Trap",IFERROR(INDEX('Shooter-Squad Assignment'!$A:$A,MATCH(C215&amp;"-"&amp;D215&amp;"-"&amp;E215&amp;"-Pos1",'Shooter-Squad Assignment'!$V:$V,0)),""),IF(E215="Sporting Clays",IFERROR(INDEX('Shooter-Squad Assignment'!$A:$A,MATCH(C215&amp;"-"&amp;D215&amp;"-"&amp;E215&amp;"-Pos1",'Shooter-Squad Assignment'!$Y:$Y,0)),""),"")))</f>
        <v/>
      </c>
      <c r="G215" s="92" t="str">
        <f>IF(ISBLANK(F215),"",IFERROR(INDEX('Tournament List'!$D:$D,MATCH(F215,'Tournament List'!$A:$A,0)),""))</f>
        <v/>
      </c>
      <c r="H215" s="101" t="str">
        <f>IF(E215="Skeet",IFERROR(INDEX('Shooter-Squad Assignment'!$A:$A,MATCH(C215&amp;"-"&amp;D215&amp;"-"&amp;E215&amp;"-Pos2",'Shooter-Squad Assignment'!#REF!,0)),""),IF(E215="Trap",IFERROR(INDEX('Shooter-Squad Assignment'!$A:$A,MATCH(C215&amp;"-"&amp;D215&amp;"-"&amp;E215&amp;"-Pos2",'Shooter-Squad Assignment'!$V:$V,0)),""),IF(E215="Sporting Clays",IFERROR(INDEX('Shooter-Squad Assignment'!$A:$A,MATCH(C215&amp;"-"&amp;D215&amp;"-"&amp;E215&amp;"-Pos2",'Shooter-Squad Assignment'!$Y:$Y,0)),""),"")))</f>
        <v/>
      </c>
      <c r="I215" s="92" t="str">
        <f>IF(ISBLANK(H215),"",IFERROR(INDEX('Tournament List'!$D:$D,MATCH(H215,'Tournament List'!$A:$A,0)),""))</f>
        <v/>
      </c>
      <c r="J215" s="101" t="str">
        <f>IF(E215="Skeet",IFERROR(INDEX('Shooter-Squad Assignment'!$A:$A,MATCH(C215&amp;"-"&amp;D215&amp;"-"&amp;E215&amp;"-Pos3",'Shooter-Squad Assignment'!#REF!,0)),""),IF(E215="Trap",IFERROR(INDEX('Shooter-Squad Assignment'!$A:$A,MATCH(C215&amp;"-"&amp;D215&amp;"-"&amp;E215&amp;"-Pos3",'Shooter-Squad Assignment'!$V:$V,0)),""),IF(E215="Sporting Clays",IFERROR(INDEX('Shooter-Squad Assignment'!$A:$A,MATCH(C215&amp;"-"&amp;D215&amp;"-"&amp;E215&amp;"-Pos3",'Shooter-Squad Assignment'!$Y:$Y,0)),""),"")))</f>
        <v/>
      </c>
      <c r="K215" s="92" t="str">
        <f>IF(ISBLANK(J215),"",IFERROR(INDEX('Tournament List'!$D:$D,MATCH(J215,'Tournament List'!$A:$A,0)),""))</f>
        <v/>
      </c>
      <c r="L215" s="101" t="str">
        <f>IF(E215="Skeet",IFERROR(INDEX('Shooter-Squad Assignment'!$A:$A,MATCH(C215&amp;"-"&amp;D215&amp;"-"&amp;E215&amp;"-Pos4",'Shooter-Squad Assignment'!#REF!,0)),""),IF(E215="Trap",IFERROR(INDEX('Shooter-Squad Assignment'!$A:$A,MATCH(C215&amp;"-"&amp;D215&amp;"-"&amp;E215&amp;"-Pos4",'Shooter-Squad Assignment'!$V:$V,0)),""),IF(E215="Sporting Clays",IFERROR(INDEX('Shooter-Squad Assignment'!$A:$A,MATCH(C215&amp;"-"&amp;D215&amp;"-"&amp;E215&amp;"-Pos4",'Shooter-Squad Assignment'!$Y:$Y,0)),""),"")))</f>
        <v/>
      </c>
      <c r="M215" s="92" t="str">
        <f>IF(ISBLANK(L215),"",IFERROR(INDEX('Tournament List'!$D:$D,MATCH(L215,'Tournament List'!$A:$A,0)),""))</f>
        <v/>
      </c>
      <c r="N215" s="101" t="str">
        <f>IF(E215="Skeet",IFERROR(INDEX('Shooter-Squad Assignment'!$A:$A,MATCH(C215&amp;"-"&amp;D215&amp;"-"&amp;E215&amp;"-Pos5",'Shooter-Squad Assignment'!#REF!,0)),""),IF(E215="Trap",IFERROR(INDEX('Shooter-Squad Assignment'!$A:$A,MATCH(C215&amp;"-"&amp;D215&amp;"-"&amp;E215&amp;"-Pos5",'Shooter-Squad Assignment'!$V:$V,0)),""),IF(E215="Sporting Clays",IFERROR(INDEX('Shooter-Squad Assignment'!$A:$A,MATCH(C215&amp;"-"&amp;D215&amp;"-"&amp;E215&amp;"-Pos5",'Shooter-Squad Assignment'!$Y:$Y,0)),""),"")))</f>
        <v/>
      </c>
      <c r="O215" s="93" t="str">
        <f>IF(ISBLANK(N215),"",IFERROR(INDEX('Tournament List'!$D:$D,MATCH(N215,'Tournament List'!$A:$A,0)),""))</f>
        <v/>
      </c>
    </row>
    <row r="216" spans="1:15" x14ac:dyDescent="0.3">
      <c r="A216" s="91">
        <v>224</v>
      </c>
      <c r="B216" s="92" t="str">
        <f t="shared" si="3"/>
        <v>Forge Christian Shooting Team-Varsity 2-Sporting Clays</v>
      </c>
      <c r="C216" s="92" t="s">
        <v>322</v>
      </c>
      <c r="D216" s="92" t="s">
        <v>348</v>
      </c>
      <c r="E216" s="92" t="s">
        <v>148</v>
      </c>
      <c r="F216" s="101" t="str">
        <f>IF(E216="Skeet",IFERROR(INDEX('Shooter-Squad Assignment'!$A:$A,MATCH(C216&amp;"-"&amp;D216&amp;"-"&amp;E216&amp;"-Pos1",'Shooter-Squad Assignment'!#REF!,0)),""),IF(E216="Trap",IFERROR(INDEX('Shooter-Squad Assignment'!$A:$A,MATCH(C216&amp;"-"&amp;D216&amp;"-"&amp;E216&amp;"-Pos1",'Shooter-Squad Assignment'!$V:$V,0)),""),IF(E216="Sporting Clays",IFERROR(INDEX('Shooter-Squad Assignment'!$A:$A,MATCH(C216&amp;"-"&amp;D216&amp;"-"&amp;E216&amp;"-Pos1",'Shooter-Squad Assignment'!$Y:$Y,0)),""),"")))</f>
        <v/>
      </c>
      <c r="G216" s="92" t="str">
        <f>IF(ISBLANK(F216),"",IFERROR(INDEX('Tournament List'!$D:$D,MATCH(F216,'Tournament List'!$A:$A,0)),""))</f>
        <v/>
      </c>
      <c r="H216" s="101" t="str">
        <f>IF(E216="Skeet",IFERROR(INDEX('Shooter-Squad Assignment'!$A:$A,MATCH(C216&amp;"-"&amp;D216&amp;"-"&amp;E216&amp;"-Pos2",'Shooter-Squad Assignment'!#REF!,0)),""),IF(E216="Trap",IFERROR(INDEX('Shooter-Squad Assignment'!$A:$A,MATCH(C216&amp;"-"&amp;D216&amp;"-"&amp;E216&amp;"-Pos2",'Shooter-Squad Assignment'!$V:$V,0)),""),IF(E216="Sporting Clays",IFERROR(INDEX('Shooter-Squad Assignment'!$A:$A,MATCH(C216&amp;"-"&amp;D216&amp;"-"&amp;E216&amp;"-Pos2",'Shooter-Squad Assignment'!$Y:$Y,0)),""),"")))</f>
        <v/>
      </c>
      <c r="I216" s="92" t="str">
        <f>IF(ISBLANK(H216),"",IFERROR(INDEX('Tournament List'!$D:$D,MATCH(H216,'Tournament List'!$A:$A,0)),""))</f>
        <v/>
      </c>
      <c r="J216" s="101" t="str">
        <f>IF(E216="Skeet",IFERROR(INDEX('Shooter-Squad Assignment'!$A:$A,MATCH(C216&amp;"-"&amp;D216&amp;"-"&amp;E216&amp;"-Pos3",'Shooter-Squad Assignment'!#REF!,0)),""),IF(E216="Trap",IFERROR(INDEX('Shooter-Squad Assignment'!$A:$A,MATCH(C216&amp;"-"&amp;D216&amp;"-"&amp;E216&amp;"-Pos3",'Shooter-Squad Assignment'!$V:$V,0)),""),IF(E216="Sporting Clays",IFERROR(INDEX('Shooter-Squad Assignment'!$A:$A,MATCH(C216&amp;"-"&amp;D216&amp;"-"&amp;E216&amp;"-Pos3",'Shooter-Squad Assignment'!$Y:$Y,0)),""),"")))</f>
        <v/>
      </c>
      <c r="K216" s="92" t="str">
        <f>IF(ISBLANK(J216),"",IFERROR(INDEX('Tournament List'!$D:$D,MATCH(J216,'Tournament List'!$A:$A,0)),""))</f>
        <v/>
      </c>
      <c r="L216" s="101" t="str">
        <f>IF(E216="Skeet",IFERROR(INDEX('Shooter-Squad Assignment'!$A:$A,MATCH(C216&amp;"-"&amp;D216&amp;"-"&amp;E216&amp;"-Pos4",'Shooter-Squad Assignment'!#REF!,0)),""),IF(E216="Trap",IFERROR(INDEX('Shooter-Squad Assignment'!$A:$A,MATCH(C216&amp;"-"&amp;D216&amp;"-"&amp;E216&amp;"-Pos4",'Shooter-Squad Assignment'!$V:$V,0)),""),IF(E216="Sporting Clays",IFERROR(INDEX('Shooter-Squad Assignment'!$A:$A,MATCH(C216&amp;"-"&amp;D216&amp;"-"&amp;E216&amp;"-Pos4",'Shooter-Squad Assignment'!$Y:$Y,0)),""),"")))</f>
        <v/>
      </c>
      <c r="M216" s="92" t="str">
        <f>IF(ISBLANK(L216),"",IFERROR(INDEX('Tournament List'!$D:$D,MATCH(L216,'Tournament List'!$A:$A,0)),""))</f>
        <v/>
      </c>
      <c r="N216" s="101" t="str">
        <f>IF(E216="Skeet",IFERROR(INDEX('Shooter-Squad Assignment'!$A:$A,MATCH(C216&amp;"-"&amp;D216&amp;"-"&amp;E216&amp;"-Pos5",'Shooter-Squad Assignment'!#REF!,0)),""),IF(E216="Trap",IFERROR(INDEX('Shooter-Squad Assignment'!$A:$A,MATCH(C216&amp;"-"&amp;D216&amp;"-"&amp;E216&amp;"-Pos5",'Shooter-Squad Assignment'!$V:$V,0)),""),IF(E216="Sporting Clays",IFERROR(INDEX('Shooter-Squad Assignment'!$A:$A,MATCH(C216&amp;"-"&amp;D216&amp;"-"&amp;E216&amp;"-Pos5",'Shooter-Squad Assignment'!$Y:$Y,0)),""),"")))</f>
        <v/>
      </c>
      <c r="O216" s="93" t="str">
        <f>IF(ISBLANK(N216),"",IFERROR(INDEX('Tournament List'!$D:$D,MATCH(N216,'Tournament List'!$A:$A,0)),""))</f>
        <v/>
      </c>
    </row>
    <row r="217" spans="1:15" ht="15" thickBot="1" x14ac:dyDescent="0.35">
      <c r="A217" s="94">
        <v>225</v>
      </c>
      <c r="B217" s="95" t="str">
        <f t="shared" si="3"/>
        <v>Forge Christian Shooting Team-Varsity 3-Sporting Clays</v>
      </c>
      <c r="C217" s="95" t="s">
        <v>322</v>
      </c>
      <c r="D217" s="95" t="s">
        <v>354</v>
      </c>
      <c r="E217" s="95" t="s">
        <v>148</v>
      </c>
      <c r="F217" s="102" t="str">
        <f>IF(E217="Skeet",IFERROR(INDEX('Shooter-Squad Assignment'!$A:$A,MATCH(C217&amp;"-"&amp;D217&amp;"-"&amp;E217&amp;"-Pos1",'Shooter-Squad Assignment'!#REF!,0)),""),IF(E217="Trap",IFERROR(INDEX('Shooter-Squad Assignment'!$A:$A,MATCH(C217&amp;"-"&amp;D217&amp;"-"&amp;E217&amp;"-Pos1",'Shooter-Squad Assignment'!$V:$V,0)),""),IF(E217="Sporting Clays",IFERROR(INDEX('Shooter-Squad Assignment'!$A:$A,MATCH(C217&amp;"-"&amp;D217&amp;"-"&amp;E217&amp;"-Pos1",'Shooter-Squad Assignment'!$Y:$Y,0)),""),"")))</f>
        <v/>
      </c>
      <c r="G217" s="95" t="str">
        <f>IF(ISBLANK(F217),"",IFERROR(INDEX('Tournament List'!$D:$D,MATCH(F217,'Tournament List'!$A:$A,0)),""))</f>
        <v/>
      </c>
      <c r="H217" s="102" t="str">
        <f>IF(E217="Skeet",IFERROR(INDEX('Shooter-Squad Assignment'!$A:$A,MATCH(C217&amp;"-"&amp;D217&amp;"-"&amp;E217&amp;"-Pos2",'Shooter-Squad Assignment'!#REF!,0)),""),IF(E217="Trap",IFERROR(INDEX('Shooter-Squad Assignment'!$A:$A,MATCH(C217&amp;"-"&amp;D217&amp;"-"&amp;E217&amp;"-Pos2",'Shooter-Squad Assignment'!$V:$V,0)),""),IF(E217="Sporting Clays",IFERROR(INDEX('Shooter-Squad Assignment'!$A:$A,MATCH(C217&amp;"-"&amp;D217&amp;"-"&amp;E217&amp;"-Pos2",'Shooter-Squad Assignment'!$Y:$Y,0)),""),"")))</f>
        <v/>
      </c>
      <c r="I217" s="95" t="str">
        <f>IF(ISBLANK(H217),"",IFERROR(INDEX('Tournament List'!$D:$D,MATCH(H217,'Tournament List'!$A:$A,0)),""))</f>
        <v/>
      </c>
      <c r="J217" s="102" t="str">
        <f>IF(E217="Skeet",IFERROR(INDEX('Shooter-Squad Assignment'!$A:$A,MATCH(C217&amp;"-"&amp;D217&amp;"-"&amp;E217&amp;"-Pos3",'Shooter-Squad Assignment'!#REF!,0)),""),IF(E217="Trap",IFERROR(INDEX('Shooter-Squad Assignment'!$A:$A,MATCH(C217&amp;"-"&amp;D217&amp;"-"&amp;E217&amp;"-Pos3",'Shooter-Squad Assignment'!$V:$V,0)),""),IF(E217="Sporting Clays",IFERROR(INDEX('Shooter-Squad Assignment'!$A:$A,MATCH(C217&amp;"-"&amp;D217&amp;"-"&amp;E217&amp;"-Pos3",'Shooter-Squad Assignment'!$Y:$Y,0)),""),"")))</f>
        <v/>
      </c>
      <c r="K217" s="95" t="str">
        <f>IF(ISBLANK(J217),"",IFERROR(INDEX('Tournament List'!$D:$D,MATCH(J217,'Tournament List'!$A:$A,0)),""))</f>
        <v/>
      </c>
      <c r="L217" s="102" t="str">
        <f>IF(E217="Skeet",IFERROR(INDEX('Shooter-Squad Assignment'!$A:$A,MATCH(C217&amp;"-"&amp;D217&amp;"-"&amp;E217&amp;"-Pos4",'Shooter-Squad Assignment'!#REF!,0)),""),IF(E217="Trap",IFERROR(INDEX('Shooter-Squad Assignment'!$A:$A,MATCH(C217&amp;"-"&amp;D217&amp;"-"&amp;E217&amp;"-Pos4",'Shooter-Squad Assignment'!$V:$V,0)),""),IF(E217="Sporting Clays",IFERROR(INDEX('Shooter-Squad Assignment'!$A:$A,MATCH(C217&amp;"-"&amp;D217&amp;"-"&amp;E217&amp;"-Pos4",'Shooter-Squad Assignment'!$Y:$Y,0)),""),"")))</f>
        <v/>
      </c>
      <c r="M217" s="95" t="str">
        <f>IF(ISBLANK(L217),"",IFERROR(INDEX('Tournament List'!$D:$D,MATCH(L217,'Tournament List'!$A:$A,0)),""))</f>
        <v/>
      </c>
      <c r="N217" s="102" t="str">
        <f>IF(E217="Skeet",IFERROR(INDEX('Shooter-Squad Assignment'!$A:$A,MATCH(C217&amp;"-"&amp;D217&amp;"-"&amp;E217&amp;"-Pos5",'Shooter-Squad Assignment'!#REF!,0)),""),IF(E217="Trap",IFERROR(INDEX('Shooter-Squad Assignment'!$A:$A,MATCH(C217&amp;"-"&amp;D217&amp;"-"&amp;E217&amp;"-Pos5",'Shooter-Squad Assignment'!$V:$V,0)),""),IF(E217="Sporting Clays",IFERROR(INDEX('Shooter-Squad Assignment'!$A:$A,MATCH(C217&amp;"-"&amp;D217&amp;"-"&amp;E217&amp;"-Pos5",'Shooter-Squad Assignment'!$Y:$Y,0)),""),"")))</f>
        <v/>
      </c>
      <c r="O217" s="96" t="str">
        <f>IF(ISBLANK(N217),"",IFERROR(INDEX('Tournament List'!$D:$D,MATCH(N217,'Tournament List'!$A:$A,0)),""))</f>
        <v/>
      </c>
    </row>
    <row r="218" spans="1:15" x14ac:dyDescent="0.3">
      <c r="A218" s="76">
        <v>226</v>
      </c>
      <c r="B218" s="77" t="str">
        <f t="shared" si="3"/>
        <v>Brighton Clay Crushers-Collegiate 1-Skeet</v>
      </c>
      <c r="C218" s="77" t="s">
        <v>323</v>
      </c>
      <c r="D218" s="77" t="s">
        <v>344</v>
      </c>
      <c r="E218" s="77" t="s">
        <v>143</v>
      </c>
      <c r="F218" s="97" t="str">
        <f>IF(E218="Skeet",IFERROR(INDEX('Shooter-Squad Assignment'!$A:$A,MATCH(C218&amp;"-"&amp;D218&amp;"-"&amp;E218&amp;"-Pos1",'Shooter-Squad Assignment'!#REF!,0)),""),IF(E218="Trap",IFERROR(INDEX('Shooter-Squad Assignment'!$A:$A,MATCH(C218&amp;"-"&amp;D218&amp;"-"&amp;E218&amp;"-Pos1",'Shooter-Squad Assignment'!$V:$V,0)),""),IF(E218="Sporting Clays",IFERROR(INDEX('Shooter-Squad Assignment'!$A:$A,MATCH(C218&amp;"-"&amp;D218&amp;"-"&amp;E218&amp;"-Pos1",'Shooter-Squad Assignment'!$Y:$Y,0)),""),"")))</f>
        <v/>
      </c>
      <c r="G218" s="77" t="str">
        <f>IF(ISBLANK(F218),"",IFERROR(INDEX('Tournament List'!$D:$D,MATCH(F218,'Tournament List'!$A:$A,0)),""))</f>
        <v/>
      </c>
      <c r="H218" s="97" t="str">
        <f>IF(E218="Skeet",IFERROR(INDEX('Shooter-Squad Assignment'!$A:$A,MATCH(C218&amp;"-"&amp;D218&amp;"-"&amp;E218&amp;"-Pos2",'Shooter-Squad Assignment'!#REF!,0)),""),IF(E218="Trap",IFERROR(INDEX('Shooter-Squad Assignment'!$A:$A,MATCH(C218&amp;"-"&amp;D218&amp;"-"&amp;E218&amp;"-Pos2",'Shooter-Squad Assignment'!$V:$V,0)),""),IF(E218="Sporting Clays",IFERROR(INDEX('Shooter-Squad Assignment'!$A:$A,MATCH(C218&amp;"-"&amp;D218&amp;"-"&amp;E218&amp;"-Pos2",'Shooter-Squad Assignment'!$Y:$Y,0)),""),"")))</f>
        <v/>
      </c>
      <c r="I218" s="77" t="str">
        <f>IF(ISBLANK(H218),"",IFERROR(INDEX('Tournament List'!$D:$D,MATCH(H218,'Tournament List'!$A:$A,0)),""))</f>
        <v/>
      </c>
      <c r="J218" s="97" t="str">
        <f>IF(E218="Skeet",IFERROR(INDEX('Shooter-Squad Assignment'!$A:$A,MATCH(C218&amp;"-"&amp;D218&amp;"-"&amp;E218&amp;"-Pos3",'Shooter-Squad Assignment'!#REF!,0)),""),IF(E218="Trap",IFERROR(INDEX('Shooter-Squad Assignment'!$A:$A,MATCH(C218&amp;"-"&amp;D218&amp;"-"&amp;E218&amp;"-Pos3",'Shooter-Squad Assignment'!$V:$V,0)),""),IF(E218="Sporting Clays",IFERROR(INDEX('Shooter-Squad Assignment'!$A:$A,MATCH(C218&amp;"-"&amp;D218&amp;"-"&amp;E218&amp;"-Pos3",'Shooter-Squad Assignment'!$Y:$Y,0)),""),"")))</f>
        <v/>
      </c>
      <c r="K218" s="77" t="str">
        <f>IF(ISBLANK(J218),"",IFERROR(INDEX('Tournament List'!$D:$D,MATCH(J218,'Tournament List'!$A:$A,0)),""))</f>
        <v/>
      </c>
      <c r="L218" s="97" t="str">
        <f>IF(E218="Skeet",IFERROR(INDEX('Shooter-Squad Assignment'!$A:$A,MATCH(C218&amp;"-"&amp;D218&amp;"-"&amp;E218&amp;"-Pos4",'Shooter-Squad Assignment'!#REF!,0)),""),IF(E218="Trap",IFERROR(INDEX('Shooter-Squad Assignment'!$A:$A,MATCH(C218&amp;"-"&amp;D218&amp;"-"&amp;E218&amp;"-Pos4",'Shooter-Squad Assignment'!$V:$V,0)),""),IF(E218="Sporting Clays",IFERROR(INDEX('Shooter-Squad Assignment'!$A:$A,MATCH(C218&amp;"-"&amp;D218&amp;"-"&amp;E218&amp;"-Pos4",'Shooter-Squad Assignment'!$Y:$Y,0)),""),"")))</f>
        <v/>
      </c>
      <c r="M218" s="77" t="str">
        <f>IF(ISBLANK(L218),"",IFERROR(INDEX('Tournament List'!$D:$D,MATCH(L218,'Tournament List'!$A:$A,0)),""))</f>
        <v/>
      </c>
      <c r="N218" s="97" t="str">
        <f>IF(E218="Skeet",IFERROR(INDEX('Shooter-Squad Assignment'!$A:$A,MATCH(C218&amp;"-"&amp;D218&amp;"-"&amp;E218&amp;"-Pos5",'Shooter-Squad Assignment'!#REF!,0)),""),IF(E218="Trap",IFERROR(INDEX('Shooter-Squad Assignment'!$A:$A,MATCH(C218&amp;"-"&amp;D218&amp;"-"&amp;E218&amp;"-Pos5",'Shooter-Squad Assignment'!$V:$V,0)),""),IF(E218="Sporting Clays",IFERROR(INDEX('Shooter-Squad Assignment'!$A:$A,MATCH(C218&amp;"-"&amp;D218&amp;"-"&amp;E218&amp;"-Pos5",'Shooter-Squad Assignment'!$Y:$Y,0)),""),"")))</f>
        <v/>
      </c>
      <c r="O218" s="78" t="str">
        <f>IF(ISBLANK(N218),"",IFERROR(INDEX('Tournament List'!$D:$D,MATCH(N218,'Tournament List'!$A:$A,0)),""))</f>
        <v/>
      </c>
    </row>
    <row r="219" spans="1:15" x14ac:dyDescent="0.3">
      <c r="A219" s="79">
        <v>227</v>
      </c>
      <c r="B219" s="73" t="str">
        <f t="shared" si="3"/>
        <v>Brighton Clay Crushers-Collegiate 2-Skeet</v>
      </c>
      <c r="C219" s="73" t="s">
        <v>323</v>
      </c>
      <c r="D219" s="73" t="s">
        <v>350</v>
      </c>
      <c r="E219" s="73" t="s">
        <v>143</v>
      </c>
      <c r="F219" s="98" t="str">
        <f>IF(E219="Skeet",IFERROR(INDEX('Shooter-Squad Assignment'!$A:$A,MATCH(C219&amp;"-"&amp;D219&amp;"-"&amp;E219&amp;"-Pos1",'Shooter-Squad Assignment'!#REF!,0)),""),IF(E219="Trap",IFERROR(INDEX('Shooter-Squad Assignment'!$A:$A,MATCH(C219&amp;"-"&amp;D219&amp;"-"&amp;E219&amp;"-Pos1",'Shooter-Squad Assignment'!$V:$V,0)),""),IF(E219="Sporting Clays",IFERROR(INDEX('Shooter-Squad Assignment'!$A:$A,MATCH(C219&amp;"-"&amp;D219&amp;"-"&amp;E219&amp;"-Pos1",'Shooter-Squad Assignment'!$Y:$Y,0)),""),"")))</f>
        <v/>
      </c>
      <c r="G219" s="73" t="str">
        <f>IF(ISBLANK(F219),"",IFERROR(INDEX('Tournament List'!$D:$D,MATCH(F219,'Tournament List'!$A:$A,0)),""))</f>
        <v/>
      </c>
      <c r="H219" s="98" t="str">
        <f>IF(E219="Skeet",IFERROR(INDEX('Shooter-Squad Assignment'!$A:$A,MATCH(C219&amp;"-"&amp;D219&amp;"-"&amp;E219&amp;"-Pos2",'Shooter-Squad Assignment'!#REF!,0)),""),IF(E219="Trap",IFERROR(INDEX('Shooter-Squad Assignment'!$A:$A,MATCH(C219&amp;"-"&amp;D219&amp;"-"&amp;E219&amp;"-Pos2",'Shooter-Squad Assignment'!$V:$V,0)),""),IF(E219="Sporting Clays",IFERROR(INDEX('Shooter-Squad Assignment'!$A:$A,MATCH(C219&amp;"-"&amp;D219&amp;"-"&amp;E219&amp;"-Pos2",'Shooter-Squad Assignment'!$Y:$Y,0)),""),"")))</f>
        <v/>
      </c>
      <c r="I219" s="73" t="str">
        <f>IF(ISBLANK(H219),"",IFERROR(INDEX('Tournament List'!$D:$D,MATCH(H219,'Tournament List'!$A:$A,0)),""))</f>
        <v/>
      </c>
      <c r="J219" s="98" t="str">
        <f>IF(E219="Skeet",IFERROR(INDEX('Shooter-Squad Assignment'!$A:$A,MATCH(C219&amp;"-"&amp;D219&amp;"-"&amp;E219&amp;"-Pos3",'Shooter-Squad Assignment'!#REF!,0)),""),IF(E219="Trap",IFERROR(INDEX('Shooter-Squad Assignment'!$A:$A,MATCH(C219&amp;"-"&amp;D219&amp;"-"&amp;E219&amp;"-Pos3",'Shooter-Squad Assignment'!$V:$V,0)),""),IF(E219="Sporting Clays",IFERROR(INDEX('Shooter-Squad Assignment'!$A:$A,MATCH(C219&amp;"-"&amp;D219&amp;"-"&amp;E219&amp;"-Pos3",'Shooter-Squad Assignment'!$Y:$Y,0)),""),"")))</f>
        <v/>
      </c>
      <c r="K219" s="73" t="str">
        <f>IF(ISBLANK(J219),"",IFERROR(INDEX('Tournament List'!$D:$D,MATCH(J219,'Tournament List'!$A:$A,0)),""))</f>
        <v/>
      </c>
      <c r="L219" s="98" t="str">
        <f>IF(E219="Skeet",IFERROR(INDEX('Shooter-Squad Assignment'!$A:$A,MATCH(C219&amp;"-"&amp;D219&amp;"-"&amp;E219&amp;"-Pos4",'Shooter-Squad Assignment'!#REF!,0)),""),IF(E219="Trap",IFERROR(INDEX('Shooter-Squad Assignment'!$A:$A,MATCH(C219&amp;"-"&amp;D219&amp;"-"&amp;E219&amp;"-Pos4",'Shooter-Squad Assignment'!$V:$V,0)),""),IF(E219="Sporting Clays",IFERROR(INDEX('Shooter-Squad Assignment'!$A:$A,MATCH(C219&amp;"-"&amp;D219&amp;"-"&amp;E219&amp;"-Pos4",'Shooter-Squad Assignment'!$Y:$Y,0)),""),"")))</f>
        <v/>
      </c>
      <c r="M219" s="73" t="str">
        <f>IF(ISBLANK(L219),"",IFERROR(INDEX('Tournament List'!$D:$D,MATCH(L219,'Tournament List'!$A:$A,0)),""))</f>
        <v/>
      </c>
      <c r="N219" s="98" t="str">
        <f>IF(E219="Skeet",IFERROR(INDEX('Shooter-Squad Assignment'!$A:$A,MATCH(C219&amp;"-"&amp;D219&amp;"-"&amp;E219&amp;"-Pos5",'Shooter-Squad Assignment'!#REF!,0)),""),IF(E219="Trap",IFERROR(INDEX('Shooter-Squad Assignment'!$A:$A,MATCH(C219&amp;"-"&amp;D219&amp;"-"&amp;E219&amp;"-Pos5",'Shooter-Squad Assignment'!$V:$V,0)),""),IF(E219="Sporting Clays",IFERROR(INDEX('Shooter-Squad Assignment'!$A:$A,MATCH(C219&amp;"-"&amp;D219&amp;"-"&amp;E219&amp;"-Pos5",'Shooter-Squad Assignment'!$Y:$Y,0)),""),"")))</f>
        <v/>
      </c>
      <c r="O219" s="80" t="str">
        <f>IF(ISBLANK(N219),"",IFERROR(INDEX('Tournament List'!$D:$D,MATCH(N219,'Tournament List'!$A:$A,0)),""))</f>
        <v/>
      </c>
    </row>
    <row r="220" spans="1:15" x14ac:dyDescent="0.3">
      <c r="A220" s="79">
        <v>228</v>
      </c>
      <c r="B220" s="73" t="str">
        <f t="shared" si="3"/>
        <v>Brighton Clay Crushers-Collegiate 3-Skeet</v>
      </c>
      <c r="C220" s="73" t="s">
        <v>323</v>
      </c>
      <c r="D220" s="73" t="s">
        <v>356</v>
      </c>
      <c r="E220" s="73" t="s">
        <v>143</v>
      </c>
      <c r="F220" s="98" t="str">
        <f>IF(E220="Skeet",IFERROR(INDEX('Shooter-Squad Assignment'!$A:$A,MATCH(C220&amp;"-"&amp;D220&amp;"-"&amp;E220&amp;"-Pos1",'Shooter-Squad Assignment'!#REF!,0)),""),IF(E220="Trap",IFERROR(INDEX('Shooter-Squad Assignment'!$A:$A,MATCH(C220&amp;"-"&amp;D220&amp;"-"&amp;E220&amp;"-Pos1",'Shooter-Squad Assignment'!$V:$V,0)),""),IF(E220="Sporting Clays",IFERROR(INDEX('Shooter-Squad Assignment'!$A:$A,MATCH(C220&amp;"-"&amp;D220&amp;"-"&amp;E220&amp;"-Pos1",'Shooter-Squad Assignment'!$Y:$Y,0)),""),"")))</f>
        <v/>
      </c>
      <c r="G220" s="73" t="str">
        <f>IF(ISBLANK(F220),"",IFERROR(INDEX('Tournament List'!$D:$D,MATCH(F220,'Tournament List'!$A:$A,0)),""))</f>
        <v/>
      </c>
      <c r="H220" s="98" t="str">
        <f>IF(E220="Skeet",IFERROR(INDEX('Shooter-Squad Assignment'!$A:$A,MATCH(C220&amp;"-"&amp;D220&amp;"-"&amp;E220&amp;"-Pos2",'Shooter-Squad Assignment'!#REF!,0)),""),IF(E220="Trap",IFERROR(INDEX('Shooter-Squad Assignment'!$A:$A,MATCH(C220&amp;"-"&amp;D220&amp;"-"&amp;E220&amp;"-Pos2",'Shooter-Squad Assignment'!$V:$V,0)),""),IF(E220="Sporting Clays",IFERROR(INDEX('Shooter-Squad Assignment'!$A:$A,MATCH(C220&amp;"-"&amp;D220&amp;"-"&amp;E220&amp;"-Pos2",'Shooter-Squad Assignment'!$Y:$Y,0)),""),"")))</f>
        <v/>
      </c>
      <c r="I220" s="73" t="str">
        <f>IF(ISBLANK(H220),"",IFERROR(INDEX('Tournament List'!$D:$D,MATCH(H220,'Tournament List'!$A:$A,0)),""))</f>
        <v/>
      </c>
      <c r="J220" s="98" t="str">
        <f>IF(E220="Skeet",IFERROR(INDEX('Shooter-Squad Assignment'!$A:$A,MATCH(C220&amp;"-"&amp;D220&amp;"-"&amp;E220&amp;"-Pos3",'Shooter-Squad Assignment'!#REF!,0)),""),IF(E220="Trap",IFERROR(INDEX('Shooter-Squad Assignment'!$A:$A,MATCH(C220&amp;"-"&amp;D220&amp;"-"&amp;E220&amp;"-Pos3",'Shooter-Squad Assignment'!$V:$V,0)),""),IF(E220="Sporting Clays",IFERROR(INDEX('Shooter-Squad Assignment'!$A:$A,MATCH(C220&amp;"-"&amp;D220&amp;"-"&amp;E220&amp;"-Pos3",'Shooter-Squad Assignment'!$Y:$Y,0)),""),"")))</f>
        <v/>
      </c>
      <c r="K220" s="73" t="str">
        <f>IF(ISBLANK(J220),"",IFERROR(INDEX('Tournament List'!$D:$D,MATCH(J220,'Tournament List'!$A:$A,0)),""))</f>
        <v/>
      </c>
      <c r="L220" s="98" t="str">
        <f>IF(E220="Skeet",IFERROR(INDEX('Shooter-Squad Assignment'!$A:$A,MATCH(C220&amp;"-"&amp;D220&amp;"-"&amp;E220&amp;"-Pos4",'Shooter-Squad Assignment'!#REF!,0)),""),IF(E220="Trap",IFERROR(INDEX('Shooter-Squad Assignment'!$A:$A,MATCH(C220&amp;"-"&amp;D220&amp;"-"&amp;E220&amp;"-Pos4",'Shooter-Squad Assignment'!$V:$V,0)),""),IF(E220="Sporting Clays",IFERROR(INDEX('Shooter-Squad Assignment'!$A:$A,MATCH(C220&amp;"-"&amp;D220&amp;"-"&amp;E220&amp;"-Pos4",'Shooter-Squad Assignment'!$Y:$Y,0)),""),"")))</f>
        <v/>
      </c>
      <c r="M220" s="73" t="str">
        <f>IF(ISBLANK(L220),"",IFERROR(INDEX('Tournament List'!$D:$D,MATCH(L220,'Tournament List'!$A:$A,0)),""))</f>
        <v/>
      </c>
      <c r="N220" s="98" t="str">
        <f>IF(E220="Skeet",IFERROR(INDEX('Shooter-Squad Assignment'!$A:$A,MATCH(C220&amp;"-"&amp;D220&amp;"-"&amp;E220&amp;"-Pos5",'Shooter-Squad Assignment'!#REF!,0)),""),IF(E220="Trap",IFERROR(INDEX('Shooter-Squad Assignment'!$A:$A,MATCH(C220&amp;"-"&amp;D220&amp;"-"&amp;E220&amp;"-Pos5",'Shooter-Squad Assignment'!$V:$V,0)),""),IF(E220="Sporting Clays",IFERROR(INDEX('Shooter-Squad Assignment'!$A:$A,MATCH(C220&amp;"-"&amp;D220&amp;"-"&amp;E220&amp;"-Pos5",'Shooter-Squad Assignment'!$Y:$Y,0)),""),"")))</f>
        <v/>
      </c>
      <c r="O220" s="80" t="str">
        <f>IF(ISBLANK(N220),"",IFERROR(INDEX('Tournament List'!$D:$D,MATCH(N220,'Tournament List'!$A:$A,0)),""))</f>
        <v/>
      </c>
    </row>
    <row r="221" spans="1:15" x14ac:dyDescent="0.3">
      <c r="A221" s="79">
        <v>229</v>
      </c>
      <c r="B221" s="73" t="str">
        <f t="shared" si="3"/>
        <v>Brighton Clay Crushers-Intermediate 1-Skeet</v>
      </c>
      <c r="C221" s="73" t="s">
        <v>323</v>
      </c>
      <c r="D221" s="73" t="s">
        <v>340</v>
      </c>
      <c r="E221" s="73" t="s">
        <v>143</v>
      </c>
      <c r="F221" s="98" t="str">
        <f>IF(E221="Skeet",IFERROR(INDEX('Shooter-Squad Assignment'!$A:$A,MATCH(C221&amp;"-"&amp;D221&amp;"-"&amp;E221&amp;"-Pos1",'Shooter-Squad Assignment'!#REF!,0)),""),IF(E221="Trap",IFERROR(INDEX('Shooter-Squad Assignment'!$A:$A,MATCH(C221&amp;"-"&amp;D221&amp;"-"&amp;E221&amp;"-Pos1",'Shooter-Squad Assignment'!$V:$V,0)),""),IF(E221="Sporting Clays",IFERROR(INDEX('Shooter-Squad Assignment'!$A:$A,MATCH(C221&amp;"-"&amp;D221&amp;"-"&amp;E221&amp;"-Pos1",'Shooter-Squad Assignment'!$Y:$Y,0)),""),"")))</f>
        <v/>
      </c>
      <c r="G221" s="73" t="str">
        <f>IF(ISBLANK(F221),"",IFERROR(INDEX('Tournament List'!$D:$D,MATCH(F221,'Tournament List'!$A:$A,0)),""))</f>
        <v/>
      </c>
      <c r="H221" s="98" t="str">
        <f>IF(E221="Skeet",IFERROR(INDEX('Shooter-Squad Assignment'!$A:$A,MATCH(C221&amp;"-"&amp;D221&amp;"-"&amp;E221&amp;"-Pos2",'Shooter-Squad Assignment'!#REF!,0)),""),IF(E221="Trap",IFERROR(INDEX('Shooter-Squad Assignment'!$A:$A,MATCH(C221&amp;"-"&amp;D221&amp;"-"&amp;E221&amp;"-Pos2",'Shooter-Squad Assignment'!$V:$V,0)),""),IF(E221="Sporting Clays",IFERROR(INDEX('Shooter-Squad Assignment'!$A:$A,MATCH(C221&amp;"-"&amp;D221&amp;"-"&amp;E221&amp;"-Pos2",'Shooter-Squad Assignment'!$Y:$Y,0)),""),"")))</f>
        <v/>
      </c>
      <c r="I221" s="73" t="str">
        <f>IF(ISBLANK(H221),"",IFERROR(INDEX('Tournament List'!$D:$D,MATCH(H221,'Tournament List'!$A:$A,0)),""))</f>
        <v/>
      </c>
      <c r="J221" s="98" t="str">
        <f>IF(E221="Skeet",IFERROR(INDEX('Shooter-Squad Assignment'!$A:$A,MATCH(C221&amp;"-"&amp;D221&amp;"-"&amp;E221&amp;"-Pos3",'Shooter-Squad Assignment'!#REF!,0)),""),IF(E221="Trap",IFERROR(INDEX('Shooter-Squad Assignment'!$A:$A,MATCH(C221&amp;"-"&amp;D221&amp;"-"&amp;E221&amp;"-Pos3",'Shooter-Squad Assignment'!$V:$V,0)),""),IF(E221="Sporting Clays",IFERROR(INDEX('Shooter-Squad Assignment'!$A:$A,MATCH(C221&amp;"-"&amp;D221&amp;"-"&amp;E221&amp;"-Pos3",'Shooter-Squad Assignment'!$Y:$Y,0)),""),"")))</f>
        <v/>
      </c>
      <c r="K221" s="73" t="str">
        <f>IF(ISBLANK(J221),"",IFERROR(INDEX('Tournament List'!$D:$D,MATCH(J221,'Tournament List'!$A:$A,0)),""))</f>
        <v/>
      </c>
      <c r="L221" s="98" t="str">
        <f>IF(E221="Skeet",IFERROR(INDEX('Shooter-Squad Assignment'!$A:$A,MATCH(C221&amp;"-"&amp;D221&amp;"-"&amp;E221&amp;"-Pos4",'Shooter-Squad Assignment'!#REF!,0)),""),IF(E221="Trap",IFERROR(INDEX('Shooter-Squad Assignment'!$A:$A,MATCH(C221&amp;"-"&amp;D221&amp;"-"&amp;E221&amp;"-Pos4",'Shooter-Squad Assignment'!$V:$V,0)),""),IF(E221="Sporting Clays",IFERROR(INDEX('Shooter-Squad Assignment'!$A:$A,MATCH(C221&amp;"-"&amp;D221&amp;"-"&amp;E221&amp;"-Pos4",'Shooter-Squad Assignment'!$Y:$Y,0)),""),"")))</f>
        <v/>
      </c>
      <c r="M221" s="73" t="str">
        <f>IF(ISBLANK(L221),"",IFERROR(INDEX('Tournament List'!$D:$D,MATCH(L221,'Tournament List'!$A:$A,0)),""))</f>
        <v/>
      </c>
      <c r="N221" s="98" t="str">
        <f>IF(E221="Skeet",IFERROR(INDEX('Shooter-Squad Assignment'!$A:$A,MATCH(C221&amp;"-"&amp;D221&amp;"-"&amp;E221&amp;"-Pos5",'Shooter-Squad Assignment'!#REF!,0)),""),IF(E221="Trap",IFERROR(INDEX('Shooter-Squad Assignment'!$A:$A,MATCH(C221&amp;"-"&amp;D221&amp;"-"&amp;E221&amp;"-Pos5",'Shooter-Squad Assignment'!$V:$V,0)),""),IF(E221="Sporting Clays",IFERROR(INDEX('Shooter-Squad Assignment'!$A:$A,MATCH(C221&amp;"-"&amp;D221&amp;"-"&amp;E221&amp;"-Pos5",'Shooter-Squad Assignment'!$Y:$Y,0)),""),"")))</f>
        <v/>
      </c>
      <c r="O221" s="80" t="str">
        <f>IF(ISBLANK(N221),"",IFERROR(INDEX('Tournament List'!$D:$D,MATCH(N221,'Tournament List'!$A:$A,0)),""))</f>
        <v/>
      </c>
    </row>
    <row r="222" spans="1:15" x14ac:dyDescent="0.3">
      <c r="A222" s="79">
        <v>230</v>
      </c>
      <c r="B222" s="73" t="str">
        <f t="shared" si="3"/>
        <v>Brighton Clay Crushers-Intermediate 2-Skeet</v>
      </c>
      <c r="C222" s="73" t="s">
        <v>323</v>
      </c>
      <c r="D222" s="73" t="s">
        <v>346</v>
      </c>
      <c r="E222" s="73" t="s">
        <v>143</v>
      </c>
      <c r="F222" s="98" t="str">
        <f>IF(E222="Skeet",IFERROR(INDEX('Shooter-Squad Assignment'!$A:$A,MATCH(C222&amp;"-"&amp;D222&amp;"-"&amp;E222&amp;"-Pos1",'Shooter-Squad Assignment'!#REF!,0)),""),IF(E222="Trap",IFERROR(INDEX('Shooter-Squad Assignment'!$A:$A,MATCH(C222&amp;"-"&amp;D222&amp;"-"&amp;E222&amp;"-Pos1",'Shooter-Squad Assignment'!$V:$V,0)),""),IF(E222="Sporting Clays",IFERROR(INDEX('Shooter-Squad Assignment'!$A:$A,MATCH(C222&amp;"-"&amp;D222&amp;"-"&amp;E222&amp;"-Pos1",'Shooter-Squad Assignment'!$Y:$Y,0)),""),"")))</f>
        <v/>
      </c>
      <c r="G222" s="73" t="str">
        <f>IF(ISBLANK(F222),"",IFERROR(INDEX('Tournament List'!$D:$D,MATCH(F222,'Tournament List'!$A:$A,0)),""))</f>
        <v/>
      </c>
      <c r="H222" s="98" t="str">
        <f>IF(E222="Skeet",IFERROR(INDEX('Shooter-Squad Assignment'!$A:$A,MATCH(C222&amp;"-"&amp;D222&amp;"-"&amp;E222&amp;"-Pos2",'Shooter-Squad Assignment'!#REF!,0)),""),IF(E222="Trap",IFERROR(INDEX('Shooter-Squad Assignment'!$A:$A,MATCH(C222&amp;"-"&amp;D222&amp;"-"&amp;E222&amp;"-Pos2",'Shooter-Squad Assignment'!$V:$V,0)),""),IF(E222="Sporting Clays",IFERROR(INDEX('Shooter-Squad Assignment'!$A:$A,MATCH(C222&amp;"-"&amp;D222&amp;"-"&amp;E222&amp;"-Pos2",'Shooter-Squad Assignment'!$Y:$Y,0)),""),"")))</f>
        <v/>
      </c>
      <c r="I222" s="73" t="str">
        <f>IF(ISBLANK(H222),"",IFERROR(INDEX('Tournament List'!$D:$D,MATCH(H222,'Tournament List'!$A:$A,0)),""))</f>
        <v/>
      </c>
      <c r="J222" s="98" t="str">
        <f>IF(E222="Skeet",IFERROR(INDEX('Shooter-Squad Assignment'!$A:$A,MATCH(C222&amp;"-"&amp;D222&amp;"-"&amp;E222&amp;"-Pos3",'Shooter-Squad Assignment'!#REF!,0)),""),IF(E222="Trap",IFERROR(INDEX('Shooter-Squad Assignment'!$A:$A,MATCH(C222&amp;"-"&amp;D222&amp;"-"&amp;E222&amp;"-Pos3",'Shooter-Squad Assignment'!$V:$V,0)),""),IF(E222="Sporting Clays",IFERROR(INDEX('Shooter-Squad Assignment'!$A:$A,MATCH(C222&amp;"-"&amp;D222&amp;"-"&amp;E222&amp;"-Pos3",'Shooter-Squad Assignment'!$Y:$Y,0)),""),"")))</f>
        <v/>
      </c>
      <c r="K222" s="73" t="str">
        <f>IF(ISBLANK(J222),"",IFERROR(INDEX('Tournament List'!$D:$D,MATCH(J222,'Tournament List'!$A:$A,0)),""))</f>
        <v/>
      </c>
      <c r="L222" s="98" t="str">
        <f>IF(E222="Skeet",IFERROR(INDEX('Shooter-Squad Assignment'!$A:$A,MATCH(C222&amp;"-"&amp;D222&amp;"-"&amp;E222&amp;"-Pos4",'Shooter-Squad Assignment'!#REF!,0)),""),IF(E222="Trap",IFERROR(INDEX('Shooter-Squad Assignment'!$A:$A,MATCH(C222&amp;"-"&amp;D222&amp;"-"&amp;E222&amp;"-Pos4",'Shooter-Squad Assignment'!$V:$V,0)),""),IF(E222="Sporting Clays",IFERROR(INDEX('Shooter-Squad Assignment'!$A:$A,MATCH(C222&amp;"-"&amp;D222&amp;"-"&amp;E222&amp;"-Pos4",'Shooter-Squad Assignment'!$Y:$Y,0)),""),"")))</f>
        <v/>
      </c>
      <c r="M222" s="73" t="str">
        <f>IF(ISBLANK(L222),"",IFERROR(INDEX('Tournament List'!$D:$D,MATCH(L222,'Tournament List'!$A:$A,0)),""))</f>
        <v/>
      </c>
      <c r="N222" s="98" t="str">
        <f>IF(E222="Skeet",IFERROR(INDEX('Shooter-Squad Assignment'!$A:$A,MATCH(C222&amp;"-"&amp;D222&amp;"-"&amp;E222&amp;"-Pos5",'Shooter-Squad Assignment'!#REF!,0)),""),IF(E222="Trap",IFERROR(INDEX('Shooter-Squad Assignment'!$A:$A,MATCH(C222&amp;"-"&amp;D222&amp;"-"&amp;E222&amp;"-Pos5",'Shooter-Squad Assignment'!$V:$V,0)),""),IF(E222="Sporting Clays",IFERROR(INDEX('Shooter-Squad Assignment'!$A:$A,MATCH(C222&amp;"-"&amp;D222&amp;"-"&amp;E222&amp;"-Pos5",'Shooter-Squad Assignment'!$Y:$Y,0)),""),"")))</f>
        <v/>
      </c>
      <c r="O222" s="80" t="str">
        <f>IF(ISBLANK(N222),"",IFERROR(INDEX('Tournament List'!$D:$D,MATCH(N222,'Tournament List'!$A:$A,0)),""))</f>
        <v/>
      </c>
    </row>
    <row r="223" spans="1:15" x14ac:dyDescent="0.3">
      <c r="A223" s="79">
        <v>231</v>
      </c>
      <c r="B223" s="73" t="str">
        <f t="shared" si="3"/>
        <v>Brighton Clay Crushers-Intermediate 3-Skeet</v>
      </c>
      <c r="C223" s="73" t="s">
        <v>323</v>
      </c>
      <c r="D223" s="73" t="s">
        <v>352</v>
      </c>
      <c r="E223" s="73" t="s">
        <v>143</v>
      </c>
      <c r="F223" s="98" t="str">
        <f>IF(E223="Skeet",IFERROR(INDEX('Shooter-Squad Assignment'!$A:$A,MATCH(C223&amp;"-"&amp;D223&amp;"-"&amp;E223&amp;"-Pos1",'Shooter-Squad Assignment'!#REF!,0)),""),IF(E223="Trap",IFERROR(INDEX('Shooter-Squad Assignment'!$A:$A,MATCH(C223&amp;"-"&amp;D223&amp;"-"&amp;E223&amp;"-Pos1",'Shooter-Squad Assignment'!$V:$V,0)),""),IF(E223="Sporting Clays",IFERROR(INDEX('Shooter-Squad Assignment'!$A:$A,MATCH(C223&amp;"-"&amp;D223&amp;"-"&amp;E223&amp;"-Pos1",'Shooter-Squad Assignment'!$Y:$Y,0)),""),"")))</f>
        <v/>
      </c>
      <c r="G223" s="73" t="str">
        <f>IF(ISBLANK(F223),"",IFERROR(INDEX('Tournament List'!$D:$D,MATCH(F223,'Tournament List'!$A:$A,0)),""))</f>
        <v/>
      </c>
      <c r="H223" s="98" t="str">
        <f>IF(E223="Skeet",IFERROR(INDEX('Shooter-Squad Assignment'!$A:$A,MATCH(C223&amp;"-"&amp;D223&amp;"-"&amp;E223&amp;"-Pos2",'Shooter-Squad Assignment'!#REF!,0)),""),IF(E223="Trap",IFERROR(INDEX('Shooter-Squad Assignment'!$A:$A,MATCH(C223&amp;"-"&amp;D223&amp;"-"&amp;E223&amp;"-Pos2",'Shooter-Squad Assignment'!$V:$V,0)),""),IF(E223="Sporting Clays",IFERROR(INDEX('Shooter-Squad Assignment'!$A:$A,MATCH(C223&amp;"-"&amp;D223&amp;"-"&amp;E223&amp;"-Pos2",'Shooter-Squad Assignment'!$Y:$Y,0)),""),"")))</f>
        <v/>
      </c>
      <c r="I223" s="73" t="str">
        <f>IF(ISBLANK(H223),"",IFERROR(INDEX('Tournament List'!$D:$D,MATCH(H223,'Tournament List'!$A:$A,0)),""))</f>
        <v/>
      </c>
      <c r="J223" s="98" t="str">
        <f>IF(E223="Skeet",IFERROR(INDEX('Shooter-Squad Assignment'!$A:$A,MATCH(C223&amp;"-"&amp;D223&amp;"-"&amp;E223&amp;"-Pos3",'Shooter-Squad Assignment'!#REF!,0)),""),IF(E223="Trap",IFERROR(INDEX('Shooter-Squad Assignment'!$A:$A,MATCH(C223&amp;"-"&amp;D223&amp;"-"&amp;E223&amp;"-Pos3",'Shooter-Squad Assignment'!$V:$V,0)),""),IF(E223="Sporting Clays",IFERROR(INDEX('Shooter-Squad Assignment'!$A:$A,MATCH(C223&amp;"-"&amp;D223&amp;"-"&amp;E223&amp;"-Pos3",'Shooter-Squad Assignment'!$Y:$Y,0)),""),"")))</f>
        <v/>
      </c>
      <c r="K223" s="73" t="str">
        <f>IF(ISBLANK(J223),"",IFERROR(INDEX('Tournament List'!$D:$D,MATCH(J223,'Tournament List'!$A:$A,0)),""))</f>
        <v/>
      </c>
      <c r="L223" s="98" t="str">
        <f>IF(E223="Skeet",IFERROR(INDEX('Shooter-Squad Assignment'!$A:$A,MATCH(C223&amp;"-"&amp;D223&amp;"-"&amp;E223&amp;"-Pos4",'Shooter-Squad Assignment'!#REF!,0)),""),IF(E223="Trap",IFERROR(INDEX('Shooter-Squad Assignment'!$A:$A,MATCH(C223&amp;"-"&amp;D223&amp;"-"&amp;E223&amp;"-Pos4",'Shooter-Squad Assignment'!$V:$V,0)),""),IF(E223="Sporting Clays",IFERROR(INDEX('Shooter-Squad Assignment'!$A:$A,MATCH(C223&amp;"-"&amp;D223&amp;"-"&amp;E223&amp;"-Pos4",'Shooter-Squad Assignment'!$Y:$Y,0)),""),"")))</f>
        <v/>
      </c>
      <c r="M223" s="73" t="str">
        <f>IF(ISBLANK(L223),"",IFERROR(INDEX('Tournament List'!$D:$D,MATCH(L223,'Tournament List'!$A:$A,0)),""))</f>
        <v/>
      </c>
      <c r="N223" s="98" t="str">
        <f>IF(E223="Skeet",IFERROR(INDEX('Shooter-Squad Assignment'!$A:$A,MATCH(C223&amp;"-"&amp;D223&amp;"-"&amp;E223&amp;"-Pos5",'Shooter-Squad Assignment'!#REF!,0)),""),IF(E223="Trap",IFERROR(INDEX('Shooter-Squad Assignment'!$A:$A,MATCH(C223&amp;"-"&amp;D223&amp;"-"&amp;E223&amp;"-Pos5",'Shooter-Squad Assignment'!$V:$V,0)),""),IF(E223="Sporting Clays",IFERROR(INDEX('Shooter-Squad Assignment'!$A:$A,MATCH(C223&amp;"-"&amp;D223&amp;"-"&amp;E223&amp;"-Pos5",'Shooter-Squad Assignment'!$Y:$Y,0)),""),"")))</f>
        <v/>
      </c>
      <c r="O223" s="80" t="str">
        <f>IF(ISBLANK(N223),"",IFERROR(INDEX('Tournament List'!$D:$D,MATCH(N223,'Tournament List'!$A:$A,0)),""))</f>
        <v/>
      </c>
    </row>
    <row r="224" spans="1:15" x14ac:dyDescent="0.3">
      <c r="A224" s="79">
        <v>232</v>
      </c>
      <c r="B224" s="73" t="str">
        <f t="shared" si="3"/>
        <v>Brighton Clay Crushers-Junior Varsity 1-Skeet</v>
      </c>
      <c r="C224" s="73" t="s">
        <v>323</v>
      </c>
      <c r="D224" s="73" t="s">
        <v>341</v>
      </c>
      <c r="E224" s="73" t="s">
        <v>143</v>
      </c>
      <c r="F224" s="98" t="str">
        <f>IF(E224="Skeet",IFERROR(INDEX('Shooter-Squad Assignment'!$A:$A,MATCH(C224&amp;"-"&amp;D224&amp;"-"&amp;E224&amp;"-Pos1",'Shooter-Squad Assignment'!#REF!,0)),""),IF(E224="Trap",IFERROR(INDEX('Shooter-Squad Assignment'!$A:$A,MATCH(C224&amp;"-"&amp;D224&amp;"-"&amp;E224&amp;"-Pos1",'Shooter-Squad Assignment'!$V:$V,0)),""),IF(E224="Sporting Clays",IFERROR(INDEX('Shooter-Squad Assignment'!$A:$A,MATCH(C224&amp;"-"&amp;D224&amp;"-"&amp;E224&amp;"-Pos1",'Shooter-Squad Assignment'!$Y:$Y,0)),""),"")))</f>
        <v/>
      </c>
      <c r="G224" s="73" t="str">
        <f>IF(ISBLANK(F224),"",IFERROR(INDEX('Tournament List'!$D:$D,MATCH(F224,'Tournament List'!$A:$A,0)),""))</f>
        <v/>
      </c>
      <c r="H224" s="98" t="str">
        <f>IF(E224="Skeet",IFERROR(INDEX('Shooter-Squad Assignment'!$A:$A,MATCH(C224&amp;"-"&amp;D224&amp;"-"&amp;E224&amp;"-Pos2",'Shooter-Squad Assignment'!#REF!,0)),""),IF(E224="Trap",IFERROR(INDEX('Shooter-Squad Assignment'!$A:$A,MATCH(C224&amp;"-"&amp;D224&amp;"-"&amp;E224&amp;"-Pos2",'Shooter-Squad Assignment'!$V:$V,0)),""),IF(E224="Sporting Clays",IFERROR(INDEX('Shooter-Squad Assignment'!$A:$A,MATCH(C224&amp;"-"&amp;D224&amp;"-"&amp;E224&amp;"-Pos2",'Shooter-Squad Assignment'!$Y:$Y,0)),""),"")))</f>
        <v/>
      </c>
      <c r="I224" s="73" t="str">
        <f>IF(ISBLANK(H224),"",IFERROR(INDEX('Tournament List'!$D:$D,MATCH(H224,'Tournament List'!$A:$A,0)),""))</f>
        <v/>
      </c>
      <c r="J224" s="98" t="str">
        <f>IF(E224="Skeet",IFERROR(INDEX('Shooter-Squad Assignment'!$A:$A,MATCH(C224&amp;"-"&amp;D224&amp;"-"&amp;E224&amp;"-Pos3",'Shooter-Squad Assignment'!#REF!,0)),""),IF(E224="Trap",IFERROR(INDEX('Shooter-Squad Assignment'!$A:$A,MATCH(C224&amp;"-"&amp;D224&amp;"-"&amp;E224&amp;"-Pos3",'Shooter-Squad Assignment'!$V:$V,0)),""),IF(E224="Sporting Clays",IFERROR(INDEX('Shooter-Squad Assignment'!$A:$A,MATCH(C224&amp;"-"&amp;D224&amp;"-"&amp;E224&amp;"-Pos3",'Shooter-Squad Assignment'!$Y:$Y,0)),""),"")))</f>
        <v/>
      </c>
      <c r="K224" s="73" t="str">
        <f>IF(ISBLANK(J224),"",IFERROR(INDEX('Tournament List'!$D:$D,MATCH(J224,'Tournament List'!$A:$A,0)),""))</f>
        <v/>
      </c>
      <c r="L224" s="98" t="str">
        <f>IF(E224="Skeet",IFERROR(INDEX('Shooter-Squad Assignment'!$A:$A,MATCH(C224&amp;"-"&amp;D224&amp;"-"&amp;E224&amp;"-Pos4",'Shooter-Squad Assignment'!#REF!,0)),""),IF(E224="Trap",IFERROR(INDEX('Shooter-Squad Assignment'!$A:$A,MATCH(C224&amp;"-"&amp;D224&amp;"-"&amp;E224&amp;"-Pos4",'Shooter-Squad Assignment'!$V:$V,0)),""),IF(E224="Sporting Clays",IFERROR(INDEX('Shooter-Squad Assignment'!$A:$A,MATCH(C224&amp;"-"&amp;D224&amp;"-"&amp;E224&amp;"-Pos4",'Shooter-Squad Assignment'!$Y:$Y,0)),""),"")))</f>
        <v/>
      </c>
      <c r="M224" s="73" t="str">
        <f>IF(ISBLANK(L224),"",IFERROR(INDEX('Tournament List'!$D:$D,MATCH(L224,'Tournament List'!$A:$A,0)),""))</f>
        <v/>
      </c>
      <c r="N224" s="98" t="str">
        <f>IF(E224="Skeet",IFERROR(INDEX('Shooter-Squad Assignment'!$A:$A,MATCH(C224&amp;"-"&amp;D224&amp;"-"&amp;E224&amp;"-Pos5",'Shooter-Squad Assignment'!#REF!,0)),""),IF(E224="Trap",IFERROR(INDEX('Shooter-Squad Assignment'!$A:$A,MATCH(C224&amp;"-"&amp;D224&amp;"-"&amp;E224&amp;"-Pos5",'Shooter-Squad Assignment'!$V:$V,0)),""),IF(E224="Sporting Clays",IFERROR(INDEX('Shooter-Squad Assignment'!$A:$A,MATCH(C224&amp;"-"&amp;D224&amp;"-"&amp;E224&amp;"-Pos5",'Shooter-Squad Assignment'!$Y:$Y,0)),""),"")))</f>
        <v/>
      </c>
      <c r="O224" s="80" t="str">
        <f>IF(ISBLANK(N224),"",IFERROR(INDEX('Tournament List'!$D:$D,MATCH(N224,'Tournament List'!$A:$A,0)),""))</f>
        <v/>
      </c>
    </row>
    <row r="225" spans="1:15" x14ac:dyDescent="0.3">
      <c r="A225" s="79">
        <v>233</v>
      </c>
      <c r="B225" s="73" t="str">
        <f t="shared" si="3"/>
        <v>Brighton Clay Crushers-Junior Varsity 2-Skeet</v>
      </c>
      <c r="C225" s="73" t="s">
        <v>323</v>
      </c>
      <c r="D225" s="73" t="s">
        <v>347</v>
      </c>
      <c r="E225" s="73" t="s">
        <v>143</v>
      </c>
      <c r="F225" s="98" t="str">
        <f>IF(E225="Skeet",IFERROR(INDEX('Shooter-Squad Assignment'!$A:$A,MATCH(C225&amp;"-"&amp;D225&amp;"-"&amp;E225&amp;"-Pos1",'Shooter-Squad Assignment'!#REF!,0)),""),IF(E225="Trap",IFERROR(INDEX('Shooter-Squad Assignment'!$A:$A,MATCH(C225&amp;"-"&amp;D225&amp;"-"&amp;E225&amp;"-Pos1",'Shooter-Squad Assignment'!$V:$V,0)),""),IF(E225="Sporting Clays",IFERROR(INDEX('Shooter-Squad Assignment'!$A:$A,MATCH(C225&amp;"-"&amp;D225&amp;"-"&amp;E225&amp;"-Pos1",'Shooter-Squad Assignment'!$Y:$Y,0)),""),"")))</f>
        <v/>
      </c>
      <c r="G225" s="73" t="str">
        <f>IF(ISBLANK(F225),"",IFERROR(INDEX('Tournament List'!$D:$D,MATCH(F225,'Tournament List'!$A:$A,0)),""))</f>
        <v/>
      </c>
      <c r="H225" s="98" t="str">
        <f>IF(E225="Skeet",IFERROR(INDEX('Shooter-Squad Assignment'!$A:$A,MATCH(C225&amp;"-"&amp;D225&amp;"-"&amp;E225&amp;"-Pos2",'Shooter-Squad Assignment'!#REF!,0)),""),IF(E225="Trap",IFERROR(INDEX('Shooter-Squad Assignment'!$A:$A,MATCH(C225&amp;"-"&amp;D225&amp;"-"&amp;E225&amp;"-Pos2",'Shooter-Squad Assignment'!$V:$V,0)),""),IF(E225="Sporting Clays",IFERROR(INDEX('Shooter-Squad Assignment'!$A:$A,MATCH(C225&amp;"-"&amp;D225&amp;"-"&amp;E225&amp;"-Pos2",'Shooter-Squad Assignment'!$Y:$Y,0)),""),"")))</f>
        <v/>
      </c>
      <c r="I225" s="73" t="str">
        <f>IF(ISBLANK(H225),"",IFERROR(INDEX('Tournament List'!$D:$D,MATCH(H225,'Tournament List'!$A:$A,0)),""))</f>
        <v/>
      </c>
      <c r="J225" s="98" t="str">
        <f>IF(E225="Skeet",IFERROR(INDEX('Shooter-Squad Assignment'!$A:$A,MATCH(C225&amp;"-"&amp;D225&amp;"-"&amp;E225&amp;"-Pos3",'Shooter-Squad Assignment'!#REF!,0)),""),IF(E225="Trap",IFERROR(INDEX('Shooter-Squad Assignment'!$A:$A,MATCH(C225&amp;"-"&amp;D225&amp;"-"&amp;E225&amp;"-Pos3",'Shooter-Squad Assignment'!$V:$V,0)),""),IF(E225="Sporting Clays",IFERROR(INDEX('Shooter-Squad Assignment'!$A:$A,MATCH(C225&amp;"-"&amp;D225&amp;"-"&amp;E225&amp;"-Pos3",'Shooter-Squad Assignment'!$Y:$Y,0)),""),"")))</f>
        <v/>
      </c>
      <c r="K225" s="73" t="str">
        <f>IF(ISBLANK(J225),"",IFERROR(INDEX('Tournament List'!$D:$D,MATCH(J225,'Tournament List'!$A:$A,0)),""))</f>
        <v/>
      </c>
      <c r="L225" s="98" t="str">
        <f>IF(E225="Skeet",IFERROR(INDEX('Shooter-Squad Assignment'!$A:$A,MATCH(C225&amp;"-"&amp;D225&amp;"-"&amp;E225&amp;"-Pos4",'Shooter-Squad Assignment'!#REF!,0)),""),IF(E225="Trap",IFERROR(INDEX('Shooter-Squad Assignment'!$A:$A,MATCH(C225&amp;"-"&amp;D225&amp;"-"&amp;E225&amp;"-Pos4",'Shooter-Squad Assignment'!$V:$V,0)),""),IF(E225="Sporting Clays",IFERROR(INDEX('Shooter-Squad Assignment'!$A:$A,MATCH(C225&amp;"-"&amp;D225&amp;"-"&amp;E225&amp;"-Pos4",'Shooter-Squad Assignment'!$Y:$Y,0)),""),"")))</f>
        <v/>
      </c>
      <c r="M225" s="73" t="str">
        <f>IF(ISBLANK(L225),"",IFERROR(INDEX('Tournament List'!$D:$D,MATCH(L225,'Tournament List'!$A:$A,0)),""))</f>
        <v/>
      </c>
      <c r="N225" s="98" t="str">
        <f>IF(E225="Skeet",IFERROR(INDEX('Shooter-Squad Assignment'!$A:$A,MATCH(C225&amp;"-"&amp;D225&amp;"-"&amp;E225&amp;"-Pos5",'Shooter-Squad Assignment'!#REF!,0)),""),IF(E225="Trap",IFERROR(INDEX('Shooter-Squad Assignment'!$A:$A,MATCH(C225&amp;"-"&amp;D225&amp;"-"&amp;E225&amp;"-Pos5",'Shooter-Squad Assignment'!$V:$V,0)),""),IF(E225="Sporting Clays",IFERROR(INDEX('Shooter-Squad Assignment'!$A:$A,MATCH(C225&amp;"-"&amp;D225&amp;"-"&amp;E225&amp;"-Pos5",'Shooter-Squad Assignment'!$Y:$Y,0)),""),"")))</f>
        <v/>
      </c>
      <c r="O225" s="80" t="str">
        <f>IF(ISBLANK(N225),"",IFERROR(INDEX('Tournament List'!$D:$D,MATCH(N225,'Tournament List'!$A:$A,0)),""))</f>
        <v/>
      </c>
    </row>
    <row r="226" spans="1:15" x14ac:dyDescent="0.3">
      <c r="A226" s="79">
        <v>234</v>
      </c>
      <c r="B226" s="73" t="str">
        <f t="shared" si="3"/>
        <v>Brighton Clay Crushers-Junior Varsity 3-Skeet</v>
      </c>
      <c r="C226" s="73" t="s">
        <v>323</v>
      </c>
      <c r="D226" s="73" t="s">
        <v>353</v>
      </c>
      <c r="E226" s="73" t="s">
        <v>143</v>
      </c>
      <c r="F226" s="98" t="str">
        <f>IF(E226="Skeet",IFERROR(INDEX('Shooter-Squad Assignment'!$A:$A,MATCH(C226&amp;"-"&amp;D226&amp;"-"&amp;E226&amp;"-Pos1",'Shooter-Squad Assignment'!#REF!,0)),""),IF(E226="Trap",IFERROR(INDEX('Shooter-Squad Assignment'!$A:$A,MATCH(C226&amp;"-"&amp;D226&amp;"-"&amp;E226&amp;"-Pos1",'Shooter-Squad Assignment'!$V:$V,0)),""),IF(E226="Sporting Clays",IFERROR(INDEX('Shooter-Squad Assignment'!$A:$A,MATCH(C226&amp;"-"&amp;D226&amp;"-"&amp;E226&amp;"-Pos1",'Shooter-Squad Assignment'!$Y:$Y,0)),""),"")))</f>
        <v/>
      </c>
      <c r="G226" s="73" t="str">
        <f>IF(ISBLANK(F226),"",IFERROR(INDEX('Tournament List'!$D:$D,MATCH(F226,'Tournament List'!$A:$A,0)),""))</f>
        <v/>
      </c>
      <c r="H226" s="98" t="str">
        <f>IF(E226="Skeet",IFERROR(INDEX('Shooter-Squad Assignment'!$A:$A,MATCH(C226&amp;"-"&amp;D226&amp;"-"&amp;E226&amp;"-Pos2",'Shooter-Squad Assignment'!#REF!,0)),""),IF(E226="Trap",IFERROR(INDEX('Shooter-Squad Assignment'!$A:$A,MATCH(C226&amp;"-"&amp;D226&amp;"-"&amp;E226&amp;"-Pos2",'Shooter-Squad Assignment'!$V:$V,0)),""),IF(E226="Sporting Clays",IFERROR(INDEX('Shooter-Squad Assignment'!$A:$A,MATCH(C226&amp;"-"&amp;D226&amp;"-"&amp;E226&amp;"-Pos2",'Shooter-Squad Assignment'!$Y:$Y,0)),""),"")))</f>
        <v/>
      </c>
      <c r="I226" s="73" t="str">
        <f>IF(ISBLANK(H226),"",IFERROR(INDEX('Tournament List'!$D:$D,MATCH(H226,'Tournament List'!$A:$A,0)),""))</f>
        <v/>
      </c>
      <c r="J226" s="98" t="str">
        <f>IF(E226="Skeet",IFERROR(INDEX('Shooter-Squad Assignment'!$A:$A,MATCH(C226&amp;"-"&amp;D226&amp;"-"&amp;E226&amp;"-Pos3",'Shooter-Squad Assignment'!#REF!,0)),""),IF(E226="Trap",IFERROR(INDEX('Shooter-Squad Assignment'!$A:$A,MATCH(C226&amp;"-"&amp;D226&amp;"-"&amp;E226&amp;"-Pos3",'Shooter-Squad Assignment'!$V:$V,0)),""),IF(E226="Sporting Clays",IFERROR(INDEX('Shooter-Squad Assignment'!$A:$A,MATCH(C226&amp;"-"&amp;D226&amp;"-"&amp;E226&amp;"-Pos3",'Shooter-Squad Assignment'!$Y:$Y,0)),""),"")))</f>
        <v/>
      </c>
      <c r="K226" s="73" t="str">
        <f>IF(ISBLANK(J226),"",IFERROR(INDEX('Tournament List'!$D:$D,MATCH(J226,'Tournament List'!$A:$A,0)),""))</f>
        <v/>
      </c>
      <c r="L226" s="98" t="str">
        <f>IF(E226="Skeet",IFERROR(INDEX('Shooter-Squad Assignment'!$A:$A,MATCH(C226&amp;"-"&amp;D226&amp;"-"&amp;E226&amp;"-Pos4",'Shooter-Squad Assignment'!#REF!,0)),""),IF(E226="Trap",IFERROR(INDEX('Shooter-Squad Assignment'!$A:$A,MATCH(C226&amp;"-"&amp;D226&amp;"-"&amp;E226&amp;"-Pos4",'Shooter-Squad Assignment'!$V:$V,0)),""),IF(E226="Sporting Clays",IFERROR(INDEX('Shooter-Squad Assignment'!$A:$A,MATCH(C226&amp;"-"&amp;D226&amp;"-"&amp;E226&amp;"-Pos4",'Shooter-Squad Assignment'!$Y:$Y,0)),""),"")))</f>
        <v/>
      </c>
      <c r="M226" s="73" t="str">
        <f>IF(ISBLANK(L226),"",IFERROR(INDEX('Tournament List'!$D:$D,MATCH(L226,'Tournament List'!$A:$A,0)),""))</f>
        <v/>
      </c>
      <c r="N226" s="98" t="str">
        <f>IF(E226="Skeet",IFERROR(INDEX('Shooter-Squad Assignment'!$A:$A,MATCH(C226&amp;"-"&amp;D226&amp;"-"&amp;E226&amp;"-Pos5",'Shooter-Squad Assignment'!#REF!,0)),""),IF(E226="Trap",IFERROR(INDEX('Shooter-Squad Assignment'!$A:$A,MATCH(C226&amp;"-"&amp;D226&amp;"-"&amp;E226&amp;"-Pos5",'Shooter-Squad Assignment'!$V:$V,0)),""),IF(E226="Sporting Clays",IFERROR(INDEX('Shooter-Squad Assignment'!$A:$A,MATCH(C226&amp;"-"&amp;D226&amp;"-"&amp;E226&amp;"-Pos5",'Shooter-Squad Assignment'!$Y:$Y,0)),""),"")))</f>
        <v/>
      </c>
      <c r="O226" s="80" t="str">
        <f>IF(ISBLANK(N226),"",IFERROR(INDEX('Tournament List'!$D:$D,MATCH(N226,'Tournament List'!$A:$A,0)),""))</f>
        <v/>
      </c>
    </row>
    <row r="227" spans="1:15" x14ac:dyDescent="0.3">
      <c r="A227" s="79">
        <v>235</v>
      </c>
      <c r="B227" s="73" t="str">
        <f t="shared" si="3"/>
        <v>Brighton Clay Crushers-Novice 1-Skeet</v>
      </c>
      <c r="C227" s="73" t="s">
        <v>323</v>
      </c>
      <c r="D227" s="73" t="s">
        <v>339</v>
      </c>
      <c r="E227" s="73" t="s">
        <v>143</v>
      </c>
      <c r="F227" s="98" t="str">
        <f>IF(E227="Skeet",IFERROR(INDEX('Shooter-Squad Assignment'!$A:$A,MATCH(C227&amp;"-"&amp;D227&amp;"-"&amp;E227&amp;"-Pos1",'Shooter-Squad Assignment'!#REF!,0)),""),IF(E227="Trap",IFERROR(INDEX('Shooter-Squad Assignment'!$A:$A,MATCH(C227&amp;"-"&amp;D227&amp;"-"&amp;E227&amp;"-Pos1",'Shooter-Squad Assignment'!$V:$V,0)),""),IF(E227="Sporting Clays",IFERROR(INDEX('Shooter-Squad Assignment'!$A:$A,MATCH(C227&amp;"-"&amp;D227&amp;"-"&amp;E227&amp;"-Pos1",'Shooter-Squad Assignment'!$Y:$Y,0)),""),"")))</f>
        <v/>
      </c>
      <c r="G227" s="73" t="str">
        <f>IF(ISBLANK(F227),"",IFERROR(INDEX('Tournament List'!$D:$D,MATCH(F227,'Tournament List'!$A:$A,0)),""))</f>
        <v/>
      </c>
      <c r="H227" s="98" t="str">
        <f>IF(E227="Skeet",IFERROR(INDEX('Shooter-Squad Assignment'!$A:$A,MATCH(C227&amp;"-"&amp;D227&amp;"-"&amp;E227&amp;"-Pos2",'Shooter-Squad Assignment'!#REF!,0)),""),IF(E227="Trap",IFERROR(INDEX('Shooter-Squad Assignment'!$A:$A,MATCH(C227&amp;"-"&amp;D227&amp;"-"&amp;E227&amp;"-Pos2",'Shooter-Squad Assignment'!$V:$V,0)),""),IF(E227="Sporting Clays",IFERROR(INDEX('Shooter-Squad Assignment'!$A:$A,MATCH(C227&amp;"-"&amp;D227&amp;"-"&amp;E227&amp;"-Pos2",'Shooter-Squad Assignment'!$Y:$Y,0)),""),"")))</f>
        <v/>
      </c>
      <c r="I227" s="73" t="str">
        <f>IF(ISBLANK(H227),"",IFERROR(INDEX('Tournament List'!$D:$D,MATCH(H227,'Tournament List'!$A:$A,0)),""))</f>
        <v/>
      </c>
      <c r="J227" s="98" t="str">
        <f>IF(E227="Skeet",IFERROR(INDEX('Shooter-Squad Assignment'!$A:$A,MATCH(C227&amp;"-"&amp;D227&amp;"-"&amp;E227&amp;"-Pos3",'Shooter-Squad Assignment'!#REF!,0)),""),IF(E227="Trap",IFERROR(INDEX('Shooter-Squad Assignment'!$A:$A,MATCH(C227&amp;"-"&amp;D227&amp;"-"&amp;E227&amp;"-Pos3",'Shooter-Squad Assignment'!$V:$V,0)),""),IF(E227="Sporting Clays",IFERROR(INDEX('Shooter-Squad Assignment'!$A:$A,MATCH(C227&amp;"-"&amp;D227&amp;"-"&amp;E227&amp;"-Pos3",'Shooter-Squad Assignment'!$Y:$Y,0)),""),"")))</f>
        <v/>
      </c>
      <c r="K227" s="73" t="str">
        <f>IF(ISBLANK(J227),"",IFERROR(INDEX('Tournament List'!$D:$D,MATCH(J227,'Tournament List'!$A:$A,0)),""))</f>
        <v/>
      </c>
      <c r="L227" s="98" t="str">
        <f>IF(E227="Skeet",IFERROR(INDEX('Shooter-Squad Assignment'!$A:$A,MATCH(C227&amp;"-"&amp;D227&amp;"-"&amp;E227&amp;"-Pos4",'Shooter-Squad Assignment'!#REF!,0)),""),IF(E227="Trap",IFERROR(INDEX('Shooter-Squad Assignment'!$A:$A,MATCH(C227&amp;"-"&amp;D227&amp;"-"&amp;E227&amp;"-Pos4",'Shooter-Squad Assignment'!$V:$V,0)),""),IF(E227="Sporting Clays",IFERROR(INDEX('Shooter-Squad Assignment'!$A:$A,MATCH(C227&amp;"-"&amp;D227&amp;"-"&amp;E227&amp;"-Pos4",'Shooter-Squad Assignment'!$Y:$Y,0)),""),"")))</f>
        <v/>
      </c>
      <c r="M227" s="73" t="str">
        <f>IF(ISBLANK(L227),"",IFERROR(INDEX('Tournament List'!$D:$D,MATCH(L227,'Tournament List'!$A:$A,0)),""))</f>
        <v/>
      </c>
      <c r="N227" s="98" t="str">
        <f>IF(E227="Skeet",IFERROR(INDEX('Shooter-Squad Assignment'!$A:$A,MATCH(C227&amp;"-"&amp;D227&amp;"-"&amp;E227&amp;"-Pos5",'Shooter-Squad Assignment'!#REF!,0)),""),IF(E227="Trap",IFERROR(INDEX('Shooter-Squad Assignment'!$A:$A,MATCH(C227&amp;"-"&amp;D227&amp;"-"&amp;E227&amp;"-Pos5",'Shooter-Squad Assignment'!$V:$V,0)),""),IF(E227="Sporting Clays",IFERROR(INDEX('Shooter-Squad Assignment'!$A:$A,MATCH(C227&amp;"-"&amp;D227&amp;"-"&amp;E227&amp;"-Pos5",'Shooter-Squad Assignment'!$Y:$Y,0)),""),"")))</f>
        <v/>
      </c>
      <c r="O227" s="80" t="str">
        <f>IF(ISBLANK(N227),"",IFERROR(INDEX('Tournament List'!$D:$D,MATCH(N227,'Tournament List'!$A:$A,0)),""))</f>
        <v/>
      </c>
    </row>
    <row r="228" spans="1:15" x14ac:dyDescent="0.3">
      <c r="A228" s="79">
        <v>236</v>
      </c>
      <c r="B228" s="73" t="str">
        <f t="shared" si="3"/>
        <v>Brighton Clay Crushers-Novice 2-Skeet</v>
      </c>
      <c r="C228" s="73" t="s">
        <v>323</v>
      </c>
      <c r="D228" s="73" t="s">
        <v>345</v>
      </c>
      <c r="E228" s="73" t="s">
        <v>143</v>
      </c>
      <c r="F228" s="98" t="str">
        <f>IF(E228="Skeet",IFERROR(INDEX('Shooter-Squad Assignment'!$A:$A,MATCH(C228&amp;"-"&amp;D228&amp;"-"&amp;E228&amp;"-Pos1",'Shooter-Squad Assignment'!#REF!,0)),""),IF(E228="Trap",IFERROR(INDEX('Shooter-Squad Assignment'!$A:$A,MATCH(C228&amp;"-"&amp;D228&amp;"-"&amp;E228&amp;"-Pos1",'Shooter-Squad Assignment'!$V:$V,0)),""),IF(E228="Sporting Clays",IFERROR(INDEX('Shooter-Squad Assignment'!$A:$A,MATCH(C228&amp;"-"&amp;D228&amp;"-"&amp;E228&amp;"-Pos1",'Shooter-Squad Assignment'!$Y:$Y,0)),""),"")))</f>
        <v/>
      </c>
      <c r="G228" s="73" t="str">
        <f>IF(ISBLANK(F228),"",IFERROR(INDEX('Tournament List'!$D:$D,MATCH(F228,'Tournament List'!$A:$A,0)),""))</f>
        <v/>
      </c>
      <c r="H228" s="98" t="str">
        <f>IF(E228="Skeet",IFERROR(INDEX('Shooter-Squad Assignment'!$A:$A,MATCH(C228&amp;"-"&amp;D228&amp;"-"&amp;E228&amp;"-Pos2",'Shooter-Squad Assignment'!#REF!,0)),""),IF(E228="Trap",IFERROR(INDEX('Shooter-Squad Assignment'!$A:$A,MATCH(C228&amp;"-"&amp;D228&amp;"-"&amp;E228&amp;"-Pos2",'Shooter-Squad Assignment'!$V:$V,0)),""),IF(E228="Sporting Clays",IFERROR(INDEX('Shooter-Squad Assignment'!$A:$A,MATCH(C228&amp;"-"&amp;D228&amp;"-"&amp;E228&amp;"-Pos2",'Shooter-Squad Assignment'!$Y:$Y,0)),""),"")))</f>
        <v/>
      </c>
      <c r="I228" s="73" t="str">
        <f>IF(ISBLANK(H228),"",IFERROR(INDEX('Tournament List'!$D:$D,MATCH(H228,'Tournament List'!$A:$A,0)),""))</f>
        <v/>
      </c>
      <c r="J228" s="98" t="str">
        <f>IF(E228="Skeet",IFERROR(INDEX('Shooter-Squad Assignment'!$A:$A,MATCH(C228&amp;"-"&amp;D228&amp;"-"&amp;E228&amp;"-Pos3",'Shooter-Squad Assignment'!#REF!,0)),""),IF(E228="Trap",IFERROR(INDEX('Shooter-Squad Assignment'!$A:$A,MATCH(C228&amp;"-"&amp;D228&amp;"-"&amp;E228&amp;"-Pos3",'Shooter-Squad Assignment'!$V:$V,0)),""),IF(E228="Sporting Clays",IFERROR(INDEX('Shooter-Squad Assignment'!$A:$A,MATCH(C228&amp;"-"&amp;D228&amp;"-"&amp;E228&amp;"-Pos3",'Shooter-Squad Assignment'!$Y:$Y,0)),""),"")))</f>
        <v/>
      </c>
      <c r="K228" s="73" t="str">
        <f>IF(ISBLANK(J228),"",IFERROR(INDEX('Tournament List'!$D:$D,MATCH(J228,'Tournament List'!$A:$A,0)),""))</f>
        <v/>
      </c>
      <c r="L228" s="98" t="str">
        <f>IF(E228="Skeet",IFERROR(INDEX('Shooter-Squad Assignment'!$A:$A,MATCH(C228&amp;"-"&amp;D228&amp;"-"&amp;E228&amp;"-Pos4",'Shooter-Squad Assignment'!#REF!,0)),""),IF(E228="Trap",IFERROR(INDEX('Shooter-Squad Assignment'!$A:$A,MATCH(C228&amp;"-"&amp;D228&amp;"-"&amp;E228&amp;"-Pos4",'Shooter-Squad Assignment'!$V:$V,0)),""),IF(E228="Sporting Clays",IFERROR(INDEX('Shooter-Squad Assignment'!$A:$A,MATCH(C228&amp;"-"&amp;D228&amp;"-"&amp;E228&amp;"-Pos4",'Shooter-Squad Assignment'!$Y:$Y,0)),""),"")))</f>
        <v/>
      </c>
      <c r="M228" s="73" t="str">
        <f>IF(ISBLANK(L228),"",IFERROR(INDEX('Tournament List'!$D:$D,MATCH(L228,'Tournament List'!$A:$A,0)),""))</f>
        <v/>
      </c>
      <c r="N228" s="98" t="str">
        <f>IF(E228="Skeet",IFERROR(INDEX('Shooter-Squad Assignment'!$A:$A,MATCH(C228&amp;"-"&amp;D228&amp;"-"&amp;E228&amp;"-Pos5",'Shooter-Squad Assignment'!#REF!,0)),""),IF(E228="Trap",IFERROR(INDEX('Shooter-Squad Assignment'!$A:$A,MATCH(C228&amp;"-"&amp;D228&amp;"-"&amp;E228&amp;"-Pos5",'Shooter-Squad Assignment'!$V:$V,0)),""),IF(E228="Sporting Clays",IFERROR(INDEX('Shooter-Squad Assignment'!$A:$A,MATCH(C228&amp;"-"&amp;D228&amp;"-"&amp;E228&amp;"-Pos5",'Shooter-Squad Assignment'!$Y:$Y,0)),""),"")))</f>
        <v/>
      </c>
      <c r="O228" s="80" t="str">
        <f>IF(ISBLANK(N228),"",IFERROR(INDEX('Tournament List'!$D:$D,MATCH(N228,'Tournament List'!$A:$A,0)),""))</f>
        <v/>
      </c>
    </row>
    <row r="229" spans="1:15" x14ac:dyDescent="0.3">
      <c r="A229" s="79">
        <v>237</v>
      </c>
      <c r="B229" s="73" t="str">
        <f t="shared" si="3"/>
        <v>Brighton Clay Crushers-Novice 3-Skeet</v>
      </c>
      <c r="C229" s="73" t="s">
        <v>323</v>
      </c>
      <c r="D229" s="73" t="s">
        <v>351</v>
      </c>
      <c r="E229" s="73" t="s">
        <v>143</v>
      </c>
      <c r="F229" s="98" t="str">
        <f>IF(E229="Skeet",IFERROR(INDEX('Shooter-Squad Assignment'!$A:$A,MATCH(C229&amp;"-"&amp;D229&amp;"-"&amp;E229&amp;"-Pos1",'Shooter-Squad Assignment'!#REF!,0)),""),IF(E229="Trap",IFERROR(INDEX('Shooter-Squad Assignment'!$A:$A,MATCH(C229&amp;"-"&amp;D229&amp;"-"&amp;E229&amp;"-Pos1",'Shooter-Squad Assignment'!$V:$V,0)),""),IF(E229="Sporting Clays",IFERROR(INDEX('Shooter-Squad Assignment'!$A:$A,MATCH(C229&amp;"-"&amp;D229&amp;"-"&amp;E229&amp;"-Pos1",'Shooter-Squad Assignment'!$Y:$Y,0)),""),"")))</f>
        <v/>
      </c>
      <c r="G229" s="73" t="str">
        <f>IF(ISBLANK(F229),"",IFERROR(INDEX('Tournament List'!$D:$D,MATCH(F229,'Tournament List'!$A:$A,0)),""))</f>
        <v/>
      </c>
      <c r="H229" s="98" t="str">
        <f>IF(E229="Skeet",IFERROR(INDEX('Shooter-Squad Assignment'!$A:$A,MATCH(C229&amp;"-"&amp;D229&amp;"-"&amp;E229&amp;"-Pos2",'Shooter-Squad Assignment'!#REF!,0)),""),IF(E229="Trap",IFERROR(INDEX('Shooter-Squad Assignment'!$A:$A,MATCH(C229&amp;"-"&amp;D229&amp;"-"&amp;E229&amp;"-Pos2",'Shooter-Squad Assignment'!$V:$V,0)),""),IF(E229="Sporting Clays",IFERROR(INDEX('Shooter-Squad Assignment'!$A:$A,MATCH(C229&amp;"-"&amp;D229&amp;"-"&amp;E229&amp;"-Pos2",'Shooter-Squad Assignment'!$Y:$Y,0)),""),"")))</f>
        <v/>
      </c>
      <c r="I229" s="73" t="str">
        <f>IF(ISBLANK(H229),"",IFERROR(INDEX('Tournament List'!$D:$D,MATCH(H229,'Tournament List'!$A:$A,0)),""))</f>
        <v/>
      </c>
      <c r="J229" s="98" t="str">
        <f>IF(E229="Skeet",IFERROR(INDEX('Shooter-Squad Assignment'!$A:$A,MATCH(C229&amp;"-"&amp;D229&amp;"-"&amp;E229&amp;"-Pos3",'Shooter-Squad Assignment'!#REF!,0)),""),IF(E229="Trap",IFERROR(INDEX('Shooter-Squad Assignment'!$A:$A,MATCH(C229&amp;"-"&amp;D229&amp;"-"&amp;E229&amp;"-Pos3",'Shooter-Squad Assignment'!$V:$V,0)),""),IF(E229="Sporting Clays",IFERROR(INDEX('Shooter-Squad Assignment'!$A:$A,MATCH(C229&amp;"-"&amp;D229&amp;"-"&amp;E229&amp;"-Pos3",'Shooter-Squad Assignment'!$Y:$Y,0)),""),"")))</f>
        <v/>
      </c>
      <c r="K229" s="73" t="str">
        <f>IF(ISBLANK(J229),"",IFERROR(INDEX('Tournament List'!$D:$D,MATCH(J229,'Tournament List'!$A:$A,0)),""))</f>
        <v/>
      </c>
      <c r="L229" s="98" t="str">
        <f>IF(E229="Skeet",IFERROR(INDEX('Shooter-Squad Assignment'!$A:$A,MATCH(C229&amp;"-"&amp;D229&amp;"-"&amp;E229&amp;"-Pos4",'Shooter-Squad Assignment'!#REF!,0)),""),IF(E229="Trap",IFERROR(INDEX('Shooter-Squad Assignment'!$A:$A,MATCH(C229&amp;"-"&amp;D229&amp;"-"&amp;E229&amp;"-Pos4",'Shooter-Squad Assignment'!$V:$V,0)),""),IF(E229="Sporting Clays",IFERROR(INDEX('Shooter-Squad Assignment'!$A:$A,MATCH(C229&amp;"-"&amp;D229&amp;"-"&amp;E229&amp;"-Pos4",'Shooter-Squad Assignment'!$Y:$Y,0)),""),"")))</f>
        <v/>
      </c>
      <c r="M229" s="73" t="str">
        <f>IF(ISBLANK(L229),"",IFERROR(INDEX('Tournament List'!$D:$D,MATCH(L229,'Tournament List'!$A:$A,0)),""))</f>
        <v/>
      </c>
      <c r="N229" s="98" t="str">
        <f>IF(E229="Skeet",IFERROR(INDEX('Shooter-Squad Assignment'!$A:$A,MATCH(C229&amp;"-"&amp;D229&amp;"-"&amp;E229&amp;"-Pos5",'Shooter-Squad Assignment'!#REF!,0)),""),IF(E229="Trap",IFERROR(INDEX('Shooter-Squad Assignment'!$A:$A,MATCH(C229&amp;"-"&amp;D229&amp;"-"&amp;E229&amp;"-Pos5",'Shooter-Squad Assignment'!$V:$V,0)),""),IF(E229="Sporting Clays",IFERROR(INDEX('Shooter-Squad Assignment'!$A:$A,MATCH(C229&amp;"-"&amp;D229&amp;"-"&amp;E229&amp;"-Pos5",'Shooter-Squad Assignment'!$Y:$Y,0)),""),"")))</f>
        <v/>
      </c>
      <c r="O229" s="80" t="str">
        <f>IF(ISBLANK(N229),"",IFERROR(INDEX('Tournament List'!$D:$D,MATCH(N229,'Tournament List'!$A:$A,0)),""))</f>
        <v/>
      </c>
    </row>
    <row r="230" spans="1:15" x14ac:dyDescent="0.3">
      <c r="A230" s="79">
        <v>238</v>
      </c>
      <c r="B230" s="73" t="str">
        <f t="shared" si="3"/>
        <v>Brighton Clay Crushers-Open 1-Skeet</v>
      </c>
      <c r="C230" s="73" t="s">
        <v>323</v>
      </c>
      <c r="D230" s="73" t="s">
        <v>343</v>
      </c>
      <c r="E230" s="73" t="s">
        <v>143</v>
      </c>
      <c r="F230" s="98" t="str">
        <f>IF(E230="Skeet",IFERROR(INDEX('Shooter-Squad Assignment'!$A:$A,MATCH(C230&amp;"-"&amp;D230&amp;"-"&amp;E230&amp;"-Pos1",'Shooter-Squad Assignment'!#REF!,0)),""),IF(E230="Trap",IFERROR(INDEX('Shooter-Squad Assignment'!$A:$A,MATCH(C230&amp;"-"&amp;D230&amp;"-"&amp;E230&amp;"-Pos1",'Shooter-Squad Assignment'!$V:$V,0)),""),IF(E230="Sporting Clays",IFERROR(INDEX('Shooter-Squad Assignment'!$A:$A,MATCH(C230&amp;"-"&amp;D230&amp;"-"&amp;E230&amp;"-Pos1",'Shooter-Squad Assignment'!$Y:$Y,0)),""),"")))</f>
        <v/>
      </c>
      <c r="G230" s="73" t="str">
        <f>IF(ISBLANK(F230),"",IFERROR(INDEX('Tournament List'!$D:$D,MATCH(F230,'Tournament List'!$A:$A,0)),""))</f>
        <v/>
      </c>
      <c r="H230" s="98" t="str">
        <f>IF(E230="Skeet",IFERROR(INDEX('Shooter-Squad Assignment'!$A:$A,MATCH(C230&amp;"-"&amp;D230&amp;"-"&amp;E230&amp;"-Pos2",'Shooter-Squad Assignment'!#REF!,0)),""),IF(E230="Trap",IFERROR(INDEX('Shooter-Squad Assignment'!$A:$A,MATCH(C230&amp;"-"&amp;D230&amp;"-"&amp;E230&amp;"-Pos2",'Shooter-Squad Assignment'!$V:$V,0)),""),IF(E230="Sporting Clays",IFERROR(INDEX('Shooter-Squad Assignment'!$A:$A,MATCH(C230&amp;"-"&amp;D230&amp;"-"&amp;E230&amp;"-Pos2",'Shooter-Squad Assignment'!$Y:$Y,0)),""),"")))</f>
        <v/>
      </c>
      <c r="I230" s="73" t="str">
        <f>IF(ISBLANK(H230),"",IFERROR(INDEX('Tournament List'!$D:$D,MATCH(H230,'Tournament List'!$A:$A,0)),""))</f>
        <v/>
      </c>
      <c r="J230" s="98" t="str">
        <f>IF(E230="Skeet",IFERROR(INDEX('Shooter-Squad Assignment'!$A:$A,MATCH(C230&amp;"-"&amp;D230&amp;"-"&amp;E230&amp;"-Pos3",'Shooter-Squad Assignment'!#REF!,0)),""),IF(E230="Trap",IFERROR(INDEX('Shooter-Squad Assignment'!$A:$A,MATCH(C230&amp;"-"&amp;D230&amp;"-"&amp;E230&amp;"-Pos3",'Shooter-Squad Assignment'!$V:$V,0)),""),IF(E230="Sporting Clays",IFERROR(INDEX('Shooter-Squad Assignment'!$A:$A,MATCH(C230&amp;"-"&amp;D230&amp;"-"&amp;E230&amp;"-Pos3",'Shooter-Squad Assignment'!$Y:$Y,0)),""),"")))</f>
        <v/>
      </c>
      <c r="K230" s="73" t="str">
        <f>IF(ISBLANK(J230),"",IFERROR(INDEX('Tournament List'!$D:$D,MATCH(J230,'Tournament List'!$A:$A,0)),""))</f>
        <v/>
      </c>
      <c r="L230" s="98" t="str">
        <f>IF(E230="Skeet",IFERROR(INDEX('Shooter-Squad Assignment'!$A:$A,MATCH(C230&amp;"-"&amp;D230&amp;"-"&amp;E230&amp;"-Pos4",'Shooter-Squad Assignment'!#REF!,0)),""),IF(E230="Trap",IFERROR(INDEX('Shooter-Squad Assignment'!$A:$A,MATCH(C230&amp;"-"&amp;D230&amp;"-"&amp;E230&amp;"-Pos4",'Shooter-Squad Assignment'!$V:$V,0)),""),IF(E230="Sporting Clays",IFERROR(INDEX('Shooter-Squad Assignment'!$A:$A,MATCH(C230&amp;"-"&amp;D230&amp;"-"&amp;E230&amp;"-Pos4",'Shooter-Squad Assignment'!$Y:$Y,0)),""),"")))</f>
        <v/>
      </c>
      <c r="M230" s="73" t="str">
        <f>IF(ISBLANK(L230),"",IFERROR(INDEX('Tournament List'!$D:$D,MATCH(L230,'Tournament List'!$A:$A,0)),""))</f>
        <v/>
      </c>
      <c r="N230" s="98" t="str">
        <f>IF(E230="Skeet",IFERROR(INDEX('Shooter-Squad Assignment'!$A:$A,MATCH(C230&amp;"-"&amp;D230&amp;"-"&amp;E230&amp;"-Pos5",'Shooter-Squad Assignment'!#REF!,0)),""),IF(E230="Trap",IFERROR(INDEX('Shooter-Squad Assignment'!$A:$A,MATCH(C230&amp;"-"&amp;D230&amp;"-"&amp;E230&amp;"-Pos5",'Shooter-Squad Assignment'!$V:$V,0)),""),IF(E230="Sporting Clays",IFERROR(INDEX('Shooter-Squad Assignment'!$A:$A,MATCH(C230&amp;"-"&amp;D230&amp;"-"&amp;E230&amp;"-Pos5",'Shooter-Squad Assignment'!$Y:$Y,0)),""),"")))</f>
        <v/>
      </c>
      <c r="O230" s="80" t="str">
        <f>IF(ISBLANK(N230),"",IFERROR(INDEX('Tournament List'!$D:$D,MATCH(N230,'Tournament List'!$A:$A,0)),""))</f>
        <v/>
      </c>
    </row>
    <row r="231" spans="1:15" x14ac:dyDescent="0.3">
      <c r="A231" s="79">
        <v>239</v>
      </c>
      <c r="B231" s="73" t="str">
        <f t="shared" si="3"/>
        <v>Brighton Clay Crushers-Open 2-Skeet</v>
      </c>
      <c r="C231" s="73" t="s">
        <v>323</v>
      </c>
      <c r="D231" s="73" t="s">
        <v>349</v>
      </c>
      <c r="E231" s="73" t="s">
        <v>143</v>
      </c>
      <c r="F231" s="98" t="str">
        <f>IF(E231="Skeet",IFERROR(INDEX('Shooter-Squad Assignment'!$A:$A,MATCH(C231&amp;"-"&amp;D231&amp;"-"&amp;E231&amp;"-Pos1",'Shooter-Squad Assignment'!#REF!,0)),""),IF(E231="Trap",IFERROR(INDEX('Shooter-Squad Assignment'!$A:$A,MATCH(C231&amp;"-"&amp;D231&amp;"-"&amp;E231&amp;"-Pos1",'Shooter-Squad Assignment'!$V:$V,0)),""),IF(E231="Sporting Clays",IFERROR(INDEX('Shooter-Squad Assignment'!$A:$A,MATCH(C231&amp;"-"&amp;D231&amp;"-"&amp;E231&amp;"-Pos1",'Shooter-Squad Assignment'!$Y:$Y,0)),""),"")))</f>
        <v/>
      </c>
      <c r="G231" s="73" t="str">
        <f>IF(ISBLANK(F231),"",IFERROR(INDEX('Tournament List'!$D:$D,MATCH(F231,'Tournament List'!$A:$A,0)),""))</f>
        <v/>
      </c>
      <c r="H231" s="98" t="str">
        <f>IF(E231="Skeet",IFERROR(INDEX('Shooter-Squad Assignment'!$A:$A,MATCH(C231&amp;"-"&amp;D231&amp;"-"&amp;E231&amp;"-Pos2",'Shooter-Squad Assignment'!#REF!,0)),""),IF(E231="Trap",IFERROR(INDEX('Shooter-Squad Assignment'!$A:$A,MATCH(C231&amp;"-"&amp;D231&amp;"-"&amp;E231&amp;"-Pos2",'Shooter-Squad Assignment'!$V:$V,0)),""),IF(E231="Sporting Clays",IFERROR(INDEX('Shooter-Squad Assignment'!$A:$A,MATCH(C231&amp;"-"&amp;D231&amp;"-"&amp;E231&amp;"-Pos2",'Shooter-Squad Assignment'!$Y:$Y,0)),""),"")))</f>
        <v/>
      </c>
      <c r="I231" s="73" t="str">
        <f>IF(ISBLANK(H231),"",IFERROR(INDEX('Tournament List'!$D:$D,MATCH(H231,'Tournament List'!$A:$A,0)),""))</f>
        <v/>
      </c>
      <c r="J231" s="98" t="str">
        <f>IF(E231="Skeet",IFERROR(INDEX('Shooter-Squad Assignment'!$A:$A,MATCH(C231&amp;"-"&amp;D231&amp;"-"&amp;E231&amp;"-Pos3",'Shooter-Squad Assignment'!#REF!,0)),""),IF(E231="Trap",IFERROR(INDEX('Shooter-Squad Assignment'!$A:$A,MATCH(C231&amp;"-"&amp;D231&amp;"-"&amp;E231&amp;"-Pos3",'Shooter-Squad Assignment'!$V:$V,0)),""),IF(E231="Sporting Clays",IFERROR(INDEX('Shooter-Squad Assignment'!$A:$A,MATCH(C231&amp;"-"&amp;D231&amp;"-"&amp;E231&amp;"-Pos3",'Shooter-Squad Assignment'!$Y:$Y,0)),""),"")))</f>
        <v/>
      </c>
      <c r="K231" s="73" t="str">
        <f>IF(ISBLANK(J231),"",IFERROR(INDEX('Tournament List'!$D:$D,MATCH(J231,'Tournament List'!$A:$A,0)),""))</f>
        <v/>
      </c>
      <c r="L231" s="98" t="str">
        <f>IF(E231="Skeet",IFERROR(INDEX('Shooter-Squad Assignment'!$A:$A,MATCH(C231&amp;"-"&amp;D231&amp;"-"&amp;E231&amp;"-Pos4",'Shooter-Squad Assignment'!#REF!,0)),""),IF(E231="Trap",IFERROR(INDEX('Shooter-Squad Assignment'!$A:$A,MATCH(C231&amp;"-"&amp;D231&amp;"-"&amp;E231&amp;"-Pos4",'Shooter-Squad Assignment'!$V:$V,0)),""),IF(E231="Sporting Clays",IFERROR(INDEX('Shooter-Squad Assignment'!$A:$A,MATCH(C231&amp;"-"&amp;D231&amp;"-"&amp;E231&amp;"-Pos4",'Shooter-Squad Assignment'!$Y:$Y,0)),""),"")))</f>
        <v/>
      </c>
      <c r="M231" s="73" t="str">
        <f>IF(ISBLANK(L231),"",IFERROR(INDEX('Tournament List'!$D:$D,MATCH(L231,'Tournament List'!$A:$A,0)),""))</f>
        <v/>
      </c>
      <c r="N231" s="98" t="str">
        <f>IF(E231="Skeet",IFERROR(INDEX('Shooter-Squad Assignment'!$A:$A,MATCH(C231&amp;"-"&amp;D231&amp;"-"&amp;E231&amp;"-Pos5",'Shooter-Squad Assignment'!#REF!,0)),""),IF(E231="Trap",IFERROR(INDEX('Shooter-Squad Assignment'!$A:$A,MATCH(C231&amp;"-"&amp;D231&amp;"-"&amp;E231&amp;"-Pos5",'Shooter-Squad Assignment'!$V:$V,0)),""),IF(E231="Sporting Clays",IFERROR(INDEX('Shooter-Squad Assignment'!$A:$A,MATCH(C231&amp;"-"&amp;D231&amp;"-"&amp;E231&amp;"-Pos5",'Shooter-Squad Assignment'!$Y:$Y,0)),""),"")))</f>
        <v/>
      </c>
      <c r="O231" s="80" t="str">
        <f>IF(ISBLANK(N231),"",IFERROR(INDEX('Tournament List'!$D:$D,MATCH(N231,'Tournament List'!$A:$A,0)),""))</f>
        <v/>
      </c>
    </row>
    <row r="232" spans="1:15" x14ac:dyDescent="0.3">
      <c r="A232" s="79">
        <v>240</v>
      </c>
      <c r="B232" s="73" t="str">
        <f t="shared" si="3"/>
        <v>Brighton Clay Crushers-Open 3-Skeet</v>
      </c>
      <c r="C232" s="73" t="s">
        <v>323</v>
      </c>
      <c r="D232" s="73" t="s">
        <v>355</v>
      </c>
      <c r="E232" s="73" t="s">
        <v>143</v>
      </c>
      <c r="F232" s="98" t="str">
        <f>IF(E232="Skeet",IFERROR(INDEX('Shooter-Squad Assignment'!$A:$A,MATCH(C232&amp;"-"&amp;D232&amp;"-"&amp;E232&amp;"-Pos1",'Shooter-Squad Assignment'!#REF!,0)),""),IF(E232="Trap",IFERROR(INDEX('Shooter-Squad Assignment'!$A:$A,MATCH(C232&amp;"-"&amp;D232&amp;"-"&amp;E232&amp;"-Pos1",'Shooter-Squad Assignment'!$V:$V,0)),""),IF(E232="Sporting Clays",IFERROR(INDEX('Shooter-Squad Assignment'!$A:$A,MATCH(C232&amp;"-"&amp;D232&amp;"-"&amp;E232&amp;"-Pos1",'Shooter-Squad Assignment'!$Y:$Y,0)),""),"")))</f>
        <v/>
      </c>
      <c r="G232" s="73" t="str">
        <f>IF(ISBLANK(F232),"",IFERROR(INDEX('Tournament List'!$D:$D,MATCH(F232,'Tournament List'!$A:$A,0)),""))</f>
        <v/>
      </c>
      <c r="H232" s="98" t="str">
        <f>IF(E232="Skeet",IFERROR(INDEX('Shooter-Squad Assignment'!$A:$A,MATCH(C232&amp;"-"&amp;D232&amp;"-"&amp;E232&amp;"-Pos2",'Shooter-Squad Assignment'!#REF!,0)),""),IF(E232="Trap",IFERROR(INDEX('Shooter-Squad Assignment'!$A:$A,MATCH(C232&amp;"-"&amp;D232&amp;"-"&amp;E232&amp;"-Pos2",'Shooter-Squad Assignment'!$V:$V,0)),""),IF(E232="Sporting Clays",IFERROR(INDEX('Shooter-Squad Assignment'!$A:$A,MATCH(C232&amp;"-"&amp;D232&amp;"-"&amp;E232&amp;"-Pos2",'Shooter-Squad Assignment'!$Y:$Y,0)),""),"")))</f>
        <v/>
      </c>
      <c r="I232" s="73" t="str">
        <f>IF(ISBLANK(H232),"",IFERROR(INDEX('Tournament List'!$D:$D,MATCH(H232,'Tournament List'!$A:$A,0)),""))</f>
        <v/>
      </c>
      <c r="J232" s="98" t="str">
        <f>IF(E232="Skeet",IFERROR(INDEX('Shooter-Squad Assignment'!$A:$A,MATCH(C232&amp;"-"&amp;D232&amp;"-"&amp;E232&amp;"-Pos3",'Shooter-Squad Assignment'!#REF!,0)),""),IF(E232="Trap",IFERROR(INDEX('Shooter-Squad Assignment'!$A:$A,MATCH(C232&amp;"-"&amp;D232&amp;"-"&amp;E232&amp;"-Pos3",'Shooter-Squad Assignment'!$V:$V,0)),""),IF(E232="Sporting Clays",IFERROR(INDEX('Shooter-Squad Assignment'!$A:$A,MATCH(C232&amp;"-"&amp;D232&amp;"-"&amp;E232&amp;"-Pos3",'Shooter-Squad Assignment'!$Y:$Y,0)),""),"")))</f>
        <v/>
      </c>
      <c r="K232" s="73" t="str">
        <f>IF(ISBLANK(J232),"",IFERROR(INDEX('Tournament List'!$D:$D,MATCH(J232,'Tournament List'!$A:$A,0)),""))</f>
        <v/>
      </c>
      <c r="L232" s="98" t="str">
        <f>IF(E232="Skeet",IFERROR(INDEX('Shooter-Squad Assignment'!$A:$A,MATCH(C232&amp;"-"&amp;D232&amp;"-"&amp;E232&amp;"-Pos4",'Shooter-Squad Assignment'!#REF!,0)),""),IF(E232="Trap",IFERROR(INDEX('Shooter-Squad Assignment'!$A:$A,MATCH(C232&amp;"-"&amp;D232&amp;"-"&amp;E232&amp;"-Pos4",'Shooter-Squad Assignment'!$V:$V,0)),""),IF(E232="Sporting Clays",IFERROR(INDEX('Shooter-Squad Assignment'!$A:$A,MATCH(C232&amp;"-"&amp;D232&amp;"-"&amp;E232&amp;"-Pos4",'Shooter-Squad Assignment'!$Y:$Y,0)),""),"")))</f>
        <v/>
      </c>
      <c r="M232" s="73" t="str">
        <f>IF(ISBLANK(L232),"",IFERROR(INDEX('Tournament List'!$D:$D,MATCH(L232,'Tournament List'!$A:$A,0)),""))</f>
        <v/>
      </c>
      <c r="N232" s="98" t="str">
        <f>IF(E232="Skeet",IFERROR(INDEX('Shooter-Squad Assignment'!$A:$A,MATCH(C232&amp;"-"&amp;D232&amp;"-"&amp;E232&amp;"-Pos5",'Shooter-Squad Assignment'!#REF!,0)),""),IF(E232="Trap",IFERROR(INDEX('Shooter-Squad Assignment'!$A:$A,MATCH(C232&amp;"-"&amp;D232&amp;"-"&amp;E232&amp;"-Pos5",'Shooter-Squad Assignment'!$V:$V,0)),""),IF(E232="Sporting Clays",IFERROR(INDEX('Shooter-Squad Assignment'!$A:$A,MATCH(C232&amp;"-"&amp;D232&amp;"-"&amp;E232&amp;"-Pos5",'Shooter-Squad Assignment'!$Y:$Y,0)),""),"")))</f>
        <v/>
      </c>
      <c r="O232" s="80" t="str">
        <f>IF(ISBLANK(N232),"",IFERROR(INDEX('Tournament List'!$D:$D,MATCH(N232,'Tournament List'!$A:$A,0)),""))</f>
        <v/>
      </c>
    </row>
    <row r="233" spans="1:15" x14ac:dyDescent="0.3">
      <c r="A233" s="79">
        <v>241</v>
      </c>
      <c r="B233" s="73" t="str">
        <f t="shared" si="3"/>
        <v>Brighton Clay Crushers-Varsity 1-Skeet</v>
      </c>
      <c r="C233" s="73" t="s">
        <v>323</v>
      </c>
      <c r="D233" s="73" t="s">
        <v>342</v>
      </c>
      <c r="E233" s="73" t="s">
        <v>143</v>
      </c>
      <c r="F233" s="98" t="str">
        <f>IF(E233="Skeet",IFERROR(INDEX('Shooter-Squad Assignment'!$A:$A,MATCH(C233&amp;"-"&amp;D233&amp;"-"&amp;E233&amp;"-Pos1",'Shooter-Squad Assignment'!#REF!,0)),""),IF(E233="Trap",IFERROR(INDEX('Shooter-Squad Assignment'!$A:$A,MATCH(C233&amp;"-"&amp;D233&amp;"-"&amp;E233&amp;"-Pos1",'Shooter-Squad Assignment'!$V:$V,0)),""),IF(E233="Sporting Clays",IFERROR(INDEX('Shooter-Squad Assignment'!$A:$A,MATCH(C233&amp;"-"&amp;D233&amp;"-"&amp;E233&amp;"-Pos1",'Shooter-Squad Assignment'!$Y:$Y,0)),""),"")))</f>
        <v/>
      </c>
      <c r="G233" s="73" t="str">
        <f>IF(ISBLANK(F233),"",IFERROR(INDEX('Tournament List'!$D:$D,MATCH(F233,'Tournament List'!$A:$A,0)),""))</f>
        <v/>
      </c>
      <c r="H233" s="98" t="str">
        <f>IF(E233="Skeet",IFERROR(INDEX('Shooter-Squad Assignment'!$A:$A,MATCH(C233&amp;"-"&amp;D233&amp;"-"&amp;E233&amp;"-Pos2",'Shooter-Squad Assignment'!#REF!,0)),""),IF(E233="Trap",IFERROR(INDEX('Shooter-Squad Assignment'!$A:$A,MATCH(C233&amp;"-"&amp;D233&amp;"-"&amp;E233&amp;"-Pos2",'Shooter-Squad Assignment'!$V:$V,0)),""),IF(E233="Sporting Clays",IFERROR(INDEX('Shooter-Squad Assignment'!$A:$A,MATCH(C233&amp;"-"&amp;D233&amp;"-"&amp;E233&amp;"-Pos2",'Shooter-Squad Assignment'!$Y:$Y,0)),""),"")))</f>
        <v/>
      </c>
      <c r="I233" s="73" t="str">
        <f>IF(ISBLANK(H233),"",IFERROR(INDEX('Tournament List'!$D:$D,MATCH(H233,'Tournament List'!$A:$A,0)),""))</f>
        <v/>
      </c>
      <c r="J233" s="98" t="str">
        <f>IF(E233="Skeet",IFERROR(INDEX('Shooter-Squad Assignment'!$A:$A,MATCH(C233&amp;"-"&amp;D233&amp;"-"&amp;E233&amp;"-Pos3",'Shooter-Squad Assignment'!#REF!,0)),""),IF(E233="Trap",IFERROR(INDEX('Shooter-Squad Assignment'!$A:$A,MATCH(C233&amp;"-"&amp;D233&amp;"-"&amp;E233&amp;"-Pos3",'Shooter-Squad Assignment'!$V:$V,0)),""),IF(E233="Sporting Clays",IFERROR(INDEX('Shooter-Squad Assignment'!$A:$A,MATCH(C233&amp;"-"&amp;D233&amp;"-"&amp;E233&amp;"-Pos3",'Shooter-Squad Assignment'!$Y:$Y,0)),""),"")))</f>
        <v/>
      </c>
      <c r="K233" s="73" t="str">
        <f>IF(ISBLANK(J233),"",IFERROR(INDEX('Tournament List'!$D:$D,MATCH(J233,'Tournament List'!$A:$A,0)),""))</f>
        <v/>
      </c>
      <c r="L233" s="98" t="str">
        <f>IF(E233="Skeet",IFERROR(INDEX('Shooter-Squad Assignment'!$A:$A,MATCH(C233&amp;"-"&amp;D233&amp;"-"&amp;E233&amp;"-Pos4",'Shooter-Squad Assignment'!#REF!,0)),""),IF(E233="Trap",IFERROR(INDEX('Shooter-Squad Assignment'!$A:$A,MATCH(C233&amp;"-"&amp;D233&amp;"-"&amp;E233&amp;"-Pos4",'Shooter-Squad Assignment'!$V:$V,0)),""),IF(E233="Sporting Clays",IFERROR(INDEX('Shooter-Squad Assignment'!$A:$A,MATCH(C233&amp;"-"&amp;D233&amp;"-"&amp;E233&amp;"-Pos4",'Shooter-Squad Assignment'!$Y:$Y,0)),""),"")))</f>
        <v/>
      </c>
      <c r="M233" s="73" t="str">
        <f>IF(ISBLANK(L233),"",IFERROR(INDEX('Tournament List'!$D:$D,MATCH(L233,'Tournament List'!$A:$A,0)),""))</f>
        <v/>
      </c>
      <c r="N233" s="98" t="str">
        <f>IF(E233="Skeet",IFERROR(INDEX('Shooter-Squad Assignment'!$A:$A,MATCH(C233&amp;"-"&amp;D233&amp;"-"&amp;E233&amp;"-Pos5",'Shooter-Squad Assignment'!#REF!,0)),""),IF(E233="Trap",IFERROR(INDEX('Shooter-Squad Assignment'!$A:$A,MATCH(C233&amp;"-"&amp;D233&amp;"-"&amp;E233&amp;"-Pos5",'Shooter-Squad Assignment'!$V:$V,0)),""),IF(E233="Sporting Clays",IFERROR(INDEX('Shooter-Squad Assignment'!$A:$A,MATCH(C233&amp;"-"&amp;D233&amp;"-"&amp;E233&amp;"-Pos5",'Shooter-Squad Assignment'!$Y:$Y,0)),""),"")))</f>
        <v/>
      </c>
      <c r="O233" s="80" t="str">
        <f>IF(ISBLANK(N233),"",IFERROR(INDEX('Tournament List'!$D:$D,MATCH(N233,'Tournament List'!$A:$A,0)),""))</f>
        <v/>
      </c>
    </row>
    <row r="234" spans="1:15" x14ac:dyDescent="0.3">
      <c r="A234" s="79">
        <v>242</v>
      </c>
      <c r="B234" s="73" t="str">
        <f t="shared" si="3"/>
        <v>Brighton Clay Crushers-Varsity 2-Skeet</v>
      </c>
      <c r="C234" s="73" t="s">
        <v>323</v>
      </c>
      <c r="D234" s="73" t="s">
        <v>348</v>
      </c>
      <c r="E234" s="73" t="s">
        <v>143</v>
      </c>
      <c r="F234" s="98" t="str">
        <f>IF(E234="Skeet",IFERROR(INDEX('Shooter-Squad Assignment'!$A:$A,MATCH(C234&amp;"-"&amp;D234&amp;"-"&amp;E234&amp;"-Pos1",'Shooter-Squad Assignment'!#REF!,0)),""),IF(E234="Trap",IFERROR(INDEX('Shooter-Squad Assignment'!$A:$A,MATCH(C234&amp;"-"&amp;D234&amp;"-"&amp;E234&amp;"-Pos1",'Shooter-Squad Assignment'!$V:$V,0)),""),IF(E234="Sporting Clays",IFERROR(INDEX('Shooter-Squad Assignment'!$A:$A,MATCH(C234&amp;"-"&amp;D234&amp;"-"&amp;E234&amp;"-Pos1",'Shooter-Squad Assignment'!$Y:$Y,0)),""),"")))</f>
        <v/>
      </c>
      <c r="G234" s="73" t="str">
        <f>IF(ISBLANK(F234),"",IFERROR(INDEX('Tournament List'!$D:$D,MATCH(F234,'Tournament List'!$A:$A,0)),""))</f>
        <v/>
      </c>
      <c r="H234" s="98" t="str">
        <f>IF(E234="Skeet",IFERROR(INDEX('Shooter-Squad Assignment'!$A:$A,MATCH(C234&amp;"-"&amp;D234&amp;"-"&amp;E234&amp;"-Pos2",'Shooter-Squad Assignment'!#REF!,0)),""),IF(E234="Trap",IFERROR(INDEX('Shooter-Squad Assignment'!$A:$A,MATCH(C234&amp;"-"&amp;D234&amp;"-"&amp;E234&amp;"-Pos2",'Shooter-Squad Assignment'!$V:$V,0)),""),IF(E234="Sporting Clays",IFERROR(INDEX('Shooter-Squad Assignment'!$A:$A,MATCH(C234&amp;"-"&amp;D234&amp;"-"&amp;E234&amp;"-Pos2",'Shooter-Squad Assignment'!$Y:$Y,0)),""),"")))</f>
        <v/>
      </c>
      <c r="I234" s="73" t="str">
        <f>IF(ISBLANK(H234),"",IFERROR(INDEX('Tournament List'!$D:$D,MATCH(H234,'Tournament List'!$A:$A,0)),""))</f>
        <v/>
      </c>
      <c r="J234" s="98" t="str">
        <f>IF(E234="Skeet",IFERROR(INDEX('Shooter-Squad Assignment'!$A:$A,MATCH(C234&amp;"-"&amp;D234&amp;"-"&amp;E234&amp;"-Pos3",'Shooter-Squad Assignment'!#REF!,0)),""),IF(E234="Trap",IFERROR(INDEX('Shooter-Squad Assignment'!$A:$A,MATCH(C234&amp;"-"&amp;D234&amp;"-"&amp;E234&amp;"-Pos3",'Shooter-Squad Assignment'!$V:$V,0)),""),IF(E234="Sporting Clays",IFERROR(INDEX('Shooter-Squad Assignment'!$A:$A,MATCH(C234&amp;"-"&amp;D234&amp;"-"&amp;E234&amp;"-Pos3",'Shooter-Squad Assignment'!$Y:$Y,0)),""),"")))</f>
        <v/>
      </c>
      <c r="K234" s="73" t="str">
        <f>IF(ISBLANK(J234),"",IFERROR(INDEX('Tournament List'!$D:$D,MATCH(J234,'Tournament List'!$A:$A,0)),""))</f>
        <v/>
      </c>
      <c r="L234" s="98" t="str">
        <f>IF(E234="Skeet",IFERROR(INDEX('Shooter-Squad Assignment'!$A:$A,MATCH(C234&amp;"-"&amp;D234&amp;"-"&amp;E234&amp;"-Pos4",'Shooter-Squad Assignment'!#REF!,0)),""),IF(E234="Trap",IFERROR(INDEX('Shooter-Squad Assignment'!$A:$A,MATCH(C234&amp;"-"&amp;D234&amp;"-"&amp;E234&amp;"-Pos4",'Shooter-Squad Assignment'!$V:$V,0)),""),IF(E234="Sporting Clays",IFERROR(INDEX('Shooter-Squad Assignment'!$A:$A,MATCH(C234&amp;"-"&amp;D234&amp;"-"&amp;E234&amp;"-Pos4",'Shooter-Squad Assignment'!$Y:$Y,0)),""),"")))</f>
        <v/>
      </c>
      <c r="M234" s="73" t="str">
        <f>IF(ISBLANK(L234),"",IFERROR(INDEX('Tournament List'!$D:$D,MATCH(L234,'Tournament List'!$A:$A,0)),""))</f>
        <v/>
      </c>
      <c r="N234" s="98" t="str">
        <f>IF(E234="Skeet",IFERROR(INDEX('Shooter-Squad Assignment'!$A:$A,MATCH(C234&amp;"-"&amp;D234&amp;"-"&amp;E234&amp;"-Pos5",'Shooter-Squad Assignment'!#REF!,0)),""),IF(E234="Trap",IFERROR(INDEX('Shooter-Squad Assignment'!$A:$A,MATCH(C234&amp;"-"&amp;D234&amp;"-"&amp;E234&amp;"-Pos5",'Shooter-Squad Assignment'!$V:$V,0)),""),IF(E234="Sporting Clays",IFERROR(INDEX('Shooter-Squad Assignment'!$A:$A,MATCH(C234&amp;"-"&amp;D234&amp;"-"&amp;E234&amp;"-Pos5",'Shooter-Squad Assignment'!$Y:$Y,0)),""),"")))</f>
        <v/>
      </c>
      <c r="O234" s="80" t="str">
        <f>IF(ISBLANK(N234),"",IFERROR(INDEX('Tournament List'!$D:$D,MATCH(N234,'Tournament List'!$A:$A,0)),""))</f>
        <v/>
      </c>
    </row>
    <row r="235" spans="1:15" x14ac:dyDescent="0.3">
      <c r="A235" s="79">
        <v>243</v>
      </c>
      <c r="B235" s="73" t="str">
        <f t="shared" si="3"/>
        <v>Brighton Clay Crushers-Varsity 3-Skeet</v>
      </c>
      <c r="C235" s="73" t="s">
        <v>323</v>
      </c>
      <c r="D235" s="73" t="s">
        <v>354</v>
      </c>
      <c r="E235" s="73" t="s">
        <v>143</v>
      </c>
      <c r="F235" s="98" t="str">
        <f>IF(E235="Skeet",IFERROR(INDEX('Shooter-Squad Assignment'!$A:$A,MATCH(C235&amp;"-"&amp;D235&amp;"-"&amp;E235&amp;"-Pos1",'Shooter-Squad Assignment'!#REF!,0)),""),IF(E235="Trap",IFERROR(INDEX('Shooter-Squad Assignment'!$A:$A,MATCH(C235&amp;"-"&amp;D235&amp;"-"&amp;E235&amp;"-Pos1",'Shooter-Squad Assignment'!$V:$V,0)),""),IF(E235="Sporting Clays",IFERROR(INDEX('Shooter-Squad Assignment'!$A:$A,MATCH(C235&amp;"-"&amp;D235&amp;"-"&amp;E235&amp;"-Pos1",'Shooter-Squad Assignment'!$Y:$Y,0)),""),"")))</f>
        <v/>
      </c>
      <c r="G235" s="73" t="str">
        <f>IF(ISBLANK(F235),"",IFERROR(INDEX('Tournament List'!$D:$D,MATCH(F235,'Tournament List'!$A:$A,0)),""))</f>
        <v/>
      </c>
      <c r="H235" s="98" t="str">
        <f>IF(E235="Skeet",IFERROR(INDEX('Shooter-Squad Assignment'!$A:$A,MATCH(C235&amp;"-"&amp;D235&amp;"-"&amp;E235&amp;"-Pos2",'Shooter-Squad Assignment'!#REF!,0)),""),IF(E235="Trap",IFERROR(INDEX('Shooter-Squad Assignment'!$A:$A,MATCH(C235&amp;"-"&amp;D235&amp;"-"&amp;E235&amp;"-Pos2",'Shooter-Squad Assignment'!$V:$V,0)),""),IF(E235="Sporting Clays",IFERROR(INDEX('Shooter-Squad Assignment'!$A:$A,MATCH(C235&amp;"-"&amp;D235&amp;"-"&amp;E235&amp;"-Pos2",'Shooter-Squad Assignment'!$Y:$Y,0)),""),"")))</f>
        <v/>
      </c>
      <c r="I235" s="73" t="str">
        <f>IF(ISBLANK(H235),"",IFERROR(INDEX('Tournament List'!$D:$D,MATCH(H235,'Tournament List'!$A:$A,0)),""))</f>
        <v/>
      </c>
      <c r="J235" s="98" t="str">
        <f>IF(E235="Skeet",IFERROR(INDEX('Shooter-Squad Assignment'!$A:$A,MATCH(C235&amp;"-"&amp;D235&amp;"-"&amp;E235&amp;"-Pos3",'Shooter-Squad Assignment'!#REF!,0)),""),IF(E235="Trap",IFERROR(INDEX('Shooter-Squad Assignment'!$A:$A,MATCH(C235&amp;"-"&amp;D235&amp;"-"&amp;E235&amp;"-Pos3",'Shooter-Squad Assignment'!$V:$V,0)),""),IF(E235="Sporting Clays",IFERROR(INDEX('Shooter-Squad Assignment'!$A:$A,MATCH(C235&amp;"-"&amp;D235&amp;"-"&amp;E235&amp;"-Pos3",'Shooter-Squad Assignment'!$Y:$Y,0)),""),"")))</f>
        <v/>
      </c>
      <c r="K235" s="73" t="str">
        <f>IF(ISBLANK(J235),"",IFERROR(INDEX('Tournament List'!$D:$D,MATCH(J235,'Tournament List'!$A:$A,0)),""))</f>
        <v/>
      </c>
      <c r="L235" s="98" t="str">
        <f>IF(E235="Skeet",IFERROR(INDEX('Shooter-Squad Assignment'!$A:$A,MATCH(C235&amp;"-"&amp;D235&amp;"-"&amp;E235&amp;"-Pos4",'Shooter-Squad Assignment'!#REF!,0)),""),IF(E235="Trap",IFERROR(INDEX('Shooter-Squad Assignment'!$A:$A,MATCH(C235&amp;"-"&amp;D235&amp;"-"&amp;E235&amp;"-Pos4",'Shooter-Squad Assignment'!$V:$V,0)),""),IF(E235="Sporting Clays",IFERROR(INDEX('Shooter-Squad Assignment'!$A:$A,MATCH(C235&amp;"-"&amp;D235&amp;"-"&amp;E235&amp;"-Pos4",'Shooter-Squad Assignment'!$Y:$Y,0)),""),"")))</f>
        <v/>
      </c>
      <c r="M235" s="73" t="str">
        <f>IF(ISBLANK(L235),"",IFERROR(INDEX('Tournament List'!$D:$D,MATCH(L235,'Tournament List'!$A:$A,0)),""))</f>
        <v/>
      </c>
      <c r="N235" s="98" t="str">
        <f>IF(E235="Skeet",IFERROR(INDEX('Shooter-Squad Assignment'!$A:$A,MATCH(C235&amp;"-"&amp;D235&amp;"-"&amp;E235&amp;"-Pos5",'Shooter-Squad Assignment'!#REF!,0)),""),IF(E235="Trap",IFERROR(INDEX('Shooter-Squad Assignment'!$A:$A,MATCH(C235&amp;"-"&amp;D235&amp;"-"&amp;E235&amp;"-Pos5",'Shooter-Squad Assignment'!$V:$V,0)),""),IF(E235="Sporting Clays",IFERROR(INDEX('Shooter-Squad Assignment'!$A:$A,MATCH(C235&amp;"-"&amp;D235&amp;"-"&amp;E235&amp;"-Pos5",'Shooter-Squad Assignment'!$Y:$Y,0)),""),"")))</f>
        <v/>
      </c>
      <c r="O235" s="80" t="str">
        <f>IF(ISBLANK(N235),"",IFERROR(INDEX('Tournament List'!$D:$D,MATCH(N235,'Tournament List'!$A:$A,0)),""))</f>
        <v/>
      </c>
    </row>
    <row r="236" spans="1:15" x14ac:dyDescent="0.3">
      <c r="A236" s="79">
        <v>244</v>
      </c>
      <c r="B236" s="73" t="str">
        <f t="shared" si="3"/>
        <v>Brighton Clay Crushers-Collegiate 1-Trap</v>
      </c>
      <c r="C236" s="73" t="s">
        <v>323</v>
      </c>
      <c r="D236" s="73" t="s">
        <v>344</v>
      </c>
      <c r="E236" s="73" t="s">
        <v>147</v>
      </c>
      <c r="F236" s="98" t="str">
        <f>IF(E236="Skeet",IFERROR(INDEX('Shooter-Squad Assignment'!$A:$A,MATCH(C236&amp;"-"&amp;D236&amp;"-"&amp;E236&amp;"-Pos1",'Shooter-Squad Assignment'!#REF!,0)),""),IF(E236="Trap",IFERROR(INDEX('Shooter-Squad Assignment'!$A:$A,MATCH(C236&amp;"-"&amp;D236&amp;"-"&amp;E236&amp;"-Pos1",'Shooter-Squad Assignment'!$V:$V,0)),""),IF(E236="Sporting Clays",IFERROR(INDEX('Shooter-Squad Assignment'!$A:$A,MATCH(C236&amp;"-"&amp;D236&amp;"-"&amp;E236&amp;"-Pos1",'Shooter-Squad Assignment'!$Y:$Y,0)),""),"")))</f>
        <v/>
      </c>
      <c r="G236" s="73" t="str">
        <f>IF(ISBLANK(F236),"",IFERROR(INDEX('Tournament List'!$D:$D,MATCH(F236,'Tournament List'!$A:$A,0)),""))</f>
        <v/>
      </c>
      <c r="H236" s="98" t="str">
        <f>IF(E236="Skeet",IFERROR(INDEX('Shooter-Squad Assignment'!$A:$A,MATCH(C236&amp;"-"&amp;D236&amp;"-"&amp;E236&amp;"-Pos2",'Shooter-Squad Assignment'!#REF!,0)),""),IF(E236="Trap",IFERROR(INDEX('Shooter-Squad Assignment'!$A:$A,MATCH(C236&amp;"-"&amp;D236&amp;"-"&amp;E236&amp;"-Pos2",'Shooter-Squad Assignment'!$V:$V,0)),""),IF(E236="Sporting Clays",IFERROR(INDEX('Shooter-Squad Assignment'!$A:$A,MATCH(C236&amp;"-"&amp;D236&amp;"-"&amp;E236&amp;"-Pos2",'Shooter-Squad Assignment'!$Y:$Y,0)),""),"")))</f>
        <v/>
      </c>
      <c r="I236" s="73" t="str">
        <f>IF(ISBLANK(H236),"",IFERROR(INDEX('Tournament List'!$D:$D,MATCH(H236,'Tournament List'!$A:$A,0)),""))</f>
        <v/>
      </c>
      <c r="J236" s="98" t="str">
        <f>IF(E236="Skeet",IFERROR(INDEX('Shooter-Squad Assignment'!$A:$A,MATCH(C236&amp;"-"&amp;D236&amp;"-"&amp;E236&amp;"-Pos3",'Shooter-Squad Assignment'!#REF!,0)),""),IF(E236="Trap",IFERROR(INDEX('Shooter-Squad Assignment'!$A:$A,MATCH(C236&amp;"-"&amp;D236&amp;"-"&amp;E236&amp;"-Pos3",'Shooter-Squad Assignment'!$V:$V,0)),""),IF(E236="Sporting Clays",IFERROR(INDEX('Shooter-Squad Assignment'!$A:$A,MATCH(C236&amp;"-"&amp;D236&amp;"-"&amp;E236&amp;"-Pos3",'Shooter-Squad Assignment'!$Y:$Y,0)),""),"")))</f>
        <v/>
      </c>
      <c r="K236" s="73" t="str">
        <f>IF(ISBLANK(J236),"",IFERROR(INDEX('Tournament List'!$D:$D,MATCH(J236,'Tournament List'!$A:$A,0)),""))</f>
        <v/>
      </c>
      <c r="L236" s="98" t="str">
        <f>IF(E236="Skeet",IFERROR(INDEX('Shooter-Squad Assignment'!$A:$A,MATCH(C236&amp;"-"&amp;D236&amp;"-"&amp;E236&amp;"-Pos4",'Shooter-Squad Assignment'!#REF!,0)),""),IF(E236="Trap",IFERROR(INDEX('Shooter-Squad Assignment'!$A:$A,MATCH(C236&amp;"-"&amp;D236&amp;"-"&amp;E236&amp;"-Pos4",'Shooter-Squad Assignment'!$V:$V,0)),""),IF(E236="Sporting Clays",IFERROR(INDEX('Shooter-Squad Assignment'!$A:$A,MATCH(C236&amp;"-"&amp;D236&amp;"-"&amp;E236&amp;"-Pos4",'Shooter-Squad Assignment'!$Y:$Y,0)),""),"")))</f>
        <v/>
      </c>
      <c r="M236" s="73" t="str">
        <f>IF(ISBLANK(L236),"",IFERROR(INDEX('Tournament List'!$D:$D,MATCH(L236,'Tournament List'!$A:$A,0)),""))</f>
        <v/>
      </c>
      <c r="N236" s="98" t="str">
        <f>IF(E236="Skeet",IFERROR(INDEX('Shooter-Squad Assignment'!$A:$A,MATCH(C236&amp;"-"&amp;D236&amp;"-"&amp;E236&amp;"-Pos5",'Shooter-Squad Assignment'!#REF!,0)),""),IF(E236="Trap",IFERROR(INDEX('Shooter-Squad Assignment'!$A:$A,MATCH(C236&amp;"-"&amp;D236&amp;"-"&amp;E236&amp;"-Pos5",'Shooter-Squad Assignment'!$V:$V,0)),""),IF(E236="Sporting Clays",IFERROR(INDEX('Shooter-Squad Assignment'!$A:$A,MATCH(C236&amp;"-"&amp;D236&amp;"-"&amp;E236&amp;"-Pos5",'Shooter-Squad Assignment'!$Y:$Y,0)),""),"")))</f>
        <v/>
      </c>
      <c r="O236" s="80" t="str">
        <f>IF(ISBLANK(N236),"",IFERROR(INDEX('Tournament List'!$D:$D,MATCH(N236,'Tournament List'!$A:$A,0)),""))</f>
        <v/>
      </c>
    </row>
    <row r="237" spans="1:15" x14ac:dyDescent="0.3">
      <c r="A237" s="79">
        <v>245</v>
      </c>
      <c r="B237" s="73" t="str">
        <f t="shared" si="3"/>
        <v>Brighton Clay Crushers-Collegiate 2-Trap</v>
      </c>
      <c r="C237" s="73" t="s">
        <v>323</v>
      </c>
      <c r="D237" s="73" t="s">
        <v>350</v>
      </c>
      <c r="E237" s="73" t="s">
        <v>147</v>
      </c>
      <c r="F237" s="98" t="str">
        <f>IF(E237="Skeet",IFERROR(INDEX('Shooter-Squad Assignment'!$A:$A,MATCH(C237&amp;"-"&amp;D237&amp;"-"&amp;E237&amp;"-Pos1",'Shooter-Squad Assignment'!#REF!,0)),""),IF(E237="Trap",IFERROR(INDEX('Shooter-Squad Assignment'!$A:$A,MATCH(C237&amp;"-"&amp;D237&amp;"-"&amp;E237&amp;"-Pos1",'Shooter-Squad Assignment'!$V:$V,0)),""),IF(E237="Sporting Clays",IFERROR(INDEX('Shooter-Squad Assignment'!$A:$A,MATCH(C237&amp;"-"&amp;D237&amp;"-"&amp;E237&amp;"-Pos1",'Shooter-Squad Assignment'!$Y:$Y,0)),""),"")))</f>
        <v/>
      </c>
      <c r="G237" s="73" t="str">
        <f>IF(ISBLANK(F237),"",IFERROR(INDEX('Tournament List'!$D:$D,MATCH(F237,'Tournament List'!$A:$A,0)),""))</f>
        <v/>
      </c>
      <c r="H237" s="98" t="str">
        <f>IF(E237="Skeet",IFERROR(INDEX('Shooter-Squad Assignment'!$A:$A,MATCH(C237&amp;"-"&amp;D237&amp;"-"&amp;E237&amp;"-Pos2",'Shooter-Squad Assignment'!#REF!,0)),""),IF(E237="Trap",IFERROR(INDEX('Shooter-Squad Assignment'!$A:$A,MATCH(C237&amp;"-"&amp;D237&amp;"-"&amp;E237&amp;"-Pos2",'Shooter-Squad Assignment'!$V:$V,0)),""),IF(E237="Sporting Clays",IFERROR(INDEX('Shooter-Squad Assignment'!$A:$A,MATCH(C237&amp;"-"&amp;D237&amp;"-"&amp;E237&amp;"-Pos2",'Shooter-Squad Assignment'!$Y:$Y,0)),""),"")))</f>
        <v/>
      </c>
      <c r="I237" s="73" t="str">
        <f>IF(ISBLANK(H237),"",IFERROR(INDEX('Tournament List'!$D:$D,MATCH(H237,'Tournament List'!$A:$A,0)),""))</f>
        <v/>
      </c>
      <c r="J237" s="98" t="str">
        <f>IF(E237="Skeet",IFERROR(INDEX('Shooter-Squad Assignment'!$A:$A,MATCH(C237&amp;"-"&amp;D237&amp;"-"&amp;E237&amp;"-Pos3",'Shooter-Squad Assignment'!#REF!,0)),""),IF(E237="Trap",IFERROR(INDEX('Shooter-Squad Assignment'!$A:$A,MATCH(C237&amp;"-"&amp;D237&amp;"-"&amp;E237&amp;"-Pos3",'Shooter-Squad Assignment'!$V:$V,0)),""),IF(E237="Sporting Clays",IFERROR(INDEX('Shooter-Squad Assignment'!$A:$A,MATCH(C237&amp;"-"&amp;D237&amp;"-"&amp;E237&amp;"-Pos3",'Shooter-Squad Assignment'!$Y:$Y,0)),""),"")))</f>
        <v/>
      </c>
      <c r="K237" s="73" t="str">
        <f>IF(ISBLANK(J237),"",IFERROR(INDEX('Tournament List'!$D:$D,MATCH(J237,'Tournament List'!$A:$A,0)),""))</f>
        <v/>
      </c>
      <c r="L237" s="98" t="str">
        <f>IF(E237="Skeet",IFERROR(INDEX('Shooter-Squad Assignment'!$A:$A,MATCH(C237&amp;"-"&amp;D237&amp;"-"&amp;E237&amp;"-Pos4",'Shooter-Squad Assignment'!#REF!,0)),""),IF(E237="Trap",IFERROR(INDEX('Shooter-Squad Assignment'!$A:$A,MATCH(C237&amp;"-"&amp;D237&amp;"-"&amp;E237&amp;"-Pos4",'Shooter-Squad Assignment'!$V:$V,0)),""),IF(E237="Sporting Clays",IFERROR(INDEX('Shooter-Squad Assignment'!$A:$A,MATCH(C237&amp;"-"&amp;D237&amp;"-"&amp;E237&amp;"-Pos4",'Shooter-Squad Assignment'!$Y:$Y,0)),""),"")))</f>
        <v/>
      </c>
      <c r="M237" s="73" t="str">
        <f>IF(ISBLANK(L237),"",IFERROR(INDEX('Tournament List'!$D:$D,MATCH(L237,'Tournament List'!$A:$A,0)),""))</f>
        <v/>
      </c>
      <c r="N237" s="98" t="str">
        <f>IF(E237="Skeet",IFERROR(INDEX('Shooter-Squad Assignment'!$A:$A,MATCH(C237&amp;"-"&amp;D237&amp;"-"&amp;E237&amp;"-Pos5",'Shooter-Squad Assignment'!#REF!,0)),""),IF(E237="Trap",IFERROR(INDEX('Shooter-Squad Assignment'!$A:$A,MATCH(C237&amp;"-"&amp;D237&amp;"-"&amp;E237&amp;"-Pos5",'Shooter-Squad Assignment'!$V:$V,0)),""),IF(E237="Sporting Clays",IFERROR(INDEX('Shooter-Squad Assignment'!$A:$A,MATCH(C237&amp;"-"&amp;D237&amp;"-"&amp;E237&amp;"-Pos5",'Shooter-Squad Assignment'!$Y:$Y,0)),""),"")))</f>
        <v/>
      </c>
      <c r="O237" s="80" t="str">
        <f>IF(ISBLANK(N237),"",IFERROR(INDEX('Tournament List'!$D:$D,MATCH(N237,'Tournament List'!$A:$A,0)),""))</f>
        <v/>
      </c>
    </row>
    <row r="238" spans="1:15" x14ac:dyDescent="0.3">
      <c r="A238" s="79">
        <v>246</v>
      </c>
      <c r="B238" s="73" t="str">
        <f t="shared" si="3"/>
        <v>Brighton Clay Crushers-Collegiate 3-Trap</v>
      </c>
      <c r="C238" s="73" t="s">
        <v>323</v>
      </c>
      <c r="D238" s="73" t="s">
        <v>356</v>
      </c>
      <c r="E238" s="73" t="s">
        <v>147</v>
      </c>
      <c r="F238" s="98" t="str">
        <f>IF(E238="Skeet",IFERROR(INDEX('Shooter-Squad Assignment'!$A:$A,MATCH(C238&amp;"-"&amp;D238&amp;"-"&amp;E238&amp;"-Pos1",'Shooter-Squad Assignment'!#REF!,0)),""),IF(E238="Trap",IFERROR(INDEX('Shooter-Squad Assignment'!$A:$A,MATCH(C238&amp;"-"&amp;D238&amp;"-"&amp;E238&amp;"-Pos1",'Shooter-Squad Assignment'!$V:$V,0)),""),IF(E238="Sporting Clays",IFERROR(INDEX('Shooter-Squad Assignment'!$A:$A,MATCH(C238&amp;"-"&amp;D238&amp;"-"&amp;E238&amp;"-Pos1",'Shooter-Squad Assignment'!$Y:$Y,0)),""),"")))</f>
        <v/>
      </c>
      <c r="G238" s="73" t="str">
        <f>IF(ISBLANK(F238),"",IFERROR(INDEX('Tournament List'!$D:$D,MATCH(F238,'Tournament List'!$A:$A,0)),""))</f>
        <v/>
      </c>
      <c r="H238" s="98" t="str">
        <f>IF(E238="Skeet",IFERROR(INDEX('Shooter-Squad Assignment'!$A:$A,MATCH(C238&amp;"-"&amp;D238&amp;"-"&amp;E238&amp;"-Pos2",'Shooter-Squad Assignment'!#REF!,0)),""),IF(E238="Trap",IFERROR(INDEX('Shooter-Squad Assignment'!$A:$A,MATCH(C238&amp;"-"&amp;D238&amp;"-"&amp;E238&amp;"-Pos2",'Shooter-Squad Assignment'!$V:$V,0)),""),IF(E238="Sporting Clays",IFERROR(INDEX('Shooter-Squad Assignment'!$A:$A,MATCH(C238&amp;"-"&amp;D238&amp;"-"&amp;E238&amp;"-Pos2",'Shooter-Squad Assignment'!$Y:$Y,0)),""),"")))</f>
        <v/>
      </c>
      <c r="I238" s="73" t="str">
        <f>IF(ISBLANK(H238),"",IFERROR(INDEX('Tournament List'!$D:$D,MATCH(H238,'Tournament List'!$A:$A,0)),""))</f>
        <v/>
      </c>
      <c r="J238" s="98" t="str">
        <f>IF(E238="Skeet",IFERROR(INDEX('Shooter-Squad Assignment'!$A:$A,MATCH(C238&amp;"-"&amp;D238&amp;"-"&amp;E238&amp;"-Pos3",'Shooter-Squad Assignment'!#REF!,0)),""),IF(E238="Trap",IFERROR(INDEX('Shooter-Squad Assignment'!$A:$A,MATCH(C238&amp;"-"&amp;D238&amp;"-"&amp;E238&amp;"-Pos3",'Shooter-Squad Assignment'!$V:$V,0)),""),IF(E238="Sporting Clays",IFERROR(INDEX('Shooter-Squad Assignment'!$A:$A,MATCH(C238&amp;"-"&amp;D238&amp;"-"&amp;E238&amp;"-Pos3",'Shooter-Squad Assignment'!$Y:$Y,0)),""),"")))</f>
        <v/>
      </c>
      <c r="K238" s="73" t="str">
        <f>IF(ISBLANK(J238),"",IFERROR(INDEX('Tournament List'!$D:$D,MATCH(J238,'Tournament List'!$A:$A,0)),""))</f>
        <v/>
      </c>
      <c r="L238" s="98" t="str">
        <f>IF(E238="Skeet",IFERROR(INDEX('Shooter-Squad Assignment'!$A:$A,MATCH(C238&amp;"-"&amp;D238&amp;"-"&amp;E238&amp;"-Pos4",'Shooter-Squad Assignment'!#REF!,0)),""),IF(E238="Trap",IFERROR(INDEX('Shooter-Squad Assignment'!$A:$A,MATCH(C238&amp;"-"&amp;D238&amp;"-"&amp;E238&amp;"-Pos4",'Shooter-Squad Assignment'!$V:$V,0)),""),IF(E238="Sporting Clays",IFERROR(INDEX('Shooter-Squad Assignment'!$A:$A,MATCH(C238&amp;"-"&amp;D238&amp;"-"&amp;E238&amp;"-Pos4",'Shooter-Squad Assignment'!$Y:$Y,0)),""),"")))</f>
        <v/>
      </c>
      <c r="M238" s="73" t="str">
        <f>IF(ISBLANK(L238),"",IFERROR(INDEX('Tournament List'!$D:$D,MATCH(L238,'Tournament List'!$A:$A,0)),""))</f>
        <v/>
      </c>
      <c r="N238" s="98" t="str">
        <f>IF(E238="Skeet",IFERROR(INDEX('Shooter-Squad Assignment'!$A:$A,MATCH(C238&amp;"-"&amp;D238&amp;"-"&amp;E238&amp;"-Pos5",'Shooter-Squad Assignment'!#REF!,0)),""),IF(E238="Trap",IFERROR(INDEX('Shooter-Squad Assignment'!$A:$A,MATCH(C238&amp;"-"&amp;D238&amp;"-"&amp;E238&amp;"-Pos5",'Shooter-Squad Assignment'!$V:$V,0)),""),IF(E238="Sporting Clays",IFERROR(INDEX('Shooter-Squad Assignment'!$A:$A,MATCH(C238&amp;"-"&amp;D238&amp;"-"&amp;E238&amp;"-Pos5",'Shooter-Squad Assignment'!$Y:$Y,0)),""),"")))</f>
        <v/>
      </c>
      <c r="O238" s="80" t="str">
        <f>IF(ISBLANK(N238),"",IFERROR(INDEX('Tournament List'!$D:$D,MATCH(N238,'Tournament List'!$A:$A,0)),""))</f>
        <v/>
      </c>
    </row>
    <row r="239" spans="1:15" x14ac:dyDescent="0.3">
      <c r="A239" s="79">
        <v>247</v>
      </c>
      <c r="B239" s="73" t="str">
        <f t="shared" si="3"/>
        <v>Brighton Clay Crushers-Intermediate 1-Trap</v>
      </c>
      <c r="C239" s="73" t="s">
        <v>323</v>
      </c>
      <c r="D239" s="73" t="s">
        <v>340</v>
      </c>
      <c r="E239" s="73" t="s">
        <v>147</v>
      </c>
      <c r="F239" s="98" t="str">
        <f>IF(E239="Skeet",IFERROR(INDEX('Shooter-Squad Assignment'!$A:$A,MATCH(C239&amp;"-"&amp;D239&amp;"-"&amp;E239&amp;"-Pos1",'Shooter-Squad Assignment'!#REF!,0)),""),IF(E239="Trap",IFERROR(INDEX('Shooter-Squad Assignment'!$A:$A,MATCH(C239&amp;"-"&amp;D239&amp;"-"&amp;E239&amp;"-Pos1",'Shooter-Squad Assignment'!$V:$V,0)),""),IF(E239="Sporting Clays",IFERROR(INDEX('Shooter-Squad Assignment'!$A:$A,MATCH(C239&amp;"-"&amp;D239&amp;"-"&amp;E239&amp;"-Pos1",'Shooter-Squad Assignment'!$Y:$Y,0)),""),"")))</f>
        <v/>
      </c>
      <c r="G239" s="73" t="str">
        <f>IF(ISBLANK(F239),"",IFERROR(INDEX('Tournament List'!$D:$D,MATCH(F239,'Tournament List'!$A:$A,0)),""))</f>
        <v/>
      </c>
      <c r="H239" s="98" t="str">
        <f>IF(E239="Skeet",IFERROR(INDEX('Shooter-Squad Assignment'!$A:$A,MATCH(C239&amp;"-"&amp;D239&amp;"-"&amp;E239&amp;"-Pos2",'Shooter-Squad Assignment'!#REF!,0)),""),IF(E239="Trap",IFERROR(INDEX('Shooter-Squad Assignment'!$A:$A,MATCH(C239&amp;"-"&amp;D239&amp;"-"&amp;E239&amp;"-Pos2",'Shooter-Squad Assignment'!$V:$V,0)),""),IF(E239="Sporting Clays",IFERROR(INDEX('Shooter-Squad Assignment'!$A:$A,MATCH(C239&amp;"-"&amp;D239&amp;"-"&amp;E239&amp;"-Pos2",'Shooter-Squad Assignment'!$Y:$Y,0)),""),"")))</f>
        <v/>
      </c>
      <c r="I239" s="73" t="str">
        <f>IF(ISBLANK(H239),"",IFERROR(INDEX('Tournament List'!$D:$D,MATCH(H239,'Tournament List'!$A:$A,0)),""))</f>
        <v/>
      </c>
      <c r="J239" s="98" t="str">
        <f>IF(E239="Skeet",IFERROR(INDEX('Shooter-Squad Assignment'!$A:$A,MATCH(C239&amp;"-"&amp;D239&amp;"-"&amp;E239&amp;"-Pos3",'Shooter-Squad Assignment'!#REF!,0)),""),IF(E239="Trap",IFERROR(INDEX('Shooter-Squad Assignment'!$A:$A,MATCH(C239&amp;"-"&amp;D239&amp;"-"&amp;E239&amp;"-Pos3",'Shooter-Squad Assignment'!$V:$V,0)),""),IF(E239="Sporting Clays",IFERROR(INDEX('Shooter-Squad Assignment'!$A:$A,MATCH(C239&amp;"-"&amp;D239&amp;"-"&amp;E239&amp;"-Pos3",'Shooter-Squad Assignment'!$Y:$Y,0)),""),"")))</f>
        <v/>
      </c>
      <c r="K239" s="73" t="str">
        <f>IF(ISBLANK(J239),"",IFERROR(INDEX('Tournament List'!$D:$D,MATCH(J239,'Tournament List'!$A:$A,0)),""))</f>
        <v/>
      </c>
      <c r="L239" s="98" t="str">
        <f>IF(E239="Skeet",IFERROR(INDEX('Shooter-Squad Assignment'!$A:$A,MATCH(C239&amp;"-"&amp;D239&amp;"-"&amp;E239&amp;"-Pos4",'Shooter-Squad Assignment'!#REF!,0)),""),IF(E239="Trap",IFERROR(INDEX('Shooter-Squad Assignment'!$A:$A,MATCH(C239&amp;"-"&amp;D239&amp;"-"&amp;E239&amp;"-Pos4",'Shooter-Squad Assignment'!$V:$V,0)),""),IF(E239="Sporting Clays",IFERROR(INDEX('Shooter-Squad Assignment'!$A:$A,MATCH(C239&amp;"-"&amp;D239&amp;"-"&amp;E239&amp;"-Pos4",'Shooter-Squad Assignment'!$Y:$Y,0)),""),"")))</f>
        <v/>
      </c>
      <c r="M239" s="73" t="str">
        <f>IF(ISBLANK(L239),"",IFERROR(INDEX('Tournament List'!$D:$D,MATCH(L239,'Tournament List'!$A:$A,0)),""))</f>
        <v/>
      </c>
      <c r="N239" s="98" t="str">
        <f>IF(E239="Skeet",IFERROR(INDEX('Shooter-Squad Assignment'!$A:$A,MATCH(C239&amp;"-"&amp;D239&amp;"-"&amp;E239&amp;"-Pos5",'Shooter-Squad Assignment'!#REF!,0)),""),IF(E239="Trap",IFERROR(INDEX('Shooter-Squad Assignment'!$A:$A,MATCH(C239&amp;"-"&amp;D239&amp;"-"&amp;E239&amp;"-Pos5",'Shooter-Squad Assignment'!$V:$V,0)),""),IF(E239="Sporting Clays",IFERROR(INDEX('Shooter-Squad Assignment'!$A:$A,MATCH(C239&amp;"-"&amp;D239&amp;"-"&amp;E239&amp;"-Pos5",'Shooter-Squad Assignment'!$Y:$Y,0)),""),"")))</f>
        <v/>
      </c>
      <c r="O239" s="80" t="str">
        <f>IF(ISBLANK(N239),"",IFERROR(INDEX('Tournament List'!$D:$D,MATCH(N239,'Tournament List'!$A:$A,0)),""))</f>
        <v/>
      </c>
    </row>
    <row r="240" spans="1:15" x14ac:dyDescent="0.3">
      <c r="A240" s="79">
        <v>248</v>
      </c>
      <c r="B240" s="73" t="str">
        <f t="shared" si="3"/>
        <v>Brighton Clay Crushers-Intermediate 2-Trap</v>
      </c>
      <c r="C240" s="73" t="s">
        <v>323</v>
      </c>
      <c r="D240" s="73" t="s">
        <v>346</v>
      </c>
      <c r="E240" s="73" t="s">
        <v>147</v>
      </c>
      <c r="F240" s="98" t="str">
        <f>IF(E240="Skeet",IFERROR(INDEX('Shooter-Squad Assignment'!$A:$A,MATCH(C240&amp;"-"&amp;D240&amp;"-"&amp;E240&amp;"-Pos1",'Shooter-Squad Assignment'!#REF!,0)),""),IF(E240="Trap",IFERROR(INDEX('Shooter-Squad Assignment'!$A:$A,MATCH(C240&amp;"-"&amp;D240&amp;"-"&amp;E240&amp;"-Pos1",'Shooter-Squad Assignment'!$V:$V,0)),""),IF(E240="Sporting Clays",IFERROR(INDEX('Shooter-Squad Assignment'!$A:$A,MATCH(C240&amp;"-"&amp;D240&amp;"-"&amp;E240&amp;"-Pos1",'Shooter-Squad Assignment'!$Y:$Y,0)),""),"")))</f>
        <v/>
      </c>
      <c r="G240" s="73" t="str">
        <f>IF(ISBLANK(F240),"",IFERROR(INDEX('Tournament List'!$D:$D,MATCH(F240,'Tournament List'!$A:$A,0)),""))</f>
        <v/>
      </c>
      <c r="H240" s="98" t="str">
        <f>IF(E240="Skeet",IFERROR(INDEX('Shooter-Squad Assignment'!$A:$A,MATCH(C240&amp;"-"&amp;D240&amp;"-"&amp;E240&amp;"-Pos2",'Shooter-Squad Assignment'!#REF!,0)),""),IF(E240="Trap",IFERROR(INDEX('Shooter-Squad Assignment'!$A:$A,MATCH(C240&amp;"-"&amp;D240&amp;"-"&amp;E240&amp;"-Pos2",'Shooter-Squad Assignment'!$V:$V,0)),""),IF(E240="Sporting Clays",IFERROR(INDEX('Shooter-Squad Assignment'!$A:$A,MATCH(C240&amp;"-"&amp;D240&amp;"-"&amp;E240&amp;"-Pos2",'Shooter-Squad Assignment'!$Y:$Y,0)),""),"")))</f>
        <v/>
      </c>
      <c r="I240" s="73" t="str">
        <f>IF(ISBLANK(H240),"",IFERROR(INDEX('Tournament List'!$D:$D,MATCH(H240,'Tournament List'!$A:$A,0)),""))</f>
        <v/>
      </c>
      <c r="J240" s="98" t="str">
        <f>IF(E240="Skeet",IFERROR(INDEX('Shooter-Squad Assignment'!$A:$A,MATCH(C240&amp;"-"&amp;D240&amp;"-"&amp;E240&amp;"-Pos3",'Shooter-Squad Assignment'!#REF!,0)),""),IF(E240="Trap",IFERROR(INDEX('Shooter-Squad Assignment'!$A:$A,MATCH(C240&amp;"-"&amp;D240&amp;"-"&amp;E240&amp;"-Pos3",'Shooter-Squad Assignment'!$V:$V,0)),""),IF(E240="Sporting Clays",IFERROR(INDEX('Shooter-Squad Assignment'!$A:$A,MATCH(C240&amp;"-"&amp;D240&amp;"-"&amp;E240&amp;"-Pos3",'Shooter-Squad Assignment'!$Y:$Y,0)),""),"")))</f>
        <v/>
      </c>
      <c r="K240" s="73" t="str">
        <f>IF(ISBLANK(J240),"",IFERROR(INDEX('Tournament List'!$D:$D,MATCH(J240,'Tournament List'!$A:$A,0)),""))</f>
        <v/>
      </c>
      <c r="L240" s="98" t="str">
        <f>IF(E240="Skeet",IFERROR(INDEX('Shooter-Squad Assignment'!$A:$A,MATCH(C240&amp;"-"&amp;D240&amp;"-"&amp;E240&amp;"-Pos4",'Shooter-Squad Assignment'!#REF!,0)),""),IF(E240="Trap",IFERROR(INDEX('Shooter-Squad Assignment'!$A:$A,MATCH(C240&amp;"-"&amp;D240&amp;"-"&amp;E240&amp;"-Pos4",'Shooter-Squad Assignment'!$V:$V,0)),""),IF(E240="Sporting Clays",IFERROR(INDEX('Shooter-Squad Assignment'!$A:$A,MATCH(C240&amp;"-"&amp;D240&amp;"-"&amp;E240&amp;"-Pos4",'Shooter-Squad Assignment'!$Y:$Y,0)),""),"")))</f>
        <v/>
      </c>
      <c r="M240" s="73" t="str">
        <f>IF(ISBLANK(L240),"",IFERROR(INDEX('Tournament List'!$D:$D,MATCH(L240,'Tournament List'!$A:$A,0)),""))</f>
        <v/>
      </c>
      <c r="N240" s="98" t="str">
        <f>IF(E240="Skeet",IFERROR(INDEX('Shooter-Squad Assignment'!$A:$A,MATCH(C240&amp;"-"&amp;D240&amp;"-"&amp;E240&amp;"-Pos5",'Shooter-Squad Assignment'!#REF!,0)),""),IF(E240="Trap",IFERROR(INDEX('Shooter-Squad Assignment'!$A:$A,MATCH(C240&amp;"-"&amp;D240&amp;"-"&amp;E240&amp;"-Pos5",'Shooter-Squad Assignment'!$V:$V,0)),""),IF(E240="Sporting Clays",IFERROR(INDEX('Shooter-Squad Assignment'!$A:$A,MATCH(C240&amp;"-"&amp;D240&amp;"-"&amp;E240&amp;"-Pos5",'Shooter-Squad Assignment'!$Y:$Y,0)),""),"")))</f>
        <v/>
      </c>
      <c r="O240" s="80" t="str">
        <f>IF(ISBLANK(N240),"",IFERROR(INDEX('Tournament List'!$D:$D,MATCH(N240,'Tournament List'!$A:$A,0)),""))</f>
        <v/>
      </c>
    </row>
    <row r="241" spans="1:15" x14ac:dyDescent="0.3">
      <c r="A241" s="79">
        <v>249</v>
      </c>
      <c r="B241" s="73" t="str">
        <f t="shared" si="3"/>
        <v>Brighton Clay Crushers-Intermediate 3-Trap</v>
      </c>
      <c r="C241" s="73" t="s">
        <v>323</v>
      </c>
      <c r="D241" s="73" t="s">
        <v>352</v>
      </c>
      <c r="E241" s="73" t="s">
        <v>147</v>
      </c>
      <c r="F241" s="98" t="str">
        <f>IF(E241="Skeet",IFERROR(INDEX('Shooter-Squad Assignment'!$A:$A,MATCH(C241&amp;"-"&amp;D241&amp;"-"&amp;E241&amp;"-Pos1",'Shooter-Squad Assignment'!#REF!,0)),""),IF(E241="Trap",IFERROR(INDEX('Shooter-Squad Assignment'!$A:$A,MATCH(C241&amp;"-"&amp;D241&amp;"-"&amp;E241&amp;"-Pos1",'Shooter-Squad Assignment'!$V:$V,0)),""),IF(E241="Sporting Clays",IFERROR(INDEX('Shooter-Squad Assignment'!$A:$A,MATCH(C241&amp;"-"&amp;D241&amp;"-"&amp;E241&amp;"-Pos1",'Shooter-Squad Assignment'!$Y:$Y,0)),""),"")))</f>
        <v/>
      </c>
      <c r="G241" s="73" t="str">
        <f>IF(ISBLANK(F241),"",IFERROR(INDEX('Tournament List'!$D:$D,MATCH(F241,'Tournament List'!$A:$A,0)),""))</f>
        <v/>
      </c>
      <c r="H241" s="98" t="str">
        <f>IF(E241="Skeet",IFERROR(INDEX('Shooter-Squad Assignment'!$A:$A,MATCH(C241&amp;"-"&amp;D241&amp;"-"&amp;E241&amp;"-Pos2",'Shooter-Squad Assignment'!#REF!,0)),""),IF(E241="Trap",IFERROR(INDEX('Shooter-Squad Assignment'!$A:$A,MATCH(C241&amp;"-"&amp;D241&amp;"-"&amp;E241&amp;"-Pos2",'Shooter-Squad Assignment'!$V:$V,0)),""),IF(E241="Sporting Clays",IFERROR(INDEX('Shooter-Squad Assignment'!$A:$A,MATCH(C241&amp;"-"&amp;D241&amp;"-"&amp;E241&amp;"-Pos2",'Shooter-Squad Assignment'!$Y:$Y,0)),""),"")))</f>
        <v/>
      </c>
      <c r="I241" s="73" t="str">
        <f>IF(ISBLANK(H241),"",IFERROR(INDEX('Tournament List'!$D:$D,MATCH(H241,'Tournament List'!$A:$A,0)),""))</f>
        <v/>
      </c>
      <c r="J241" s="98" t="str">
        <f>IF(E241="Skeet",IFERROR(INDEX('Shooter-Squad Assignment'!$A:$A,MATCH(C241&amp;"-"&amp;D241&amp;"-"&amp;E241&amp;"-Pos3",'Shooter-Squad Assignment'!#REF!,0)),""),IF(E241="Trap",IFERROR(INDEX('Shooter-Squad Assignment'!$A:$A,MATCH(C241&amp;"-"&amp;D241&amp;"-"&amp;E241&amp;"-Pos3",'Shooter-Squad Assignment'!$V:$V,0)),""),IF(E241="Sporting Clays",IFERROR(INDEX('Shooter-Squad Assignment'!$A:$A,MATCH(C241&amp;"-"&amp;D241&amp;"-"&amp;E241&amp;"-Pos3",'Shooter-Squad Assignment'!$Y:$Y,0)),""),"")))</f>
        <v/>
      </c>
      <c r="K241" s="73" t="str">
        <f>IF(ISBLANK(J241),"",IFERROR(INDEX('Tournament List'!$D:$D,MATCH(J241,'Tournament List'!$A:$A,0)),""))</f>
        <v/>
      </c>
      <c r="L241" s="98" t="str">
        <f>IF(E241="Skeet",IFERROR(INDEX('Shooter-Squad Assignment'!$A:$A,MATCH(C241&amp;"-"&amp;D241&amp;"-"&amp;E241&amp;"-Pos4",'Shooter-Squad Assignment'!#REF!,0)),""),IF(E241="Trap",IFERROR(INDEX('Shooter-Squad Assignment'!$A:$A,MATCH(C241&amp;"-"&amp;D241&amp;"-"&amp;E241&amp;"-Pos4",'Shooter-Squad Assignment'!$V:$V,0)),""),IF(E241="Sporting Clays",IFERROR(INDEX('Shooter-Squad Assignment'!$A:$A,MATCH(C241&amp;"-"&amp;D241&amp;"-"&amp;E241&amp;"-Pos4",'Shooter-Squad Assignment'!$Y:$Y,0)),""),"")))</f>
        <v/>
      </c>
      <c r="M241" s="73" t="str">
        <f>IF(ISBLANK(L241),"",IFERROR(INDEX('Tournament List'!$D:$D,MATCH(L241,'Tournament List'!$A:$A,0)),""))</f>
        <v/>
      </c>
      <c r="N241" s="98" t="str">
        <f>IF(E241="Skeet",IFERROR(INDEX('Shooter-Squad Assignment'!$A:$A,MATCH(C241&amp;"-"&amp;D241&amp;"-"&amp;E241&amp;"-Pos5",'Shooter-Squad Assignment'!#REF!,0)),""),IF(E241="Trap",IFERROR(INDEX('Shooter-Squad Assignment'!$A:$A,MATCH(C241&amp;"-"&amp;D241&amp;"-"&amp;E241&amp;"-Pos5",'Shooter-Squad Assignment'!$V:$V,0)),""),IF(E241="Sporting Clays",IFERROR(INDEX('Shooter-Squad Assignment'!$A:$A,MATCH(C241&amp;"-"&amp;D241&amp;"-"&amp;E241&amp;"-Pos5",'Shooter-Squad Assignment'!$Y:$Y,0)),""),"")))</f>
        <v/>
      </c>
      <c r="O241" s="80" t="str">
        <f>IF(ISBLANK(N241),"",IFERROR(INDEX('Tournament List'!$D:$D,MATCH(N241,'Tournament List'!$A:$A,0)),""))</f>
        <v/>
      </c>
    </row>
    <row r="242" spans="1:15" x14ac:dyDescent="0.3">
      <c r="A242" s="79">
        <v>250</v>
      </c>
      <c r="B242" s="73" t="str">
        <f t="shared" si="3"/>
        <v>Brighton Clay Crushers-Junior Varsity 1-Trap</v>
      </c>
      <c r="C242" s="73" t="s">
        <v>323</v>
      </c>
      <c r="D242" s="73" t="s">
        <v>341</v>
      </c>
      <c r="E242" s="73" t="s">
        <v>147</v>
      </c>
      <c r="F242" s="98" t="str">
        <f>IF(E242="Skeet",IFERROR(INDEX('Shooter-Squad Assignment'!$A:$A,MATCH(C242&amp;"-"&amp;D242&amp;"-"&amp;E242&amp;"-Pos1",'Shooter-Squad Assignment'!#REF!,0)),""),IF(E242="Trap",IFERROR(INDEX('Shooter-Squad Assignment'!$A:$A,MATCH(C242&amp;"-"&amp;D242&amp;"-"&amp;E242&amp;"-Pos1",'Shooter-Squad Assignment'!$V:$V,0)),""),IF(E242="Sporting Clays",IFERROR(INDEX('Shooter-Squad Assignment'!$A:$A,MATCH(C242&amp;"-"&amp;D242&amp;"-"&amp;E242&amp;"-Pos1",'Shooter-Squad Assignment'!$Y:$Y,0)),""),"")))</f>
        <v/>
      </c>
      <c r="G242" s="73" t="str">
        <f>IF(ISBLANK(F242),"",IFERROR(INDEX('Tournament List'!$D:$D,MATCH(F242,'Tournament List'!$A:$A,0)),""))</f>
        <v/>
      </c>
      <c r="H242" s="98" t="str">
        <f>IF(E242="Skeet",IFERROR(INDEX('Shooter-Squad Assignment'!$A:$A,MATCH(C242&amp;"-"&amp;D242&amp;"-"&amp;E242&amp;"-Pos2",'Shooter-Squad Assignment'!#REF!,0)),""),IF(E242="Trap",IFERROR(INDEX('Shooter-Squad Assignment'!$A:$A,MATCH(C242&amp;"-"&amp;D242&amp;"-"&amp;E242&amp;"-Pos2",'Shooter-Squad Assignment'!$V:$V,0)),""),IF(E242="Sporting Clays",IFERROR(INDEX('Shooter-Squad Assignment'!$A:$A,MATCH(C242&amp;"-"&amp;D242&amp;"-"&amp;E242&amp;"-Pos2",'Shooter-Squad Assignment'!$Y:$Y,0)),""),"")))</f>
        <v/>
      </c>
      <c r="I242" s="73" t="str">
        <f>IF(ISBLANK(H242),"",IFERROR(INDEX('Tournament List'!$D:$D,MATCH(H242,'Tournament List'!$A:$A,0)),""))</f>
        <v/>
      </c>
      <c r="J242" s="98" t="str">
        <f>IF(E242="Skeet",IFERROR(INDEX('Shooter-Squad Assignment'!$A:$A,MATCH(C242&amp;"-"&amp;D242&amp;"-"&amp;E242&amp;"-Pos3",'Shooter-Squad Assignment'!#REF!,0)),""),IF(E242="Trap",IFERROR(INDEX('Shooter-Squad Assignment'!$A:$A,MATCH(C242&amp;"-"&amp;D242&amp;"-"&amp;E242&amp;"-Pos3",'Shooter-Squad Assignment'!$V:$V,0)),""),IF(E242="Sporting Clays",IFERROR(INDEX('Shooter-Squad Assignment'!$A:$A,MATCH(C242&amp;"-"&amp;D242&amp;"-"&amp;E242&amp;"-Pos3",'Shooter-Squad Assignment'!$Y:$Y,0)),""),"")))</f>
        <v/>
      </c>
      <c r="K242" s="73" t="str">
        <f>IF(ISBLANK(J242),"",IFERROR(INDEX('Tournament List'!$D:$D,MATCH(J242,'Tournament List'!$A:$A,0)),""))</f>
        <v/>
      </c>
      <c r="L242" s="98" t="str">
        <f>IF(E242="Skeet",IFERROR(INDEX('Shooter-Squad Assignment'!$A:$A,MATCH(C242&amp;"-"&amp;D242&amp;"-"&amp;E242&amp;"-Pos4",'Shooter-Squad Assignment'!#REF!,0)),""),IF(E242="Trap",IFERROR(INDEX('Shooter-Squad Assignment'!$A:$A,MATCH(C242&amp;"-"&amp;D242&amp;"-"&amp;E242&amp;"-Pos4",'Shooter-Squad Assignment'!$V:$V,0)),""),IF(E242="Sporting Clays",IFERROR(INDEX('Shooter-Squad Assignment'!$A:$A,MATCH(C242&amp;"-"&amp;D242&amp;"-"&amp;E242&amp;"-Pos4",'Shooter-Squad Assignment'!$Y:$Y,0)),""),"")))</f>
        <v/>
      </c>
      <c r="M242" s="73" t="str">
        <f>IF(ISBLANK(L242),"",IFERROR(INDEX('Tournament List'!$D:$D,MATCH(L242,'Tournament List'!$A:$A,0)),""))</f>
        <v/>
      </c>
      <c r="N242" s="98" t="str">
        <f>IF(E242="Skeet",IFERROR(INDEX('Shooter-Squad Assignment'!$A:$A,MATCH(C242&amp;"-"&amp;D242&amp;"-"&amp;E242&amp;"-Pos5",'Shooter-Squad Assignment'!#REF!,0)),""),IF(E242="Trap",IFERROR(INDEX('Shooter-Squad Assignment'!$A:$A,MATCH(C242&amp;"-"&amp;D242&amp;"-"&amp;E242&amp;"-Pos5",'Shooter-Squad Assignment'!$V:$V,0)),""),IF(E242="Sporting Clays",IFERROR(INDEX('Shooter-Squad Assignment'!$A:$A,MATCH(C242&amp;"-"&amp;D242&amp;"-"&amp;E242&amp;"-Pos5",'Shooter-Squad Assignment'!$Y:$Y,0)),""),"")))</f>
        <v/>
      </c>
      <c r="O242" s="80" t="str">
        <f>IF(ISBLANK(N242),"",IFERROR(INDEX('Tournament List'!$D:$D,MATCH(N242,'Tournament List'!$A:$A,0)),""))</f>
        <v/>
      </c>
    </row>
    <row r="243" spans="1:15" x14ac:dyDescent="0.3">
      <c r="A243" s="79">
        <v>251</v>
      </c>
      <c r="B243" s="73" t="str">
        <f t="shared" si="3"/>
        <v>Brighton Clay Crushers-Junior Varsity 2-Trap</v>
      </c>
      <c r="C243" s="73" t="s">
        <v>323</v>
      </c>
      <c r="D243" s="73" t="s">
        <v>347</v>
      </c>
      <c r="E243" s="73" t="s">
        <v>147</v>
      </c>
      <c r="F243" s="98" t="str">
        <f>IF(E243="Skeet",IFERROR(INDEX('Shooter-Squad Assignment'!$A:$A,MATCH(C243&amp;"-"&amp;D243&amp;"-"&amp;E243&amp;"-Pos1",'Shooter-Squad Assignment'!#REF!,0)),""),IF(E243="Trap",IFERROR(INDEX('Shooter-Squad Assignment'!$A:$A,MATCH(C243&amp;"-"&amp;D243&amp;"-"&amp;E243&amp;"-Pos1",'Shooter-Squad Assignment'!$V:$V,0)),""),IF(E243="Sporting Clays",IFERROR(INDEX('Shooter-Squad Assignment'!$A:$A,MATCH(C243&amp;"-"&amp;D243&amp;"-"&amp;E243&amp;"-Pos1",'Shooter-Squad Assignment'!$Y:$Y,0)),""),"")))</f>
        <v/>
      </c>
      <c r="G243" s="73" t="str">
        <f>IF(ISBLANK(F243),"",IFERROR(INDEX('Tournament List'!$D:$D,MATCH(F243,'Tournament List'!$A:$A,0)),""))</f>
        <v/>
      </c>
      <c r="H243" s="98" t="str">
        <f>IF(E243="Skeet",IFERROR(INDEX('Shooter-Squad Assignment'!$A:$A,MATCH(C243&amp;"-"&amp;D243&amp;"-"&amp;E243&amp;"-Pos2",'Shooter-Squad Assignment'!#REF!,0)),""),IF(E243="Trap",IFERROR(INDEX('Shooter-Squad Assignment'!$A:$A,MATCH(C243&amp;"-"&amp;D243&amp;"-"&amp;E243&amp;"-Pos2",'Shooter-Squad Assignment'!$V:$V,0)),""),IF(E243="Sporting Clays",IFERROR(INDEX('Shooter-Squad Assignment'!$A:$A,MATCH(C243&amp;"-"&amp;D243&amp;"-"&amp;E243&amp;"-Pos2",'Shooter-Squad Assignment'!$Y:$Y,0)),""),"")))</f>
        <v/>
      </c>
      <c r="I243" s="73" t="str">
        <f>IF(ISBLANK(H243),"",IFERROR(INDEX('Tournament List'!$D:$D,MATCH(H243,'Tournament List'!$A:$A,0)),""))</f>
        <v/>
      </c>
      <c r="J243" s="98" t="str">
        <f>IF(E243="Skeet",IFERROR(INDEX('Shooter-Squad Assignment'!$A:$A,MATCH(C243&amp;"-"&amp;D243&amp;"-"&amp;E243&amp;"-Pos3",'Shooter-Squad Assignment'!#REF!,0)),""),IF(E243="Trap",IFERROR(INDEX('Shooter-Squad Assignment'!$A:$A,MATCH(C243&amp;"-"&amp;D243&amp;"-"&amp;E243&amp;"-Pos3",'Shooter-Squad Assignment'!$V:$V,0)),""),IF(E243="Sporting Clays",IFERROR(INDEX('Shooter-Squad Assignment'!$A:$A,MATCH(C243&amp;"-"&amp;D243&amp;"-"&amp;E243&amp;"-Pos3",'Shooter-Squad Assignment'!$Y:$Y,0)),""),"")))</f>
        <v/>
      </c>
      <c r="K243" s="73" t="str">
        <f>IF(ISBLANK(J243),"",IFERROR(INDEX('Tournament List'!$D:$D,MATCH(J243,'Tournament List'!$A:$A,0)),""))</f>
        <v/>
      </c>
      <c r="L243" s="98" t="str">
        <f>IF(E243="Skeet",IFERROR(INDEX('Shooter-Squad Assignment'!$A:$A,MATCH(C243&amp;"-"&amp;D243&amp;"-"&amp;E243&amp;"-Pos4",'Shooter-Squad Assignment'!#REF!,0)),""),IF(E243="Trap",IFERROR(INDEX('Shooter-Squad Assignment'!$A:$A,MATCH(C243&amp;"-"&amp;D243&amp;"-"&amp;E243&amp;"-Pos4",'Shooter-Squad Assignment'!$V:$V,0)),""),IF(E243="Sporting Clays",IFERROR(INDEX('Shooter-Squad Assignment'!$A:$A,MATCH(C243&amp;"-"&amp;D243&amp;"-"&amp;E243&amp;"-Pos4",'Shooter-Squad Assignment'!$Y:$Y,0)),""),"")))</f>
        <v/>
      </c>
      <c r="M243" s="73" t="str">
        <f>IF(ISBLANK(L243),"",IFERROR(INDEX('Tournament List'!$D:$D,MATCH(L243,'Tournament List'!$A:$A,0)),""))</f>
        <v/>
      </c>
      <c r="N243" s="98" t="str">
        <f>IF(E243="Skeet",IFERROR(INDEX('Shooter-Squad Assignment'!$A:$A,MATCH(C243&amp;"-"&amp;D243&amp;"-"&amp;E243&amp;"-Pos5",'Shooter-Squad Assignment'!#REF!,0)),""),IF(E243="Trap",IFERROR(INDEX('Shooter-Squad Assignment'!$A:$A,MATCH(C243&amp;"-"&amp;D243&amp;"-"&amp;E243&amp;"-Pos5",'Shooter-Squad Assignment'!$V:$V,0)),""),IF(E243="Sporting Clays",IFERROR(INDEX('Shooter-Squad Assignment'!$A:$A,MATCH(C243&amp;"-"&amp;D243&amp;"-"&amp;E243&amp;"-Pos5",'Shooter-Squad Assignment'!$Y:$Y,0)),""),"")))</f>
        <v/>
      </c>
      <c r="O243" s="80" t="str">
        <f>IF(ISBLANK(N243),"",IFERROR(INDEX('Tournament List'!$D:$D,MATCH(N243,'Tournament List'!$A:$A,0)),""))</f>
        <v/>
      </c>
    </row>
    <row r="244" spans="1:15" x14ac:dyDescent="0.3">
      <c r="A244" s="79">
        <v>252</v>
      </c>
      <c r="B244" s="73" t="str">
        <f t="shared" si="3"/>
        <v>Brighton Clay Crushers-Junior Varsity 3-Trap</v>
      </c>
      <c r="C244" s="73" t="s">
        <v>323</v>
      </c>
      <c r="D244" s="73" t="s">
        <v>353</v>
      </c>
      <c r="E244" s="73" t="s">
        <v>147</v>
      </c>
      <c r="F244" s="98" t="str">
        <f>IF(E244="Skeet",IFERROR(INDEX('Shooter-Squad Assignment'!$A:$A,MATCH(C244&amp;"-"&amp;D244&amp;"-"&amp;E244&amp;"-Pos1",'Shooter-Squad Assignment'!#REF!,0)),""),IF(E244="Trap",IFERROR(INDEX('Shooter-Squad Assignment'!$A:$A,MATCH(C244&amp;"-"&amp;D244&amp;"-"&amp;E244&amp;"-Pos1",'Shooter-Squad Assignment'!$V:$V,0)),""),IF(E244="Sporting Clays",IFERROR(INDEX('Shooter-Squad Assignment'!$A:$A,MATCH(C244&amp;"-"&amp;D244&amp;"-"&amp;E244&amp;"-Pos1",'Shooter-Squad Assignment'!$Y:$Y,0)),""),"")))</f>
        <v/>
      </c>
      <c r="G244" s="73" t="str">
        <f>IF(ISBLANK(F244),"",IFERROR(INDEX('Tournament List'!$D:$D,MATCH(F244,'Tournament List'!$A:$A,0)),""))</f>
        <v/>
      </c>
      <c r="H244" s="98" t="str">
        <f>IF(E244="Skeet",IFERROR(INDEX('Shooter-Squad Assignment'!$A:$A,MATCH(C244&amp;"-"&amp;D244&amp;"-"&amp;E244&amp;"-Pos2",'Shooter-Squad Assignment'!#REF!,0)),""),IF(E244="Trap",IFERROR(INDEX('Shooter-Squad Assignment'!$A:$A,MATCH(C244&amp;"-"&amp;D244&amp;"-"&amp;E244&amp;"-Pos2",'Shooter-Squad Assignment'!$V:$V,0)),""),IF(E244="Sporting Clays",IFERROR(INDEX('Shooter-Squad Assignment'!$A:$A,MATCH(C244&amp;"-"&amp;D244&amp;"-"&amp;E244&amp;"-Pos2",'Shooter-Squad Assignment'!$Y:$Y,0)),""),"")))</f>
        <v/>
      </c>
      <c r="I244" s="73" t="str">
        <f>IF(ISBLANK(H244),"",IFERROR(INDEX('Tournament List'!$D:$D,MATCH(H244,'Tournament List'!$A:$A,0)),""))</f>
        <v/>
      </c>
      <c r="J244" s="98" t="str">
        <f>IF(E244="Skeet",IFERROR(INDEX('Shooter-Squad Assignment'!$A:$A,MATCH(C244&amp;"-"&amp;D244&amp;"-"&amp;E244&amp;"-Pos3",'Shooter-Squad Assignment'!#REF!,0)),""),IF(E244="Trap",IFERROR(INDEX('Shooter-Squad Assignment'!$A:$A,MATCH(C244&amp;"-"&amp;D244&amp;"-"&amp;E244&amp;"-Pos3",'Shooter-Squad Assignment'!$V:$V,0)),""),IF(E244="Sporting Clays",IFERROR(INDEX('Shooter-Squad Assignment'!$A:$A,MATCH(C244&amp;"-"&amp;D244&amp;"-"&amp;E244&amp;"-Pos3",'Shooter-Squad Assignment'!$Y:$Y,0)),""),"")))</f>
        <v/>
      </c>
      <c r="K244" s="73" t="str">
        <f>IF(ISBLANK(J244),"",IFERROR(INDEX('Tournament List'!$D:$D,MATCH(J244,'Tournament List'!$A:$A,0)),""))</f>
        <v/>
      </c>
      <c r="L244" s="98" t="str">
        <f>IF(E244="Skeet",IFERROR(INDEX('Shooter-Squad Assignment'!$A:$A,MATCH(C244&amp;"-"&amp;D244&amp;"-"&amp;E244&amp;"-Pos4",'Shooter-Squad Assignment'!#REF!,0)),""),IF(E244="Trap",IFERROR(INDEX('Shooter-Squad Assignment'!$A:$A,MATCH(C244&amp;"-"&amp;D244&amp;"-"&amp;E244&amp;"-Pos4",'Shooter-Squad Assignment'!$V:$V,0)),""),IF(E244="Sporting Clays",IFERROR(INDEX('Shooter-Squad Assignment'!$A:$A,MATCH(C244&amp;"-"&amp;D244&amp;"-"&amp;E244&amp;"-Pos4",'Shooter-Squad Assignment'!$Y:$Y,0)),""),"")))</f>
        <v/>
      </c>
      <c r="M244" s="73" t="str">
        <f>IF(ISBLANK(L244),"",IFERROR(INDEX('Tournament List'!$D:$D,MATCH(L244,'Tournament List'!$A:$A,0)),""))</f>
        <v/>
      </c>
      <c r="N244" s="98" t="str">
        <f>IF(E244="Skeet",IFERROR(INDEX('Shooter-Squad Assignment'!$A:$A,MATCH(C244&amp;"-"&amp;D244&amp;"-"&amp;E244&amp;"-Pos5",'Shooter-Squad Assignment'!#REF!,0)),""),IF(E244="Trap",IFERROR(INDEX('Shooter-Squad Assignment'!$A:$A,MATCH(C244&amp;"-"&amp;D244&amp;"-"&amp;E244&amp;"-Pos5",'Shooter-Squad Assignment'!$V:$V,0)),""),IF(E244="Sporting Clays",IFERROR(INDEX('Shooter-Squad Assignment'!$A:$A,MATCH(C244&amp;"-"&amp;D244&amp;"-"&amp;E244&amp;"-Pos5",'Shooter-Squad Assignment'!$Y:$Y,0)),""),"")))</f>
        <v/>
      </c>
      <c r="O244" s="80" t="str">
        <f>IF(ISBLANK(N244),"",IFERROR(INDEX('Tournament List'!$D:$D,MATCH(N244,'Tournament List'!$A:$A,0)),""))</f>
        <v/>
      </c>
    </row>
    <row r="245" spans="1:15" x14ac:dyDescent="0.3">
      <c r="A245" s="79">
        <v>253</v>
      </c>
      <c r="B245" s="73" t="str">
        <f t="shared" si="3"/>
        <v>Brighton Clay Crushers-Novice 1-Trap</v>
      </c>
      <c r="C245" s="73" t="s">
        <v>323</v>
      </c>
      <c r="D245" s="73" t="s">
        <v>339</v>
      </c>
      <c r="E245" s="73" t="s">
        <v>147</v>
      </c>
      <c r="F245" s="98" t="str">
        <f>IF(E245="Skeet",IFERROR(INDEX('Shooter-Squad Assignment'!$A:$A,MATCH(C245&amp;"-"&amp;D245&amp;"-"&amp;E245&amp;"-Pos1",'Shooter-Squad Assignment'!#REF!,0)),""),IF(E245="Trap",IFERROR(INDEX('Shooter-Squad Assignment'!$A:$A,MATCH(C245&amp;"-"&amp;D245&amp;"-"&amp;E245&amp;"-Pos1",'Shooter-Squad Assignment'!$V:$V,0)),""),IF(E245="Sporting Clays",IFERROR(INDEX('Shooter-Squad Assignment'!$A:$A,MATCH(C245&amp;"-"&amp;D245&amp;"-"&amp;E245&amp;"-Pos1",'Shooter-Squad Assignment'!$Y:$Y,0)),""),"")))</f>
        <v/>
      </c>
      <c r="G245" s="73" t="str">
        <f>IF(ISBLANK(F245),"",IFERROR(INDEX('Tournament List'!$D:$D,MATCH(F245,'Tournament List'!$A:$A,0)),""))</f>
        <v/>
      </c>
      <c r="H245" s="98" t="str">
        <f>IF(E245="Skeet",IFERROR(INDEX('Shooter-Squad Assignment'!$A:$A,MATCH(C245&amp;"-"&amp;D245&amp;"-"&amp;E245&amp;"-Pos2",'Shooter-Squad Assignment'!#REF!,0)),""),IF(E245="Trap",IFERROR(INDEX('Shooter-Squad Assignment'!$A:$A,MATCH(C245&amp;"-"&amp;D245&amp;"-"&amp;E245&amp;"-Pos2",'Shooter-Squad Assignment'!$V:$V,0)),""),IF(E245="Sporting Clays",IFERROR(INDEX('Shooter-Squad Assignment'!$A:$A,MATCH(C245&amp;"-"&amp;D245&amp;"-"&amp;E245&amp;"-Pos2",'Shooter-Squad Assignment'!$Y:$Y,0)),""),"")))</f>
        <v/>
      </c>
      <c r="I245" s="73" t="str">
        <f>IF(ISBLANK(H245),"",IFERROR(INDEX('Tournament List'!$D:$D,MATCH(H245,'Tournament List'!$A:$A,0)),""))</f>
        <v/>
      </c>
      <c r="J245" s="98" t="str">
        <f>IF(E245="Skeet",IFERROR(INDEX('Shooter-Squad Assignment'!$A:$A,MATCH(C245&amp;"-"&amp;D245&amp;"-"&amp;E245&amp;"-Pos3",'Shooter-Squad Assignment'!#REF!,0)),""),IF(E245="Trap",IFERROR(INDEX('Shooter-Squad Assignment'!$A:$A,MATCH(C245&amp;"-"&amp;D245&amp;"-"&amp;E245&amp;"-Pos3",'Shooter-Squad Assignment'!$V:$V,0)),""),IF(E245="Sporting Clays",IFERROR(INDEX('Shooter-Squad Assignment'!$A:$A,MATCH(C245&amp;"-"&amp;D245&amp;"-"&amp;E245&amp;"-Pos3",'Shooter-Squad Assignment'!$Y:$Y,0)),""),"")))</f>
        <v/>
      </c>
      <c r="K245" s="73" t="str">
        <f>IF(ISBLANK(J245),"",IFERROR(INDEX('Tournament List'!$D:$D,MATCH(J245,'Tournament List'!$A:$A,0)),""))</f>
        <v/>
      </c>
      <c r="L245" s="98" t="str">
        <f>IF(E245="Skeet",IFERROR(INDEX('Shooter-Squad Assignment'!$A:$A,MATCH(C245&amp;"-"&amp;D245&amp;"-"&amp;E245&amp;"-Pos4",'Shooter-Squad Assignment'!#REF!,0)),""),IF(E245="Trap",IFERROR(INDEX('Shooter-Squad Assignment'!$A:$A,MATCH(C245&amp;"-"&amp;D245&amp;"-"&amp;E245&amp;"-Pos4",'Shooter-Squad Assignment'!$V:$V,0)),""),IF(E245="Sporting Clays",IFERROR(INDEX('Shooter-Squad Assignment'!$A:$A,MATCH(C245&amp;"-"&amp;D245&amp;"-"&amp;E245&amp;"-Pos4",'Shooter-Squad Assignment'!$Y:$Y,0)),""),"")))</f>
        <v/>
      </c>
      <c r="M245" s="73" t="str">
        <f>IF(ISBLANK(L245),"",IFERROR(INDEX('Tournament List'!$D:$D,MATCH(L245,'Tournament List'!$A:$A,0)),""))</f>
        <v/>
      </c>
      <c r="N245" s="98" t="str">
        <f>IF(E245="Skeet",IFERROR(INDEX('Shooter-Squad Assignment'!$A:$A,MATCH(C245&amp;"-"&amp;D245&amp;"-"&amp;E245&amp;"-Pos5",'Shooter-Squad Assignment'!#REF!,0)),""),IF(E245="Trap",IFERROR(INDEX('Shooter-Squad Assignment'!$A:$A,MATCH(C245&amp;"-"&amp;D245&amp;"-"&amp;E245&amp;"-Pos5",'Shooter-Squad Assignment'!$V:$V,0)),""),IF(E245="Sporting Clays",IFERROR(INDEX('Shooter-Squad Assignment'!$A:$A,MATCH(C245&amp;"-"&amp;D245&amp;"-"&amp;E245&amp;"-Pos5",'Shooter-Squad Assignment'!$Y:$Y,0)),""),"")))</f>
        <v/>
      </c>
      <c r="O245" s="80" t="str">
        <f>IF(ISBLANK(N245),"",IFERROR(INDEX('Tournament List'!$D:$D,MATCH(N245,'Tournament List'!$A:$A,0)),""))</f>
        <v/>
      </c>
    </row>
    <row r="246" spans="1:15" x14ac:dyDescent="0.3">
      <c r="A246" s="79">
        <v>254</v>
      </c>
      <c r="B246" s="73" t="str">
        <f t="shared" si="3"/>
        <v>Brighton Clay Crushers-Novice 2-Trap</v>
      </c>
      <c r="C246" s="73" t="s">
        <v>323</v>
      </c>
      <c r="D246" s="73" t="s">
        <v>345</v>
      </c>
      <c r="E246" s="73" t="s">
        <v>147</v>
      </c>
      <c r="F246" s="98" t="str">
        <f>IF(E246="Skeet",IFERROR(INDEX('Shooter-Squad Assignment'!$A:$A,MATCH(C246&amp;"-"&amp;D246&amp;"-"&amp;E246&amp;"-Pos1",'Shooter-Squad Assignment'!#REF!,0)),""),IF(E246="Trap",IFERROR(INDEX('Shooter-Squad Assignment'!$A:$A,MATCH(C246&amp;"-"&amp;D246&amp;"-"&amp;E246&amp;"-Pos1",'Shooter-Squad Assignment'!$V:$V,0)),""),IF(E246="Sporting Clays",IFERROR(INDEX('Shooter-Squad Assignment'!$A:$A,MATCH(C246&amp;"-"&amp;D246&amp;"-"&amp;E246&amp;"-Pos1",'Shooter-Squad Assignment'!$Y:$Y,0)),""),"")))</f>
        <v/>
      </c>
      <c r="G246" s="73" t="str">
        <f>IF(ISBLANK(F246),"",IFERROR(INDEX('Tournament List'!$D:$D,MATCH(F246,'Tournament List'!$A:$A,0)),""))</f>
        <v/>
      </c>
      <c r="H246" s="98" t="str">
        <f>IF(E246="Skeet",IFERROR(INDEX('Shooter-Squad Assignment'!$A:$A,MATCH(C246&amp;"-"&amp;D246&amp;"-"&amp;E246&amp;"-Pos2",'Shooter-Squad Assignment'!#REF!,0)),""),IF(E246="Trap",IFERROR(INDEX('Shooter-Squad Assignment'!$A:$A,MATCH(C246&amp;"-"&amp;D246&amp;"-"&amp;E246&amp;"-Pos2",'Shooter-Squad Assignment'!$V:$V,0)),""),IF(E246="Sporting Clays",IFERROR(INDEX('Shooter-Squad Assignment'!$A:$A,MATCH(C246&amp;"-"&amp;D246&amp;"-"&amp;E246&amp;"-Pos2",'Shooter-Squad Assignment'!$Y:$Y,0)),""),"")))</f>
        <v/>
      </c>
      <c r="I246" s="73" t="str">
        <f>IF(ISBLANK(H246),"",IFERROR(INDEX('Tournament List'!$D:$D,MATCH(H246,'Tournament List'!$A:$A,0)),""))</f>
        <v/>
      </c>
      <c r="J246" s="98" t="str">
        <f>IF(E246="Skeet",IFERROR(INDEX('Shooter-Squad Assignment'!$A:$A,MATCH(C246&amp;"-"&amp;D246&amp;"-"&amp;E246&amp;"-Pos3",'Shooter-Squad Assignment'!#REF!,0)),""),IF(E246="Trap",IFERROR(INDEX('Shooter-Squad Assignment'!$A:$A,MATCH(C246&amp;"-"&amp;D246&amp;"-"&amp;E246&amp;"-Pos3",'Shooter-Squad Assignment'!$V:$V,0)),""),IF(E246="Sporting Clays",IFERROR(INDEX('Shooter-Squad Assignment'!$A:$A,MATCH(C246&amp;"-"&amp;D246&amp;"-"&amp;E246&amp;"-Pos3",'Shooter-Squad Assignment'!$Y:$Y,0)),""),"")))</f>
        <v/>
      </c>
      <c r="K246" s="73" t="str">
        <f>IF(ISBLANK(J246),"",IFERROR(INDEX('Tournament List'!$D:$D,MATCH(J246,'Tournament List'!$A:$A,0)),""))</f>
        <v/>
      </c>
      <c r="L246" s="98" t="str">
        <f>IF(E246="Skeet",IFERROR(INDEX('Shooter-Squad Assignment'!$A:$A,MATCH(C246&amp;"-"&amp;D246&amp;"-"&amp;E246&amp;"-Pos4",'Shooter-Squad Assignment'!#REF!,0)),""),IF(E246="Trap",IFERROR(INDEX('Shooter-Squad Assignment'!$A:$A,MATCH(C246&amp;"-"&amp;D246&amp;"-"&amp;E246&amp;"-Pos4",'Shooter-Squad Assignment'!$V:$V,0)),""),IF(E246="Sporting Clays",IFERROR(INDEX('Shooter-Squad Assignment'!$A:$A,MATCH(C246&amp;"-"&amp;D246&amp;"-"&amp;E246&amp;"-Pos4",'Shooter-Squad Assignment'!$Y:$Y,0)),""),"")))</f>
        <v/>
      </c>
      <c r="M246" s="73" t="str">
        <f>IF(ISBLANK(L246),"",IFERROR(INDEX('Tournament List'!$D:$D,MATCH(L246,'Tournament List'!$A:$A,0)),""))</f>
        <v/>
      </c>
      <c r="N246" s="98" t="str">
        <f>IF(E246="Skeet",IFERROR(INDEX('Shooter-Squad Assignment'!$A:$A,MATCH(C246&amp;"-"&amp;D246&amp;"-"&amp;E246&amp;"-Pos5",'Shooter-Squad Assignment'!#REF!,0)),""),IF(E246="Trap",IFERROR(INDEX('Shooter-Squad Assignment'!$A:$A,MATCH(C246&amp;"-"&amp;D246&amp;"-"&amp;E246&amp;"-Pos5",'Shooter-Squad Assignment'!$V:$V,0)),""),IF(E246="Sporting Clays",IFERROR(INDEX('Shooter-Squad Assignment'!$A:$A,MATCH(C246&amp;"-"&amp;D246&amp;"-"&amp;E246&amp;"-Pos5",'Shooter-Squad Assignment'!$Y:$Y,0)),""),"")))</f>
        <v/>
      </c>
      <c r="O246" s="80" t="str">
        <f>IF(ISBLANK(N246),"",IFERROR(INDEX('Tournament List'!$D:$D,MATCH(N246,'Tournament List'!$A:$A,0)),""))</f>
        <v/>
      </c>
    </row>
    <row r="247" spans="1:15" x14ac:dyDescent="0.3">
      <c r="A247" s="79">
        <v>255</v>
      </c>
      <c r="B247" s="73" t="str">
        <f t="shared" si="3"/>
        <v>Brighton Clay Crushers-Novice 3-Trap</v>
      </c>
      <c r="C247" s="73" t="s">
        <v>323</v>
      </c>
      <c r="D247" s="73" t="s">
        <v>351</v>
      </c>
      <c r="E247" s="73" t="s">
        <v>147</v>
      </c>
      <c r="F247" s="98" t="str">
        <f>IF(E247="Skeet",IFERROR(INDEX('Shooter-Squad Assignment'!$A:$A,MATCH(C247&amp;"-"&amp;D247&amp;"-"&amp;E247&amp;"-Pos1",'Shooter-Squad Assignment'!#REF!,0)),""),IF(E247="Trap",IFERROR(INDEX('Shooter-Squad Assignment'!$A:$A,MATCH(C247&amp;"-"&amp;D247&amp;"-"&amp;E247&amp;"-Pos1",'Shooter-Squad Assignment'!$V:$V,0)),""),IF(E247="Sporting Clays",IFERROR(INDEX('Shooter-Squad Assignment'!$A:$A,MATCH(C247&amp;"-"&amp;D247&amp;"-"&amp;E247&amp;"-Pos1",'Shooter-Squad Assignment'!$Y:$Y,0)),""),"")))</f>
        <v/>
      </c>
      <c r="G247" s="73" t="str">
        <f>IF(ISBLANK(F247),"",IFERROR(INDEX('Tournament List'!$D:$D,MATCH(F247,'Tournament List'!$A:$A,0)),""))</f>
        <v/>
      </c>
      <c r="H247" s="98" t="str">
        <f>IF(E247="Skeet",IFERROR(INDEX('Shooter-Squad Assignment'!$A:$A,MATCH(C247&amp;"-"&amp;D247&amp;"-"&amp;E247&amp;"-Pos2",'Shooter-Squad Assignment'!#REF!,0)),""),IF(E247="Trap",IFERROR(INDEX('Shooter-Squad Assignment'!$A:$A,MATCH(C247&amp;"-"&amp;D247&amp;"-"&amp;E247&amp;"-Pos2",'Shooter-Squad Assignment'!$V:$V,0)),""),IF(E247="Sporting Clays",IFERROR(INDEX('Shooter-Squad Assignment'!$A:$A,MATCH(C247&amp;"-"&amp;D247&amp;"-"&amp;E247&amp;"-Pos2",'Shooter-Squad Assignment'!$Y:$Y,0)),""),"")))</f>
        <v/>
      </c>
      <c r="I247" s="73" t="str">
        <f>IF(ISBLANK(H247),"",IFERROR(INDEX('Tournament List'!$D:$D,MATCH(H247,'Tournament List'!$A:$A,0)),""))</f>
        <v/>
      </c>
      <c r="J247" s="98" t="str">
        <f>IF(E247="Skeet",IFERROR(INDEX('Shooter-Squad Assignment'!$A:$A,MATCH(C247&amp;"-"&amp;D247&amp;"-"&amp;E247&amp;"-Pos3",'Shooter-Squad Assignment'!#REF!,0)),""),IF(E247="Trap",IFERROR(INDEX('Shooter-Squad Assignment'!$A:$A,MATCH(C247&amp;"-"&amp;D247&amp;"-"&amp;E247&amp;"-Pos3",'Shooter-Squad Assignment'!$V:$V,0)),""),IF(E247="Sporting Clays",IFERROR(INDEX('Shooter-Squad Assignment'!$A:$A,MATCH(C247&amp;"-"&amp;D247&amp;"-"&amp;E247&amp;"-Pos3",'Shooter-Squad Assignment'!$Y:$Y,0)),""),"")))</f>
        <v/>
      </c>
      <c r="K247" s="73" t="str">
        <f>IF(ISBLANK(J247),"",IFERROR(INDEX('Tournament List'!$D:$D,MATCH(J247,'Tournament List'!$A:$A,0)),""))</f>
        <v/>
      </c>
      <c r="L247" s="98" t="str">
        <f>IF(E247="Skeet",IFERROR(INDEX('Shooter-Squad Assignment'!$A:$A,MATCH(C247&amp;"-"&amp;D247&amp;"-"&amp;E247&amp;"-Pos4",'Shooter-Squad Assignment'!#REF!,0)),""),IF(E247="Trap",IFERROR(INDEX('Shooter-Squad Assignment'!$A:$A,MATCH(C247&amp;"-"&amp;D247&amp;"-"&amp;E247&amp;"-Pos4",'Shooter-Squad Assignment'!$V:$V,0)),""),IF(E247="Sporting Clays",IFERROR(INDEX('Shooter-Squad Assignment'!$A:$A,MATCH(C247&amp;"-"&amp;D247&amp;"-"&amp;E247&amp;"-Pos4",'Shooter-Squad Assignment'!$Y:$Y,0)),""),"")))</f>
        <v/>
      </c>
      <c r="M247" s="73" t="str">
        <f>IF(ISBLANK(L247),"",IFERROR(INDEX('Tournament List'!$D:$D,MATCH(L247,'Tournament List'!$A:$A,0)),""))</f>
        <v/>
      </c>
      <c r="N247" s="98" t="str">
        <f>IF(E247="Skeet",IFERROR(INDEX('Shooter-Squad Assignment'!$A:$A,MATCH(C247&amp;"-"&amp;D247&amp;"-"&amp;E247&amp;"-Pos5",'Shooter-Squad Assignment'!#REF!,0)),""),IF(E247="Trap",IFERROR(INDEX('Shooter-Squad Assignment'!$A:$A,MATCH(C247&amp;"-"&amp;D247&amp;"-"&amp;E247&amp;"-Pos5",'Shooter-Squad Assignment'!$V:$V,0)),""),IF(E247="Sporting Clays",IFERROR(INDEX('Shooter-Squad Assignment'!$A:$A,MATCH(C247&amp;"-"&amp;D247&amp;"-"&amp;E247&amp;"-Pos5",'Shooter-Squad Assignment'!$Y:$Y,0)),""),"")))</f>
        <v/>
      </c>
      <c r="O247" s="80" t="str">
        <f>IF(ISBLANK(N247),"",IFERROR(INDEX('Tournament List'!$D:$D,MATCH(N247,'Tournament List'!$A:$A,0)),""))</f>
        <v/>
      </c>
    </row>
    <row r="248" spans="1:15" x14ac:dyDescent="0.3">
      <c r="A248" s="79">
        <v>256</v>
      </c>
      <c r="B248" s="73" t="str">
        <f t="shared" si="3"/>
        <v>Brighton Clay Crushers-Open 1-Trap</v>
      </c>
      <c r="C248" s="73" t="s">
        <v>323</v>
      </c>
      <c r="D248" s="73" t="s">
        <v>343</v>
      </c>
      <c r="E248" s="73" t="s">
        <v>147</v>
      </c>
      <c r="F248" s="98" t="str">
        <f>IF(E248="Skeet",IFERROR(INDEX('Shooter-Squad Assignment'!$A:$A,MATCH(C248&amp;"-"&amp;D248&amp;"-"&amp;E248&amp;"-Pos1",'Shooter-Squad Assignment'!#REF!,0)),""),IF(E248="Trap",IFERROR(INDEX('Shooter-Squad Assignment'!$A:$A,MATCH(C248&amp;"-"&amp;D248&amp;"-"&amp;E248&amp;"-Pos1",'Shooter-Squad Assignment'!$V:$V,0)),""),IF(E248="Sporting Clays",IFERROR(INDEX('Shooter-Squad Assignment'!$A:$A,MATCH(C248&amp;"-"&amp;D248&amp;"-"&amp;E248&amp;"-Pos1",'Shooter-Squad Assignment'!$Y:$Y,0)),""),"")))</f>
        <v/>
      </c>
      <c r="G248" s="73" t="str">
        <f>IF(ISBLANK(F248),"",IFERROR(INDEX('Tournament List'!$D:$D,MATCH(F248,'Tournament List'!$A:$A,0)),""))</f>
        <v/>
      </c>
      <c r="H248" s="98" t="str">
        <f>IF(E248="Skeet",IFERROR(INDEX('Shooter-Squad Assignment'!$A:$A,MATCH(C248&amp;"-"&amp;D248&amp;"-"&amp;E248&amp;"-Pos2",'Shooter-Squad Assignment'!#REF!,0)),""),IF(E248="Trap",IFERROR(INDEX('Shooter-Squad Assignment'!$A:$A,MATCH(C248&amp;"-"&amp;D248&amp;"-"&amp;E248&amp;"-Pos2",'Shooter-Squad Assignment'!$V:$V,0)),""),IF(E248="Sporting Clays",IFERROR(INDEX('Shooter-Squad Assignment'!$A:$A,MATCH(C248&amp;"-"&amp;D248&amp;"-"&amp;E248&amp;"-Pos2",'Shooter-Squad Assignment'!$Y:$Y,0)),""),"")))</f>
        <v/>
      </c>
      <c r="I248" s="73" t="str">
        <f>IF(ISBLANK(H248),"",IFERROR(INDEX('Tournament List'!$D:$D,MATCH(H248,'Tournament List'!$A:$A,0)),""))</f>
        <v/>
      </c>
      <c r="J248" s="98" t="str">
        <f>IF(E248="Skeet",IFERROR(INDEX('Shooter-Squad Assignment'!$A:$A,MATCH(C248&amp;"-"&amp;D248&amp;"-"&amp;E248&amp;"-Pos3",'Shooter-Squad Assignment'!#REF!,0)),""),IF(E248="Trap",IFERROR(INDEX('Shooter-Squad Assignment'!$A:$A,MATCH(C248&amp;"-"&amp;D248&amp;"-"&amp;E248&amp;"-Pos3",'Shooter-Squad Assignment'!$V:$V,0)),""),IF(E248="Sporting Clays",IFERROR(INDEX('Shooter-Squad Assignment'!$A:$A,MATCH(C248&amp;"-"&amp;D248&amp;"-"&amp;E248&amp;"-Pos3",'Shooter-Squad Assignment'!$Y:$Y,0)),""),"")))</f>
        <v/>
      </c>
      <c r="K248" s="73" t="str">
        <f>IF(ISBLANK(J248),"",IFERROR(INDEX('Tournament List'!$D:$D,MATCH(J248,'Tournament List'!$A:$A,0)),""))</f>
        <v/>
      </c>
      <c r="L248" s="98" t="str">
        <f>IF(E248="Skeet",IFERROR(INDEX('Shooter-Squad Assignment'!$A:$A,MATCH(C248&amp;"-"&amp;D248&amp;"-"&amp;E248&amp;"-Pos4",'Shooter-Squad Assignment'!#REF!,0)),""),IF(E248="Trap",IFERROR(INDEX('Shooter-Squad Assignment'!$A:$A,MATCH(C248&amp;"-"&amp;D248&amp;"-"&amp;E248&amp;"-Pos4",'Shooter-Squad Assignment'!$V:$V,0)),""),IF(E248="Sporting Clays",IFERROR(INDEX('Shooter-Squad Assignment'!$A:$A,MATCH(C248&amp;"-"&amp;D248&amp;"-"&amp;E248&amp;"-Pos4",'Shooter-Squad Assignment'!$Y:$Y,0)),""),"")))</f>
        <v/>
      </c>
      <c r="M248" s="73" t="str">
        <f>IF(ISBLANK(L248),"",IFERROR(INDEX('Tournament List'!$D:$D,MATCH(L248,'Tournament List'!$A:$A,0)),""))</f>
        <v/>
      </c>
      <c r="N248" s="98" t="str">
        <f>IF(E248="Skeet",IFERROR(INDEX('Shooter-Squad Assignment'!$A:$A,MATCH(C248&amp;"-"&amp;D248&amp;"-"&amp;E248&amp;"-Pos5",'Shooter-Squad Assignment'!#REF!,0)),""),IF(E248="Trap",IFERROR(INDEX('Shooter-Squad Assignment'!$A:$A,MATCH(C248&amp;"-"&amp;D248&amp;"-"&amp;E248&amp;"-Pos5",'Shooter-Squad Assignment'!$V:$V,0)),""),IF(E248="Sporting Clays",IFERROR(INDEX('Shooter-Squad Assignment'!$A:$A,MATCH(C248&amp;"-"&amp;D248&amp;"-"&amp;E248&amp;"-Pos5",'Shooter-Squad Assignment'!$Y:$Y,0)),""),"")))</f>
        <v/>
      </c>
      <c r="O248" s="80" t="str">
        <f>IF(ISBLANK(N248),"",IFERROR(INDEX('Tournament List'!$D:$D,MATCH(N248,'Tournament List'!$A:$A,0)),""))</f>
        <v/>
      </c>
    </row>
    <row r="249" spans="1:15" x14ac:dyDescent="0.3">
      <c r="A249" s="79">
        <v>257</v>
      </c>
      <c r="B249" s="73" t="str">
        <f t="shared" si="3"/>
        <v>Brighton Clay Crushers-Open 2-Trap</v>
      </c>
      <c r="C249" s="73" t="s">
        <v>323</v>
      </c>
      <c r="D249" s="73" t="s">
        <v>349</v>
      </c>
      <c r="E249" s="73" t="s">
        <v>147</v>
      </c>
      <c r="F249" s="98" t="str">
        <f>IF(E249="Skeet",IFERROR(INDEX('Shooter-Squad Assignment'!$A:$A,MATCH(C249&amp;"-"&amp;D249&amp;"-"&amp;E249&amp;"-Pos1",'Shooter-Squad Assignment'!#REF!,0)),""),IF(E249="Trap",IFERROR(INDEX('Shooter-Squad Assignment'!$A:$A,MATCH(C249&amp;"-"&amp;D249&amp;"-"&amp;E249&amp;"-Pos1",'Shooter-Squad Assignment'!$V:$V,0)),""),IF(E249="Sporting Clays",IFERROR(INDEX('Shooter-Squad Assignment'!$A:$A,MATCH(C249&amp;"-"&amp;D249&amp;"-"&amp;E249&amp;"-Pos1",'Shooter-Squad Assignment'!$Y:$Y,0)),""),"")))</f>
        <v/>
      </c>
      <c r="G249" s="73" t="str">
        <f>IF(ISBLANK(F249),"",IFERROR(INDEX('Tournament List'!$D:$D,MATCH(F249,'Tournament List'!$A:$A,0)),""))</f>
        <v/>
      </c>
      <c r="H249" s="98" t="str">
        <f>IF(E249="Skeet",IFERROR(INDEX('Shooter-Squad Assignment'!$A:$A,MATCH(C249&amp;"-"&amp;D249&amp;"-"&amp;E249&amp;"-Pos2",'Shooter-Squad Assignment'!#REF!,0)),""),IF(E249="Trap",IFERROR(INDEX('Shooter-Squad Assignment'!$A:$A,MATCH(C249&amp;"-"&amp;D249&amp;"-"&amp;E249&amp;"-Pos2",'Shooter-Squad Assignment'!$V:$V,0)),""),IF(E249="Sporting Clays",IFERROR(INDEX('Shooter-Squad Assignment'!$A:$A,MATCH(C249&amp;"-"&amp;D249&amp;"-"&amp;E249&amp;"-Pos2",'Shooter-Squad Assignment'!$Y:$Y,0)),""),"")))</f>
        <v/>
      </c>
      <c r="I249" s="73" t="str">
        <f>IF(ISBLANK(H249),"",IFERROR(INDEX('Tournament List'!$D:$D,MATCH(H249,'Tournament List'!$A:$A,0)),""))</f>
        <v/>
      </c>
      <c r="J249" s="98" t="str">
        <f>IF(E249="Skeet",IFERROR(INDEX('Shooter-Squad Assignment'!$A:$A,MATCH(C249&amp;"-"&amp;D249&amp;"-"&amp;E249&amp;"-Pos3",'Shooter-Squad Assignment'!#REF!,0)),""),IF(E249="Trap",IFERROR(INDEX('Shooter-Squad Assignment'!$A:$A,MATCH(C249&amp;"-"&amp;D249&amp;"-"&amp;E249&amp;"-Pos3",'Shooter-Squad Assignment'!$V:$V,0)),""),IF(E249="Sporting Clays",IFERROR(INDEX('Shooter-Squad Assignment'!$A:$A,MATCH(C249&amp;"-"&amp;D249&amp;"-"&amp;E249&amp;"-Pos3",'Shooter-Squad Assignment'!$Y:$Y,0)),""),"")))</f>
        <v/>
      </c>
      <c r="K249" s="73" t="str">
        <f>IF(ISBLANK(J249),"",IFERROR(INDEX('Tournament List'!$D:$D,MATCH(J249,'Tournament List'!$A:$A,0)),""))</f>
        <v/>
      </c>
      <c r="L249" s="98" t="str">
        <f>IF(E249="Skeet",IFERROR(INDEX('Shooter-Squad Assignment'!$A:$A,MATCH(C249&amp;"-"&amp;D249&amp;"-"&amp;E249&amp;"-Pos4",'Shooter-Squad Assignment'!#REF!,0)),""),IF(E249="Trap",IFERROR(INDEX('Shooter-Squad Assignment'!$A:$A,MATCH(C249&amp;"-"&amp;D249&amp;"-"&amp;E249&amp;"-Pos4",'Shooter-Squad Assignment'!$V:$V,0)),""),IF(E249="Sporting Clays",IFERROR(INDEX('Shooter-Squad Assignment'!$A:$A,MATCH(C249&amp;"-"&amp;D249&amp;"-"&amp;E249&amp;"-Pos4",'Shooter-Squad Assignment'!$Y:$Y,0)),""),"")))</f>
        <v/>
      </c>
      <c r="M249" s="73" t="str">
        <f>IF(ISBLANK(L249),"",IFERROR(INDEX('Tournament List'!$D:$D,MATCH(L249,'Tournament List'!$A:$A,0)),""))</f>
        <v/>
      </c>
      <c r="N249" s="98" t="str">
        <f>IF(E249="Skeet",IFERROR(INDEX('Shooter-Squad Assignment'!$A:$A,MATCH(C249&amp;"-"&amp;D249&amp;"-"&amp;E249&amp;"-Pos5",'Shooter-Squad Assignment'!#REF!,0)),""),IF(E249="Trap",IFERROR(INDEX('Shooter-Squad Assignment'!$A:$A,MATCH(C249&amp;"-"&amp;D249&amp;"-"&amp;E249&amp;"-Pos5",'Shooter-Squad Assignment'!$V:$V,0)),""),IF(E249="Sporting Clays",IFERROR(INDEX('Shooter-Squad Assignment'!$A:$A,MATCH(C249&amp;"-"&amp;D249&amp;"-"&amp;E249&amp;"-Pos5",'Shooter-Squad Assignment'!$Y:$Y,0)),""),"")))</f>
        <v/>
      </c>
      <c r="O249" s="80" t="str">
        <f>IF(ISBLANK(N249),"",IFERROR(INDEX('Tournament List'!$D:$D,MATCH(N249,'Tournament List'!$A:$A,0)),""))</f>
        <v/>
      </c>
    </row>
    <row r="250" spans="1:15" x14ac:dyDescent="0.3">
      <c r="A250" s="79">
        <v>258</v>
      </c>
      <c r="B250" s="73" t="str">
        <f t="shared" si="3"/>
        <v>Brighton Clay Crushers-Open 3-Trap</v>
      </c>
      <c r="C250" s="73" t="s">
        <v>323</v>
      </c>
      <c r="D250" s="73" t="s">
        <v>355</v>
      </c>
      <c r="E250" s="73" t="s">
        <v>147</v>
      </c>
      <c r="F250" s="98" t="str">
        <f>IF(E250="Skeet",IFERROR(INDEX('Shooter-Squad Assignment'!$A:$A,MATCH(C250&amp;"-"&amp;D250&amp;"-"&amp;E250&amp;"-Pos1",'Shooter-Squad Assignment'!#REF!,0)),""),IF(E250="Trap",IFERROR(INDEX('Shooter-Squad Assignment'!$A:$A,MATCH(C250&amp;"-"&amp;D250&amp;"-"&amp;E250&amp;"-Pos1",'Shooter-Squad Assignment'!$V:$V,0)),""),IF(E250="Sporting Clays",IFERROR(INDEX('Shooter-Squad Assignment'!$A:$A,MATCH(C250&amp;"-"&amp;D250&amp;"-"&amp;E250&amp;"-Pos1",'Shooter-Squad Assignment'!$Y:$Y,0)),""),"")))</f>
        <v/>
      </c>
      <c r="G250" s="73" t="str">
        <f>IF(ISBLANK(F250),"",IFERROR(INDEX('Tournament List'!$D:$D,MATCH(F250,'Tournament List'!$A:$A,0)),""))</f>
        <v/>
      </c>
      <c r="H250" s="98" t="str">
        <f>IF(E250="Skeet",IFERROR(INDEX('Shooter-Squad Assignment'!$A:$A,MATCH(C250&amp;"-"&amp;D250&amp;"-"&amp;E250&amp;"-Pos2",'Shooter-Squad Assignment'!#REF!,0)),""),IF(E250="Trap",IFERROR(INDEX('Shooter-Squad Assignment'!$A:$A,MATCH(C250&amp;"-"&amp;D250&amp;"-"&amp;E250&amp;"-Pos2",'Shooter-Squad Assignment'!$V:$V,0)),""),IF(E250="Sporting Clays",IFERROR(INDEX('Shooter-Squad Assignment'!$A:$A,MATCH(C250&amp;"-"&amp;D250&amp;"-"&amp;E250&amp;"-Pos2",'Shooter-Squad Assignment'!$Y:$Y,0)),""),"")))</f>
        <v/>
      </c>
      <c r="I250" s="73" t="str">
        <f>IF(ISBLANK(H250),"",IFERROR(INDEX('Tournament List'!$D:$D,MATCH(H250,'Tournament List'!$A:$A,0)),""))</f>
        <v/>
      </c>
      <c r="J250" s="98" t="str">
        <f>IF(E250="Skeet",IFERROR(INDEX('Shooter-Squad Assignment'!$A:$A,MATCH(C250&amp;"-"&amp;D250&amp;"-"&amp;E250&amp;"-Pos3",'Shooter-Squad Assignment'!#REF!,0)),""),IF(E250="Trap",IFERROR(INDEX('Shooter-Squad Assignment'!$A:$A,MATCH(C250&amp;"-"&amp;D250&amp;"-"&amp;E250&amp;"-Pos3",'Shooter-Squad Assignment'!$V:$V,0)),""),IF(E250="Sporting Clays",IFERROR(INDEX('Shooter-Squad Assignment'!$A:$A,MATCH(C250&amp;"-"&amp;D250&amp;"-"&amp;E250&amp;"-Pos3",'Shooter-Squad Assignment'!$Y:$Y,0)),""),"")))</f>
        <v/>
      </c>
      <c r="K250" s="73" t="str">
        <f>IF(ISBLANK(J250),"",IFERROR(INDEX('Tournament List'!$D:$D,MATCH(J250,'Tournament List'!$A:$A,0)),""))</f>
        <v/>
      </c>
      <c r="L250" s="98" t="str">
        <f>IF(E250="Skeet",IFERROR(INDEX('Shooter-Squad Assignment'!$A:$A,MATCH(C250&amp;"-"&amp;D250&amp;"-"&amp;E250&amp;"-Pos4",'Shooter-Squad Assignment'!#REF!,0)),""),IF(E250="Trap",IFERROR(INDEX('Shooter-Squad Assignment'!$A:$A,MATCH(C250&amp;"-"&amp;D250&amp;"-"&amp;E250&amp;"-Pos4",'Shooter-Squad Assignment'!$V:$V,0)),""),IF(E250="Sporting Clays",IFERROR(INDEX('Shooter-Squad Assignment'!$A:$A,MATCH(C250&amp;"-"&amp;D250&amp;"-"&amp;E250&amp;"-Pos4",'Shooter-Squad Assignment'!$Y:$Y,0)),""),"")))</f>
        <v/>
      </c>
      <c r="M250" s="73" t="str">
        <f>IF(ISBLANK(L250),"",IFERROR(INDEX('Tournament List'!$D:$D,MATCH(L250,'Tournament List'!$A:$A,0)),""))</f>
        <v/>
      </c>
      <c r="N250" s="98" t="str">
        <f>IF(E250="Skeet",IFERROR(INDEX('Shooter-Squad Assignment'!$A:$A,MATCH(C250&amp;"-"&amp;D250&amp;"-"&amp;E250&amp;"-Pos5",'Shooter-Squad Assignment'!#REF!,0)),""),IF(E250="Trap",IFERROR(INDEX('Shooter-Squad Assignment'!$A:$A,MATCH(C250&amp;"-"&amp;D250&amp;"-"&amp;E250&amp;"-Pos5",'Shooter-Squad Assignment'!$V:$V,0)),""),IF(E250="Sporting Clays",IFERROR(INDEX('Shooter-Squad Assignment'!$A:$A,MATCH(C250&amp;"-"&amp;D250&amp;"-"&amp;E250&amp;"-Pos5",'Shooter-Squad Assignment'!$Y:$Y,0)),""),"")))</f>
        <v/>
      </c>
      <c r="O250" s="80" t="str">
        <f>IF(ISBLANK(N250),"",IFERROR(INDEX('Tournament List'!$D:$D,MATCH(N250,'Tournament List'!$A:$A,0)),""))</f>
        <v/>
      </c>
    </row>
    <row r="251" spans="1:15" x14ac:dyDescent="0.3">
      <c r="A251" s="79">
        <v>259</v>
      </c>
      <c r="B251" s="73" t="str">
        <f t="shared" si="3"/>
        <v>Brighton Clay Crushers-Varsity 1-Trap</v>
      </c>
      <c r="C251" s="73" t="s">
        <v>323</v>
      </c>
      <c r="D251" s="73" t="s">
        <v>342</v>
      </c>
      <c r="E251" s="73" t="s">
        <v>147</v>
      </c>
      <c r="F251" s="98" t="str">
        <f>IF(E251="Skeet",IFERROR(INDEX('Shooter-Squad Assignment'!$A:$A,MATCH(C251&amp;"-"&amp;D251&amp;"-"&amp;E251&amp;"-Pos1",'Shooter-Squad Assignment'!#REF!,0)),""),IF(E251="Trap",IFERROR(INDEX('Shooter-Squad Assignment'!$A:$A,MATCH(C251&amp;"-"&amp;D251&amp;"-"&amp;E251&amp;"-Pos1",'Shooter-Squad Assignment'!$V:$V,0)),""),IF(E251="Sporting Clays",IFERROR(INDEX('Shooter-Squad Assignment'!$A:$A,MATCH(C251&amp;"-"&amp;D251&amp;"-"&amp;E251&amp;"-Pos1",'Shooter-Squad Assignment'!$Y:$Y,0)),""),"")))</f>
        <v/>
      </c>
      <c r="G251" s="73" t="str">
        <f>IF(ISBLANK(F251),"",IFERROR(INDEX('Tournament List'!$D:$D,MATCH(F251,'Tournament List'!$A:$A,0)),""))</f>
        <v/>
      </c>
      <c r="H251" s="98" t="str">
        <f>IF(E251="Skeet",IFERROR(INDEX('Shooter-Squad Assignment'!$A:$A,MATCH(C251&amp;"-"&amp;D251&amp;"-"&amp;E251&amp;"-Pos2",'Shooter-Squad Assignment'!#REF!,0)),""),IF(E251="Trap",IFERROR(INDEX('Shooter-Squad Assignment'!$A:$A,MATCH(C251&amp;"-"&amp;D251&amp;"-"&amp;E251&amp;"-Pos2",'Shooter-Squad Assignment'!$V:$V,0)),""),IF(E251="Sporting Clays",IFERROR(INDEX('Shooter-Squad Assignment'!$A:$A,MATCH(C251&amp;"-"&amp;D251&amp;"-"&amp;E251&amp;"-Pos2",'Shooter-Squad Assignment'!$Y:$Y,0)),""),"")))</f>
        <v/>
      </c>
      <c r="I251" s="73" t="str">
        <f>IF(ISBLANK(H251),"",IFERROR(INDEX('Tournament List'!$D:$D,MATCH(H251,'Tournament List'!$A:$A,0)),""))</f>
        <v/>
      </c>
      <c r="J251" s="98" t="str">
        <f>IF(E251="Skeet",IFERROR(INDEX('Shooter-Squad Assignment'!$A:$A,MATCH(C251&amp;"-"&amp;D251&amp;"-"&amp;E251&amp;"-Pos3",'Shooter-Squad Assignment'!#REF!,0)),""),IF(E251="Trap",IFERROR(INDEX('Shooter-Squad Assignment'!$A:$A,MATCH(C251&amp;"-"&amp;D251&amp;"-"&amp;E251&amp;"-Pos3",'Shooter-Squad Assignment'!$V:$V,0)),""),IF(E251="Sporting Clays",IFERROR(INDEX('Shooter-Squad Assignment'!$A:$A,MATCH(C251&amp;"-"&amp;D251&amp;"-"&amp;E251&amp;"-Pos3",'Shooter-Squad Assignment'!$Y:$Y,0)),""),"")))</f>
        <v/>
      </c>
      <c r="K251" s="73" t="str">
        <f>IF(ISBLANK(J251),"",IFERROR(INDEX('Tournament List'!$D:$D,MATCH(J251,'Tournament List'!$A:$A,0)),""))</f>
        <v/>
      </c>
      <c r="L251" s="98" t="str">
        <f>IF(E251="Skeet",IFERROR(INDEX('Shooter-Squad Assignment'!$A:$A,MATCH(C251&amp;"-"&amp;D251&amp;"-"&amp;E251&amp;"-Pos4",'Shooter-Squad Assignment'!#REF!,0)),""),IF(E251="Trap",IFERROR(INDEX('Shooter-Squad Assignment'!$A:$A,MATCH(C251&amp;"-"&amp;D251&amp;"-"&amp;E251&amp;"-Pos4",'Shooter-Squad Assignment'!$V:$V,0)),""),IF(E251="Sporting Clays",IFERROR(INDEX('Shooter-Squad Assignment'!$A:$A,MATCH(C251&amp;"-"&amp;D251&amp;"-"&amp;E251&amp;"-Pos4",'Shooter-Squad Assignment'!$Y:$Y,0)),""),"")))</f>
        <v/>
      </c>
      <c r="M251" s="73" t="str">
        <f>IF(ISBLANK(L251),"",IFERROR(INDEX('Tournament List'!$D:$D,MATCH(L251,'Tournament List'!$A:$A,0)),""))</f>
        <v/>
      </c>
      <c r="N251" s="98" t="str">
        <f>IF(E251="Skeet",IFERROR(INDEX('Shooter-Squad Assignment'!$A:$A,MATCH(C251&amp;"-"&amp;D251&amp;"-"&amp;E251&amp;"-Pos5",'Shooter-Squad Assignment'!#REF!,0)),""),IF(E251="Trap",IFERROR(INDEX('Shooter-Squad Assignment'!$A:$A,MATCH(C251&amp;"-"&amp;D251&amp;"-"&amp;E251&amp;"-Pos5",'Shooter-Squad Assignment'!$V:$V,0)),""),IF(E251="Sporting Clays",IFERROR(INDEX('Shooter-Squad Assignment'!$A:$A,MATCH(C251&amp;"-"&amp;D251&amp;"-"&amp;E251&amp;"-Pos5",'Shooter-Squad Assignment'!$Y:$Y,0)),""),"")))</f>
        <v/>
      </c>
      <c r="O251" s="80" t="str">
        <f>IF(ISBLANK(N251),"",IFERROR(INDEX('Tournament List'!$D:$D,MATCH(N251,'Tournament List'!$A:$A,0)),""))</f>
        <v/>
      </c>
    </row>
    <row r="252" spans="1:15" x14ac:dyDescent="0.3">
      <c r="A252" s="79">
        <v>260</v>
      </c>
      <c r="B252" s="73" t="str">
        <f t="shared" si="3"/>
        <v>Brighton Clay Crushers-Varsity 2-Trap</v>
      </c>
      <c r="C252" s="73" t="s">
        <v>323</v>
      </c>
      <c r="D252" s="73" t="s">
        <v>348</v>
      </c>
      <c r="E252" s="73" t="s">
        <v>147</v>
      </c>
      <c r="F252" s="98" t="str">
        <f>IF(E252="Skeet",IFERROR(INDEX('Shooter-Squad Assignment'!$A:$A,MATCH(C252&amp;"-"&amp;D252&amp;"-"&amp;E252&amp;"-Pos1",'Shooter-Squad Assignment'!#REF!,0)),""),IF(E252="Trap",IFERROR(INDEX('Shooter-Squad Assignment'!$A:$A,MATCH(C252&amp;"-"&amp;D252&amp;"-"&amp;E252&amp;"-Pos1",'Shooter-Squad Assignment'!$V:$V,0)),""),IF(E252="Sporting Clays",IFERROR(INDEX('Shooter-Squad Assignment'!$A:$A,MATCH(C252&amp;"-"&amp;D252&amp;"-"&amp;E252&amp;"-Pos1",'Shooter-Squad Assignment'!$Y:$Y,0)),""),"")))</f>
        <v/>
      </c>
      <c r="G252" s="73" t="str">
        <f>IF(ISBLANK(F252),"",IFERROR(INDEX('Tournament List'!$D:$D,MATCH(F252,'Tournament List'!$A:$A,0)),""))</f>
        <v/>
      </c>
      <c r="H252" s="98" t="str">
        <f>IF(E252="Skeet",IFERROR(INDEX('Shooter-Squad Assignment'!$A:$A,MATCH(C252&amp;"-"&amp;D252&amp;"-"&amp;E252&amp;"-Pos2",'Shooter-Squad Assignment'!#REF!,0)),""),IF(E252="Trap",IFERROR(INDEX('Shooter-Squad Assignment'!$A:$A,MATCH(C252&amp;"-"&amp;D252&amp;"-"&amp;E252&amp;"-Pos2",'Shooter-Squad Assignment'!$V:$V,0)),""),IF(E252="Sporting Clays",IFERROR(INDEX('Shooter-Squad Assignment'!$A:$A,MATCH(C252&amp;"-"&amp;D252&amp;"-"&amp;E252&amp;"-Pos2",'Shooter-Squad Assignment'!$Y:$Y,0)),""),"")))</f>
        <v/>
      </c>
      <c r="I252" s="73" t="str">
        <f>IF(ISBLANK(H252),"",IFERROR(INDEX('Tournament List'!$D:$D,MATCH(H252,'Tournament List'!$A:$A,0)),""))</f>
        <v/>
      </c>
      <c r="J252" s="98" t="str">
        <f>IF(E252="Skeet",IFERROR(INDEX('Shooter-Squad Assignment'!$A:$A,MATCH(C252&amp;"-"&amp;D252&amp;"-"&amp;E252&amp;"-Pos3",'Shooter-Squad Assignment'!#REF!,0)),""),IF(E252="Trap",IFERROR(INDEX('Shooter-Squad Assignment'!$A:$A,MATCH(C252&amp;"-"&amp;D252&amp;"-"&amp;E252&amp;"-Pos3",'Shooter-Squad Assignment'!$V:$V,0)),""),IF(E252="Sporting Clays",IFERROR(INDEX('Shooter-Squad Assignment'!$A:$A,MATCH(C252&amp;"-"&amp;D252&amp;"-"&amp;E252&amp;"-Pos3",'Shooter-Squad Assignment'!$Y:$Y,0)),""),"")))</f>
        <v/>
      </c>
      <c r="K252" s="73" t="str">
        <f>IF(ISBLANK(J252),"",IFERROR(INDEX('Tournament List'!$D:$D,MATCH(J252,'Tournament List'!$A:$A,0)),""))</f>
        <v/>
      </c>
      <c r="L252" s="98" t="str">
        <f>IF(E252="Skeet",IFERROR(INDEX('Shooter-Squad Assignment'!$A:$A,MATCH(C252&amp;"-"&amp;D252&amp;"-"&amp;E252&amp;"-Pos4",'Shooter-Squad Assignment'!#REF!,0)),""),IF(E252="Trap",IFERROR(INDEX('Shooter-Squad Assignment'!$A:$A,MATCH(C252&amp;"-"&amp;D252&amp;"-"&amp;E252&amp;"-Pos4",'Shooter-Squad Assignment'!$V:$V,0)),""),IF(E252="Sporting Clays",IFERROR(INDEX('Shooter-Squad Assignment'!$A:$A,MATCH(C252&amp;"-"&amp;D252&amp;"-"&amp;E252&amp;"-Pos4",'Shooter-Squad Assignment'!$Y:$Y,0)),""),"")))</f>
        <v/>
      </c>
      <c r="M252" s="73" t="str">
        <f>IF(ISBLANK(L252),"",IFERROR(INDEX('Tournament List'!$D:$D,MATCH(L252,'Tournament List'!$A:$A,0)),""))</f>
        <v/>
      </c>
      <c r="N252" s="98" t="str">
        <f>IF(E252="Skeet",IFERROR(INDEX('Shooter-Squad Assignment'!$A:$A,MATCH(C252&amp;"-"&amp;D252&amp;"-"&amp;E252&amp;"-Pos5",'Shooter-Squad Assignment'!#REF!,0)),""),IF(E252="Trap",IFERROR(INDEX('Shooter-Squad Assignment'!$A:$A,MATCH(C252&amp;"-"&amp;D252&amp;"-"&amp;E252&amp;"-Pos5",'Shooter-Squad Assignment'!$V:$V,0)),""),IF(E252="Sporting Clays",IFERROR(INDEX('Shooter-Squad Assignment'!$A:$A,MATCH(C252&amp;"-"&amp;D252&amp;"-"&amp;E252&amp;"-Pos5",'Shooter-Squad Assignment'!$Y:$Y,0)),""),"")))</f>
        <v/>
      </c>
      <c r="O252" s="80" t="str">
        <f>IF(ISBLANK(N252),"",IFERROR(INDEX('Tournament List'!$D:$D,MATCH(N252,'Tournament List'!$A:$A,0)),""))</f>
        <v/>
      </c>
    </row>
    <row r="253" spans="1:15" x14ac:dyDescent="0.3">
      <c r="A253" s="79">
        <v>261</v>
      </c>
      <c r="B253" s="73" t="str">
        <f t="shared" si="3"/>
        <v>Brighton Clay Crushers-Varsity 3-Trap</v>
      </c>
      <c r="C253" s="73" t="s">
        <v>323</v>
      </c>
      <c r="D253" s="73" t="s">
        <v>354</v>
      </c>
      <c r="E253" s="73" t="s">
        <v>147</v>
      </c>
      <c r="F253" s="98" t="str">
        <f>IF(E253="Skeet",IFERROR(INDEX('Shooter-Squad Assignment'!$A:$A,MATCH(C253&amp;"-"&amp;D253&amp;"-"&amp;E253&amp;"-Pos1",'Shooter-Squad Assignment'!#REF!,0)),""),IF(E253="Trap",IFERROR(INDEX('Shooter-Squad Assignment'!$A:$A,MATCH(C253&amp;"-"&amp;D253&amp;"-"&amp;E253&amp;"-Pos1",'Shooter-Squad Assignment'!$V:$V,0)),""),IF(E253="Sporting Clays",IFERROR(INDEX('Shooter-Squad Assignment'!$A:$A,MATCH(C253&amp;"-"&amp;D253&amp;"-"&amp;E253&amp;"-Pos1",'Shooter-Squad Assignment'!$Y:$Y,0)),""),"")))</f>
        <v/>
      </c>
      <c r="G253" s="73" t="str">
        <f>IF(ISBLANK(F253),"",IFERROR(INDEX('Tournament List'!$D:$D,MATCH(F253,'Tournament List'!$A:$A,0)),""))</f>
        <v/>
      </c>
      <c r="H253" s="98" t="str">
        <f>IF(E253="Skeet",IFERROR(INDEX('Shooter-Squad Assignment'!$A:$A,MATCH(C253&amp;"-"&amp;D253&amp;"-"&amp;E253&amp;"-Pos2",'Shooter-Squad Assignment'!#REF!,0)),""),IF(E253="Trap",IFERROR(INDEX('Shooter-Squad Assignment'!$A:$A,MATCH(C253&amp;"-"&amp;D253&amp;"-"&amp;E253&amp;"-Pos2",'Shooter-Squad Assignment'!$V:$V,0)),""),IF(E253="Sporting Clays",IFERROR(INDEX('Shooter-Squad Assignment'!$A:$A,MATCH(C253&amp;"-"&amp;D253&amp;"-"&amp;E253&amp;"-Pos2",'Shooter-Squad Assignment'!$Y:$Y,0)),""),"")))</f>
        <v/>
      </c>
      <c r="I253" s="73" t="str">
        <f>IF(ISBLANK(H253),"",IFERROR(INDEX('Tournament List'!$D:$D,MATCH(H253,'Tournament List'!$A:$A,0)),""))</f>
        <v/>
      </c>
      <c r="J253" s="98" t="str">
        <f>IF(E253="Skeet",IFERROR(INDEX('Shooter-Squad Assignment'!$A:$A,MATCH(C253&amp;"-"&amp;D253&amp;"-"&amp;E253&amp;"-Pos3",'Shooter-Squad Assignment'!#REF!,0)),""),IF(E253="Trap",IFERROR(INDEX('Shooter-Squad Assignment'!$A:$A,MATCH(C253&amp;"-"&amp;D253&amp;"-"&amp;E253&amp;"-Pos3",'Shooter-Squad Assignment'!$V:$V,0)),""),IF(E253="Sporting Clays",IFERROR(INDEX('Shooter-Squad Assignment'!$A:$A,MATCH(C253&amp;"-"&amp;D253&amp;"-"&amp;E253&amp;"-Pos3",'Shooter-Squad Assignment'!$Y:$Y,0)),""),"")))</f>
        <v/>
      </c>
      <c r="K253" s="73" t="str">
        <f>IF(ISBLANK(J253),"",IFERROR(INDEX('Tournament List'!$D:$D,MATCH(J253,'Tournament List'!$A:$A,0)),""))</f>
        <v/>
      </c>
      <c r="L253" s="98" t="str">
        <f>IF(E253="Skeet",IFERROR(INDEX('Shooter-Squad Assignment'!$A:$A,MATCH(C253&amp;"-"&amp;D253&amp;"-"&amp;E253&amp;"-Pos4",'Shooter-Squad Assignment'!#REF!,0)),""),IF(E253="Trap",IFERROR(INDEX('Shooter-Squad Assignment'!$A:$A,MATCH(C253&amp;"-"&amp;D253&amp;"-"&amp;E253&amp;"-Pos4",'Shooter-Squad Assignment'!$V:$V,0)),""),IF(E253="Sporting Clays",IFERROR(INDEX('Shooter-Squad Assignment'!$A:$A,MATCH(C253&amp;"-"&amp;D253&amp;"-"&amp;E253&amp;"-Pos4",'Shooter-Squad Assignment'!$Y:$Y,0)),""),"")))</f>
        <v/>
      </c>
      <c r="M253" s="73" t="str">
        <f>IF(ISBLANK(L253),"",IFERROR(INDEX('Tournament List'!$D:$D,MATCH(L253,'Tournament List'!$A:$A,0)),""))</f>
        <v/>
      </c>
      <c r="N253" s="98" t="str">
        <f>IF(E253="Skeet",IFERROR(INDEX('Shooter-Squad Assignment'!$A:$A,MATCH(C253&amp;"-"&amp;D253&amp;"-"&amp;E253&amp;"-Pos5",'Shooter-Squad Assignment'!#REF!,0)),""),IF(E253="Trap",IFERROR(INDEX('Shooter-Squad Assignment'!$A:$A,MATCH(C253&amp;"-"&amp;D253&amp;"-"&amp;E253&amp;"-Pos5",'Shooter-Squad Assignment'!$V:$V,0)),""),IF(E253="Sporting Clays",IFERROR(INDEX('Shooter-Squad Assignment'!$A:$A,MATCH(C253&amp;"-"&amp;D253&amp;"-"&amp;E253&amp;"-Pos5",'Shooter-Squad Assignment'!$Y:$Y,0)),""),"")))</f>
        <v/>
      </c>
      <c r="O253" s="80" t="str">
        <f>IF(ISBLANK(N253),"",IFERROR(INDEX('Tournament List'!$D:$D,MATCH(N253,'Tournament List'!$A:$A,0)),""))</f>
        <v/>
      </c>
    </row>
    <row r="254" spans="1:15" x14ac:dyDescent="0.3">
      <c r="A254" s="79">
        <v>262</v>
      </c>
      <c r="B254" s="73" t="str">
        <f t="shared" si="3"/>
        <v>Brighton Clay Crushers-Collegiate 1-Sporting Clays</v>
      </c>
      <c r="C254" s="73" t="s">
        <v>323</v>
      </c>
      <c r="D254" s="73" t="s">
        <v>344</v>
      </c>
      <c r="E254" s="73" t="s">
        <v>148</v>
      </c>
      <c r="F254" s="98" t="str">
        <f>IF(E254="Skeet",IFERROR(INDEX('Shooter-Squad Assignment'!$A:$A,MATCH(C254&amp;"-"&amp;D254&amp;"-"&amp;E254&amp;"-Pos1",'Shooter-Squad Assignment'!#REF!,0)),""),IF(E254="Trap",IFERROR(INDEX('Shooter-Squad Assignment'!$A:$A,MATCH(C254&amp;"-"&amp;D254&amp;"-"&amp;E254&amp;"-Pos1",'Shooter-Squad Assignment'!$V:$V,0)),""),IF(E254="Sporting Clays",IFERROR(INDEX('Shooter-Squad Assignment'!$A:$A,MATCH(C254&amp;"-"&amp;D254&amp;"-"&amp;E254&amp;"-Pos1",'Shooter-Squad Assignment'!$Y:$Y,0)),""),"")))</f>
        <v/>
      </c>
      <c r="G254" s="73" t="str">
        <f>IF(ISBLANK(F254),"",IFERROR(INDEX('Tournament List'!$D:$D,MATCH(F254,'Tournament List'!$A:$A,0)),""))</f>
        <v/>
      </c>
      <c r="H254" s="98" t="str">
        <f>IF(E254="Skeet",IFERROR(INDEX('Shooter-Squad Assignment'!$A:$A,MATCH(C254&amp;"-"&amp;D254&amp;"-"&amp;E254&amp;"-Pos2",'Shooter-Squad Assignment'!#REF!,0)),""),IF(E254="Trap",IFERROR(INDEX('Shooter-Squad Assignment'!$A:$A,MATCH(C254&amp;"-"&amp;D254&amp;"-"&amp;E254&amp;"-Pos2",'Shooter-Squad Assignment'!$V:$V,0)),""),IF(E254="Sporting Clays",IFERROR(INDEX('Shooter-Squad Assignment'!$A:$A,MATCH(C254&amp;"-"&amp;D254&amp;"-"&amp;E254&amp;"-Pos2",'Shooter-Squad Assignment'!$Y:$Y,0)),""),"")))</f>
        <v/>
      </c>
      <c r="I254" s="73" t="str">
        <f>IF(ISBLANK(H254),"",IFERROR(INDEX('Tournament List'!$D:$D,MATCH(H254,'Tournament List'!$A:$A,0)),""))</f>
        <v/>
      </c>
      <c r="J254" s="98" t="str">
        <f>IF(E254="Skeet",IFERROR(INDEX('Shooter-Squad Assignment'!$A:$A,MATCH(C254&amp;"-"&amp;D254&amp;"-"&amp;E254&amp;"-Pos3",'Shooter-Squad Assignment'!#REF!,0)),""),IF(E254="Trap",IFERROR(INDEX('Shooter-Squad Assignment'!$A:$A,MATCH(C254&amp;"-"&amp;D254&amp;"-"&amp;E254&amp;"-Pos3",'Shooter-Squad Assignment'!$V:$V,0)),""),IF(E254="Sporting Clays",IFERROR(INDEX('Shooter-Squad Assignment'!$A:$A,MATCH(C254&amp;"-"&amp;D254&amp;"-"&amp;E254&amp;"-Pos3",'Shooter-Squad Assignment'!$Y:$Y,0)),""),"")))</f>
        <v/>
      </c>
      <c r="K254" s="73" t="str">
        <f>IF(ISBLANK(J254),"",IFERROR(INDEX('Tournament List'!$D:$D,MATCH(J254,'Tournament List'!$A:$A,0)),""))</f>
        <v/>
      </c>
      <c r="L254" s="98" t="str">
        <f>IF(E254="Skeet",IFERROR(INDEX('Shooter-Squad Assignment'!$A:$A,MATCH(C254&amp;"-"&amp;D254&amp;"-"&amp;E254&amp;"-Pos4",'Shooter-Squad Assignment'!#REF!,0)),""),IF(E254="Trap",IFERROR(INDEX('Shooter-Squad Assignment'!$A:$A,MATCH(C254&amp;"-"&amp;D254&amp;"-"&amp;E254&amp;"-Pos4",'Shooter-Squad Assignment'!$V:$V,0)),""),IF(E254="Sporting Clays",IFERROR(INDEX('Shooter-Squad Assignment'!$A:$A,MATCH(C254&amp;"-"&amp;D254&amp;"-"&amp;E254&amp;"-Pos4",'Shooter-Squad Assignment'!$Y:$Y,0)),""),"")))</f>
        <v/>
      </c>
      <c r="M254" s="73" t="str">
        <f>IF(ISBLANK(L254),"",IFERROR(INDEX('Tournament List'!$D:$D,MATCH(L254,'Tournament List'!$A:$A,0)),""))</f>
        <v/>
      </c>
      <c r="N254" s="98" t="str">
        <f>IF(E254="Skeet",IFERROR(INDEX('Shooter-Squad Assignment'!$A:$A,MATCH(C254&amp;"-"&amp;D254&amp;"-"&amp;E254&amp;"-Pos5",'Shooter-Squad Assignment'!#REF!,0)),""),IF(E254="Trap",IFERROR(INDEX('Shooter-Squad Assignment'!$A:$A,MATCH(C254&amp;"-"&amp;D254&amp;"-"&amp;E254&amp;"-Pos5",'Shooter-Squad Assignment'!$V:$V,0)),""),IF(E254="Sporting Clays",IFERROR(INDEX('Shooter-Squad Assignment'!$A:$A,MATCH(C254&amp;"-"&amp;D254&amp;"-"&amp;E254&amp;"-Pos5",'Shooter-Squad Assignment'!$Y:$Y,0)),""),"")))</f>
        <v/>
      </c>
      <c r="O254" s="80" t="str">
        <f>IF(ISBLANK(N254),"",IFERROR(INDEX('Tournament List'!$D:$D,MATCH(N254,'Tournament List'!$A:$A,0)),""))</f>
        <v/>
      </c>
    </row>
    <row r="255" spans="1:15" x14ac:dyDescent="0.3">
      <c r="A255" s="79">
        <v>263</v>
      </c>
      <c r="B255" s="73" t="str">
        <f t="shared" si="3"/>
        <v>Brighton Clay Crushers-Collegiate 2-Sporting Clays</v>
      </c>
      <c r="C255" s="73" t="s">
        <v>323</v>
      </c>
      <c r="D255" s="73" t="s">
        <v>350</v>
      </c>
      <c r="E255" s="73" t="s">
        <v>148</v>
      </c>
      <c r="F255" s="98" t="str">
        <f>IF(E255="Skeet",IFERROR(INDEX('Shooter-Squad Assignment'!$A:$A,MATCH(C255&amp;"-"&amp;D255&amp;"-"&amp;E255&amp;"-Pos1",'Shooter-Squad Assignment'!#REF!,0)),""),IF(E255="Trap",IFERROR(INDEX('Shooter-Squad Assignment'!$A:$A,MATCH(C255&amp;"-"&amp;D255&amp;"-"&amp;E255&amp;"-Pos1",'Shooter-Squad Assignment'!$V:$V,0)),""),IF(E255="Sporting Clays",IFERROR(INDEX('Shooter-Squad Assignment'!$A:$A,MATCH(C255&amp;"-"&amp;D255&amp;"-"&amp;E255&amp;"-Pos1",'Shooter-Squad Assignment'!$Y:$Y,0)),""),"")))</f>
        <v/>
      </c>
      <c r="G255" s="73" t="str">
        <f>IF(ISBLANK(F255),"",IFERROR(INDEX('Tournament List'!$D:$D,MATCH(F255,'Tournament List'!$A:$A,0)),""))</f>
        <v/>
      </c>
      <c r="H255" s="98" t="str">
        <f>IF(E255="Skeet",IFERROR(INDEX('Shooter-Squad Assignment'!$A:$A,MATCH(C255&amp;"-"&amp;D255&amp;"-"&amp;E255&amp;"-Pos2",'Shooter-Squad Assignment'!#REF!,0)),""),IF(E255="Trap",IFERROR(INDEX('Shooter-Squad Assignment'!$A:$A,MATCH(C255&amp;"-"&amp;D255&amp;"-"&amp;E255&amp;"-Pos2",'Shooter-Squad Assignment'!$V:$V,0)),""),IF(E255="Sporting Clays",IFERROR(INDEX('Shooter-Squad Assignment'!$A:$A,MATCH(C255&amp;"-"&amp;D255&amp;"-"&amp;E255&amp;"-Pos2",'Shooter-Squad Assignment'!$Y:$Y,0)),""),"")))</f>
        <v/>
      </c>
      <c r="I255" s="73" t="str">
        <f>IF(ISBLANK(H255),"",IFERROR(INDEX('Tournament List'!$D:$D,MATCH(H255,'Tournament List'!$A:$A,0)),""))</f>
        <v/>
      </c>
      <c r="J255" s="98" t="str">
        <f>IF(E255="Skeet",IFERROR(INDEX('Shooter-Squad Assignment'!$A:$A,MATCH(C255&amp;"-"&amp;D255&amp;"-"&amp;E255&amp;"-Pos3",'Shooter-Squad Assignment'!#REF!,0)),""),IF(E255="Trap",IFERROR(INDEX('Shooter-Squad Assignment'!$A:$A,MATCH(C255&amp;"-"&amp;D255&amp;"-"&amp;E255&amp;"-Pos3",'Shooter-Squad Assignment'!$V:$V,0)),""),IF(E255="Sporting Clays",IFERROR(INDEX('Shooter-Squad Assignment'!$A:$A,MATCH(C255&amp;"-"&amp;D255&amp;"-"&amp;E255&amp;"-Pos3",'Shooter-Squad Assignment'!$Y:$Y,0)),""),"")))</f>
        <v/>
      </c>
      <c r="K255" s="73" t="str">
        <f>IF(ISBLANK(J255),"",IFERROR(INDEX('Tournament List'!$D:$D,MATCH(J255,'Tournament List'!$A:$A,0)),""))</f>
        <v/>
      </c>
      <c r="L255" s="98" t="str">
        <f>IF(E255="Skeet",IFERROR(INDEX('Shooter-Squad Assignment'!$A:$A,MATCH(C255&amp;"-"&amp;D255&amp;"-"&amp;E255&amp;"-Pos4",'Shooter-Squad Assignment'!#REF!,0)),""),IF(E255="Trap",IFERROR(INDEX('Shooter-Squad Assignment'!$A:$A,MATCH(C255&amp;"-"&amp;D255&amp;"-"&amp;E255&amp;"-Pos4",'Shooter-Squad Assignment'!$V:$V,0)),""),IF(E255="Sporting Clays",IFERROR(INDEX('Shooter-Squad Assignment'!$A:$A,MATCH(C255&amp;"-"&amp;D255&amp;"-"&amp;E255&amp;"-Pos4",'Shooter-Squad Assignment'!$Y:$Y,0)),""),"")))</f>
        <v/>
      </c>
      <c r="M255" s="73" t="str">
        <f>IF(ISBLANK(L255),"",IFERROR(INDEX('Tournament List'!$D:$D,MATCH(L255,'Tournament List'!$A:$A,0)),""))</f>
        <v/>
      </c>
      <c r="N255" s="98" t="str">
        <f>IF(E255="Skeet",IFERROR(INDEX('Shooter-Squad Assignment'!$A:$A,MATCH(C255&amp;"-"&amp;D255&amp;"-"&amp;E255&amp;"-Pos5",'Shooter-Squad Assignment'!#REF!,0)),""),IF(E255="Trap",IFERROR(INDEX('Shooter-Squad Assignment'!$A:$A,MATCH(C255&amp;"-"&amp;D255&amp;"-"&amp;E255&amp;"-Pos5",'Shooter-Squad Assignment'!$V:$V,0)),""),IF(E255="Sporting Clays",IFERROR(INDEX('Shooter-Squad Assignment'!$A:$A,MATCH(C255&amp;"-"&amp;D255&amp;"-"&amp;E255&amp;"-Pos5",'Shooter-Squad Assignment'!$Y:$Y,0)),""),"")))</f>
        <v/>
      </c>
      <c r="O255" s="80" t="str">
        <f>IF(ISBLANK(N255),"",IFERROR(INDEX('Tournament List'!$D:$D,MATCH(N255,'Tournament List'!$A:$A,0)),""))</f>
        <v/>
      </c>
    </row>
    <row r="256" spans="1:15" x14ac:dyDescent="0.3">
      <c r="A256" s="79">
        <v>264</v>
      </c>
      <c r="B256" s="73" t="str">
        <f t="shared" si="3"/>
        <v>Brighton Clay Crushers-Collegiate 3-Sporting Clays</v>
      </c>
      <c r="C256" s="73" t="s">
        <v>323</v>
      </c>
      <c r="D256" s="73" t="s">
        <v>356</v>
      </c>
      <c r="E256" s="73" t="s">
        <v>148</v>
      </c>
      <c r="F256" s="98" t="str">
        <f>IF(E256="Skeet",IFERROR(INDEX('Shooter-Squad Assignment'!$A:$A,MATCH(C256&amp;"-"&amp;D256&amp;"-"&amp;E256&amp;"-Pos1",'Shooter-Squad Assignment'!#REF!,0)),""),IF(E256="Trap",IFERROR(INDEX('Shooter-Squad Assignment'!$A:$A,MATCH(C256&amp;"-"&amp;D256&amp;"-"&amp;E256&amp;"-Pos1",'Shooter-Squad Assignment'!$V:$V,0)),""),IF(E256="Sporting Clays",IFERROR(INDEX('Shooter-Squad Assignment'!$A:$A,MATCH(C256&amp;"-"&amp;D256&amp;"-"&amp;E256&amp;"-Pos1",'Shooter-Squad Assignment'!$Y:$Y,0)),""),"")))</f>
        <v/>
      </c>
      <c r="G256" s="73" t="str">
        <f>IF(ISBLANK(F256),"",IFERROR(INDEX('Tournament List'!$D:$D,MATCH(F256,'Tournament List'!$A:$A,0)),""))</f>
        <v/>
      </c>
      <c r="H256" s="98" t="str">
        <f>IF(E256="Skeet",IFERROR(INDEX('Shooter-Squad Assignment'!$A:$A,MATCH(C256&amp;"-"&amp;D256&amp;"-"&amp;E256&amp;"-Pos2",'Shooter-Squad Assignment'!#REF!,0)),""),IF(E256="Trap",IFERROR(INDEX('Shooter-Squad Assignment'!$A:$A,MATCH(C256&amp;"-"&amp;D256&amp;"-"&amp;E256&amp;"-Pos2",'Shooter-Squad Assignment'!$V:$V,0)),""),IF(E256="Sporting Clays",IFERROR(INDEX('Shooter-Squad Assignment'!$A:$A,MATCH(C256&amp;"-"&amp;D256&amp;"-"&amp;E256&amp;"-Pos2",'Shooter-Squad Assignment'!$Y:$Y,0)),""),"")))</f>
        <v/>
      </c>
      <c r="I256" s="73" t="str">
        <f>IF(ISBLANK(H256),"",IFERROR(INDEX('Tournament List'!$D:$D,MATCH(H256,'Tournament List'!$A:$A,0)),""))</f>
        <v/>
      </c>
      <c r="J256" s="98" t="str">
        <f>IF(E256="Skeet",IFERROR(INDEX('Shooter-Squad Assignment'!$A:$A,MATCH(C256&amp;"-"&amp;D256&amp;"-"&amp;E256&amp;"-Pos3",'Shooter-Squad Assignment'!#REF!,0)),""),IF(E256="Trap",IFERROR(INDEX('Shooter-Squad Assignment'!$A:$A,MATCH(C256&amp;"-"&amp;D256&amp;"-"&amp;E256&amp;"-Pos3",'Shooter-Squad Assignment'!$V:$V,0)),""),IF(E256="Sporting Clays",IFERROR(INDEX('Shooter-Squad Assignment'!$A:$A,MATCH(C256&amp;"-"&amp;D256&amp;"-"&amp;E256&amp;"-Pos3",'Shooter-Squad Assignment'!$Y:$Y,0)),""),"")))</f>
        <v/>
      </c>
      <c r="K256" s="73" t="str">
        <f>IF(ISBLANK(J256),"",IFERROR(INDEX('Tournament List'!$D:$D,MATCH(J256,'Tournament List'!$A:$A,0)),""))</f>
        <v/>
      </c>
      <c r="L256" s="98" t="str">
        <f>IF(E256="Skeet",IFERROR(INDEX('Shooter-Squad Assignment'!$A:$A,MATCH(C256&amp;"-"&amp;D256&amp;"-"&amp;E256&amp;"-Pos4",'Shooter-Squad Assignment'!#REF!,0)),""),IF(E256="Trap",IFERROR(INDEX('Shooter-Squad Assignment'!$A:$A,MATCH(C256&amp;"-"&amp;D256&amp;"-"&amp;E256&amp;"-Pos4",'Shooter-Squad Assignment'!$V:$V,0)),""),IF(E256="Sporting Clays",IFERROR(INDEX('Shooter-Squad Assignment'!$A:$A,MATCH(C256&amp;"-"&amp;D256&amp;"-"&amp;E256&amp;"-Pos4",'Shooter-Squad Assignment'!$Y:$Y,0)),""),"")))</f>
        <v/>
      </c>
      <c r="M256" s="73" t="str">
        <f>IF(ISBLANK(L256),"",IFERROR(INDEX('Tournament List'!$D:$D,MATCH(L256,'Tournament List'!$A:$A,0)),""))</f>
        <v/>
      </c>
      <c r="N256" s="98" t="str">
        <f>IF(E256="Skeet",IFERROR(INDEX('Shooter-Squad Assignment'!$A:$A,MATCH(C256&amp;"-"&amp;D256&amp;"-"&amp;E256&amp;"-Pos5",'Shooter-Squad Assignment'!#REF!,0)),""),IF(E256="Trap",IFERROR(INDEX('Shooter-Squad Assignment'!$A:$A,MATCH(C256&amp;"-"&amp;D256&amp;"-"&amp;E256&amp;"-Pos5",'Shooter-Squad Assignment'!$V:$V,0)),""),IF(E256="Sporting Clays",IFERROR(INDEX('Shooter-Squad Assignment'!$A:$A,MATCH(C256&amp;"-"&amp;D256&amp;"-"&amp;E256&amp;"-Pos5",'Shooter-Squad Assignment'!$Y:$Y,0)),""),"")))</f>
        <v/>
      </c>
      <c r="O256" s="80" t="str">
        <f>IF(ISBLANK(N256),"",IFERROR(INDEX('Tournament List'!$D:$D,MATCH(N256,'Tournament List'!$A:$A,0)),""))</f>
        <v/>
      </c>
    </row>
    <row r="257" spans="1:15" x14ac:dyDescent="0.3">
      <c r="A257" s="79">
        <v>265</v>
      </c>
      <c r="B257" s="73" t="str">
        <f t="shared" si="3"/>
        <v>Brighton Clay Crushers-Intermediate 1-Sporting Clays</v>
      </c>
      <c r="C257" s="73" t="s">
        <v>323</v>
      </c>
      <c r="D257" s="73" t="s">
        <v>340</v>
      </c>
      <c r="E257" s="73" t="s">
        <v>148</v>
      </c>
      <c r="F257" s="98" t="str">
        <f>IF(E257="Skeet",IFERROR(INDEX('Shooter-Squad Assignment'!$A:$A,MATCH(C257&amp;"-"&amp;D257&amp;"-"&amp;E257&amp;"-Pos1",'Shooter-Squad Assignment'!#REF!,0)),""),IF(E257="Trap",IFERROR(INDEX('Shooter-Squad Assignment'!$A:$A,MATCH(C257&amp;"-"&amp;D257&amp;"-"&amp;E257&amp;"-Pos1",'Shooter-Squad Assignment'!$V:$V,0)),""),IF(E257="Sporting Clays",IFERROR(INDEX('Shooter-Squad Assignment'!$A:$A,MATCH(C257&amp;"-"&amp;D257&amp;"-"&amp;E257&amp;"-Pos1",'Shooter-Squad Assignment'!$Y:$Y,0)),""),"")))</f>
        <v/>
      </c>
      <c r="G257" s="73" t="str">
        <f>IF(ISBLANK(F257),"",IFERROR(INDEX('Tournament List'!$D:$D,MATCH(F257,'Tournament List'!$A:$A,0)),""))</f>
        <v/>
      </c>
      <c r="H257" s="98" t="str">
        <f>IF(E257="Skeet",IFERROR(INDEX('Shooter-Squad Assignment'!$A:$A,MATCH(C257&amp;"-"&amp;D257&amp;"-"&amp;E257&amp;"-Pos2",'Shooter-Squad Assignment'!#REF!,0)),""),IF(E257="Trap",IFERROR(INDEX('Shooter-Squad Assignment'!$A:$A,MATCH(C257&amp;"-"&amp;D257&amp;"-"&amp;E257&amp;"-Pos2",'Shooter-Squad Assignment'!$V:$V,0)),""),IF(E257="Sporting Clays",IFERROR(INDEX('Shooter-Squad Assignment'!$A:$A,MATCH(C257&amp;"-"&amp;D257&amp;"-"&amp;E257&amp;"-Pos2",'Shooter-Squad Assignment'!$Y:$Y,0)),""),"")))</f>
        <v/>
      </c>
      <c r="I257" s="73" t="str">
        <f>IF(ISBLANK(H257),"",IFERROR(INDEX('Tournament List'!$D:$D,MATCH(H257,'Tournament List'!$A:$A,0)),""))</f>
        <v/>
      </c>
      <c r="J257" s="98" t="str">
        <f>IF(E257="Skeet",IFERROR(INDEX('Shooter-Squad Assignment'!$A:$A,MATCH(C257&amp;"-"&amp;D257&amp;"-"&amp;E257&amp;"-Pos3",'Shooter-Squad Assignment'!#REF!,0)),""),IF(E257="Trap",IFERROR(INDEX('Shooter-Squad Assignment'!$A:$A,MATCH(C257&amp;"-"&amp;D257&amp;"-"&amp;E257&amp;"-Pos3",'Shooter-Squad Assignment'!$V:$V,0)),""),IF(E257="Sporting Clays",IFERROR(INDEX('Shooter-Squad Assignment'!$A:$A,MATCH(C257&amp;"-"&amp;D257&amp;"-"&amp;E257&amp;"-Pos3",'Shooter-Squad Assignment'!$Y:$Y,0)),""),"")))</f>
        <v/>
      </c>
      <c r="K257" s="73" t="str">
        <f>IF(ISBLANK(J257),"",IFERROR(INDEX('Tournament List'!$D:$D,MATCH(J257,'Tournament List'!$A:$A,0)),""))</f>
        <v/>
      </c>
      <c r="L257" s="98" t="str">
        <f>IF(E257="Skeet",IFERROR(INDEX('Shooter-Squad Assignment'!$A:$A,MATCH(C257&amp;"-"&amp;D257&amp;"-"&amp;E257&amp;"-Pos4",'Shooter-Squad Assignment'!#REF!,0)),""),IF(E257="Trap",IFERROR(INDEX('Shooter-Squad Assignment'!$A:$A,MATCH(C257&amp;"-"&amp;D257&amp;"-"&amp;E257&amp;"-Pos4",'Shooter-Squad Assignment'!$V:$V,0)),""),IF(E257="Sporting Clays",IFERROR(INDEX('Shooter-Squad Assignment'!$A:$A,MATCH(C257&amp;"-"&amp;D257&amp;"-"&amp;E257&amp;"-Pos4",'Shooter-Squad Assignment'!$Y:$Y,0)),""),"")))</f>
        <v/>
      </c>
      <c r="M257" s="73" t="str">
        <f>IF(ISBLANK(L257),"",IFERROR(INDEX('Tournament List'!$D:$D,MATCH(L257,'Tournament List'!$A:$A,0)),""))</f>
        <v/>
      </c>
      <c r="N257" s="98" t="str">
        <f>IF(E257="Skeet",IFERROR(INDEX('Shooter-Squad Assignment'!$A:$A,MATCH(C257&amp;"-"&amp;D257&amp;"-"&amp;E257&amp;"-Pos5",'Shooter-Squad Assignment'!#REF!,0)),""),IF(E257="Trap",IFERROR(INDEX('Shooter-Squad Assignment'!$A:$A,MATCH(C257&amp;"-"&amp;D257&amp;"-"&amp;E257&amp;"-Pos5",'Shooter-Squad Assignment'!$V:$V,0)),""),IF(E257="Sporting Clays",IFERROR(INDEX('Shooter-Squad Assignment'!$A:$A,MATCH(C257&amp;"-"&amp;D257&amp;"-"&amp;E257&amp;"-Pos5",'Shooter-Squad Assignment'!$Y:$Y,0)),""),"")))</f>
        <v/>
      </c>
      <c r="O257" s="80" t="str">
        <f>IF(ISBLANK(N257),"",IFERROR(INDEX('Tournament List'!$D:$D,MATCH(N257,'Tournament List'!$A:$A,0)),""))</f>
        <v/>
      </c>
    </row>
    <row r="258" spans="1:15" x14ac:dyDescent="0.3">
      <c r="A258" s="79">
        <v>266</v>
      </c>
      <c r="B258" s="73" t="str">
        <f t="shared" si="3"/>
        <v>Brighton Clay Crushers-Intermediate 2-Sporting Clays</v>
      </c>
      <c r="C258" s="73" t="s">
        <v>323</v>
      </c>
      <c r="D258" s="73" t="s">
        <v>346</v>
      </c>
      <c r="E258" s="73" t="s">
        <v>148</v>
      </c>
      <c r="F258" s="98" t="str">
        <f>IF(E258="Skeet",IFERROR(INDEX('Shooter-Squad Assignment'!$A:$A,MATCH(C258&amp;"-"&amp;D258&amp;"-"&amp;E258&amp;"-Pos1",'Shooter-Squad Assignment'!#REF!,0)),""),IF(E258="Trap",IFERROR(INDEX('Shooter-Squad Assignment'!$A:$A,MATCH(C258&amp;"-"&amp;D258&amp;"-"&amp;E258&amp;"-Pos1",'Shooter-Squad Assignment'!$V:$V,0)),""),IF(E258="Sporting Clays",IFERROR(INDEX('Shooter-Squad Assignment'!$A:$A,MATCH(C258&amp;"-"&amp;D258&amp;"-"&amp;E258&amp;"-Pos1",'Shooter-Squad Assignment'!$Y:$Y,0)),""),"")))</f>
        <v/>
      </c>
      <c r="G258" s="73" t="str">
        <f>IF(ISBLANK(F258),"",IFERROR(INDEX('Tournament List'!$D:$D,MATCH(F258,'Tournament List'!$A:$A,0)),""))</f>
        <v/>
      </c>
      <c r="H258" s="98" t="str">
        <f>IF(E258="Skeet",IFERROR(INDEX('Shooter-Squad Assignment'!$A:$A,MATCH(C258&amp;"-"&amp;D258&amp;"-"&amp;E258&amp;"-Pos2",'Shooter-Squad Assignment'!#REF!,0)),""),IF(E258="Trap",IFERROR(INDEX('Shooter-Squad Assignment'!$A:$A,MATCH(C258&amp;"-"&amp;D258&amp;"-"&amp;E258&amp;"-Pos2",'Shooter-Squad Assignment'!$V:$V,0)),""),IF(E258="Sporting Clays",IFERROR(INDEX('Shooter-Squad Assignment'!$A:$A,MATCH(C258&amp;"-"&amp;D258&amp;"-"&amp;E258&amp;"-Pos2",'Shooter-Squad Assignment'!$Y:$Y,0)),""),"")))</f>
        <v/>
      </c>
      <c r="I258" s="73" t="str">
        <f>IF(ISBLANK(H258),"",IFERROR(INDEX('Tournament List'!$D:$D,MATCH(H258,'Tournament List'!$A:$A,0)),""))</f>
        <v/>
      </c>
      <c r="J258" s="98" t="str">
        <f>IF(E258="Skeet",IFERROR(INDEX('Shooter-Squad Assignment'!$A:$A,MATCH(C258&amp;"-"&amp;D258&amp;"-"&amp;E258&amp;"-Pos3",'Shooter-Squad Assignment'!#REF!,0)),""),IF(E258="Trap",IFERROR(INDEX('Shooter-Squad Assignment'!$A:$A,MATCH(C258&amp;"-"&amp;D258&amp;"-"&amp;E258&amp;"-Pos3",'Shooter-Squad Assignment'!$V:$V,0)),""),IF(E258="Sporting Clays",IFERROR(INDEX('Shooter-Squad Assignment'!$A:$A,MATCH(C258&amp;"-"&amp;D258&amp;"-"&amp;E258&amp;"-Pos3",'Shooter-Squad Assignment'!$Y:$Y,0)),""),"")))</f>
        <v/>
      </c>
      <c r="K258" s="73" t="str">
        <f>IF(ISBLANK(J258),"",IFERROR(INDEX('Tournament List'!$D:$D,MATCH(J258,'Tournament List'!$A:$A,0)),""))</f>
        <v/>
      </c>
      <c r="L258" s="98" t="str">
        <f>IF(E258="Skeet",IFERROR(INDEX('Shooter-Squad Assignment'!$A:$A,MATCH(C258&amp;"-"&amp;D258&amp;"-"&amp;E258&amp;"-Pos4",'Shooter-Squad Assignment'!#REF!,0)),""),IF(E258="Trap",IFERROR(INDEX('Shooter-Squad Assignment'!$A:$A,MATCH(C258&amp;"-"&amp;D258&amp;"-"&amp;E258&amp;"-Pos4",'Shooter-Squad Assignment'!$V:$V,0)),""),IF(E258="Sporting Clays",IFERROR(INDEX('Shooter-Squad Assignment'!$A:$A,MATCH(C258&amp;"-"&amp;D258&amp;"-"&amp;E258&amp;"-Pos4",'Shooter-Squad Assignment'!$Y:$Y,0)),""),"")))</f>
        <v/>
      </c>
      <c r="M258" s="73" t="str">
        <f>IF(ISBLANK(L258),"",IFERROR(INDEX('Tournament List'!$D:$D,MATCH(L258,'Tournament List'!$A:$A,0)),""))</f>
        <v/>
      </c>
      <c r="N258" s="98" t="str">
        <f>IF(E258="Skeet",IFERROR(INDEX('Shooter-Squad Assignment'!$A:$A,MATCH(C258&amp;"-"&amp;D258&amp;"-"&amp;E258&amp;"-Pos5",'Shooter-Squad Assignment'!#REF!,0)),""),IF(E258="Trap",IFERROR(INDEX('Shooter-Squad Assignment'!$A:$A,MATCH(C258&amp;"-"&amp;D258&amp;"-"&amp;E258&amp;"-Pos5",'Shooter-Squad Assignment'!$V:$V,0)),""),IF(E258="Sporting Clays",IFERROR(INDEX('Shooter-Squad Assignment'!$A:$A,MATCH(C258&amp;"-"&amp;D258&amp;"-"&amp;E258&amp;"-Pos5",'Shooter-Squad Assignment'!$Y:$Y,0)),""),"")))</f>
        <v/>
      </c>
      <c r="O258" s="80" t="str">
        <f>IF(ISBLANK(N258),"",IFERROR(INDEX('Tournament List'!$D:$D,MATCH(N258,'Tournament List'!$A:$A,0)),""))</f>
        <v/>
      </c>
    </row>
    <row r="259" spans="1:15" x14ac:dyDescent="0.3">
      <c r="A259" s="79">
        <v>267</v>
      </c>
      <c r="B259" s="73" t="str">
        <f t="shared" ref="B259:B322" si="4">C259&amp;"-"&amp;D259&amp;"-"&amp;E259</f>
        <v>Brighton Clay Crushers-Intermediate 3-Sporting Clays</v>
      </c>
      <c r="C259" s="73" t="s">
        <v>323</v>
      </c>
      <c r="D259" s="73" t="s">
        <v>352</v>
      </c>
      <c r="E259" s="73" t="s">
        <v>148</v>
      </c>
      <c r="F259" s="98" t="str">
        <f>IF(E259="Skeet",IFERROR(INDEX('Shooter-Squad Assignment'!$A:$A,MATCH(C259&amp;"-"&amp;D259&amp;"-"&amp;E259&amp;"-Pos1",'Shooter-Squad Assignment'!#REF!,0)),""),IF(E259="Trap",IFERROR(INDEX('Shooter-Squad Assignment'!$A:$A,MATCH(C259&amp;"-"&amp;D259&amp;"-"&amp;E259&amp;"-Pos1",'Shooter-Squad Assignment'!$V:$V,0)),""),IF(E259="Sporting Clays",IFERROR(INDEX('Shooter-Squad Assignment'!$A:$A,MATCH(C259&amp;"-"&amp;D259&amp;"-"&amp;E259&amp;"-Pos1",'Shooter-Squad Assignment'!$Y:$Y,0)),""),"")))</f>
        <v/>
      </c>
      <c r="G259" s="73" t="str">
        <f>IF(ISBLANK(F259),"",IFERROR(INDEX('Tournament List'!$D:$D,MATCH(F259,'Tournament List'!$A:$A,0)),""))</f>
        <v/>
      </c>
      <c r="H259" s="98" t="str">
        <f>IF(E259="Skeet",IFERROR(INDEX('Shooter-Squad Assignment'!$A:$A,MATCH(C259&amp;"-"&amp;D259&amp;"-"&amp;E259&amp;"-Pos2",'Shooter-Squad Assignment'!#REF!,0)),""),IF(E259="Trap",IFERROR(INDEX('Shooter-Squad Assignment'!$A:$A,MATCH(C259&amp;"-"&amp;D259&amp;"-"&amp;E259&amp;"-Pos2",'Shooter-Squad Assignment'!$V:$V,0)),""),IF(E259="Sporting Clays",IFERROR(INDEX('Shooter-Squad Assignment'!$A:$A,MATCH(C259&amp;"-"&amp;D259&amp;"-"&amp;E259&amp;"-Pos2",'Shooter-Squad Assignment'!$Y:$Y,0)),""),"")))</f>
        <v/>
      </c>
      <c r="I259" s="73" t="str">
        <f>IF(ISBLANK(H259),"",IFERROR(INDEX('Tournament List'!$D:$D,MATCH(H259,'Tournament List'!$A:$A,0)),""))</f>
        <v/>
      </c>
      <c r="J259" s="98" t="str">
        <f>IF(E259="Skeet",IFERROR(INDEX('Shooter-Squad Assignment'!$A:$A,MATCH(C259&amp;"-"&amp;D259&amp;"-"&amp;E259&amp;"-Pos3",'Shooter-Squad Assignment'!#REF!,0)),""),IF(E259="Trap",IFERROR(INDEX('Shooter-Squad Assignment'!$A:$A,MATCH(C259&amp;"-"&amp;D259&amp;"-"&amp;E259&amp;"-Pos3",'Shooter-Squad Assignment'!$V:$V,0)),""),IF(E259="Sporting Clays",IFERROR(INDEX('Shooter-Squad Assignment'!$A:$A,MATCH(C259&amp;"-"&amp;D259&amp;"-"&amp;E259&amp;"-Pos3",'Shooter-Squad Assignment'!$Y:$Y,0)),""),"")))</f>
        <v/>
      </c>
      <c r="K259" s="73" t="str">
        <f>IF(ISBLANK(J259),"",IFERROR(INDEX('Tournament List'!$D:$D,MATCH(J259,'Tournament List'!$A:$A,0)),""))</f>
        <v/>
      </c>
      <c r="L259" s="98" t="str">
        <f>IF(E259="Skeet",IFERROR(INDEX('Shooter-Squad Assignment'!$A:$A,MATCH(C259&amp;"-"&amp;D259&amp;"-"&amp;E259&amp;"-Pos4",'Shooter-Squad Assignment'!#REF!,0)),""),IF(E259="Trap",IFERROR(INDEX('Shooter-Squad Assignment'!$A:$A,MATCH(C259&amp;"-"&amp;D259&amp;"-"&amp;E259&amp;"-Pos4",'Shooter-Squad Assignment'!$V:$V,0)),""),IF(E259="Sporting Clays",IFERROR(INDEX('Shooter-Squad Assignment'!$A:$A,MATCH(C259&amp;"-"&amp;D259&amp;"-"&amp;E259&amp;"-Pos4",'Shooter-Squad Assignment'!$Y:$Y,0)),""),"")))</f>
        <v/>
      </c>
      <c r="M259" s="73" t="str">
        <f>IF(ISBLANK(L259),"",IFERROR(INDEX('Tournament List'!$D:$D,MATCH(L259,'Tournament List'!$A:$A,0)),""))</f>
        <v/>
      </c>
      <c r="N259" s="98" t="str">
        <f>IF(E259="Skeet",IFERROR(INDEX('Shooter-Squad Assignment'!$A:$A,MATCH(C259&amp;"-"&amp;D259&amp;"-"&amp;E259&amp;"-Pos5",'Shooter-Squad Assignment'!#REF!,0)),""),IF(E259="Trap",IFERROR(INDEX('Shooter-Squad Assignment'!$A:$A,MATCH(C259&amp;"-"&amp;D259&amp;"-"&amp;E259&amp;"-Pos5",'Shooter-Squad Assignment'!$V:$V,0)),""),IF(E259="Sporting Clays",IFERROR(INDEX('Shooter-Squad Assignment'!$A:$A,MATCH(C259&amp;"-"&amp;D259&amp;"-"&amp;E259&amp;"-Pos5",'Shooter-Squad Assignment'!$Y:$Y,0)),""),"")))</f>
        <v/>
      </c>
      <c r="O259" s="80" t="str">
        <f>IF(ISBLANK(N259),"",IFERROR(INDEX('Tournament List'!$D:$D,MATCH(N259,'Tournament List'!$A:$A,0)),""))</f>
        <v/>
      </c>
    </row>
    <row r="260" spans="1:15" x14ac:dyDescent="0.3">
      <c r="A260" s="79">
        <v>268</v>
      </c>
      <c r="B260" s="73" t="str">
        <f t="shared" si="4"/>
        <v>Brighton Clay Crushers-Junior Varsity 1-Sporting Clays</v>
      </c>
      <c r="C260" s="73" t="s">
        <v>323</v>
      </c>
      <c r="D260" s="73" t="s">
        <v>341</v>
      </c>
      <c r="E260" s="73" t="s">
        <v>148</v>
      </c>
      <c r="F260" s="98" t="str">
        <f>IF(E260="Skeet",IFERROR(INDEX('Shooter-Squad Assignment'!$A:$A,MATCH(C260&amp;"-"&amp;D260&amp;"-"&amp;E260&amp;"-Pos1",'Shooter-Squad Assignment'!#REF!,0)),""),IF(E260="Trap",IFERROR(INDEX('Shooter-Squad Assignment'!$A:$A,MATCH(C260&amp;"-"&amp;D260&amp;"-"&amp;E260&amp;"-Pos1",'Shooter-Squad Assignment'!$V:$V,0)),""),IF(E260="Sporting Clays",IFERROR(INDEX('Shooter-Squad Assignment'!$A:$A,MATCH(C260&amp;"-"&amp;D260&amp;"-"&amp;E260&amp;"-Pos1",'Shooter-Squad Assignment'!$Y:$Y,0)),""),"")))</f>
        <v/>
      </c>
      <c r="G260" s="73" t="str">
        <f>IF(ISBLANK(F260),"",IFERROR(INDEX('Tournament List'!$D:$D,MATCH(F260,'Tournament List'!$A:$A,0)),""))</f>
        <v/>
      </c>
      <c r="H260" s="98" t="str">
        <f>IF(E260="Skeet",IFERROR(INDEX('Shooter-Squad Assignment'!$A:$A,MATCH(C260&amp;"-"&amp;D260&amp;"-"&amp;E260&amp;"-Pos2",'Shooter-Squad Assignment'!#REF!,0)),""),IF(E260="Trap",IFERROR(INDEX('Shooter-Squad Assignment'!$A:$A,MATCH(C260&amp;"-"&amp;D260&amp;"-"&amp;E260&amp;"-Pos2",'Shooter-Squad Assignment'!$V:$V,0)),""),IF(E260="Sporting Clays",IFERROR(INDEX('Shooter-Squad Assignment'!$A:$A,MATCH(C260&amp;"-"&amp;D260&amp;"-"&amp;E260&amp;"-Pos2",'Shooter-Squad Assignment'!$Y:$Y,0)),""),"")))</f>
        <v/>
      </c>
      <c r="I260" s="73" t="str">
        <f>IF(ISBLANK(H260),"",IFERROR(INDEX('Tournament List'!$D:$D,MATCH(H260,'Tournament List'!$A:$A,0)),""))</f>
        <v/>
      </c>
      <c r="J260" s="98" t="str">
        <f>IF(E260="Skeet",IFERROR(INDEX('Shooter-Squad Assignment'!$A:$A,MATCH(C260&amp;"-"&amp;D260&amp;"-"&amp;E260&amp;"-Pos3",'Shooter-Squad Assignment'!#REF!,0)),""),IF(E260="Trap",IFERROR(INDEX('Shooter-Squad Assignment'!$A:$A,MATCH(C260&amp;"-"&amp;D260&amp;"-"&amp;E260&amp;"-Pos3",'Shooter-Squad Assignment'!$V:$V,0)),""),IF(E260="Sporting Clays",IFERROR(INDEX('Shooter-Squad Assignment'!$A:$A,MATCH(C260&amp;"-"&amp;D260&amp;"-"&amp;E260&amp;"-Pos3",'Shooter-Squad Assignment'!$Y:$Y,0)),""),"")))</f>
        <v/>
      </c>
      <c r="K260" s="73" t="str">
        <f>IF(ISBLANK(J260),"",IFERROR(INDEX('Tournament List'!$D:$D,MATCH(J260,'Tournament List'!$A:$A,0)),""))</f>
        <v/>
      </c>
      <c r="L260" s="98" t="str">
        <f>IF(E260="Skeet",IFERROR(INDEX('Shooter-Squad Assignment'!$A:$A,MATCH(C260&amp;"-"&amp;D260&amp;"-"&amp;E260&amp;"-Pos4",'Shooter-Squad Assignment'!#REF!,0)),""),IF(E260="Trap",IFERROR(INDEX('Shooter-Squad Assignment'!$A:$A,MATCH(C260&amp;"-"&amp;D260&amp;"-"&amp;E260&amp;"-Pos4",'Shooter-Squad Assignment'!$V:$V,0)),""),IF(E260="Sporting Clays",IFERROR(INDEX('Shooter-Squad Assignment'!$A:$A,MATCH(C260&amp;"-"&amp;D260&amp;"-"&amp;E260&amp;"-Pos4",'Shooter-Squad Assignment'!$Y:$Y,0)),""),"")))</f>
        <v/>
      </c>
      <c r="M260" s="73" t="str">
        <f>IF(ISBLANK(L260),"",IFERROR(INDEX('Tournament List'!$D:$D,MATCH(L260,'Tournament List'!$A:$A,0)),""))</f>
        <v/>
      </c>
      <c r="N260" s="98" t="str">
        <f>IF(E260="Skeet",IFERROR(INDEX('Shooter-Squad Assignment'!$A:$A,MATCH(C260&amp;"-"&amp;D260&amp;"-"&amp;E260&amp;"-Pos5",'Shooter-Squad Assignment'!#REF!,0)),""),IF(E260="Trap",IFERROR(INDEX('Shooter-Squad Assignment'!$A:$A,MATCH(C260&amp;"-"&amp;D260&amp;"-"&amp;E260&amp;"-Pos5",'Shooter-Squad Assignment'!$V:$V,0)),""),IF(E260="Sporting Clays",IFERROR(INDEX('Shooter-Squad Assignment'!$A:$A,MATCH(C260&amp;"-"&amp;D260&amp;"-"&amp;E260&amp;"-Pos5",'Shooter-Squad Assignment'!$Y:$Y,0)),""),"")))</f>
        <v/>
      </c>
      <c r="O260" s="80" t="str">
        <f>IF(ISBLANK(N260),"",IFERROR(INDEX('Tournament List'!$D:$D,MATCH(N260,'Tournament List'!$A:$A,0)),""))</f>
        <v/>
      </c>
    </row>
    <row r="261" spans="1:15" x14ac:dyDescent="0.3">
      <c r="A261" s="79">
        <v>269</v>
      </c>
      <c r="B261" s="73" t="str">
        <f t="shared" si="4"/>
        <v>Brighton Clay Crushers-Junior Varsity 2-Sporting Clays</v>
      </c>
      <c r="C261" s="73" t="s">
        <v>323</v>
      </c>
      <c r="D261" s="73" t="s">
        <v>347</v>
      </c>
      <c r="E261" s="73" t="s">
        <v>148</v>
      </c>
      <c r="F261" s="98" t="str">
        <f>IF(E261="Skeet",IFERROR(INDEX('Shooter-Squad Assignment'!$A:$A,MATCH(C261&amp;"-"&amp;D261&amp;"-"&amp;E261&amp;"-Pos1",'Shooter-Squad Assignment'!#REF!,0)),""),IF(E261="Trap",IFERROR(INDEX('Shooter-Squad Assignment'!$A:$A,MATCH(C261&amp;"-"&amp;D261&amp;"-"&amp;E261&amp;"-Pos1",'Shooter-Squad Assignment'!$V:$V,0)),""),IF(E261="Sporting Clays",IFERROR(INDEX('Shooter-Squad Assignment'!$A:$A,MATCH(C261&amp;"-"&amp;D261&amp;"-"&amp;E261&amp;"-Pos1",'Shooter-Squad Assignment'!$Y:$Y,0)),""),"")))</f>
        <v/>
      </c>
      <c r="G261" s="73" t="str">
        <f>IF(ISBLANK(F261),"",IFERROR(INDEX('Tournament List'!$D:$D,MATCH(F261,'Tournament List'!$A:$A,0)),""))</f>
        <v/>
      </c>
      <c r="H261" s="98" t="str">
        <f>IF(E261="Skeet",IFERROR(INDEX('Shooter-Squad Assignment'!$A:$A,MATCH(C261&amp;"-"&amp;D261&amp;"-"&amp;E261&amp;"-Pos2",'Shooter-Squad Assignment'!#REF!,0)),""),IF(E261="Trap",IFERROR(INDEX('Shooter-Squad Assignment'!$A:$A,MATCH(C261&amp;"-"&amp;D261&amp;"-"&amp;E261&amp;"-Pos2",'Shooter-Squad Assignment'!$V:$V,0)),""),IF(E261="Sporting Clays",IFERROR(INDEX('Shooter-Squad Assignment'!$A:$A,MATCH(C261&amp;"-"&amp;D261&amp;"-"&amp;E261&amp;"-Pos2",'Shooter-Squad Assignment'!$Y:$Y,0)),""),"")))</f>
        <v/>
      </c>
      <c r="I261" s="73" t="str">
        <f>IF(ISBLANK(H261),"",IFERROR(INDEX('Tournament List'!$D:$D,MATCH(H261,'Tournament List'!$A:$A,0)),""))</f>
        <v/>
      </c>
      <c r="J261" s="98" t="str">
        <f>IF(E261="Skeet",IFERROR(INDEX('Shooter-Squad Assignment'!$A:$A,MATCH(C261&amp;"-"&amp;D261&amp;"-"&amp;E261&amp;"-Pos3",'Shooter-Squad Assignment'!#REF!,0)),""),IF(E261="Trap",IFERROR(INDEX('Shooter-Squad Assignment'!$A:$A,MATCH(C261&amp;"-"&amp;D261&amp;"-"&amp;E261&amp;"-Pos3",'Shooter-Squad Assignment'!$V:$V,0)),""),IF(E261="Sporting Clays",IFERROR(INDEX('Shooter-Squad Assignment'!$A:$A,MATCH(C261&amp;"-"&amp;D261&amp;"-"&amp;E261&amp;"-Pos3",'Shooter-Squad Assignment'!$Y:$Y,0)),""),"")))</f>
        <v/>
      </c>
      <c r="K261" s="73" t="str">
        <f>IF(ISBLANK(J261),"",IFERROR(INDEX('Tournament List'!$D:$D,MATCH(J261,'Tournament List'!$A:$A,0)),""))</f>
        <v/>
      </c>
      <c r="L261" s="98" t="str">
        <f>IF(E261="Skeet",IFERROR(INDEX('Shooter-Squad Assignment'!$A:$A,MATCH(C261&amp;"-"&amp;D261&amp;"-"&amp;E261&amp;"-Pos4",'Shooter-Squad Assignment'!#REF!,0)),""),IF(E261="Trap",IFERROR(INDEX('Shooter-Squad Assignment'!$A:$A,MATCH(C261&amp;"-"&amp;D261&amp;"-"&amp;E261&amp;"-Pos4",'Shooter-Squad Assignment'!$V:$V,0)),""),IF(E261="Sporting Clays",IFERROR(INDEX('Shooter-Squad Assignment'!$A:$A,MATCH(C261&amp;"-"&amp;D261&amp;"-"&amp;E261&amp;"-Pos4",'Shooter-Squad Assignment'!$Y:$Y,0)),""),"")))</f>
        <v/>
      </c>
      <c r="M261" s="73" t="str">
        <f>IF(ISBLANK(L261),"",IFERROR(INDEX('Tournament List'!$D:$D,MATCH(L261,'Tournament List'!$A:$A,0)),""))</f>
        <v/>
      </c>
      <c r="N261" s="98" t="str">
        <f>IF(E261="Skeet",IFERROR(INDEX('Shooter-Squad Assignment'!$A:$A,MATCH(C261&amp;"-"&amp;D261&amp;"-"&amp;E261&amp;"-Pos5",'Shooter-Squad Assignment'!#REF!,0)),""),IF(E261="Trap",IFERROR(INDEX('Shooter-Squad Assignment'!$A:$A,MATCH(C261&amp;"-"&amp;D261&amp;"-"&amp;E261&amp;"-Pos5",'Shooter-Squad Assignment'!$V:$V,0)),""),IF(E261="Sporting Clays",IFERROR(INDEX('Shooter-Squad Assignment'!$A:$A,MATCH(C261&amp;"-"&amp;D261&amp;"-"&amp;E261&amp;"-Pos5",'Shooter-Squad Assignment'!$Y:$Y,0)),""),"")))</f>
        <v/>
      </c>
      <c r="O261" s="80" t="str">
        <f>IF(ISBLANK(N261),"",IFERROR(INDEX('Tournament List'!$D:$D,MATCH(N261,'Tournament List'!$A:$A,0)),""))</f>
        <v/>
      </c>
    </row>
    <row r="262" spans="1:15" x14ac:dyDescent="0.3">
      <c r="A262" s="79">
        <v>270</v>
      </c>
      <c r="B262" s="73" t="str">
        <f t="shared" si="4"/>
        <v>Brighton Clay Crushers-Junior Varsity 3-Sporting Clays</v>
      </c>
      <c r="C262" s="73" t="s">
        <v>323</v>
      </c>
      <c r="D262" s="73" t="s">
        <v>353</v>
      </c>
      <c r="E262" s="73" t="s">
        <v>148</v>
      </c>
      <c r="F262" s="98" t="str">
        <f>IF(E262="Skeet",IFERROR(INDEX('Shooter-Squad Assignment'!$A:$A,MATCH(C262&amp;"-"&amp;D262&amp;"-"&amp;E262&amp;"-Pos1",'Shooter-Squad Assignment'!#REF!,0)),""),IF(E262="Trap",IFERROR(INDEX('Shooter-Squad Assignment'!$A:$A,MATCH(C262&amp;"-"&amp;D262&amp;"-"&amp;E262&amp;"-Pos1",'Shooter-Squad Assignment'!$V:$V,0)),""),IF(E262="Sporting Clays",IFERROR(INDEX('Shooter-Squad Assignment'!$A:$A,MATCH(C262&amp;"-"&amp;D262&amp;"-"&amp;E262&amp;"-Pos1",'Shooter-Squad Assignment'!$Y:$Y,0)),""),"")))</f>
        <v/>
      </c>
      <c r="G262" s="73" t="str">
        <f>IF(ISBLANK(F262),"",IFERROR(INDEX('Tournament List'!$D:$D,MATCH(F262,'Tournament List'!$A:$A,0)),""))</f>
        <v/>
      </c>
      <c r="H262" s="98" t="str">
        <f>IF(E262="Skeet",IFERROR(INDEX('Shooter-Squad Assignment'!$A:$A,MATCH(C262&amp;"-"&amp;D262&amp;"-"&amp;E262&amp;"-Pos2",'Shooter-Squad Assignment'!#REF!,0)),""),IF(E262="Trap",IFERROR(INDEX('Shooter-Squad Assignment'!$A:$A,MATCH(C262&amp;"-"&amp;D262&amp;"-"&amp;E262&amp;"-Pos2",'Shooter-Squad Assignment'!$V:$V,0)),""),IF(E262="Sporting Clays",IFERROR(INDEX('Shooter-Squad Assignment'!$A:$A,MATCH(C262&amp;"-"&amp;D262&amp;"-"&amp;E262&amp;"-Pos2",'Shooter-Squad Assignment'!$Y:$Y,0)),""),"")))</f>
        <v/>
      </c>
      <c r="I262" s="73" t="str">
        <f>IF(ISBLANK(H262),"",IFERROR(INDEX('Tournament List'!$D:$D,MATCH(H262,'Tournament List'!$A:$A,0)),""))</f>
        <v/>
      </c>
      <c r="J262" s="98" t="str">
        <f>IF(E262="Skeet",IFERROR(INDEX('Shooter-Squad Assignment'!$A:$A,MATCH(C262&amp;"-"&amp;D262&amp;"-"&amp;E262&amp;"-Pos3",'Shooter-Squad Assignment'!#REF!,0)),""),IF(E262="Trap",IFERROR(INDEX('Shooter-Squad Assignment'!$A:$A,MATCH(C262&amp;"-"&amp;D262&amp;"-"&amp;E262&amp;"-Pos3",'Shooter-Squad Assignment'!$V:$V,0)),""),IF(E262="Sporting Clays",IFERROR(INDEX('Shooter-Squad Assignment'!$A:$A,MATCH(C262&amp;"-"&amp;D262&amp;"-"&amp;E262&amp;"-Pos3",'Shooter-Squad Assignment'!$Y:$Y,0)),""),"")))</f>
        <v/>
      </c>
      <c r="K262" s="73" t="str">
        <f>IF(ISBLANK(J262),"",IFERROR(INDEX('Tournament List'!$D:$D,MATCH(J262,'Tournament List'!$A:$A,0)),""))</f>
        <v/>
      </c>
      <c r="L262" s="98" t="str">
        <f>IF(E262="Skeet",IFERROR(INDEX('Shooter-Squad Assignment'!$A:$A,MATCH(C262&amp;"-"&amp;D262&amp;"-"&amp;E262&amp;"-Pos4",'Shooter-Squad Assignment'!#REF!,0)),""),IF(E262="Trap",IFERROR(INDEX('Shooter-Squad Assignment'!$A:$A,MATCH(C262&amp;"-"&amp;D262&amp;"-"&amp;E262&amp;"-Pos4",'Shooter-Squad Assignment'!$V:$V,0)),""),IF(E262="Sporting Clays",IFERROR(INDEX('Shooter-Squad Assignment'!$A:$A,MATCH(C262&amp;"-"&amp;D262&amp;"-"&amp;E262&amp;"-Pos4",'Shooter-Squad Assignment'!$Y:$Y,0)),""),"")))</f>
        <v/>
      </c>
      <c r="M262" s="73" t="str">
        <f>IF(ISBLANK(L262),"",IFERROR(INDEX('Tournament List'!$D:$D,MATCH(L262,'Tournament List'!$A:$A,0)),""))</f>
        <v/>
      </c>
      <c r="N262" s="98" t="str">
        <f>IF(E262="Skeet",IFERROR(INDEX('Shooter-Squad Assignment'!$A:$A,MATCH(C262&amp;"-"&amp;D262&amp;"-"&amp;E262&amp;"-Pos5",'Shooter-Squad Assignment'!#REF!,0)),""),IF(E262="Trap",IFERROR(INDEX('Shooter-Squad Assignment'!$A:$A,MATCH(C262&amp;"-"&amp;D262&amp;"-"&amp;E262&amp;"-Pos5",'Shooter-Squad Assignment'!$V:$V,0)),""),IF(E262="Sporting Clays",IFERROR(INDEX('Shooter-Squad Assignment'!$A:$A,MATCH(C262&amp;"-"&amp;D262&amp;"-"&amp;E262&amp;"-Pos5",'Shooter-Squad Assignment'!$Y:$Y,0)),""),"")))</f>
        <v/>
      </c>
      <c r="O262" s="80" t="str">
        <f>IF(ISBLANK(N262),"",IFERROR(INDEX('Tournament List'!$D:$D,MATCH(N262,'Tournament List'!$A:$A,0)),""))</f>
        <v/>
      </c>
    </row>
    <row r="263" spans="1:15" x14ac:dyDescent="0.3">
      <c r="A263" s="79">
        <v>271</v>
      </c>
      <c r="B263" s="73" t="str">
        <f t="shared" si="4"/>
        <v>Brighton Clay Crushers-Novice 1-Sporting Clays</v>
      </c>
      <c r="C263" s="73" t="s">
        <v>323</v>
      </c>
      <c r="D263" s="73" t="s">
        <v>339</v>
      </c>
      <c r="E263" s="73" t="s">
        <v>148</v>
      </c>
      <c r="F263" s="98" t="str">
        <f>IF(E263="Skeet",IFERROR(INDEX('Shooter-Squad Assignment'!$A:$A,MATCH(C263&amp;"-"&amp;D263&amp;"-"&amp;E263&amp;"-Pos1",'Shooter-Squad Assignment'!#REF!,0)),""),IF(E263="Trap",IFERROR(INDEX('Shooter-Squad Assignment'!$A:$A,MATCH(C263&amp;"-"&amp;D263&amp;"-"&amp;E263&amp;"-Pos1",'Shooter-Squad Assignment'!$V:$V,0)),""),IF(E263="Sporting Clays",IFERROR(INDEX('Shooter-Squad Assignment'!$A:$A,MATCH(C263&amp;"-"&amp;D263&amp;"-"&amp;E263&amp;"-Pos1",'Shooter-Squad Assignment'!$Y:$Y,0)),""),"")))</f>
        <v/>
      </c>
      <c r="G263" s="73" t="str">
        <f>IF(ISBLANK(F263),"",IFERROR(INDEX('Tournament List'!$D:$D,MATCH(F263,'Tournament List'!$A:$A,0)),""))</f>
        <v/>
      </c>
      <c r="H263" s="98" t="str">
        <f>IF(E263="Skeet",IFERROR(INDEX('Shooter-Squad Assignment'!$A:$A,MATCH(C263&amp;"-"&amp;D263&amp;"-"&amp;E263&amp;"-Pos2",'Shooter-Squad Assignment'!#REF!,0)),""),IF(E263="Trap",IFERROR(INDEX('Shooter-Squad Assignment'!$A:$A,MATCH(C263&amp;"-"&amp;D263&amp;"-"&amp;E263&amp;"-Pos2",'Shooter-Squad Assignment'!$V:$V,0)),""),IF(E263="Sporting Clays",IFERROR(INDEX('Shooter-Squad Assignment'!$A:$A,MATCH(C263&amp;"-"&amp;D263&amp;"-"&amp;E263&amp;"-Pos2",'Shooter-Squad Assignment'!$Y:$Y,0)),""),"")))</f>
        <v/>
      </c>
      <c r="I263" s="73" t="str">
        <f>IF(ISBLANK(H263),"",IFERROR(INDEX('Tournament List'!$D:$D,MATCH(H263,'Tournament List'!$A:$A,0)),""))</f>
        <v/>
      </c>
      <c r="J263" s="98" t="str">
        <f>IF(E263="Skeet",IFERROR(INDEX('Shooter-Squad Assignment'!$A:$A,MATCH(C263&amp;"-"&amp;D263&amp;"-"&amp;E263&amp;"-Pos3",'Shooter-Squad Assignment'!#REF!,0)),""),IF(E263="Trap",IFERROR(INDEX('Shooter-Squad Assignment'!$A:$A,MATCH(C263&amp;"-"&amp;D263&amp;"-"&amp;E263&amp;"-Pos3",'Shooter-Squad Assignment'!$V:$V,0)),""),IF(E263="Sporting Clays",IFERROR(INDEX('Shooter-Squad Assignment'!$A:$A,MATCH(C263&amp;"-"&amp;D263&amp;"-"&amp;E263&amp;"-Pos3",'Shooter-Squad Assignment'!$Y:$Y,0)),""),"")))</f>
        <v/>
      </c>
      <c r="K263" s="73" t="str">
        <f>IF(ISBLANK(J263),"",IFERROR(INDEX('Tournament List'!$D:$D,MATCH(J263,'Tournament List'!$A:$A,0)),""))</f>
        <v/>
      </c>
      <c r="L263" s="98" t="str">
        <f>IF(E263="Skeet",IFERROR(INDEX('Shooter-Squad Assignment'!$A:$A,MATCH(C263&amp;"-"&amp;D263&amp;"-"&amp;E263&amp;"-Pos4",'Shooter-Squad Assignment'!#REF!,0)),""),IF(E263="Trap",IFERROR(INDEX('Shooter-Squad Assignment'!$A:$A,MATCH(C263&amp;"-"&amp;D263&amp;"-"&amp;E263&amp;"-Pos4",'Shooter-Squad Assignment'!$V:$V,0)),""),IF(E263="Sporting Clays",IFERROR(INDEX('Shooter-Squad Assignment'!$A:$A,MATCH(C263&amp;"-"&amp;D263&amp;"-"&amp;E263&amp;"-Pos4",'Shooter-Squad Assignment'!$Y:$Y,0)),""),"")))</f>
        <v/>
      </c>
      <c r="M263" s="73" t="str">
        <f>IF(ISBLANK(L263),"",IFERROR(INDEX('Tournament List'!$D:$D,MATCH(L263,'Tournament List'!$A:$A,0)),""))</f>
        <v/>
      </c>
      <c r="N263" s="98" t="str">
        <f>IF(E263="Skeet",IFERROR(INDEX('Shooter-Squad Assignment'!$A:$A,MATCH(C263&amp;"-"&amp;D263&amp;"-"&amp;E263&amp;"-Pos5",'Shooter-Squad Assignment'!#REF!,0)),""),IF(E263="Trap",IFERROR(INDEX('Shooter-Squad Assignment'!$A:$A,MATCH(C263&amp;"-"&amp;D263&amp;"-"&amp;E263&amp;"-Pos5",'Shooter-Squad Assignment'!$V:$V,0)),""),IF(E263="Sporting Clays",IFERROR(INDEX('Shooter-Squad Assignment'!$A:$A,MATCH(C263&amp;"-"&amp;D263&amp;"-"&amp;E263&amp;"-Pos5",'Shooter-Squad Assignment'!$Y:$Y,0)),""),"")))</f>
        <v/>
      </c>
      <c r="O263" s="80" t="str">
        <f>IF(ISBLANK(N263),"",IFERROR(INDEX('Tournament List'!$D:$D,MATCH(N263,'Tournament List'!$A:$A,0)),""))</f>
        <v/>
      </c>
    </row>
    <row r="264" spans="1:15" x14ac:dyDescent="0.3">
      <c r="A264" s="79">
        <v>272</v>
      </c>
      <c r="B264" s="73" t="str">
        <f t="shared" si="4"/>
        <v>Brighton Clay Crushers-Novice 2-Sporting Clays</v>
      </c>
      <c r="C264" s="73" t="s">
        <v>323</v>
      </c>
      <c r="D264" s="73" t="s">
        <v>345</v>
      </c>
      <c r="E264" s="73" t="s">
        <v>148</v>
      </c>
      <c r="F264" s="98" t="str">
        <f>IF(E264="Skeet",IFERROR(INDEX('Shooter-Squad Assignment'!$A:$A,MATCH(C264&amp;"-"&amp;D264&amp;"-"&amp;E264&amp;"-Pos1",'Shooter-Squad Assignment'!#REF!,0)),""),IF(E264="Trap",IFERROR(INDEX('Shooter-Squad Assignment'!$A:$A,MATCH(C264&amp;"-"&amp;D264&amp;"-"&amp;E264&amp;"-Pos1",'Shooter-Squad Assignment'!$V:$V,0)),""),IF(E264="Sporting Clays",IFERROR(INDEX('Shooter-Squad Assignment'!$A:$A,MATCH(C264&amp;"-"&amp;D264&amp;"-"&amp;E264&amp;"-Pos1",'Shooter-Squad Assignment'!$Y:$Y,0)),""),"")))</f>
        <v/>
      </c>
      <c r="G264" s="73" t="str">
        <f>IF(ISBLANK(F264),"",IFERROR(INDEX('Tournament List'!$D:$D,MATCH(F264,'Tournament List'!$A:$A,0)),""))</f>
        <v/>
      </c>
      <c r="H264" s="98" t="str">
        <f>IF(E264="Skeet",IFERROR(INDEX('Shooter-Squad Assignment'!$A:$A,MATCH(C264&amp;"-"&amp;D264&amp;"-"&amp;E264&amp;"-Pos2",'Shooter-Squad Assignment'!#REF!,0)),""),IF(E264="Trap",IFERROR(INDEX('Shooter-Squad Assignment'!$A:$A,MATCH(C264&amp;"-"&amp;D264&amp;"-"&amp;E264&amp;"-Pos2",'Shooter-Squad Assignment'!$V:$V,0)),""),IF(E264="Sporting Clays",IFERROR(INDEX('Shooter-Squad Assignment'!$A:$A,MATCH(C264&amp;"-"&amp;D264&amp;"-"&amp;E264&amp;"-Pos2",'Shooter-Squad Assignment'!$Y:$Y,0)),""),"")))</f>
        <v/>
      </c>
      <c r="I264" s="73" t="str">
        <f>IF(ISBLANK(H264),"",IFERROR(INDEX('Tournament List'!$D:$D,MATCH(H264,'Tournament List'!$A:$A,0)),""))</f>
        <v/>
      </c>
      <c r="J264" s="98" t="str">
        <f>IF(E264="Skeet",IFERROR(INDEX('Shooter-Squad Assignment'!$A:$A,MATCH(C264&amp;"-"&amp;D264&amp;"-"&amp;E264&amp;"-Pos3",'Shooter-Squad Assignment'!#REF!,0)),""),IF(E264="Trap",IFERROR(INDEX('Shooter-Squad Assignment'!$A:$A,MATCH(C264&amp;"-"&amp;D264&amp;"-"&amp;E264&amp;"-Pos3",'Shooter-Squad Assignment'!$V:$V,0)),""),IF(E264="Sporting Clays",IFERROR(INDEX('Shooter-Squad Assignment'!$A:$A,MATCH(C264&amp;"-"&amp;D264&amp;"-"&amp;E264&amp;"-Pos3",'Shooter-Squad Assignment'!$Y:$Y,0)),""),"")))</f>
        <v/>
      </c>
      <c r="K264" s="73" t="str">
        <f>IF(ISBLANK(J264),"",IFERROR(INDEX('Tournament List'!$D:$D,MATCH(J264,'Tournament List'!$A:$A,0)),""))</f>
        <v/>
      </c>
      <c r="L264" s="98" t="str">
        <f>IF(E264="Skeet",IFERROR(INDEX('Shooter-Squad Assignment'!$A:$A,MATCH(C264&amp;"-"&amp;D264&amp;"-"&amp;E264&amp;"-Pos4",'Shooter-Squad Assignment'!#REF!,0)),""),IF(E264="Trap",IFERROR(INDEX('Shooter-Squad Assignment'!$A:$A,MATCH(C264&amp;"-"&amp;D264&amp;"-"&amp;E264&amp;"-Pos4",'Shooter-Squad Assignment'!$V:$V,0)),""),IF(E264="Sporting Clays",IFERROR(INDEX('Shooter-Squad Assignment'!$A:$A,MATCH(C264&amp;"-"&amp;D264&amp;"-"&amp;E264&amp;"-Pos4",'Shooter-Squad Assignment'!$Y:$Y,0)),""),"")))</f>
        <v/>
      </c>
      <c r="M264" s="73" t="str">
        <f>IF(ISBLANK(L264),"",IFERROR(INDEX('Tournament List'!$D:$D,MATCH(L264,'Tournament List'!$A:$A,0)),""))</f>
        <v/>
      </c>
      <c r="N264" s="98" t="str">
        <f>IF(E264="Skeet",IFERROR(INDEX('Shooter-Squad Assignment'!$A:$A,MATCH(C264&amp;"-"&amp;D264&amp;"-"&amp;E264&amp;"-Pos5",'Shooter-Squad Assignment'!#REF!,0)),""),IF(E264="Trap",IFERROR(INDEX('Shooter-Squad Assignment'!$A:$A,MATCH(C264&amp;"-"&amp;D264&amp;"-"&amp;E264&amp;"-Pos5",'Shooter-Squad Assignment'!$V:$V,0)),""),IF(E264="Sporting Clays",IFERROR(INDEX('Shooter-Squad Assignment'!$A:$A,MATCH(C264&amp;"-"&amp;D264&amp;"-"&amp;E264&amp;"-Pos5",'Shooter-Squad Assignment'!$Y:$Y,0)),""),"")))</f>
        <v/>
      </c>
      <c r="O264" s="80" t="str">
        <f>IF(ISBLANK(N264),"",IFERROR(INDEX('Tournament List'!$D:$D,MATCH(N264,'Tournament List'!$A:$A,0)),""))</f>
        <v/>
      </c>
    </row>
    <row r="265" spans="1:15" x14ac:dyDescent="0.3">
      <c r="A265" s="79">
        <v>273</v>
      </c>
      <c r="B265" s="73" t="str">
        <f t="shared" si="4"/>
        <v>Brighton Clay Crushers-Novice 3-Sporting Clays</v>
      </c>
      <c r="C265" s="73" t="s">
        <v>323</v>
      </c>
      <c r="D265" s="73" t="s">
        <v>351</v>
      </c>
      <c r="E265" s="73" t="s">
        <v>148</v>
      </c>
      <c r="F265" s="98" t="str">
        <f>IF(E265="Skeet",IFERROR(INDEX('Shooter-Squad Assignment'!$A:$A,MATCH(C265&amp;"-"&amp;D265&amp;"-"&amp;E265&amp;"-Pos1",'Shooter-Squad Assignment'!#REF!,0)),""),IF(E265="Trap",IFERROR(INDEX('Shooter-Squad Assignment'!$A:$A,MATCH(C265&amp;"-"&amp;D265&amp;"-"&amp;E265&amp;"-Pos1",'Shooter-Squad Assignment'!$V:$V,0)),""),IF(E265="Sporting Clays",IFERROR(INDEX('Shooter-Squad Assignment'!$A:$A,MATCH(C265&amp;"-"&amp;D265&amp;"-"&amp;E265&amp;"-Pos1",'Shooter-Squad Assignment'!$Y:$Y,0)),""),"")))</f>
        <v/>
      </c>
      <c r="G265" s="73" t="str">
        <f>IF(ISBLANK(F265),"",IFERROR(INDEX('Tournament List'!$D:$D,MATCH(F265,'Tournament List'!$A:$A,0)),""))</f>
        <v/>
      </c>
      <c r="H265" s="98" t="str">
        <f>IF(E265="Skeet",IFERROR(INDEX('Shooter-Squad Assignment'!$A:$A,MATCH(C265&amp;"-"&amp;D265&amp;"-"&amp;E265&amp;"-Pos2",'Shooter-Squad Assignment'!#REF!,0)),""),IF(E265="Trap",IFERROR(INDEX('Shooter-Squad Assignment'!$A:$A,MATCH(C265&amp;"-"&amp;D265&amp;"-"&amp;E265&amp;"-Pos2",'Shooter-Squad Assignment'!$V:$V,0)),""),IF(E265="Sporting Clays",IFERROR(INDEX('Shooter-Squad Assignment'!$A:$A,MATCH(C265&amp;"-"&amp;D265&amp;"-"&amp;E265&amp;"-Pos2",'Shooter-Squad Assignment'!$Y:$Y,0)),""),"")))</f>
        <v/>
      </c>
      <c r="I265" s="73" t="str">
        <f>IF(ISBLANK(H265),"",IFERROR(INDEX('Tournament List'!$D:$D,MATCH(H265,'Tournament List'!$A:$A,0)),""))</f>
        <v/>
      </c>
      <c r="J265" s="98" t="str">
        <f>IF(E265="Skeet",IFERROR(INDEX('Shooter-Squad Assignment'!$A:$A,MATCH(C265&amp;"-"&amp;D265&amp;"-"&amp;E265&amp;"-Pos3",'Shooter-Squad Assignment'!#REF!,0)),""),IF(E265="Trap",IFERROR(INDEX('Shooter-Squad Assignment'!$A:$A,MATCH(C265&amp;"-"&amp;D265&amp;"-"&amp;E265&amp;"-Pos3",'Shooter-Squad Assignment'!$V:$V,0)),""),IF(E265="Sporting Clays",IFERROR(INDEX('Shooter-Squad Assignment'!$A:$A,MATCH(C265&amp;"-"&amp;D265&amp;"-"&amp;E265&amp;"-Pos3",'Shooter-Squad Assignment'!$Y:$Y,0)),""),"")))</f>
        <v/>
      </c>
      <c r="K265" s="73" t="str">
        <f>IF(ISBLANK(J265),"",IFERROR(INDEX('Tournament List'!$D:$D,MATCH(J265,'Tournament List'!$A:$A,0)),""))</f>
        <v/>
      </c>
      <c r="L265" s="98" t="str">
        <f>IF(E265="Skeet",IFERROR(INDEX('Shooter-Squad Assignment'!$A:$A,MATCH(C265&amp;"-"&amp;D265&amp;"-"&amp;E265&amp;"-Pos4",'Shooter-Squad Assignment'!#REF!,0)),""),IF(E265="Trap",IFERROR(INDEX('Shooter-Squad Assignment'!$A:$A,MATCH(C265&amp;"-"&amp;D265&amp;"-"&amp;E265&amp;"-Pos4",'Shooter-Squad Assignment'!$V:$V,0)),""),IF(E265="Sporting Clays",IFERROR(INDEX('Shooter-Squad Assignment'!$A:$A,MATCH(C265&amp;"-"&amp;D265&amp;"-"&amp;E265&amp;"-Pos4",'Shooter-Squad Assignment'!$Y:$Y,0)),""),"")))</f>
        <v/>
      </c>
      <c r="M265" s="73" t="str">
        <f>IF(ISBLANK(L265),"",IFERROR(INDEX('Tournament List'!$D:$D,MATCH(L265,'Tournament List'!$A:$A,0)),""))</f>
        <v/>
      </c>
      <c r="N265" s="98" t="str">
        <f>IF(E265="Skeet",IFERROR(INDEX('Shooter-Squad Assignment'!$A:$A,MATCH(C265&amp;"-"&amp;D265&amp;"-"&amp;E265&amp;"-Pos5",'Shooter-Squad Assignment'!#REF!,0)),""),IF(E265="Trap",IFERROR(INDEX('Shooter-Squad Assignment'!$A:$A,MATCH(C265&amp;"-"&amp;D265&amp;"-"&amp;E265&amp;"-Pos5",'Shooter-Squad Assignment'!$V:$V,0)),""),IF(E265="Sporting Clays",IFERROR(INDEX('Shooter-Squad Assignment'!$A:$A,MATCH(C265&amp;"-"&amp;D265&amp;"-"&amp;E265&amp;"-Pos5",'Shooter-Squad Assignment'!$Y:$Y,0)),""),"")))</f>
        <v/>
      </c>
      <c r="O265" s="80" t="str">
        <f>IF(ISBLANK(N265),"",IFERROR(INDEX('Tournament List'!$D:$D,MATCH(N265,'Tournament List'!$A:$A,0)),""))</f>
        <v/>
      </c>
    </row>
    <row r="266" spans="1:15" x14ac:dyDescent="0.3">
      <c r="A266" s="79">
        <v>274</v>
      </c>
      <c r="B266" s="73" t="str">
        <f t="shared" si="4"/>
        <v>Brighton Clay Crushers-Open 1-Sporting Clays</v>
      </c>
      <c r="C266" s="73" t="s">
        <v>323</v>
      </c>
      <c r="D266" s="73" t="s">
        <v>343</v>
      </c>
      <c r="E266" s="73" t="s">
        <v>148</v>
      </c>
      <c r="F266" s="98" t="str">
        <f>IF(E266="Skeet",IFERROR(INDEX('Shooter-Squad Assignment'!$A:$A,MATCH(C266&amp;"-"&amp;D266&amp;"-"&amp;E266&amp;"-Pos1",'Shooter-Squad Assignment'!#REF!,0)),""),IF(E266="Trap",IFERROR(INDEX('Shooter-Squad Assignment'!$A:$A,MATCH(C266&amp;"-"&amp;D266&amp;"-"&amp;E266&amp;"-Pos1",'Shooter-Squad Assignment'!$V:$V,0)),""),IF(E266="Sporting Clays",IFERROR(INDEX('Shooter-Squad Assignment'!$A:$A,MATCH(C266&amp;"-"&amp;D266&amp;"-"&amp;E266&amp;"-Pos1",'Shooter-Squad Assignment'!$Y:$Y,0)),""),"")))</f>
        <v/>
      </c>
      <c r="G266" s="73" t="str">
        <f>IF(ISBLANK(F266),"",IFERROR(INDEX('Tournament List'!$D:$D,MATCH(F266,'Tournament List'!$A:$A,0)),""))</f>
        <v/>
      </c>
      <c r="H266" s="98" t="str">
        <f>IF(E266="Skeet",IFERROR(INDEX('Shooter-Squad Assignment'!$A:$A,MATCH(C266&amp;"-"&amp;D266&amp;"-"&amp;E266&amp;"-Pos2",'Shooter-Squad Assignment'!#REF!,0)),""),IF(E266="Trap",IFERROR(INDEX('Shooter-Squad Assignment'!$A:$A,MATCH(C266&amp;"-"&amp;D266&amp;"-"&amp;E266&amp;"-Pos2",'Shooter-Squad Assignment'!$V:$V,0)),""),IF(E266="Sporting Clays",IFERROR(INDEX('Shooter-Squad Assignment'!$A:$A,MATCH(C266&amp;"-"&amp;D266&amp;"-"&amp;E266&amp;"-Pos2",'Shooter-Squad Assignment'!$Y:$Y,0)),""),"")))</f>
        <v/>
      </c>
      <c r="I266" s="73" t="str">
        <f>IF(ISBLANK(H266),"",IFERROR(INDEX('Tournament List'!$D:$D,MATCH(H266,'Tournament List'!$A:$A,0)),""))</f>
        <v/>
      </c>
      <c r="J266" s="98" t="str">
        <f>IF(E266="Skeet",IFERROR(INDEX('Shooter-Squad Assignment'!$A:$A,MATCH(C266&amp;"-"&amp;D266&amp;"-"&amp;E266&amp;"-Pos3",'Shooter-Squad Assignment'!#REF!,0)),""),IF(E266="Trap",IFERROR(INDEX('Shooter-Squad Assignment'!$A:$A,MATCH(C266&amp;"-"&amp;D266&amp;"-"&amp;E266&amp;"-Pos3",'Shooter-Squad Assignment'!$V:$V,0)),""),IF(E266="Sporting Clays",IFERROR(INDEX('Shooter-Squad Assignment'!$A:$A,MATCH(C266&amp;"-"&amp;D266&amp;"-"&amp;E266&amp;"-Pos3",'Shooter-Squad Assignment'!$Y:$Y,0)),""),"")))</f>
        <v/>
      </c>
      <c r="K266" s="73" t="str">
        <f>IF(ISBLANK(J266),"",IFERROR(INDEX('Tournament List'!$D:$D,MATCH(J266,'Tournament List'!$A:$A,0)),""))</f>
        <v/>
      </c>
      <c r="L266" s="98" t="str">
        <f>IF(E266="Skeet",IFERROR(INDEX('Shooter-Squad Assignment'!$A:$A,MATCH(C266&amp;"-"&amp;D266&amp;"-"&amp;E266&amp;"-Pos4",'Shooter-Squad Assignment'!#REF!,0)),""),IF(E266="Trap",IFERROR(INDEX('Shooter-Squad Assignment'!$A:$A,MATCH(C266&amp;"-"&amp;D266&amp;"-"&amp;E266&amp;"-Pos4",'Shooter-Squad Assignment'!$V:$V,0)),""),IF(E266="Sporting Clays",IFERROR(INDEX('Shooter-Squad Assignment'!$A:$A,MATCH(C266&amp;"-"&amp;D266&amp;"-"&amp;E266&amp;"-Pos4",'Shooter-Squad Assignment'!$Y:$Y,0)),""),"")))</f>
        <v/>
      </c>
      <c r="M266" s="73" t="str">
        <f>IF(ISBLANK(L266),"",IFERROR(INDEX('Tournament List'!$D:$D,MATCH(L266,'Tournament List'!$A:$A,0)),""))</f>
        <v/>
      </c>
      <c r="N266" s="98" t="str">
        <f>IF(E266="Skeet",IFERROR(INDEX('Shooter-Squad Assignment'!$A:$A,MATCH(C266&amp;"-"&amp;D266&amp;"-"&amp;E266&amp;"-Pos5",'Shooter-Squad Assignment'!#REF!,0)),""),IF(E266="Trap",IFERROR(INDEX('Shooter-Squad Assignment'!$A:$A,MATCH(C266&amp;"-"&amp;D266&amp;"-"&amp;E266&amp;"-Pos5",'Shooter-Squad Assignment'!$V:$V,0)),""),IF(E266="Sporting Clays",IFERROR(INDEX('Shooter-Squad Assignment'!$A:$A,MATCH(C266&amp;"-"&amp;D266&amp;"-"&amp;E266&amp;"-Pos5",'Shooter-Squad Assignment'!$Y:$Y,0)),""),"")))</f>
        <v/>
      </c>
      <c r="O266" s="80" t="str">
        <f>IF(ISBLANK(N266),"",IFERROR(INDEX('Tournament List'!$D:$D,MATCH(N266,'Tournament List'!$A:$A,0)),""))</f>
        <v/>
      </c>
    </row>
    <row r="267" spans="1:15" x14ac:dyDescent="0.3">
      <c r="A267" s="79">
        <v>275</v>
      </c>
      <c r="B267" s="73" t="str">
        <f t="shared" si="4"/>
        <v>Brighton Clay Crushers-Open 2-Sporting Clays</v>
      </c>
      <c r="C267" s="73" t="s">
        <v>323</v>
      </c>
      <c r="D267" s="73" t="s">
        <v>349</v>
      </c>
      <c r="E267" s="73" t="s">
        <v>148</v>
      </c>
      <c r="F267" s="98" t="str">
        <f>IF(E267="Skeet",IFERROR(INDEX('Shooter-Squad Assignment'!$A:$A,MATCH(C267&amp;"-"&amp;D267&amp;"-"&amp;E267&amp;"-Pos1",'Shooter-Squad Assignment'!#REF!,0)),""),IF(E267="Trap",IFERROR(INDEX('Shooter-Squad Assignment'!$A:$A,MATCH(C267&amp;"-"&amp;D267&amp;"-"&amp;E267&amp;"-Pos1",'Shooter-Squad Assignment'!$V:$V,0)),""),IF(E267="Sporting Clays",IFERROR(INDEX('Shooter-Squad Assignment'!$A:$A,MATCH(C267&amp;"-"&amp;D267&amp;"-"&amp;E267&amp;"-Pos1",'Shooter-Squad Assignment'!$Y:$Y,0)),""),"")))</f>
        <v/>
      </c>
      <c r="G267" s="73" t="str">
        <f>IF(ISBLANK(F267),"",IFERROR(INDEX('Tournament List'!$D:$D,MATCH(F267,'Tournament List'!$A:$A,0)),""))</f>
        <v/>
      </c>
      <c r="H267" s="98" t="str">
        <f>IF(E267="Skeet",IFERROR(INDEX('Shooter-Squad Assignment'!$A:$A,MATCH(C267&amp;"-"&amp;D267&amp;"-"&amp;E267&amp;"-Pos2",'Shooter-Squad Assignment'!#REF!,0)),""),IF(E267="Trap",IFERROR(INDEX('Shooter-Squad Assignment'!$A:$A,MATCH(C267&amp;"-"&amp;D267&amp;"-"&amp;E267&amp;"-Pos2",'Shooter-Squad Assignment'!$V:$V,0)),""),IF(E267="Sporting Clays",IFERROR(INDEX('Shooter-Squad Assignment'!$A:$A,MATCH(C267&amp;"-"&amp;D267&amp;"-"&amp;E267&amp;"-Pos2",'Shooter-Squad Assignment'!$Y:$Y,0)),""),"")))</f>
        <v/>
      </c>
      <c r="I267" s="73" t="str">
        <f>IF(ISBLANK(H267),"",IFERROR(INDEX('Tournament List'!$D:$D,MATCH(H267,'Tournament List'!$A:$A,0)),""))</f>
        <v/>
      </c>
      <c r="J267" s="98" t="str">
        <f>IF(E267="Skeet",IFERROR(INDEX('Shooter-Squad Assignment'!$A:$A,MATCH(C267&amp;"-"&amp;D267&amp;"-"&amp;E267&amp;"-Pos3",'Shooter-Squad Assignment'!#REF!,0)),""),IF(E267="Trap",IFERROR(INDEX('Shooter-Squad Assignment'!$A:$A,MATCH(C267&amp;"-"&amp;D267&amp;"-"&amp;E267&amp;"-Pos3",'Shooter-Squad Assignment'!$V:$V,0)),""),IF(E267="Sporting Clays",IFERROR(INDEX('Shooter-Squad Assignment'!$A:$A,MATCH(C267&amp;"-"&amp;D267&amp;"-"&amp;E267&amp;"-Pos3",'Shooter-Squad Assignment'!$Y:$Y,0)),""),"")))</f>
        <v/>
      </c>
      <c r="K267" s="73" t="str">
        <f>IF(ISBLANK(J267),"",IFERROR(INDEX('Tournament List'!$D:$D,MATCH(J267,'Tournament List'!$A:$A,0)),""))</f>
        <v/>
      </c>
      <c r="L267" s="98" t="str">
        <f>IF(E267="Skeet",IFERROR(INDEX('Shooter-Squad Assignment'!$A:$A,MATCH(C267&amp;"-"&amp;D267&amp;"-"&amp;E267&amp;"-Pos4",'Shooter-Squad Assignment'!#REF!,0)),""),IF(E267="Trap",IFERROR(INDEX('Shooter-Squad Assignment'!$A:$A,MATCH(C267&amp;"-"&amp;D267&amp;"-"&amp;E267&amp;"-Pos4",'Shooter-Squad Assignment'!$V:$V,0)),""),IF(E267="Sporting Clays",IFERROR(INDEX('Shooter-Squad Assignment'!$A:$A,MATCH(C267&amp;"-"&amp;D267&amp;"-"&amp;E267&amp;"-Pos4",'Shooter-Squad Assignment'!$Y:$Y,0)),""),"")))</f>
        <v/>
      </c>
      <c r="M267" s="73" t="str">
        <f>IF(ISBLANK(L267),"",IFERROR(INDEX('Tournament List'!$D:$D,MATCH(L267,'Tournament List'!$A:$A,0)),""))</f>
        <v/>
      </c>
      <c r="N267" s="98" t="str">
        <f>IF(E267="Skeet",IFERROR(INDEX('Shooter-Squad Assignment'!$A:$A,MATCH(C267&amp;"-"&amp;D267&amp;"-"&amp;E267&amp;"-Pos5",'Shooter-Squad Assignment'!#REF!,0)),""),IF(E267="Trap",IFERROR(INDEX('Shooter-Squad Assignment'!$A:$A,MATCH(C267&amp;"-"&amp;D267&amp;"-"&amp;E267&amp;"-Pos5",'Shooter-Squad Assignment'!$V:$V,0)),""),IF(E267="Sporting Clays",IFERROR(INDEX('Shooter-Squad Assignment'!$A:$A,MATCH(C267&amp;"-"&amp;D267&amp;"-"&amp;E267&amp;"-Pos5",'Shooter-Squad Assignment'!$Y:$Y,0)),""),"")))</f>
        <v/>
      </c>
      <c r="O267" s="80" t="str">
        <f>IF(ISBLANK(N267),"",IFERROR(INDEX('Tournament List'!$D:$D,MATCH(N267,'Tournament List'!$A:$A,0)),""))</f>
        <v/>
      </c>
    </row>
    <row r="268" spans="1:15" x14ac:dyDescent="0.3">
      <c r="A268" s="79">
        <v>276</v>
      </c>
      <c r="B268" s="73" t="str">
        <f t="shared" si="4"/>
        <v>Brighton Clay Crushers-Open 3-Sporting Clays</v>
      </c>
      <c r="C268" s="73" t="s">
        <v>323</v>
      </c>
      <c r="D268" s="73" t="s">
        <v>355</v>
      </c>
      <c r="E268" s="73" t="s">
        <v>148</v>
      </c>
      <c r="F268" s="98" t="str">
        <f>IF(E268="Skeet",IFERROR(INDEX('Shooter-Squad Assignment'!$A:$A,MATCH(C268&amp;"-"&amp;D268&amp;"-"&amp;E268&amp;"-Pos1",'Shooter-Squad Assignment'!#REF!,0)),""),IF(E268="Trap",IFERROR(INDEX('Shooter-Squad Assignment'!$A:$A,MATCH(C268&amp;"-"&amp;D268&amp;"-"&amp;E268&amp;"-Pos1",'Shooter-Squad Assignment'!$V:$V,0)),""),IF(E268="Sporting Clays",IFERROR(INDEX('Shooter-Squad Assignment'!$A:$A,MATCH(C268&amp;"-"&amp;D268&amp;"-"&amp;E268&amp;"-Pos1",'Shooter-Squad Assignment'!$Y:$Y,0)),""),"")))</f>
        <v/>
      </c>
      <c r="G268" s="73" t="str">
        <f>IF(ISBLANK(F268),"",IFERROR(INDEX('Tournament List'!$D:$D,MATCH(F268,'Tournament List'!$A:$A,0)),""))</f>
        <v/>
      </c>
      <c r="H268" s="98" t="str">
        <f>IF(E268="Skeet",IFERROR(INDEX('Shooter-Squad Assignment'!$A:$A,MATCH(C268&amp;"-"&amp;D268&amp;"-"&amp;E268&amp;"-Pos2",'Shooter-Squad Assignment'!#REF!,0)),""),IF(E268="Trap",IFERROR(INDEX('Shooter-Squad Assignment'!$A:$A,MATCH(C268&amp;"-"&amp;D268&amp;"-"&amp;E268&amp;"-Pos2",'Shooter-Squad Assignment'!$V:$V,0)),""),IF(E268="Sporting Clays",IFERROR(INDEX('Shooter-Squad Assignment'!$A:$A,MATCH(C268&amp;"-"&amp;D268&amp;"-"&amp;E268&amp;"-Pos2",'Shooter-Squad Assignment'!$Y:$Y,0)),""),"")))</f>
        <v/>
      </c>
      <c r="I268" s="73" t="str">
        <f>IF(ISBLANK(H268),"",IFERROR(INDEX('Tournament List'!$D:$D,MATCH(H268,'Tournament List'!$A:$A,0)),""))</f>
        <v/>
      </c>
      <c r="J268" s="98" t="str">
        <f>IF(E268="Skeet",IFERROR(INDEX('Shooter-Squad Assignment'!$A:$A,MATCH(C268&amp;"-"&amp;D268&amp;"-"&amp;E268&amp;"-Pos3",'Shooter-Squad Assignment'!#REF!,0)),""),IF(E268="Trap",IFERROR(INDEX('Shooter-Squad Assignment'!$A:$A,MATCH(C268&amp;"-"&amp;D268&amp;"-"&amp;E268&amp;"-Pos3",'Shooter-Squad Assignment'!$V:$V,0)),""),IF(E268="Sporting Clays",IFERROR(INDEX('Shooter-Squad Assignment'!$A:$A,MATCH(C268&amp;"-"&amp;D268&amp;"-"&amp;E268&amp;"-Pos3",'Shooter-Squad Assignment'!$Y:$Y,0)),""),"")))</f>
        <v/>
      </c>
      <c r="K268" s="73" t="str">
        <f>IF(ISBLANK(J268),"",IFERROR(INDEX('Tournament List'!$D:$D,MATCH(J268,'Tournament List'!$A:$A,0)),""))</f>
        <v/>
      </c>
      <c r="L268" s="98" t="str">
        <f>IF(E268="Skeet",IFERROR(INDEX('Shooter-Squad Assignment'!$A:$A,MATCH(C268&amp;"-"&amp;D268&amp;"-"&amp;E268&amp;"-Pos4",'Shooter-Squad Assignment'!#REF!,0)),""),IF(E268="Trap",IFERROR(INDEX('Shooter-Squad Assignment'!$A:$A,MATCH(C268&amp;"-"&amp;D268&amp;"-"&amp;E268&amp;"-Pos4",'Shooter-Squad Assignment'!$V:$V,0)),""),IF(E268="Sporting Clays",IFERROR(INDEX('Shooter-Squad Assignment'!$A:$A,MATCH(C268&amp;"-"&amp;D268&amp;"-"&amp;E268&amp;"-Pos4",'Shooter-Squad Assignment'!$Y:$Y,0)),""),"")))</f>
        <v/>
      </c>
      <c r="M268" s="73" t="str">
        <f>IF(ISBLANK(L268),"",IFERROR(INDEX('Tournament List'!$D:$D,MATCH(L268,'Tournament List'!$A:$A,0)),""))</f>
        <v/>
      </c>
      <c r="N268" s="98" t="str">
        <f>IF(E268="Skeet",IFERROR(INDEX('Shooter-Squad Assignment'!$A:$A,MATCH(C268&amp;"-"&amp;D268&amp;"-"&amp;E268&amp;"-Pos5",'Shooter-Squad Assignment'!#REF!,0)),""),IF(E268="Trap",IFERROR(INDEX('Shooter-Squad Assignment'!$A:$A,MATCH(C268&amp;"-"&amp;D268&amp;"-"&amp;E268&amp;"-Pos5",'Shooter-Squad Assignment'!$V:$V,0)),""),IF(E268="Sporting Clays",IFERROR(INDEX('Shooter-Squad Assignment'!$A:$A,MATCH(C268&amp;"-"&amp;D268&amp;"-"&amp;E268&amp;"-Pos5",'Shooter-Squad Assignment'!$Y:$Y,0)),""),"")))</f>
        <v/>
      </c>
      <c r="O268" s="80" t="str">
        <f>IF(ISBLANK(N268),"",IFERROR(INDEX('Tournament List'!$D:$D,MATCH(N268,'Tournament List'!$A:$A,0)),""))</f>
        <v/>
      </c>
    </row>
    <row r="269" spans="1:15" x14ac:dyDescent="0.3">
      <c r="A269" s="79">
        <v>277</v>
      </c>
      <c r="B269" s="73" t="str">
        <f t="shared" si="4"/>
        <v>Brighton Clay Crushers-Varsity 1-Sporting Clays</v>
      </c>
      <c r="C269" s="73" t="s">
        <v>323</v>
      </c>
      <c r="D269" s="73" t="s">
        <v>342</v>
      </c>
      <c r="E269" s="73" t="s">
        <v>148</v>
      </c>
      <c r="F269" s="98" t="str">
        <f>IF(E269="Skeet",IFERROR(INDEX('Shooter-Squad Assignment'!$A:$A,MATCH(C269&amp;"-"&amp;D269&amp;"-"&amp;E269&amp;"-Pos1",'Shooter-Squad Assignment'!#REF!,0)),""),IF(E269="Trap",IFERROR(INDEX('Shooter-Squad Assignment'!$A:$A,MATCH(C269&amp;"-"&amp;D269&amp;"-"&amp;E269&amp;"-Pos1",'Shooter-Squad Assignment'!$V:$V,0)),""),IF(E269="Sporting Clays",IFERROR(INDEX('Shooter-Squad Assignment'!$A:$A,MATCH(C269&amp;"-"&amp;D269&amp;"-"&amp;E269&amp;"-Pos1",'Shooter-Squad Assignment'!$Y:$Y,0)),""),"")))</f>
        <v/>
      </c>
      <c r="G269" s="73" t="str">
        <f>IF(ISBLANK(F269),"",IFERROR(INDEX('Tournament List'!$D:$D,MATCH(F269,'Tournament List'!$A:$A,0)),""))</f>
        <v/>
      </c>
      <c r="H269" s="98" t="str">
        <f>IF(E269="Skeet",IFERROR(INDEX('Shooter-Squad Assignment'!$A:$A,MATCH(C269&amp;"-"&amp;D269&amp;"-"&amp;E269&amp;"-Pos2",'Shooter-Squad Assignment'!#REF!,0)),""),IF(E269="Trap",IFERROR(INDEX('Shooter-Squad Assignment'!$A:$A,MATCH(C269&amp;"-"&amp;D269&amp;"-"&amp;E269&amp;"-Pos2",'Shooter-Squad Assignment'!$V:$V,0)),""),IF(E269="Sporting Clays",IFERROR(INDEX('Shooter-Squad Assignment'!$A:$A,MATCH(C269&amp;"-"&amp;D269&amp;"-"&amp;E269&amp;"-Pos2",'Shooter-Squad Assignment'!$Y:$Y,0)),""),"")))</f>
        <v/>
      </c>
      <c r="I269" s="73" t="str">
        <f>IF(ISBLANK(H269),"",IFERROR(INDEX('Tournament List'!$D:$D,MATCH(H269,'Tournament List'!$A:$A,0)),""))</f>
        <v/>
      </c>
      <c r="J269" s="98" t="str">
        <f>IF(E269="Skeet",IFERROR(INDEX('Shooter-Squad Assignment'!$A:$A,MATCH(C269&amp;"-"&amp;D269&amp;"-"&amp;E269&amp;"-Pos3",'Shooter-Squad Assignment'!#REF!,0)),""),IF(E269="Trap",IFERROR(INDEX('Shooter-Squad Assignment'!$A:$A,MATCH(C269&amp;"-"&amp;D269&amp;"-"&amp;E269&amp;"-Pos3",'Shooter-Squad Assignment'!$V:$V,0)),""),IF(E269="Sporting Clays",IFERROR(INDEX('Shooter-Squad Assignment'!$A:$A,MATCH(C269&amp;"-"&amp;D269&amp;"-"&amp;E269&amp;"-Pos3",'Shooter-Squad Assignment'!$Y:$Y,0)),""),"")))</f>
        <v/>
      </c>
      <c r="K269" s="73" t="str">
        <f>IF(ISBLANK(J269),"",IFERROR(INDEX('Tournament List'!$D:$D,MATCH(J269,'Tournament List'!$A:$A,0)),""))</f>
        <v/>
      </c>
      <c r="L269" s="98" t="str">
        <f>IF(E269="Skeet",IFERROR(INDEX('Shooter-Squad Assignment'!$A:$A,MATCH(C269&amp;"-"&amp;D269&amp;"-"&amp;E269&amp;"-Pos4",'Shooter-Squad Assignment'!#REF!,0)),""),IF(E269="Trap",IFERROR(INDEX('Shooter-Squad Assignment'!$A:$A,MATCH(C269&amp;"-"&amp;D269&amp;"-"&amp;E269&amp;"-Pos4",'Shooter-Squad Assignment'!$V:$V,0)),""),IF(E269="Sporting Clays",IFERROR(INDEX('Shooter-Squad Assignment'!$A:$A,MATCH(C269&amp;"-"&amp;D269&amp;"-"&amp;E269&amp;"-Pos4",'Shooter-Squad Assignment'!$Y:$Y,0)),""),"")))</f>
        <v/>
      </c>
      <c r="M269" s="73" t="str">
        <f>IF(ISBLANK(L269),"",IFERROR(INDEX('Tournament List'!$D:$D,MATCH(L269,'Tournament List'!$A:$A,0)),""))</f>
        <v/>
      </c>
      <c r="N269" s="98" t="str">
        <f>IF(E269="Skeet",IFERROR(INDEX('Shooter-Squad Assignment'!$A:$A,MATCH(C269&amp;"-"&amp;D269&amp;"-"&amp;E269&amp;"-Pos5",'Shooter-Squad Assignment'!#REF!,0)),""),IF(E269="Trap",IFERROR(INDEX('Shooter-Squad Assignment'!$A:$A,MATCH(C269&amp;"-"&amp;D269&amp;"-"&amp;E269&amp;"-Pos5",'Shooter-Squad Assignment'!$V:$V,0)),""),IF(E269="Sporting Clays",IFERROR(INDEX('Shooter-Squad Assignment'!$A:$A,MATCH(C269&amp;"-"&amp;D269&amp;"-"&amp;E269&amp;"-Pos5",'Shooter-Squad Assignment'!$Y:$Y,0)),""),"")))</f>
        <v/>
      </c>
      <c r="O269" s="80" t="str">
        <f>IF(ISBLANK(N269),"",IFERROR(INDEX('Tournament List'!$D:$D,MATCH(N269,'Tournament List'!$A:$A,0)),""))</f>
        <v/>
      </c>
    </row>
    <row r="270" spans="1:15" x14ac:dyDescent="0.3">
      <c r="A270" s="79">
        <v>278</v>
      </c>
      <c r="B270" s="73" t="str">
        <f t="shared" si="4"/>
        <v>Brighton Clay Crushers-Varsity 2-Sporting Clays</v>
      </c>
      <c r="C270" s="73" t="s">
        <v>323</v>
      </c>
      <c r="D270" s="73" t="s">
        <v>348</v>
      </c>
      <c r="E270" s="73" t="s">
        <v>148</v>
      </c>
      <c r="F270" s="98" t="str">
        <f>IF(E270="Skeet",IFERROR(INDEX('Shooter-Squad Assignment'!$A:$A,MATCH(C270&amp;"-"&amp;D270&amp;"-"&amp;E270&amp;"-Pos1",'Shooter-Squad Assignment'!#REF!,0)),""),IF(E270="Trap",IFERROR(INDEX('Shooter-Squad Assignment'!$A:$A,MATCH(C270&amp;"-"&amp;D270&amp;"-"&amp;E270&amp;"-Pos1",'Shooter-Squad Assignment'!$V:$V,0)),""),IF(E270="Sporting Clays",IFERROR(INDEX('Shooter-Squad Assignment'!$A:$A,MATCH(C270&amp;"-"&amp;D270&amp;"-"&amp;E270&amp;"-Pos1",'Shooter-Squad Assignment'!$Y:$Y,0)),""),"")))</f>
        <v/>
      </c>
      <c r="G270" s="73" t="str">
        <f>IF(ISBLANK(F270),"",IFERROR(INDEX('Tournament List'!$D:$D,MATCH(F270,'Tournament List'!$A:$A,0)),""))</f>
        <v/>
      </c>
      <c r="H270" s="98" t="str">
        <f>IF(E270="Skeet",IFERROR(INDEX('Shooter-Squad Assignment'!$A:$A,MATCH(C270&amp;"-"&amp;D270&amp;"-"&amp;E270&amp;"-Pos2",'Shooter-Squad Assignment'!#REF!,0)),""),IF(E270="Trap",IFERROR(INDEX('Shooter-Squad Assignment'!$A:$A,MATCH(C270&amp;"-"&amp;D270&amp;"-"&amp;E270&amp;"-Pos2",'Shooter-Squad Assignment'!$V:$V,0)),""),IF(E270="Sporting Clays",IFERROR(INDEX('Shooter-Squad Assignment'!$A:$A,MATCH(C270&amp;"-"&amp;D270&amp;"-"&amp;E270&amp;"-Pos2",'Shooter-Squad Assignment'!$Y:$Y,0)),""),"")))</f>
        <v/>
      </c>
      <c r="I270" s="73" t="str">
        <f>IF(ISBLANK(H270),"",IFERROR(INDEX('Tournament List'!$D:$D,MATCH(H270,'Tournament List'!$A:$A,0)),""))</f>
        <v/>
      </c>
      <c r="J270" s="98" t="str">
        <f>IF(E270="Skeet",IFERROR(INDEX('Shooter-Squad Assignment'!$A:$A,MATCH(C270&amp;"-"&amp;D270&amp;"-"&amp;E270&amp;"-Pos3",'Shooter-Squad Assignment'!#REF!,0)),""),IF(E270="Trap",IFERROR(INDEX('Shooter-Squad Assignment'!$A:$A,MATCH(C270&amp;"-"&amp;D270&amp;"-"&amp;E270&amp;"-Pos3",'Shooter-Squad Assignment'!$V:$V,0)),""),IF(E270="Sporting Clays",IFERROR(INDEX('Shooter-Squad Assignment'!$A:$A,MATCH(C270&amp;"-"&amp;D270&amp;"-"&amp;E270&amp;"-Pos3",'Shooter-Squad Assignment'!$Y:$Y,0)),""),"")))</f>
        <v/>
      </c>
      <c r="K270" s="73" t="str">
        <f>IF(ISBLANK(J270),"",IFERROR(INDEX('Tournament List'!$D:$D,MATCH(J270,'Tournament List'!$A:$A,0)),""))</f>
        <v/>
      </c>
      <c r="L270" s="98" t="str">
        <f>IF(E270="Skeet",IFERROR(INDEX('Shooter-Squad Assignment'!$A:$A,MATCH(C270&amp;"-"&amp;D270&amp;"-"&amp;E270&amp;"-Pos4",'Shooter-Squad Assignment'!#REF!,0)),""),IF(E270="Trap",IFERROR(INDEX('Shooter-Squad Assignment'!$A:$A,MATCH(C270&amp;"-"&amp;D270&amp;"-"&amp;E270&amp;"-Pos4",'Shooter-Squad Assignment'!$V:$V,0)),""),IF(E270="Sporting Clays",IFERROR(INDEX('Shooter-Squad Assignment'!$A:$A,MATCH(C270&amp;"-"&amp;D270&amp;"-"&amp;E270&amp;"-Pos4",'Shooter-Squad Assignment'!$Y:$Y,0)),""),"")))</f>
        <v/>
      </c>
      <c r="M270" s="73" t="str">
        <f>IF(ISBLANK(L270),"",IFERROR(INDEX('Tournament List'!$D:$D,MATCH(L270,'Tournament List'!$A:$A,0)),""))</f>
        <v/>
      </c>
      <c r="N270" s="98" t="str">
        <f>IF(E270="Skeet",IFERROR(INDEX('Shooter-Squad Assignment'!$A:$A,MATCH(C270&amp;"-"&amp;D270&amp;"-"&amp;E270&amp;"-Pos5",'Shooter-Squad Assignment'!#REF!,0)),""),IF(E270="Trap",IFERROR(INDEX('Shooter-Squad Assignment'!$A:$A,MATCH(C270&amp;"-"&amp;D270&amp;"-"&amp;E270&amp;"-Pos5",'Shooter-Squad Assignment'!$V:$V,0)),""),IF(E270="Sporting Clays",IFERROR(INDEX('Shooter-Squad Assignment'!$A:$A,MATCH(C270&amp;"-"&amp;D270&amp;"-"&amp;E270&amp;"-Pos5",'Shooter-Squad Assignment'!$Y:$Y,0)),""),"")))</f>
        <v/>
      </c>
      <c r="O270" s="80" t="str">
        <f>IF(ISBLANK(N270),"",IFERROR(INDEX('Tournament List'!$D:$D,MATCH(N270,'Tournament List'!$A:$A,0)),""))</f>
        <v/>
      </c>
    </row>
    <row r="271" spans="1:15" ht="15" thickBot="1" x14ac:dyDescent="0.35">
      <c r="A271" s="81">
        <v>279</v>
      </c>
      <c r="B271" s="82" t="str">
        <f t="shared" si="4"/>
        <v>Brighton Clay Crushers-Varsity 3-Sporting Clays</v>
      </c>
      <c r="C271" s="82" t="s">
        <v>323</v>
      </c>
      <c r="D271" s="82" t="s">
        <v>354</v>
      </c>
      <c r="E271" s="82" t="s">
        <v>148</v>
      </c>
      <c r="F271" s="99" t="str">
        <f>IF(E271="Skeet",IFERROR(INDEX('Shooter-Squad Assignment'!$A:$A,MATCH(C271&amp;"-"&amp;D271&amp;"-"&amp;E271&amp;"-Pos1",'Shooter-Squad Assignment'!#REF!,0)),""),IF(E271="Trap",IFERROR(INDEX('Shooter-Squad Assignment'!$A:$A,MATCH(C271&amp;"-"&amp;D271&amp;"-"&amp;E271&amp;"-Pos1",'Shooter-Squad Assignment'!$V:$V,0)),""),IF(E271="Sporting Clays",IFERROR(INDEX('Shooter-Squad Assignment'!$A:$A,MATCH(C271&amp;"-"&amp;D271&amp;"-"&amp;E271&amp;"-Pos1",'Shooter-Squad Assignment'!$Y:$Y,0)),""),"")))</f>
        <v/>
      </c>
      <c r="G271" s="82" t="str">
        <f>IF(ISBLANK(F271),"",IFERROR(INDEX('Tournament List'!$D:$D,MATCH(F271,'Tournament List'!$A:$A,0)),""))</f>
        <v/>
      </c>
      <c r="H271" s="99" t="str">
        <f>IF(E271="Skeet",IFERROR(INDEX('Shooter-Squad Assignment'!$A:$A,MATCH(C271&amp;"-"&amp;D271&amp;"-"&amp;E271&amp;"-Pos2",'Shooter-Squad Assignment'!#REF!,0)),""),IF(E271="Trap",IFERROR(INDEX('Shooter-Squad Assignment'!$A:$A,MATCH(C271&amp;"-"&amp;D271&amp;"-"&amp;E271&amp;"-Pos2",'Shooter-Squad Assignment'!$V:$V,0)),""),IF(E271="Sporting Clays",IFERROR(INDEX('Shooter-Squad Assignment'!$A:$A,MATCH(C271&amp;"-"&amp;D271&amp;"-"&amp;E271&amp;"-Pos2",'Shooter-Squad Assignment'!$Y:$Y,0)),""),"")))</f>
        <v/>
      </c>
      <c r="I271" s="82" t="str">
        <f>IF(ISBLANK(H271),"",IFERROR(INDEX('Tournament List'!$D:$D,MATCH(H271,'Tournament List'!$A:$A,0)),""))</f>
        <v/>
      </c>
      <c r="J271" s="99" t="str">
        <f>IF(E271="Skeet",IFERROR(INDEX('Shooter-Squad Assignment'!$A:$A,MATCH(C271&amp;"-"&amp;D271&amp;"-"&amp;E271&amp;"-Pos3",'Shooter-Squad Assignment'!#REF!,0)),""),IF(E271="Trap",IFERROR(INDEX('Shooter-Squad Assignment'!$A:$A,MATCH(C271&amp;"-"&amp;D271&amp;"-"&amp;E271&amp;"-Pos3",'Shooter-Squad Assignment'!$V:$V,0)),""),IF(E271="Sporting Clays",IFERROR(INDEX('Shooter-Squad Assignment'!$A:$A,MATCH(C271&amp;"-"&amp;D271&amp;"-"&amp;E271&amp;"-Pos3",'Shooter-Squad Assignment'!$Y:$Y,0)),""),"")))</f>
        <v/>
      </c>
      <c r="K271" s="82" t="str">
        <f>IF(ISBLANK(J271),"",IFERROR(INDEX('Tournament List'!$D:$D,MATCH(J271,'Tournament List'!$A:$A,0)),""))</f>
        <v/>
      </c>
      <c r="L271" s="99" t="str">
        <f>IF(E271="Skeet",IFERROR(INDEX('Shooter-Squad Assignment'!$A:$A,MATCH(C271&amp;"-"&amp;D271&amp;"-"&amp;E271&amp;"-Pos4",'Shooter-Squad Assignment'!#REF!,0)),""),IF(E271="Trap",IFERROR(INDEX('Shooter-Squad Assignment'!$A:$A,MATCH(C271&amp;"-"&amp;D271&amp;"-"&amp;E271&amp;"-Pos4",'Shooter-Squad Assignment'!$V:$V,0)),""),IF(E271="Sporting Clays",IFERROR(INDEX('Shooter-Squad Assignment'!$A:$A,MATCH(C271&amp;"-"&amp;D271&amp;"-"&amp;E271&amp;"-Pos4",'Shooter-Squad Assignment'!$Y:$Y,0)),""),"")))</f>
        <v/>
      </c>
      <c r="M271" s="82" t="str">
        <f>IF(ISBLANK(L271),"",IFERROR(INDEX('Tournament List'!$D:$D,MATCH(L271,'Tournament List'!$A:$A,0)),""))</f>
        <v/>
      </c>
      <c r="N271" s="99" t="str">
        <f>IF(E271="Skeet",IFERROR(INDEX('Shooter-Squad Assignment'!$A:$A,MATCH(C271&amp;"-"&amp;D271&amp;"-"&amp;E271&amp;"-Pos5",'Shooter-Squad Assignment'!#REF!,0)),""),IF(E271="Trap",IFERROR(INDEX('Shooter-Squad Assignment'!$A:$A,MATCH(C271&amp;"-"&amp;D271&amp;"-"&amp;E271&amp;"-Pos5",'Shooter-Squad Assignment'!$V:$V,0)),""),IF(E271="Sporting Clays",IFERROR(INDEX('Shooter-Squad Assignment'!$A:$A,MATCH(C271&amp;"-"&amp;D271&amp;"-"&amp;E271&amp;"-Pos5",'Shooter-Squad Assignment'!$Y:$Y,0)),""),"")))</f>
        <v/>
      </c>
      <c r="O271" s="83" t="str">
        <f>IF(ISBLANK(N271),"",IFERROR(INDEX('Tournament List'!$D:$D,MATCH(N271,'Tournament List'!$A:$A,0)),""))</f>
        <v/>
      </c>
    </row>
    <row r="272" spans="1:15" x14ac:dyDescent="0.3">
      <c r="A272" s="88">
        <v>280</v>
      </c>
      <c r="B272" s="89" t="str">
        <f t="shared" si="4"/>
        <v>Littleton Target Masters-Collegiate 1-Skeet</v>
      </c>
      <c r="C272" s="89" t="s">
        <v>324</v>
      </c>
      <c r="D272" s="89" t="s">
        <v>344</v>
      </c>
      <c r="E272" s="89" t="s">
        <v>143</v>
      </c>
      <c r="F272" s="100" t="str">
        <f>IF(E272="Skeet",IFERROR(INDEX('Shooter-Squad Assignment'!$A:$A,MATCH(C272&amp;"-"&amp;D272&amp;"-"&amp;E272&amp;"-Pos1",'Shooter-Squad Assignment'!#REF!,0)),""),IF(E272="Trap",IFERROR(INDEX('Shooter-Squad Assignment'!$A:$A,MATCH(C272&amp;"-"&amp;D272&amp;"-"&amp;E272&amp;"-Pos1",'Shooter-Squad Assignment'!$V:$V,0)),""),IF(E272="Sporting Clays",IFERROR(INDEX('Shooter-Squad Assignment'!$A:$A,MATCH(C272&amp;"-"&amp;D272&amp;"-"&amp;E272&amp;"-Pos1",'Shooter-Squad Assignment'!$Y:$Y,0)),""),"")))</f>
        <v/>
      </c>
      <c r="G272" s="89" t="str">
        <f>IF(ISBLANK(F272),"",IFERROR(INDEX('Tournament List'!$D:$D,MATCH(F272,'Tournament List'!$A:$A,0)),""))</f>
        <v/>
      </c>
      <c r="H272" s="100" t="str">
        <f>IF(E272="Skeet",IFERROR(INDEX('Shooter-Squad Assignment'!$A:$A,MATCH(C272&amp;"-"&amp;D272&amp;"-"&amp;E272&amp;"-Pos2",'Shooter-Squad Assignment'!#REF!,0)),""),IF(E272="Trap",IFERROR(INDEX('Shooter-Squad Assignment'!$A:$A,MATCH(C272&amp;"-"&amp;D272&amp;"-"&amp;E272&amp;"-Pos2",'Shooter-Squad Assignment'!$V:$V,0)),""),IF(E272="Sporting Clays",IFERROR(INDEX('Shooter-Squad Assignment'!$A:$A,MATCH(C272&amp;"-"&amp;D272&amp;"-"&amp;E272&amp;"-Pos2",'Shooter-Squad Assignment'!$Y:$Y,0)),""),"")))</f>
        <v/>
      </c>
      <c r="I272" s="89" t="str">
        <f>IF(ISBLANK(H272),"",IFERROR(INDEX('Tournament List'!$D:$D,MATCH(H272,'Tournament List'!$A:$A,0)),""))</f>
        <v/>
      </c>
      <c r="J272" s="100" t="str">
        <f>IF(E272="Skeet",IFERROR(INDEX('Shooter-Squad Assignment'!$A:$A,MATCH(C272&amp;"-"&amp;D272&amp;"-"&amp;E272&amp;"-Pos3",'Shooter-Squad Assignment'!#REF!,0)),""),IF(E272="Trap",IFERROR(INDEX('Shooter-Squad Assignment'!$A:$A,MATCH(C272&amp;"-"&amp;D272&amp;"-"&amp;E272&amp;"-Pos3",'Shooter-Squad Assignment'!$V:$V,0)),""),IF(E272="Sporting Clays",IFERROR(INDEX('Shooter-Squad Assignment'!$A:$A,MATCH(C272&amp;"-"&amp;D272&amp;"-"&amp;E272&amp;"-Pos3",'Shooter-Squad Assignment'!$Y:$Y,0)),""),"")))</f>
        <v/>
      </c>
      <c r="K272" s="89" t="str">
        <f>IF(ISBLANK(J272),"",IFERROR(INDEX('Tournament List'!$D:$D,MATCH(J272,'Tournament List'!$A:$A,0)),""))</f>
        <v/>
      </c>
      <c r="L272" s="100" t="str">
        <f>IF(E272="Skeet",IFERROR(INDEX('Shooter-Squad Assignment'!$A:$A,MATCH(C272&amp;"-"&amp;D272&amp;"-"&amp;E272&amp;"-Pos4",'Shooter-Squad Assignment'!#REF!,0)),""),IF(E272="Trap",IFERROR(INDEX('Shooter-Squad Assignment'!$A:$A,MATCH(C272&amp;"-"&amp;D272&amp;"-"&amp;E272&amp;"-Pos4",'Shooter-Squad Assignment'!$V:$V,0)),""),IF(E272="Sporting Clays",IFERROR(INDEX('Shooter-Squad Assignment'!$A:$A,MATCH(C272&amp;"-"&amp;D272&amp;"-"&amp;E272&amp;"-Pos4",'Shooter-Squad Assignment'!$Y:$Y,0)),""),"")))</f>
        <v/>
      </c>
      <c r="M272" s="89" t="str">
        <f>IF(ISBLANK(L272),"",IFERROR(INDEX('Tournament List'!$D:$D,MATCH(L272,'Tournament List'!$A:$A,0)),""))</f>
        <v/>
      </c>
      <c r="N272" s="100" t="str">
        <f>IF(E272="Skeet",IFERROR(INDEX('Shooter-Squad Assignment'!$A:$A,MATCH(C272&amp;"-"&amp;D272&amp;"-"&amp;E272&amp;"-Pos5",'Shooter-Squad Assignment'!#REF!,0)),""),IF(E272="Trap",IFERROR(INDEX('Shooter-Squad Assignment'!$A:$A,MATCH(C272&amp;"-"&amp;D272&amp;"-"&amp;E272&amp;"-Pos5",'Shooter-Squad Assignment'!$V:$V,0)),""),IF(E272="Sporting Clays",IFERROR(INDEX('Shooter-Squad Assignment'!$A:$A,MATCH(C272&amp;"-"&amp;D272&amp;"-"&amp;E272&amp;"-Pos5",'Shooter-Squad Assignment'!$Y:$Y,0)),""),"")))</f>
        <v/>
      </c>
      <c r="O272" s="90" t="str">
        <f>IF(ISBLANK(N272),"",IFERROR(INDEX('Tournament List'!$D:$D,MATCH(N272,'Tournament List'!$A:$A,0)),""))</f>
        <v/>
      </c>
    </row>
    <row r="273" spans="1:15" x14ac:dyDescent="0.3">
      <c r="A273" s="91">
        <v>281</v>
      </c>
      <c r="B273" s="92" t="str">
        <f t="shared" si="4"/>
        <v>Littleton Target Masters-Collegiate 2-Skeet</v>
      </c>
      <c r="C273" s="92" t="s">
        <v>324</v>
      </c>
      <c r="D273" s="92" t="s">
        <v>350</v>
      </c>
      <c r="E273" s="92" t="s">
        <v>143</v>
      </c>
      <c r="F273" s="101" t="str">
        <f>IF(E273="Skeet",IFERROR(INDEX('Shooter-Squad Assignment'!$A:$A,MATCH(C273&amp;"-"&amp;D273&amp;"-"&amp;E273&amp;"-Pos1",'Shooter-Squad Assignment'!#REF!,0)),""),IF(E273="Trap",IFERROR(INDEX('Shooter-Squad Assignment'!$A:$A,MATCH(C273&amp;"-"&amp;D273&amp;"-"&amp;E273&amp;"-Pos1",'Shooter-Squad Assignment'!$V:$V,0)),""),IF(E273="Sporting Clays",IFERROR(INDEX('Shooter-Squad Assignment'!$A:$A,MATCH(C273&amp;"-"&amp;D273&amp;"-"&amp;E273&amp;"-Pos1",'Shooter-Squad Assignment'!$Y:$Y,0)),""),"")))</f>
        <v/>
      </c>
      <c r="G273" s="92" t="str">
        <f>IF(ISBLANK(F273),"",IFERROR(INDEX('Tournament List'!$D:$D,MATCH(F273,'Tournament List'!$A:$A,0)),""))</f>
        <v/>
      </c>
      <c r="H273" s="101" t="str">
        <f>IF(E273="Skeet",IFERROR(INDEX('Shooter-Squad Assignment'!$A:$A,MATCH(C273&amp;"-"&amp;D273&amp;"-"&amp;E273&amp;"-Pos2",'Shooter-Squad Assignment'!#REF!,0)),""),IF(E273="Trap",IFERROR(INDEX('Shooter-Squad Assignment'!$A:$A,MATCH(C273&amp;"-"&amp;D273&amp;"-"&amp;E273&amp;"-Pos2",'Shooter-Squad Assignment'!$V:$V,0)),""),IF(E273="Sporting Clays",IFERROR(INDEX('Shooter-Squad Assignment'!$A:$A,MATCH(C273&amp;"-"&amp;D273&amp;"-"&amp;E273&amp;"-Pos2",'Shooter-Squad Assignment'!$Y:$Y,0)),""),"")))</f>
        <v/>
      </c>
      <c r="I273" s="92" t="str">
        <f>IF(ISBLANK(H273),"",IFERROR(INDEX('Tournament List'!$D:$D,MATCH(H273,'Tournament List'!$A:$A,0)),""))</f>
        <v/>
      </c>
      <c r="J273" s="101" t="str">
        <f>IF(E273="Skeet",IFERROR(INDEX('Shooter-Squad Assignment'!$A:$A,MATCH(C273&amp;"-"&amp;D273&amp;"-"&amp;E273&amp;"-Pos3",'Shooter-Squad Assignment'!#REF!,0)),""),IF(E273="Trap",IFERROR(INDEX('Shooter-Squad Assignment'!$A:$A,MATCH(C273&amp;"-"&amp;D273&amp;"-"&amp;E273&amp;"-Pos3",'Shooter-Squad Assignment'!$V:$V,0)),""),IF(E273="Sporting Clays",IFERROR(INDEX('Shooter-Squad Assignment'!$A:$A,MATCH(C273&amp;"-"&amp;D273&amp;"-"&amp;E273&amp;"-Pos3",'Shooter-Squad Assignment'!$Y:$Y,0)),""),"")))</f>
        <v/>
      </c>
      <c r="K273" s="92" t="str">
        <f>IF(ISBLANK(J273),"",IFERROR(INDEX('Tournament List'!$D:$D,MATCH(J273,'Tournament List'!$A:$A,0)),""))</f>
        <v/>
      </c>
      <c r="L273" s="101" t="str">
        <f>IF(E273="Skeet",IFERROR(INDEX('Shooter-Squad Assignment'!$A:$A,MATCH(C273&amp;"-"&amp;D273&amp;"-"&amp;E273&amp;"-Pos4",'Shooter-Squad Assignment'!#REF!,0)),""),IF(E273="Trap",IFERROR(INDEX('Shooter-Squad Assignment'!$A:$A,MATCH(C273&amp;"-"&amp;D273&amp;"-"&amp;E273&amp;"-Pos4",'Shooter-Squad Assignment'!$V:$V,0)),""),IF(E273="Sporting Clays",IFERROR(INDEX('Shooter-Squad Assignment'!$A:$A,MATCH(C273&amp;"-"&amp;D273&amp;"-"&amp;E273&amp;"-Pos4",'Shooter-Squad Assignment'!$Y:$Y,0)),""),"")))</f>
        <v/>
      </c>
      <c r="M273" s="92" t="str">
        <f>IF(ISBLANK(L273),"",IFERROR(INDEX('Tournament List'!$D:$D,MATCH(L273,'Tournament List'!$A:$A,0)),""))</f>
        <v/>
      </c>
      <c r="N273" s="101" t="str">
        <f>IF(E273="Skeet",IFERROR(INDEX('Shooter-Squad Assignment'!$A:$A,MATCH(C273&amp;"-"&amp;D273&amp;"-"&amp;E273&amp;"-Pos5",'Shooter-Squad Assignment'!#REF!,0)),""),IF(E273="Trap",IFERROR(INDEX('Shooter-Squad Assignment'!$A:$A,MATCH(C273&amp;"-"&amp;D273&amp;"-"&amp;E273&amp;"-Pos5",'Shooter-Squad Assignment'!$V:$V,0)),""),IF(E273="Sporting Clays",IFERROR(INDEX('Shooter-Squad Assignment'!$A:$A,MATCH(C273&amp;"-"&amp;D273&amp;"-"&amp;E273&amp;"-Pos5",'Shooter-Squad Assignment'!$Y:$Y,0)),""),"")))</f>
        <v/>
      </c>
      <c r="O273" s="93" t="str">
        <f>IF(ISBLANK(N273),"",IFERROR(INDEX('Tournament List'!$D:$D,MATCH(N273,'Tournament List'!$A:$A,0)),""))</f>
        <v/>
      </c>
    </row>
    <row r="274" spans="1:15" x14ac:dyDescent="0.3">
      <c r="A274" s="91">
        <v>282</v>
      </c>
      <c r="B274" s="92" t="str">
        <f t="shared" si="4"/>
        <v>Littleton Target Masters-Collegiate 3-Skeet</v>
      </c>
      <c r="C274" s="92" t="s">
        <v>324</v>
      </c>
      <c r="D274" s="92" t="s">
        <v>356</v>
      </c>
      <c r="E274" s="92" t="s">
        <v>143</v>
      </c>
      <c r="F274" s="101" t="str">
        <f>IF(E274="Skeet",IFERROR(INDEX('Shooter-Squad Assignment'!$A:$A,MATCH(C274&amp;"-"&amp;D274&amp;"-"&amp;E274&amp;"-Pos1",'Shooter-Squad Assignment'!#REF!,0)),""),IF(E274="Trap",IFERROR(INDEX('Shooter-Squad Assignment'!$A:$A,MATCH(C274&amp;"-"&amp;D274&amp;"-"&amp;E274&amp;"-Pos1",'Shooter-Squad Assignment'!$V:$V,0)),""),IF(E274="Sporting Clays",IFERROR(INDEX('Shooter-Squad Assignment'!$A:$A,MATCH(C274&amp;"-"&amp;D274&amp;"-"&amp;E274&amp;"-Pos1",'Shooter-Squad Assignment'!$Y:$Y,0)),""),"")))</f>
        <v/>
      </c>
      <c r="G274" s="92" t="str">
        <f>IF(ISBLANK(F274),"",IFERROR(INDEX('Tournament List'!$D:$D,MATCH(F274,'Tournament List'!$A:$A,0)),""))</f>
        <v/>
      </c>
      <c r="H274" s="101" t="str">
        <f>IF(E274="Skeet",IFERROR(INDEX('Shooter-Squad Assignment'!$A:$A,MATCH(C274&amp;"-"&amp;D274&amp;"-"&amp;E274&amp;"-Pos2",'Shooter-Squad Assignment'!#REF!,0)),""),IF(E274="Trap",IFERROR(INDEX('Shooter-Squad Assignment'!$A:$A,MATCH(C274&amp;"-"&amp;D274&amp;"-"&amp;E274&amp;"-Pos2",'Shooter-Squad Assignment'!$V:$V,0)),""),IF(E274="Sporting Clays",IFERROR(INDEX('Shooter-Squad Assignment'!$A:$A,MATCH(C274&amp;"-"&amp;D274&amp;"-"&amp;E274&amp;"-Pos2",'Shooter-Squad Assignment'!$Y:$Y,0)),""),"")))</f>
        <v/>
      </c>
      <c r="I274" s="92" t="str">
        <f>IF(ISBLANK(H274),"",IFERROR(INDEX('Tournament List'!$D:$D,MATCH(H274,'Tournament List'!$A:$A,0)),""))</f>
        <v/>
      </c>
      <c r="J274" s="101" t="str">
        <f>IF(E274="Skeet",IFERROR(INDEX('Shooter-Squad Assignment'!$A:$A,MATCH(C274&amp;"-"&amp;D274&amp;"-"&amp;E274&amp;"-Pos3",'Shooter-Squad Assignment'!#REF!,0)),""),IF(E274="Trap",IFERROR(INDEX('Shooter-Squad Assignment'!$A:$A,MATCH(C274&amp;"-"&amp;D274&amp;"-"&amp;E274&amp;"-Pos3",'Shooter-Squad Assignment'!$V:$V,0)),""),IF(E274="Sporting Clays",IFERROR(INDEX('Shooter-Squad Assignment'!$A:$A,MATCH(C274&amp;"-"&amp;D274&amp;"-"&amp;E274&amp;"-Pos3",'Shooter-Squad Assignment'!$Y:$Y,0)),""),"")))</f>
        <v/>
      </c>
      <c r="K274" s="92" t="str">
        <f>IF(ISBLANK(J274),"",IFERROR(INDEX('Tournament List'!$D:$D,MATCH(J274,'Tournament List'!$A:$A,0)),""))</f>
        <v/>
      </c>
      <c r="L274" s="101" t="str">
        <f>IF(E274="Skeet",IFERROR(INDEX('Shooter-Squad Assignment'!$A:$A,MATCH(C274&amp;"-"&amp;D274&amp;"-"&amp;E274&amp;"-Pos4",'Shooter-Squad Assignment'!#REF!,0)),""),IF(E274="Trap",IFERROR(INDEX('Shooter-Squad Assignment'!$A:$A,MATCH(C274&amp;"-"&amp;D274&amp;"-"&amp;E274&amp;"-Pos4",'Shooter-Squad Assignment'!$V:$V,0)),""),IF(E274="Sporting Clays",IFERROR(INDEX('Shooter-Squad Assignment'!$A:$A,MATCH(C274&amp;"-"&amp;D274&amp;"-"&amp;E274&amp;"-Pos4",'Shooter-Squad Assignment'!$Y:$Y,0)),""),"")))</f>
        <v/>
      </c>
      <c r="M274" s="92" t="str">
        <f>IF(ISBLANK(L274),"",IFERROR(INDEX('Tournament List'!$D:$D,MATCH(L274,'Tournament List'!$A:$A,0)),""))</f>
        <v/>
      </c>
      <c r="N274" s="101" t="str">
        <f>IF(E274="Skeet",IFERROR(INDEX('Shooter-Squad Assignment'!$A:$A,MATCH(C274&amp;"-"&amp;D274&amp;"-"&amp;E274&amp;"-Pos5",'Shooter-Squad Assignment'!#REF!,0)),""),IF(E274="Trap",IFERROR(INDEX('Shooter-Squad Assignment'!$A:$A,MATCH(C274&amp;"-"&amp;D274&amp;"-"&amp;E274&amp;"-Pos5",'Shooter-Squad Assignment'!$V:$V,0)),""),IF(E274="Sporting Clays",IFERROR(INDEX('Shooter-Squad Assignment'!$A:$A,MATCH(C274&amp;"-"&amp;D274&amp;"-"&amp;E274&amp;"-Pos5",'Shooter-Squad Assignment'!$Y:$Y,0)),""),"")))</f>
        <v/>
      </c>
      <c r="O274" s="93" t="str">
        <f>IF(ISBLANK(N274),"",IFERROR(INDEX('Tournament List'!$D:$D,MATCH(N274,'Tournament List'!$A:$A,0)),""))</f>
        <v/>
      </c>
    </row>
    <row r="275" spans="1:15" x14ac:dyDescent="0.3">
      <c r="A275" s="91">
        <v>283</v>
      </c>
      <c r="B275" s="92" t="str">
        <f t="shared" si="4"/>
        <v>Littleton Target Masters-Intermediate 1-Skeet</v>
      </c>
      <c r="C275" s="92" t="s">
        <v>324</v>
      </c>
      <c r="D275" s="92" t="s">
        <v>340</v>
      </c>
      <c r="E275" s="92" t="s">
        <v>143</v>
      </c>
      <c r="F275" s="101" t="str">
        <f>IF(E275="Skeet",IFERROR(INDEX('Shooter-Squad Assignment'!$A:$A,MATCH(C275&amp;"-"&amp;D275&amp;"-"&amp;E275&amp;"-Pos1",'Shooter-Squad Assignment'!#REF!,0)),""),IF(E275="Trap",IFERROR(INDEX('Shooter-Squad Assignment'!$A:$A,MATCH(C275&amp;"-"&amp;D275&amp;"-"&amp;E275&amp;"-Pos1",'Shooter-Squad Assignment'!$V:$V,0)),""),IF(E275="Sporting Clays",IFERROR(INDEX('Shooter-Squad Assignment'!$A:$A,MATCH(C275&amp;"-"&amp;D275&amp;"-"&amp;E275&amp;"-Pos1",'Shooter-Squad Assignment'!$Y:$Y,0)),""),"")))</f>
        <v/>
      </c>
      <c r="G275" s="92" t="str">
        <f>IF(ISBLANK(F275),"",IFERROR(INDEX('Tournament List'!$D:$D,MATCH(F275,'Tournament List'!$A:$A,0)),""))</f>
        <v/>
      </c>
      <c r="H275" s="101" t="str">
        <f>IF(E275="Skeet",IFERROR(INDEX('Shooter-Squad Assignment'!$A:$A,MATCH(C275&amp;"-"&amp;D275&amp;"-"&amp;E275&amp;"-Pos2",'Shooter-Squad Assignment'!#REF!,0)),""),IF(E275="Trap",IFERROR(INDEX('Shooter-Squad Assignment'!$A:$A,MATCH(C275&amp;"-"&amp;D275&amp;"-"&amp;E275&amp;"-Pos2",'Shooter-Squad Assignment'!$V:$V,0)),""),IF(E275="Sporting Clays",IFERROR(INDEX('Shooter-Squad Assignment'!$A:$A,MATCH(C275&amp;"-"&amp;D275&amp;"-"&amp;E275&amp;"-Pos2",'Shooter-Squad Assignment'!$Y:$Y,0)),""),"")))</f>
        <v/>
      </c>
      <c r="I275" s="92" t="str">
        <f>IF(ISBLANK(H275),"",IFERROR(INDEX('Tournament List'!$D:$D,MATCH(H275,'Tournament List'!$A:$A,0)),""))</f>
        <v/>
      </c>
      <c r="J275" s="101" t="str">
        <f>IF(E275="Skeet",IFERROR(INDEX('Shooter-Squad Assignment'!$A:$A,MATCH(C275&amp;"-"&amp;D275&amp;"-"&amp;E275&amp;"-Pos3",'Shooter-Squad Assignment'!#REF!,0)),""),IF(E275="Trap",IFERROR(INDEX('Shooter-Squad Assignment'!$A:$A,MATCH(C275&amp;"-"&amp;D275&amp;"-"&amp;E275&amp;"-Pos3",'Shooter-Squad Assignment'!$V:$V,0)),""),IF(E275="Sporting Clays",IFERROR(INDEX('Shooter-Squad Assignment'!$A:$A,MATCH(C275&amp;"-"&amp;D275&amp;"-"&amp;E275&amp;"-Pos3",'Shooter-Squad Assignment'!$Y:$Y,0)),""),"")))</f>
        <v/>
      </c>
      <c r="K275" s="92" t="str">
        <f>IF(ISBLANK(J275),"",IFERROR(INDEX('Tournament List'!$D:$D,MATCH(J275,'Tournament List'!$A:$A,0)),""))</f>
        <v/>
      </c>
      <c r="L275" s="101" t="str">
        <f>IF(E275="Skeet",IFERROR(INDEX('Shooter-Squad Assignment'!$A:$A,MATCH(C275&amp;"-"&amp;D275&amp;"-"&amp;E275&amp;"-Pos4",'Shooter-Squad Assignment'!#REF!,0)),""),IF(E275="Trap",IFERROR(INDEX('Shooter-Squad Assignment'!$A:$A,MATCH(C275&amp;"-"&amp;D275&amp;"-"&amp;E275&amp;"-Pos4",'Shooter-Squad Assignment'!$V:$V,0)),""),IF(E275="Sporting Clays",IFERROR(INDEX('Shooter-Squad Assignment'!$A:$A,MATCH(C275&amp;"-"&amp;D275&amp;"-"&amp;E275&amp;"-Pos4",'Shooter-Squad Assignment'!$Y:$Y,0)),""),"")))</f>
        <v/>
      </c>
      <c r="M275" s="92" t="str">
        <f>IF(ISBLANK(L275),"",IFERROR(INDEX('Tournament List'!$D:$D,MATCH(L275,'Tournament List'!$A:$A,0)),""))</f>
        <v/>
      </c>
      <c r="N275" s="101" t="str">
        <f>IF(E275="Skeet",IFERROR(INDEX('Shooter-Squad Assignment'!$A:$A,MATCH(C275&amp;"-"&amp;D275&amp;"-"&amp;E275&amp;"-Pos5",'Shooter-Squad Assignment'!#REF!,0)),""),IF(E275="Trap",IFERROR(INDEX('Shooter-Squad Assignment'!$A:$A,MATCH(C275&amp;"-"&amp;D275&amp;"-"&amp;E275&amp;"-Pos5",'Shooter-Squad Assignment'!$V:$V,0)),""),IF(E275="Sporting Clays",IFERROR(INDEX('Shooter-Squad Assignment'!$A:$A,MATCH(C275&amp;"-"&amp;D275&amp;"-"&amp;E275&amp;"-Pos5",'Shooter-Squad Assignment'!$Y:$Y,0)),""),"")))</f>
        <v/>
      </c>
      <c r="O275" s="93" t="str">
        <f>IF(ISBLANK(N275),"",IFERROR(INDEX('Tournament List'!$D:$D,MATCH(N275,'Tournament List'!$A:$A,0)),""))</f>
        <v/>
      </c>
    </row>
    <row r="276" spans="1:15" x14ac:dyDescent="0.3">
      <c r="A276" s="91">
        <v>284</v>
      </c>
      <c r="B276" s="92" t="str">
        <f t="shared" si="4"/>
        <v>Littleton Target Masters-Intermediate 2-Skeet</v>
      </c>
      <c r="C276" s="92" t="s">
        <v>324</v>
      </c>
      <c r="D276" s="92" t="s">
        <v>346</v>
      </c>
      <c r="E276" s="92" t="s">
        <v>143</v>
      </c>
      <c r="F276" s="101" t="str">
        <f>IF(E276="Skeet",IFERROR(INDEX('Shooter-Squad Assignment'!$A:$A,MATCH(C276&amp;"-"&amp;D276&amp;"-"&amp;E276&amp;"-Pos1",'Shooter-Squad Assignment'!#REF!,0)),""),IF(E276="Trap",IFERROR(INDEX('Shooter-Squad Assignment'!$A:$A,MATCH(C276&amp;"-"&amp;D276&amp;"-"&amp;E276&amp;"-Pos1",'Shooter-Squad Assignment'!$V:$V,0)),""),IF(E276="Sporting Clays",IFERROR(INDEX('Shooter-Squad Assignment'!$A:$A,MATCH(C276&amp;"-"&amp;D276&amp;"-"&amp;E276&amp;"-Pos1",'Shooter-Squad Assignment'!$Y:$Y,0)),""),"")))</f>
        <v/>
      </c>
      <c r="G276" s="92" t="str">
        <f>IF(ISBLANK(F276),"",IFERROR(INDEX('Tournament List'!$D:$D,MATCH(F276,'Tournament List'!$A:$A,0)),""))</f>
        <v/>
      </c>
      <c r="H276" s="101" t="str">
        <f>IF(E276="Skeet",IFERROR(INDEX('Shooter-Squad Assignment'!$A:$A,MATCH(C276&amp;"-"&amp;D276&amp;"-"&amp;E276&amp;"-Pos2",'Shooter-Squad Assignment'!#REF!,0)),""),IF(E276="Trap",IFERROR(INDEX('Shooter-Squad Assignment'!$A:$A,MATCH(C276&amp;"-"&amp;D276&amp;"-"&amp;E276&amp;"-Pos2",'Shooter-Squad Assignment'!$V:$V,0)),""),IF(E276="Sporting Clays",IFERROR(INDEX('Shooter-Squad Assignment'!$A:$A,MATCH(C276&amp;"-"&amp;D276&amp;"-"&amp;E276&amp;"-Pos2",'Shooter-Squad Assignment'!$Y:$Y,0)),""),"")))</f>
        <v/>
      </c>
      <c r="I276" s="92" t="str">
        <f>IF(ISBLANK(H276),"",IFERROR(INDEX('Tournament List'!$D:$D,MATCH(H276,'Tournament List'!$A:$A,0)),""))</f>
        <v/>
      </c>
      <c r="J276" s="101" t="str">
        <f>IF(E276="Skeet",IFERROR(INDEX('Shooter-Squad Assignment'!$A:$A,MATCH(C276&amp;"-"&amp;D276&amp;"-"&amp;E276&amp;"-Pos3",'Shooter-Squad Assignment'!#REF!,0)),""),IF(E276="Trap",IFERROR(INDEX('Shooter-Squad Assignment'!$A:$A,MATCH(C276&amp;"-"&amp;D276&amp;"-"&amp;E276&amp;"-Pos3",'Shooter-Squad Assignment'!$V:$V,0)),""),IF(E276="Sporting Clays",IFERROR(INDEX('Shooter-Squad Assignment'!$A:$A,MATCH(C276&amp;"-"&amp;D276&amp;"-"&amp;E276&amp;"-Pos3",'Shooter-Squad Assignment'!$Y:$Y,0)),""),"")))</f>
        <v/>
      </c>
      <c r="K276" s="92" t="str">
        <f>IF(ISBLANK(J276),"",IFERROR(INDEX('Tournament List'!$D:$D,MATCH(J276,'Tournament List'!$A:$A,0)),""))</f>
        <v/>
      </c>
      <c r="L276" s="101" t="str">
        <f>IF(E276="Skeet",IFERROR(INDEX('Shooter-Squad Assignment'!$A:$A,MATCH(C276&amp;"-"&amp;D276&amp;"-"&amp;E276&amp;"-Pos4",'Shooter-Squad Assignment'!#REF!,0)),""),IF(E276="Trap",IFERROR(INDEX('Shooter-Squad Assignment'!$A:$A,MATCH(C276&amp;"-"&amp;D276&amp;"-"&amp;E276&amp;"-Pos4",'Shooter-Squad Assignment'!$V:$V,0)),""),IF(E276="Sporting Clays",IFERROR(INDEX('Shooter-Squad Assignment'!$A:$A,MATCH(C276&amp;"-"&amp;D276&amp;"-"&amp;E276&amp;"-Pos4",'Shooter-Squad Assignment'!$Y:$Y,0)),""),"")))</f>
        <v/>
      </c>
      <c r="M276" s="92" t="str">
        <f>IF(ISBLANK(L276),"",IFERROR(INDEX('Tournament List'!$D:$D,MATCH(L276,'Tournament List'!$A:$A,0)),""))</f>
        <v/>
      </c>
      <c r="N276" s="101" t="str">
        <f>IF(E276="Skeet",IFERROR(INDEX('Shooter-Squad Assignment'!$A:$A,MATCH(C276&amp;"-"&amp;D276&amp;"-"&amp;E276&amp;"-Pos5",'Shooter-Squad Assignment'!#REF!,0)),""),IF(E276="Trap",IFERROR(INDEX('Shooter-Squad Assignment'!$A:$A,MATCH(C276&amp;"-"&amp;D276&amp;"-"&amp;E276&amp;"-Pos5",'Shooter-Squad Assignment'!$V:$V,0)),""),IF(E276="Sporting Clays",IFERROR(INDEX('Shooter-Squad Assignment'!$A:$A,MATCH(C276&amp;"-"&amp;D276&amp;"-"&amp;E276&amp;"-Pos5",'Shooter-Squad Assignment'!$Y:$Y,0)),""),"")))</f>
        <v/>
      </c>
      <c r="O276" s="93" t="str">
        <f>IF(ISBLANK(N276),"",IFERROR(INDEX('Tournament List'!$D:$D,MATCH(N276,'Tournament List'!$A:$A,0)),""))</f>
        <v/>
      </c>
    </row>
    <row r="277" spans="1:15" x14ac:dyDescent="0.3">
      <c r="A277" s="91">
        <v>285</v>
      </c>
      <c r="B277" s="92" t="str">
        <f t="shared" si="4"/>
        <v>Littleton Target Masters-Intermediate 3-Skeet</v>
      </c>
      <c r="C277" s="92" t="s">
        <v>324</v>
      </c>
      <c r="D277" s="92" t="s">
        <v>352</v>
      </c>
      <c r="E277" s="92" t="s">
        <v>143</v>
      </c>
      <c r="F277" s="101" t="str">
        <f>IF(E277="Skeet",IFERROR(INDEX('Shooter-Squad Assignment'!$A:$A,MATCH(C277&amp;"-"&amp;D277&amp;"-"&amp;E277&amp;"-Pos1",'Shooter-Squad Assignment'!#REF!,0)),""),IF(E277="Trap",IFERROR(INDEX('Shooter-Squad Assignment'!$A:$A,MATCH(C277&amp;"-"&amp;D277&amp;"-"&amp;E277&amp;"-Pos1",'Shooter-Squad Assignment'!$V:$V,0)),""),IF(E277="Sporting Clays",IFERROR(INDEX('Shooter-Squad Assignment'!$A:$A,MATCH(C277&amp;"-"&amp;D277&amp;"-"&amp;E277&amp;"-Pos1",'Shooter-Squad Assignment'!$Y:$Y,0)),""),"")))</f>
        <v/>
      </c>
      <c r="G277" s="92" t="str">
        <f>IF(ISBLANK(F277),"",IFERROR(INDEX('Tournament List'!$D:$D,MATCH(F277,'Tournament List'!$A:$A,0)),""))</f>
        <v/>
      </c>
      <c r="H277" s="101" t="str">
        <f>IF(E277="Skeet",IFERROR(INDEX('Shooter-Squad Assignment'!$A:$A,MATCH(C277&amp;"-"&amp;D277&amp;"-"&amp;E277&amp;"-Pos2",'Shooter-Squad Assignment'!#REF!,0)),""),IF(E277="Trap",IFERROR(INDEX('Shooter-Squad Assignment'!$A:$A,MATCH(C277&amp;"-"&amp;D277&amp;"-"&amp;E277&amp;"-Pos2",'Shooter-Squad Assignment'!$V:$V,0)),""),IF(E277="Sporting Clays",IFERROR(INDEX('Shooter-Squad Assignment'!$A:$A,MATCH(C277&amp;"-"&amp;D277&amp;"-"&amp;E277&amp;"-Pos2",'Shooter-Squad Assignment'!$Y:$Y,0)),""),"")))</f>
        <v/>
      </c>
      <c r="I277" s="92" t="str">
        <f>IF(ISBLANK(H277),"",IFERROR(INDEX('Tournament List'!$D:$D,MATCH(H277,'Tournament List'!$A:$A,0)),""))</f>
        <v/>
      </c>
      <c r="J277" s="101" t="str">
        <f>IF(E277="Skeet",IFERROR(INDEX('Shooter-Squad Assignment'!$A:$A,MATCH(C277&amp;"-"&amp;D277&amp;"-"&amp;E277&amp;"-Pos3",'Shooter-Squad Assignment'!#REF!,0)),""),IF(E277="Trap",IFERROR(INDEX('Shooter-Squad Assignment'!$A:$A,MATCH(C277&amp;"-"&amp;D277&amp;"-"&amp;E277&amp;"-Pos3",'Shooter-Squad Assignment'!$V:$V,0)),""),IF(E277="Sporting Clays",IFERROR(INDEX('Shooter-Squad Assignment'!$A:$A,MATCH(C277&amp;"-"&amp;D277&amp;"-"&amp;E277&amp;"-Pos3",'Shooter-Squad Assignment'!$Y:$Y,0)),""),"")))</f>
        <v/>
      </c>
      <c r="K277" s="92" t="str">
        <f>IF(ISBLANK(J277),"",IFERROR(INDEX('Tournament List'!$D:$D,MATCH(J277,'Tournament List'!$A:$A,0)),""))</f>
        <v/>
      </c>
      <c r="L277" s="101" t="str">
        <f>IF(E277="Skeet",IFERROR(INDEX('Shooter-Squad Assignment'!$A:$A,MATCH(C277&amp;"-"&amp;D277&amp;"-"&amp;E277&amp;"-Pos4",'Shooter-Squad Assignment'!#REF!,0)),""),IF(E277="Trap",IFERROR(INDEX('Shooter-Squad Assignment'!$A:$A,MATCH(C277&amp;"-"&amp;D277&amp;"-"&amp;E277&amp;"-Pos4",'Shooter-Squad Assignment'!$V:$V,0)),""),IF(E277="Sporting Clays",IFERROR(INDEX('Shooter-Squad Assignment'!$A:$A,MATCH(C277&amp;"-"&amp;D277&amp;"-"&amp;E277&amp;"-Pos4",'Shooter-Squad Assignment'!$Y:$Y,0)),""),"")))</f>
        <v/>
      </c>
      <c r="M277" s="92" t="str">
        <f>IF(ISBLANK(L277),"",IFERROR(INDEX('Tournament List'!$D:$D,MATCH(L277,'Tournament List'!$A:$A,0)),""))</f>
        <v/>
      </c>
      <c r="N277" s="101" t="str">
        <f>IF(E277="Skeet",IFERROR(INDEX('Shooter-Squad Assignment'!$A:$A,MATCH(C277&amp;"-"&amp;D277&amp;"-"&amp;E277&amp;"-Pos5",'Shooter-Squad Assignment'!#REF!,0)),""),IF(E277="Trap",IFERROR(INDEX('Shooter-Squad Assignment'!$A:$A,MATCH(C277&amp;"-"&amp;D277&amp;"-"&amp;E277&amp;"-Pos5",'Shooter-Squad Assignment'!$V:$V,0)),""),IF(E277="Sporting Clays",IFERROR(INDEX('Shooter-Squad Assignment'!$A:$A,MATCH(C277&amp;"-"&amp;D277&amp;"-"&amp;E277&amp;"-Pos5",'Shooter-Squad Assignment'!$Y:$Y,0)),""),"")))</f>
        <v/>
      </c>
      <c r="O277" s="93" t="str">
        <f>IF(ISBLANK(N277),"",IFERROR(INDEX('Tournament List'!$D:$D,MATCH(N277,'Tournament List'!$A:$A,0)),""))</f>
        <v/>
      </c>
    </row>
    <row r="278" spans="1:15" x14ac:dyDescent="0.3">
      <c r="A278" s="91">
        <v>286</v>
      </c>
      <c r="B278" s="92" t="str">
        <f t="shared" si="4"/>
        <v>Littleton Target Masters-Junior Varsity 1-Skeet</v>
      </c>
      <c r="C278" s="92" t="s">
        <v>324</v>
      </c>
      <c r="D278" s="92" t="s">
        <v>341</v>
      </c>
      <c r="E278" s="92" t="s">
        <v>143</v>
      </c>
      <c r="F278" s="101" t="str">
        <f>IF(E278="Skeet",IFERROR(INDEX('Shooter-Squad Assignment'!$A:$A,MATCH(C278&amp;"-"&amp;D278&amp;"-"&amp;E278&amp;"-Pos1",'Shooter-Squad Assignment'!#REF!,0)),""),IF(E278="Trap",IFERROR(INDEX('Shooter-Squad Assignment'!$A:$A,MATCH(C278&amp;"-"&amp;D278&amp;"-"&amp;E278&amp;"-Pos1",'Shooter-Squad Assignment'!$V:$V,0)),""),IF(E278="Sporting Clays",IFERROR(INDEX('Shooter-Squad Assignment'!$A:$A,MATCH(C278&amp;"-"&amp;D278&amp;"-"&amp;E278&amp;"-Pos1",'Shooter-Squad Assignment'!$Y:$Y,0)),""),"")))</f>
        <v/>
      </c>
      <c r="G278" s="92" t="str">
        <f>IF(ISBLANK(F278),"",IFERROR(INDEX('Tournament List'!$D:$D,MATCH(F278,'Tournament List'!$A:$A,0)),""))</f>
        <v/>
      </c>
      <c r="H278" s="101" t="str">
        <f>IF(E278="Skeet",IFERROR(INDEX('Shooter-Squad Assignment'!$A:$A,MATCH(C278&amp;"-"&amp;D278&amp;"-"&amp;E278&amp;"-Pos2",'Shooter-Squad Assignment'!#REF!,0)),""),IF(E278="Trap",IFERROR(INDEX('Shooter-Squad Assignment'!$A:$A,MATCH(C278&amp;"-"&amp;D278&amp;"-"&amp;E278&amp;"-Pos2",'Shooter-Squad Assignment'!$V:$V,0)),""),IF(E278="Sporting Clays",IFERROR(INDEX('Shooter-Squad Assignment'!$A:$A,MATCH(C278&amp;"-"&amp;D278&amp;"-"&amp;E278&amp;"-Pos2",'Shooter-Squad Assignment'!$Y:$Y,0)),""),"")))</f>
        <v/>
      </c>
      <c r="I278" s="92" t="str">
        <f>IF(ISBLANK(H278),"",IFERROR(INDEX('Tournament List'!$D:$D,MATCH(H278,'Tournament List'!$A:$A,0)),""))</f>
        <v/>
      </c>
      <c r="J278" s="101" t="str">
        <f>IF(E278="Skeet",IFERROR(INDEX('Shooter-Squad Assignment'!$A:$A,MATCH(C278&amp;"-"&amp;D278&amp;"-"&amp;E278&amp;"-Pos3",'Shooter-Squad Assignment'!#REF!,0)),""),IF(E278="Trap",IFERROR(INDEX('Shooter-Squad Assignment'!$A:$A,MATCH(C278&amp;"-"&amp;D278&amp;"-"&amp;E278&amp;"-Pos3",'Shooter-Squad Assignment'!$V:$V,0)),""),IF(E278="Sporting Clays",IFERROR(INDEX('Shooter-Squad Assignment'!$A:$A,MATCH(C278&amp;"-"&amp;D278&amp;"-"&amp;E278&amp;"-Pos3",'Shooter-Squad Assignment'!$Y:$Y,0)),""),"")))</f>
        <v/>
      </c>
      <c r="K278" s="92" t="str">
        <f>IF(ISBLANK(J278),"",IFERROR(INDEX('Tournament List'!$D:$D,MATCH(J278,'Tournament List'!$A:$A,0)),""))</f>
        <v/>
      </c>
      <c r="L278" s="101" t="str">
        <f>IF(E278="Skeet",IFERROR(INDEX('Shooter-Squad Assignment'!$A:$A,MATCH(C278&amp;"-"&amp;D278&amp;"-"&amp;E278&amp;"-Pos4",'Shooter-Squad Assignment'!#REF!,0)),""),IF(E278="Trap",IFERROR(INDEX('Shooter-Squad Assignment'!$A:$A,MATCH(C278&amp;"-"&amp;D278&amp;"-"&amp;E278&amp;"-Pos4",'Shooter-Squad Assignment'!$V:$V,0)),""),IF(E278="Sporting Clays",IFERROR(INDEX('Shooter-Squad Assignment'!$A:$A,MATCH(C278&amp;"-"&amp;D278&amp;"-"&amp;E278&amp;"-Pos4",'Shooter-Squad Assignment'!$Y:$Y,0)),""),"")))</f>
        <v/>
      </c>
      <c r="M278" s="92" t="str">
        <f>IF(ISBLANK(L278),"",IFERROR(INDEX('Tournament List'!$D:$D,MATCH(L278,'Tournament List'!$A:$A,0)),""))</f>
        <v/>
      </c>
      <c r="N278" s="101" t="str">
        <f>IF(E278="Skeet",IFERROR(INDEX('Shooter-Squad Assignment'!$A:$A,MATCH(C278&amp;"-"&amp;D278&amp;"-"&amp;E278&amp;"-Pos5",'Shooter-Squad Assignment'!#REF!,0)),""),IF(E278="Trap",IFERROR(INDEX('Shooter-Squad Assignment'!$A:$A,MATCH(C278&amp;"-"&amp;D278&amp;"-"&amp;E278&amp;"-Pos5",'Shooter-Squad Assignment'!$V:$V,0)),""),IF(E278="Sporting Clays",IFERROR(INDEX('Shooter-Squad Assignment'!$A:$A,MATCH(C278&amp;"-"&amp;D278&amp;"-"&amp;E278&amp;"-Pos5",'Shooter-Squad Assignment'!$Y:$Y,0)),""),"")))</f>
        <v/>
      </c>
      <c r="O278" s="93" t="str">
        <f>IF(ISBLANK(N278),"",IFERROR(INDEX('Tournament List'!$D:$D,MATCH(N278,'Tournament List'!$A:$A,0)),""))</f>
        <v/>
      </c>
    </row>
    <row r="279" spans="1:15" x14ac:dyDescent="0.3">
      <c r="A279" s="91">
        <v>287</v>
      </c>
      <c r="B279" s="92" t="str">
        <f t="shared" si="4"/>
        <v>Littleton Target Masters-Junior Varsity 2-Skeet</v>
      </c>
      <c r="C279" s="92" t="s">
        <v>324</v>
      </c>
      <c r="D279" s="92" t="s">
        <v>347</v>
      </c>
      <c r="E279" s="92" t="s">
        <v>143</v>
      </c>
      <c r="F279" s="101" t="str">
        <f>IF(E279="Skeet",IFERROR(INDEX('Shooter-Squad Assignment'!$A:$A,MATCH(C279&amp;"-"&amp;D279&amp;"-"&amp;E279&amp;"-Pos1",'Shooter-Squad Assignment'!#REF!,0)),""),IF(E279="Trap",IFERROR(INDEX('Shooter-Squad Assignment'!$A:$A,MATCH(C279&amp;"-"&amp;D279&amp;"-"&amp;E279&amp;"-Pos1",'Shooter-Squad Assignment'!$V:$V,0)),""),IF(E279="Sporting Clays",IFERROR(INDEX('Shooter-Squad Assignment'!$A:$A,MATCH(C279&amp;"-"&amp;D279&amp;"-"&amp;E279&amp;"-Pos1",'Shooter-Squad Assignment'!$Y:$Y,0)),""),"")))</f>
        <v/>
      </c>
      <c r="G279" s="92" t="str">
        <f>IF(ISBLANK(F279),"",IFERROR(INDEX('Tournament List'!$D:$D,MATCH(F279,'Tournament List'!$A:$A,0)),""))</f>
        <v/>
      </c>
      <c r="H279" s="101" t="str">
        <f>IF(E279="Skeet",IFERROR(INDEX('Shooter-Squad Assignment'!$A:$A,MATCH(C279&amp;"-"&amp;D279&amp;"-"&amp;E279&amp;"-Pos2",'Shooter-Squad Assignment'!#REF!,0)),""),IF(E279="Trap",IFERROR(INDEX('Shooter-Squad Assignment'!$A:$A,MATCH(C279&amp;"-"&amp;D279&amp;"-"&amp;E279&amp;"-Pos2",'Shooter-Squad Assignment'!$V:$V,0)),""),IF(E279="Sporting Clays",IFERROR(INDEX('Shooter-Squad Assignment'!$A:$A,MATCH(C279&amp;"-"&amp;D279&amp;"-"&amp;E279&amp;"-Pos2",'Shooter-Squad Assignment'!$Y:$Y,0)),""),"")))</f>
        <v/>
      </c>
      <c r="I279" s="92" t="str">
        <f>IF(ISBLANK(H279),"",IFERROR(INDEX('Tournament List'!$D:$D,MATCH(H279,'Tournament List'!$A:$A,0)),""))</f>
        <v/>
      </c>
      <c r="J279" s="101" t="str">
        <f>IF(E279="Skeet",IFERROR(INDEX('Shooter-Squad Assignment'!$A:$A,MATCH(C279&amp;"-"&amp;D279&amp;"-"&amp;E279&amp;"-Pos3",'Shooter-Squad Assignment'!#REF!,0)),""),IF(E279="Trap",IFERROR(INDEX('Shooter-Squad Assignment'!$A:$A,MATCH(C279&amp;"-"&amp;D279&amp;"-"&amp;E279&amp;"-Pos3",'Shooter-Squad Assignment'!$V:$V,0)),""),IF(E279="Sporting Clays",IFERROR(INDEX('Shooter-Squad Assignment'!$A:$A,MATCH(C279&amp;"-"&amp;D279&amp;"-"&amp;E279&amp;"-Pos3",'Shooter-Squad Assignment'!$Y:$Y,0)),""),"")))</f>
        <v/>
      </c>
      <c r="K279" s="92" t="str">
        <f>IF(ISBLANK(J279),"",IFERROR(INDEX('Tournament List'!$D:$D,MATCH(J279,'Tournament List'!$A:$A,0)),""))</f>
        <v/>
      </c>
      <c r="L279" s="101" t="str">
        <f>IF(E279="Skeet",IFERROR(INDEX('Shooter-Squad Assignment'!$A:$A,MATCH(C279&amp;"-"&amp;D279&amp;"-"&amp;E279&amp;"-Pos4",'Shooter-Squad Assignment'!#REF!,0)),""),IF(E279="Trap",IFERROR(INDEX('Shooter-Squad Assignment'!$A:$A,MATCH(C279&amp;"-"&amp;D279&amp;"-"&amp;E279&amp;"-Pos4",'Shooter-Squad Assignment'!$V:$V,0)),""),IF(E279="Sporting Clays",IFERROR(INDEX('Shooter-Squad Assignment'!$A:$A,MATCH(C279&amp;"-"&amp;D279&amp;"-"&amp;E279&amp;"-Pos4",'Shooter-Squad Assignment'!$Y:$Y,0)),""),"")))</f>
        <v/>
      </c>
      <c r="M279" s="92" t="str">
        <f>IF(ISBLANK(L279),"",IFERROR(INDEX('Tournament List'!$D:$D,MATCH(L279,'Tournament List'!$A:$A,0)),""))</f>
        <v/>
      </c>
      <c r="N279" s="101" t="str">
        <f>IF(E279="Skeet",IFERROR(INDEX('Shooter-Squad Assignment'!$A:$A,MATCH(C279&amp;"-"&amp;D279&amp;"-"&amp;E279&amp;"-Pos5",'Shooter-Squad Assignment'!#REF!,0)),""),IF(E279="Trap",IFERROR(INDEX('Shooter-Squad Assignment'!$A:$A,MATCH(C279&amp;"-"&amp;D279&amp;"-"&amp;E279&amp;"-Pos5",'Shooter-Squad Assignment'!$V:$V,0)),""),IF(E279="Sporting Clays",IFERROR(INDEX('Shooter-Squad Assignment'!$A:$A,MATCH(C279&amp;"-"&amp;D279&amp;"-"&amp;E279&amp;"-Pos5",'Shooter-Squad Assignment'!$Y:$Y,0)),""),"")))</f>
        <v/>
      </c>
      <c r="O279" s="93" t="str">
        <f>IF(ISBLANK(N279),"",IFERROR(INDEX('Tournament List'!$D:$D,MATCH(N279,'Tournament List'!$A:$A,0)),""))</f>
        <v/>
      </c>
    </row>
    <row r="280" spans="1:15" x14ac:dyDescent="0.3">
      <c r="A280" s="91">
        <v>288</v>
      </c>
      <c r="B280" s="92" t="str">
        <f t="shared" si="4"/>
        <v>Littleton Target Masters-Junior Varsity 3-Skeet</v>
      </c>
      <c r="C280" s="92" t="s">
        <v>324</v>
      </c>
      <c r="D280" s="92" t="s">
        <v>353</v>
      </c>
      <c r="E280" s="92" t="s">
        <v>143</v>
      </c>
      <c r="F280" s="101" t="str">
        <f>IF(E280="Skeet",IFERROR(INDEX('Shooter-Squad Assignment'!$A:$A,MATCH(C280&amp;"-"&amp;D280&amp;"-"&amp;E280&amp;"-Pos1",'Shooter-Squad Assignment'!#REF!,0)),""),IF(E280="Trap",IFERROR(INDEX('Shooter-Squad Assignment'!$A:$A,MATCH(C280&amp;"-"&amp;D280&amp;"-"&amp;E280&amp;"-Pos1",'Shooter-Squad Assignment'!$V:$V,0)),""),IF(E280="Sporting Clays",IFERROR(INDEX('Shooter-Squad Assignment'!$A:$A,MATCH(C280&amp;"-"&amp;D280&amp;"-"&amp;E280&amp;"-Pos1",'Shooter-Squad Assignment'!$Y:$Y,0)),""),"")))</f>
        <v/>
      </c>
      <c r="G280" s="92" t="str">
        <f>IF(ISBLANK(F280),"",IFERROR(INDEX('Tournament List'!$D:$D,MATCH(F280,'Tournament List'!$A:$A,0)),""))</f>
        <v/>
      </c>
      <c r="H280" s="101" t="str">
        <f>IF(E280="Skeet",IFERROR(INDEX('Shooter-Squad Assignment'!$A:$A,MATCH(C280&amp;"-"&amp;D280&amp;"-"&amp;E280&amp;"-Pos2",'Shooter-Squad Assignment'!#REF!,0)),""),IF(E280="Trap",IFERROR(INDEX('Shooter-Squad Assignment'!$A:$A,MATCH(C280&amp;"-"&amp;D280&amp;"-"&amp;E280&amp;"-Pos2",'Shooter-Squad Assignment'!$V:$V,0)),""),IF(E280="Sporting Clays",IFERROR(INDEX('Shooter-Squad Assignment'!$A:$A,MATCH(C280&amp;"-"&amp;D280&amp;"-"&amp;E280&amp;"-Pos2",'Shooter-Squad Assignment'!$Y:$Y,0)),""),"")))</f>
        <v/>
      </c>
      <c r="I280" s="92" t="str">
        <f>IF(ISBLANK(H280),"",IFERROR(INDEX('Tournament List'!$D:$D,MATCH(H280,'Tournament List'!$A:$A,0)),""))</f>
        <v/>
      </c>
      <c r="J280" s="101" t="str">
        <f>IF(E280="Skeet",IFERROR(INDEX('Shooter-Squad Assignment'!$A:$A,MATCH(C280&amp;"-"&amp;D280&amp;"-"&amp;E280&amp;"-Pos3",'Shooter-Squad Assignment'!#REF!,0)),""),IF(E280="Trap",IFERROR(INDEX('Shooter-Squad Assignment'!$A:$A,MATCH(C280&amp;"-"&amp;D280&amp;"-"&amp;E280&amp;"-Pos3",'Shooter-Squad Assignment'!$V:$V,0)),""),IF(E280="Sporting Clays",IFERROR(INDEX('Shooter-Squad Assignment'!$A:$A,MATCH(C280&amp;"-"&amp;D280&amp;"-"&amp;E280&amp;"-Pos3",'Shooter-Squad Assignment'!$Y:$Y,0)),""),"")))</f>
        <v/>
      </c>
      <c r="K280" s="92" t="str">
        <f>IF(ISBLANK(J280),"",IFERROR(INDEX('Tournament List'!$D:$D,MATCH(J280,'Tournament List'!$A:$A,0)),""))</f>
        <v/>
      </c>
      <c r="L280" s="101" t="str">
        <f>IF(E280="Skeet",IFERROR(INDEX('Shooter-Squad Assignment'!$A:$A,MATCH(C280&amp;"-"&amp;D280&amp;"-"&amp;E280&amp;"-Pos4",'Shooter-Squad Assignment'!#REF!,0)),""),IF(E280="Trap",IFERROR(INDEX('Shooter-Squad Assignment'!$A:$A,MATCH(C280&amp;"-"&amp;D280&amp;"-"&amp;E280&amp;"-Pos4",'Shooter-Squad Assignment'!$V:$V,0)),""),IF(E280="Sporting Clays",IFERROR(INDEX('Shooter-Squad Assignment'!$A:$A,MATCH(C280&amp;"-"&amp;D280&amp;"-"&amp;E280&amp;"-Pos4",'Shooter-Squad Assignment'!$Y:$Y,0)),""),"")))</f>
        <v/>
      </c>
      <c r="M280" s="92" t="str">
        <f>IF(ISBLANK(L280),"",IFERROR(INDEX('Tournament List'!$D:$D,MATCH(L280,'Tournament List'!$A:$A,0)),""))</f>
        <v/>
      </c>
      <c r="N280" s="101" t="str">
        <f>IF(E280="Skeet",IFERROR(INDEX('Shooter-Squad Assignment'!$A:$A,MATCH(C280&amp;"-"&amp;D280&amp;"-"&amp;E280&amp;"-Pos5",'Shooter-Squad Assignment'!#REF!,0)),""),IF(E280="Trap",IFERROR(INDEX('Shooter-Squad Assignment'!$A:$A,MATCH(C280&amp;"-"&amp;D280&amp;"-"&amp;E280&amp;"-Pos5",'Shooter-Squad Assignment'!$V:$V,0)),""),IF(E280="Sporting Clays",IFERROR(INDEX('Shooter-Squad Assignment'!$A:$A,MATCH(C280&amp;"-"&amp;D280&amp;"-"&amp;E280&amp;"-Pos5",'Shooter-Squad Assignment'!$Y:$Y,0)),""),"")))</f>
        <v/>
      </c>
      <c r="O280" s="93" t="str">
        <f>IF(ISBLANK(N280),"",IFERROR(INDEX('Tournament List'!$D:$D,MATCH(N280,'Tournament List'!$A:$A,0)),""))</f>
        <v/>
      </c>
    </row>
    <row r="281" spans="1:15" x14ac:dyDescent="0.3">
      <c r="A281" s="91">
        <v>289</v>
      </c>
      <c r="B281" s="92" t="str">
        <f t="shared" si="4"/>
        <v>Littleton Target Masters-Novice 1-Skeet</v>
      </c>
      <c r="C281" s="92" t="s">
        <v>324</v>
      </c>
      <c r="D281" s="92" t="s">
        <v>339</v>
      </c>
      <c r="E281" s="92" t="s">
        <v>143</v>
      </c>
      <c r="F281" s="101" t="str">
        <f>IF(E281="Skeet",IFERROR(INDEX('Shooter-Squad Assignment'!$A:$A,MATCH(C281&amp;"-"&amp;D281&amp;"-"&amp;E281&amp;"-Pos1",'Shooter-Squad Assignment'!#REF!,0)),""),IF(E281="Trap",IFERROR(INDEX('Shooter-Squad Assignment'!$A:$A,MATCH(C281&amp;"-"&amp;D281&amp;"-"&amp;E281&amp;"-Pos1",'Shooter-Squad Assignment'!$V:$V,0)),""),IF(E281="Sporting Clays",IFERROR(INDEX('Shooter-Squad Assignment'!$A:$A,MATCH(C281&amp;"-"&amp;D281&amp;"-"&amp;E281&amp;"-Pos1",'Shooter-Squad Assignment'!$Y:$Y,0)),""),"")))</f>
        <v/>
      </c>
      <c r="G281" s="92" t="str">
        <f>IF(ISBLANK(F281),"",IFERROR(INDEX('Tournament List'!$D:$D,MATCH(F281,'Tournament List'!$A:$A,0)),""))</f>
        <v/>
      </c>
      <c r="H281" s="101" t="str">
        <f>IF(E281="Skeet",IFERROR(INDEX('Shooter-Squad Assignment'!$A:$A,MATCH(C281&amp;"-"&amp;D281&amp;"-"&amp;E281&amp;"-Pos2",'Shooter-Squad Assignment'!#REF!,0)),""),IF(E281="Trap",IFERROR(INDEX('Shooter-Squad Assignment'!$A:$A,MATCH(C281&amp;"-"&amp;D281&amp;"-"&amp;E281&amp;"-Pos2",'Shooter-Squad Assignment'!$V:$V,0)),""),IF(E281="Sporting Clays",IFERROR(INDEX('Shooter-Squad Assignment'!$A:$A,MATCH(C281&amp;"-"&amp;D281&amp;"-"&amp;E281&amp;"-Pos2",'Shooter-Squad Assignment'!$Y:$Y,0)),""),"")))</f>
        <v/>
      </c>
      <c r="I281" s="92" t="str">
        <f>IF(ISBLANK(H281),"",IFERROR(INDEX('Tournament List'!$D:$D,MATCH(H281,'Tournament List'!$A:$A,0)),""))</f>
        <v/>
      </c>
      <c r="J281" s="101" t="str">
        <f>IF(E281="Skeet",IFERROR(INDEX('Shooter-Squad Assignment'!$A:$A,MATCH(C281&amp;"-"&amp;D281&amp;"-"&amp;E281&amp;"-Pos3",'Shooter-Squad Assignment'!#REF!,0)),""),IF(E281="Trap",IFERROR(INDEX('Shooter-Squad Assignment'!$A:$A,MATCH(C281&amp;"-"&amp;D281&amp;"-"&amp;E281&amp;"-Pos3",'Shooter-Squad Assignment'!$V:$V,0)),""),IF(E281="Sporting Clays",IFERROR(INDEX('Shooter-Squad Assignment'!$A:$A,MATCH(C281&amp;"-"&amp;D281&amp;"-"&amp;E281&amp;"-Pos3",'Shooter-Squad Assignment'!$Y:$Y,0)),""),"")))</f>
        <v/>
      </c>
      <c r="K281" s="92" t="str">
        <f>IF(ISBLANK(J281),"",IFERROR(INDEX('Tournament List'!$D:$D,MATCH(J281,'Tournament List'!$A:$A,0)),""))</f>
        <v/>
      </c>
      <c r="L281" s="101" t="str">
        <f>IF(E281="Skeet",IFERROR(INDEX('Shooter-Squad Assignment'!$A:$A,MATCH(C281&amp;"-"&amp;D281&amp;"-"&amp;E281&amp;"-Pos4",'Shooter-Squad Assignment'!#REF!,0)),""),IF(E281="Trap",IFERROR(INDEX('Shooter-Squad Assignment'!$A:$A,MATCH(C281&amp;"-"&amp;D281&amp;"-"&amp;E281&amp;"-Pos4",'Shooter-Squad Assignment'!$V:$V,0)),""),IF(E281="Sporting Clays",IFERROR(INDEX('Shooter-Squad Assignment'!$A:$A,MATCH(C281&amp;"-"&amp;D281&amp;"-"&amp;E281&amp;"-Pos4",'Shooter-Squad Assignment'!$Y:$Y,0)),""),"")))</f>
        <v/>
      </c>
      <c r="M281" s="92" t="str">
        <f>IF(ISBLANK(L281),"",IFERROR(INDEX('Tournament List'!$D:$D,MATCH(L281,'Tournament List'!$A:$A,0)),""))</f>
        <v/>
      </c>
      <c r="N281" s="101" t="str">
        <f>IF(E281="Skeet",IFERROR(INDEX('Shooter-Squad Assignment'!$A:$A,MATCH(C281&amp;"-"&amp;D281&amp;"-"&amp;E281&amp;"-Pos5",'Shooter-Squad Assignment'!#REF!,0)),""),IF(E281="Trap",IFERROR(INDEX('Shooter-Squad Assignment'!$A:$A,MATCH(C281&amp;"-"&amp;D281&amp;"-"&amp;E281&amp;"-Pos5",'Shooter-Squad Assignment'!$V:$V,0)),""),IF(E281="Sporting Clays",IFERROR(INDEX('Shooter-Squad Assignment'!$A:$A,MATCH(C281&amp;"-"&amp;D281&amp;"-"&amp;E281&amp;"-Pos5",'Shooter-Squad Assignment'!$Y:$Y,0)),""),"")))</f>
        <v/>
      </c>
      <c r="O281" s="93" t="str">
        <f>IF(ISBLANK(N281),"",IFERROR(INDEX('Tournament List'!$D:$D,MATCH(N281,'Tournament List'!$A:$A,0)),""))</f>
        <v/>
      </c>
    </row>
    <row r="282" spans="1:15" x14ac:dyDescent="0.3">
      <c r="A282" s="91">
        <v>290</v>
      </c>
      <c r="B282" s="92" t="str">
        <f t="shared" si="4"/>
        <v>Littleton Target Masters-Novice 2-Skeet</v>
      </c>
      <c r="C282" s="92" t="s">
        <v>324</v>
      </c>
      <c r="D282" s="92" t="s">
        <v>345</v>
      </c>
      <c r="E282" s="92" t="s">
        <v>143</v>
      </c>
      <c r="F282" s="101" t="str">
        <f>IF(E282="Skeet",IFERROR(INDEX('Shooter-Squad Assignment'!$A:$A,MATCH(C282&amp;"-"&amp;D282&amp;"-"&amp;E282&amp;"-Pos1",'Shooter-Squad Assignment'!#REF!,0)),""),IF(E282="Trap",IFERROR(INDEX('Shooter-Squad Assignment'!$A:$A,MATCH(C282&amp;"-"&amp;D282&amp;"-"&amp;E282&amp;"-Pos1",'Shooter-Squad Assignment'!$V:$V,0)),""),IF(E282="Sporting Clays",IFERROR(INDEX('Shooter-Squad Assignment'!$A:$A,MATCH(C282&amp;"-"&amp;D282&amp;"-"&amp;E282&amp;"-Pos1",'Shooter-Squad Assignment'!$Y:$Y,0)),""),"")))</f>
        <v/>
      </c>
      <c r="G282" s="92" t="str">
        <f>IF(ISBLANK(F282),"",IFERROR(INDEX('Tournament List'!$D:$D,MATCH(F282,'Tournament List'!$A:$A,0)),""))</f>
        <v/>
      </c>
      <c r="H282" s="101" t="str">
        <f>IF(E282="Skeet",IFERROR(INDEX('Shooter-Squad Assignment'!$A:$A,MATCH(C282&amp;"-"&amp;D282&amp;"-"&amp;E282&amp;"-Pos2",'Shooter-Squad Assignment'!#REF!,0)),""),IF(E282="Trap",IFERROR(INDEX('Shooter-Squad Assignment'!$A:$A,MATCH(C282&amp;"-"&amp;D282&amp;"-"&amp;E282&amp;"-Pos2",'Shooter-Squad Assignment'!$V:$V,0)),""),IF(E282="Sporting Clays",IFERROR(INDEX('Shooter-Squad Assignment'!$A:$A,MATCH(C282&amp;"-"&amp;D282&amp;"-"&amp;E282&amp;"-Pos2",'Shooter-Squad Assignment'!$Y:$Y,0)),""),"")))</f>
        <v/>
      </c>
      <c r="I282" s="92" t="str">
        <f>IF(ISBLANK(H282),"",IFERROR(INDEX('Tournament List'!$D:$D,MATCH(H282,'Tournament List'!$A:$A,0)),""))</f>
        <v/>
      </c>
      <c r="J282" s="101" t="str">
        <f>IF(E282="Skeet",IFERROR(INDEX('Shooter-Squad Assignment'!$A:$A,MATCH(C282&amp;"-"&amp;D282&amp;"-"&amp;E282&amp;"-Pos3",'Shooter-Squad Assignment'!#REF!,0)),""),IF(E282="Trap",IFERROR(INDEX('Shooter-Squad Assignment'!$A:$A,MATCH(C282&amp;"-"&amp;D282&amp;"-"&amp;E282&amp;"-Pos3",'Shooter-Squad Assignment'!$V:$V,0)),""),IF(E282="Sporting Clays",IFERROR(INDEX('Shooter-Squad Assignment'!$A:$A,MATCH(C282&amp;"-"&amp;D282&amp;"-"&amp;E282&amp;"-Pos3",'Shooter-Squad Assignment'!$Y:$Y,0)),""),"")))</f>
        <v/>
      </c>
      <c r="K282" s="92" t="str">
        <f>IF(ISBLANK(J282),"",IFERROR(INDEX('Tournament List'!$D:$D,MATCH(J282,'Tournament List'!$A:$A,0)),""))</f>
        <v/>
      </c>
      <c r="L282" s="101" t="str">
        <f>IF(E282="Skeet",IFERROR(INDEX('Shooter-Squad Assignment'!$A:$A,MATCH(C282&amp;"-"&amp;D282&amp;"-"&amp;E282&amp;"-Pos4",'Shooter-Squad Assignment'!#REF!,0)),""),IF(E282="Trap",IFERROR(INDEX('Shooter-Squad Assignment'!$A:$A,MATCH(C282&amp;"-"&amp;D282&amp;"-"&amp;E282&amp;"-Pos4",'Shooter-Squad Assignment'!$V:$V,0)),""),IF(E282="Sporting Clays",IFERROR(INDEX('Shooter-Squad Assignment'!$A:$A,MATCH(C282&amp;"-"&amp;D282&amp;"-"&amp;E282&amp;"-Pos4",'Shooter-Squad Assignment'!$Y:$Y,0)),""),"")))</f>
        <v/>
      </c>
      <c r="M282" s="92" t="str">
        <f>IF(ISBLANK(L282),"",IFERROR(INDEX('Tournament List'!$D:$D,MATCH(L282,'Tournament List'!$A:$A,0)),""))</f>
        <v/>
      </c>
      <c r="N282" s="101" t="str">
        <f>IF(E282="Skeet",IFERROR(INDEX('Shooter-Squad Assignment'!$A:$A,MATCH(C282&amp;"-"&amp;D282&amp;"-"&amp;E282&amp;"-Pos5",'Shooter-Squad Assignment'!#REF!,0)),""),IF(E282="Trap",IFERROR(INDEX('Shooter-Squad Assignment'!$A:$A,MATCH(C282&amp;"-"&amp;D282&amp;"-"&amp;E282&amp;"-Pos5",'Shooter-Squad Assignment'!$V:$V,0)),""),IF(E282="Sporting Clays",IFERROR(INDEX('Shooter-Squad Assignment'!$A:$A,MATCH(C282&amp;"-"&amp;D282&amp;"-"&amp;E282&amp;"-Pos5",'Shooter-Squad Assignment'!$Y:$Y,0)),""),"")))</f>
        <v/>
      </c>
      <c r="O282" s="93" t="str">
        <f>IF(ISBLANK(N282),"",IFERROR(INDEX('Tournament List'!$D:$D,MATCH(N282,'Tournament List'!$A:$A,0)),""))</f>
        <v/>
      </c>
    </row>
    <row r="283" spans="1:15" x14ac:dyDescent="0.3">
      <c r="A283" s="91">
        <v>291</v>
      </c>
      <c r="B283" s="92" t="str">
        <f t="shared" si="4"/>
        <v>Littleton Target Masters-Novice 3-Skeet</v>
      </c>
      <c r="C283" s="92" t="s">
        <v>324</v>
      </c>
      <c r="D283" s="92" t="s">
        <v>351</v>
      </c>
      <c r="E283" s="92" t="s">
        <v>143</v>
      </c>
      <c r="F283" s="101" t="str">
        <f>IF(E283="Skeet",IFERROR(INDEX('Shooter-Squad Assignment'!$A:$A,MATCH(C283&amp;"-"&amp;D283&amp;"-"&amp;E283&amp;"-Pos1",'Shooter-Squad Assignment'!#REF!,0)),""),IF(E283="Trap",IFERROR(INDEX('Shooter-Squad Assignment'!$A:$A,MATCH(C283&amp;"-"&amp;D283&amp;"-"&amp;E283&amp;"-Pos1",'Shooter-Squad Assignment'!$V:$V,0)),""),IF(E283="Sporting Clays",IFERROR(INDEX('Shooter-Squad Assignment'!$A:$A,MATCH(C283&amp;"-"&amp;D283&amp;"-"&amp;E283&amp;"-Pos1",'Shooter-Squad Assignment'!$Y:$Y,0)),""),"")))</f>
        <v/>
      </c>
      <c r="G283" s="92" t="str">
        <f>IF(ISBLANK(F283),"",IFERROR(INDEX('Tournament List'!$D:$D,MATCH(F283,'Tournament List'!$A:$A,0)),""))</f>
        <v/>
      </c>
      <c r="H283" s="101" t="str">
        <f>IF(E283="Skeet",IFERROR(INDEX('Shooter-Squad Assignment'!$A:$A,MATCH(C283&amp;"-"&amp;D283&amp;"-"&amp;E283&amp;"-Pos2",'Shooter-Squad Assignment'!#REF!,0)),""),IF(E283="Trap",IFERROR(INDEX('Shooter-Squad Assignment'!$A:$A,MATCH(C283&amp;"-"&amp;D283&amp;"-"&amp;E283&amp;"-Pos2",'Shooter-Squad Assignment'!$V:$V,0)),""),IF(E283="Sporting Clays",IFERROR(INDEX('Shooter-Squad Assignment'!$A:$A,MATCH(C283&amp;"-"&amp;D283&amp;"-"&amp;E283&amp;"-Pos2",'Shooter-Squad Assignment'!$Y:$Y,0)),""),"")))</f>
        <v/>
      </c>
      <c r="I283" s="92" t="str">
        <f>IF(ISBLANK(H283),"",IFERROR(INDEX('Tournament List'!$D:$D,MATCH(H283,'Tournament List'!$A:$A,0)),""))</f>
        <v/>
      </c>
      <c r="J283" s="101" t="str">
        <f>IF(E283="Skeet",IFERROR(INDEX('Shooter-Squad Assignment'!$A:$A,MATCH(C283&amp;"-"&amp;D283&amp;"-"&amp;E283&amp;"-Pos3",'Shooter-Squad Assignment'!#REF!,0)),""),IF(E283="Trap",IFERROR(INDEX('Shooter-Squad Assignment'!$A:$A,MATCH(C283&amp;"-"&amp;D283&amp;"-"&amp;E283&amp;"-Pos3",'Shooter-Squad Assignment'!$V:$V,0)),""),IF(E283="Sporting Clays",IFERROR(INDEX('Shooter-Squad Assignment'!$A:$A,MATCH(C283&amp;"-"&amp;D283&amp;"-"&amp;E283&amp;"-Pos3",'Shooter-Squad Assignment'!$Y:$Y,0)),""),"")))</f>
        <v/>
      </c>
      <c r="K283" s="92" t="str">
        <f>IF(ISBLANK(J283),"",IFERROR(INDEX('Tournament List'!$D:$D,MATCH(J283,'Tournament List'!$A:$A,0)),""))</f>
        <v/>
      </c>
      <c r="L283" s="101" t="str">
        <f>IF(E283="Skeet",IFERROR(INDEX('Shooter-Squad Assignment'!$A:$A,MATCH(C283&amp;"-"&amp;D283&amp;"-"&amp;E283&amp;"-Pos4",'Shooter-Squad Assignment'!#REF!,0)),""),IF(E283="Trap",IFERROR(INDEX('Shooter-Squad Assignment'!$A:$A,MATCH(C283&amp;"-"&amp;D283&amp;"-"&amp;E283&amp;"-Pos4",'Shooter-Squad Assignment'!$V:$V,0)),""),IF(E283="Sporting Clays",IFERROR(INDEX('Shooter-Squad Assignment'!$A:$A,MATCH(C283&amp;"-"&amp;D283&amp;"-"&amp;E283&amp;"-Pos4",'Shooter-Squad Assignment'!$Y:$Y,0)),""),"")))</f>
        <v/>
      </c>
      <c r="M283" s="92" t="str">
        <f>IF(ISBLANK(L283),"",IFERROR(INDEX('Tournament List'!$D:$D,MATCH(L283,'Tournament List'!$A:$A,0)),""))</f>
        <v/>
      </c>
      <c r="N283" s="101" t="str">
        <f>IF(E283="Skeet",IFERROR(INDEX('Shooter-Squad Assignment'!$A:$A,MATCH(C283&amp;"-"&amp;D283&amp;"-"&amp;E283&amp;"-Pos5",'Shooter-Squad Assignment'!#REF!,0)),""),IF(E283="Trap",IFERROR(INDEX('Shooter-Squad Assignment'!$A:$A,MATCH(C283&amp;"-"&amp;D283&amp;"-"&amp;E283&amp;"-Pos5",'Shooter-Squad Assignment'!$V:$V,0)),""),IF(E283="Sporting Clays",IFERROR(INDEX('Shooter-Squad Assignment'!$A:$A,MATCH(C283&amp;"-"&amp;D283&amp;"-"&amp;E283&amp;"-Pos5",'Shooter-Squad Assignment'!$Y:$Y,0)),""),"")))</f>
        <v/>
      </c>
      <c r="O283" s="93" t="str">
        <f>IF(ISBLANK(N283),"",IFERROR(INDEX('Tournament List'!$D:$D,MATCH(N283,'Tournament List'!$A:$A,0)),""))</f>
        <v/>
      </c>
    </row>
    <row r="284" spans="1:15" x14ac:dyDescent="0.3">
      <c r="A284" s="91">
        <v>292</v>
      </c>
      <c r="B284" s="92" t="str">
        <f t="shared" si="4"/>
        <v>Littleton Target Masters-Open 1-Skeet</v>
      </c>
      <c r="C284" s="92" t="s">
        <v>324</v>
      </c>
      <c r="D284" s="92" t="s">
        <v>343</v>
      </c>
      <c r="E284" s="92" t="s">
        <v>143</v>
      </c>
      <c r="F284" s="101" t="str">
        <f>IF(E284="Skeet",IFERROR(INDEX('Shooter-Squad Assignment'!$A:$A,MATCH(C284&amp;"-"&amp;D284&amp;"-"&amp;E284&amp;"-Pos1",'Shooter-Squad Assignment'!#REF!,0)),""),IF(E284="Trap",IFERROR(INDEX('Shooter-Squad Assignment'!$A:$A,MATCH(C284&amp;"-"&amp;D284&amp;"-"&amp;E284&amp;"-Pos1",'Shooter-Squad Assignment'!$V:$V,0)),""),IF(E284="Sporting Clays",IFERROR(INDEX('Shooter-Squad Assignment'!$A:$A,MATCH(C284&amp;"-"&amp;D284&amp;"-"&amp;E284&amp;"-Pos1",'Shooter-Squad Assignment'!$Y:$Y,0)),""),"")))</f>
        <v/>
      </c>
      <c r="G284" s="92" t="str">
        <f>IF(ISBLANK(F284),"",IFERROR(INDEX('Tournament List'!$D:$D,MATCH(F284,'Tournament List'!$A:$A,0)),""))</f>
        <v/>
      </c>
      <c r="H284" s="101" t="str">
        <f>IF(E284="Skeet",IFERROR(INDEX('Shooter-Squad Assignment'!$A:$A,MATCH(C284&amp;"-"&amp;D284&amp;"-"&amp;E284&amp;"-Pos2",'Shooter-Squad Assignment'!#REF!,0)),""),IF(E284="Trap",IFERROR(INDEX('Shooter-Squad Assignment'!$A:$A,MATCH(C284&amp;"-"&amp;D284&amp;"-"&amp;E284&amp;"-Pos2",'Shooter-Squad Assignment'!$V:$V,0)),""),IF(E284="Sporting Clays",IFERROR(INDEX('Shooter-Squad Assignment'!$A:$A,MATCH(C284&amp;"-"&amp;D284&amp;"-"&amp;E284&amp;"-Pos2",'Shooter-Squad Assignment'!$Y:$Y,0)),""),"")))</f>
        <v/>
      </c>
      <c r="I284" s="92" t="str">
        <f>IF(ISBLANK(H284),"",IFERROR(INDEX('Tournament List'!$D:$D,MATCH(H284,'Tournament List'!$A:$A,0)),""))</f>
        <v/>
      </c>
      <c r="J284" s="101" t="str">
        <f>IF(E284="Skeet",IFERROR(INDEX('Shooter-Squad Assignment'!$A:$A,MATCH(C284&amp;"-"&amp;D284&amp;"-"&amp;E284&amp;"-Pos3",'Shooter-Squad Assignment'!#REF!,0)),""),IF(E284="Trap",IFERROR(INDEX('Shooter-Squad Assignment'!$A:$A,MATCH(C284&amp;"-"&amp;D284&amp;"-"&amp;E284&amp;"-Pos3",'Shooter-Squad Assignment'!$V:$V,0)),""),IF(E284="Sporting Clays",IFERROR(INDEX('Shooter-Squad Assignment'!$A:$A,MATCH(C284&amp;"-"&amp;D284&amp;"-"&amp;E284&amp;"-Pos3",'Shooter-Squad Assignment'!$Y:$Y,0)),""),"")))</f>
        <v/>
      </c>
      <c r="K284" s="92" t="str">
        <f>IF(ISBLANK(J284),"",IFERROR(INDEX('Tournament List'!$D:$D,MATCH(J284,'Tournament List'!$A:$A,0)),""))</f>
        <v/>
      </c>
      <c r="L284" s="101" t="str">
        <f>IF(E284="Skeet",IFERROR(INDEX('Shooter-Squad Assignment'!$A:$A,MATCH(C284&amp;"-"&amp;D284&amp;"-"&amp;E284&amp;"-Pos4",'Shooter-Squad Assignment'!#REF!,0)),""),IF(E284="Trap",IFERROR(INDEX('Shooter-Squad Assignment'!$A:$A,MATCH(C284&amp;"-"&amp;D284&amp;"-"&amp;E284&amp;"-Pos4",'Shooter-Squad Assignment'!$V:$V,0)),""),IF(E284="Sporting Clays",IFERROR(INDEX('Shooter-Squad Assignment'!$A:$A,MATCH(C284&amp;"-"&amp;D284&amp;"-"&amp;E284&amp;"-Pos4",'Shooter-Squad Assignment'!$Y:$Y,0)),""),"")))</f>
        <v/>
      </c>
      <c r="M284" s="92" t="str">
        <f>IF(ISBLANK(L284),"",IFERROR(INDEX('Tournament List'!$D:$D,MATCH(L284,'Tournament List'!$A:$A,0)),""))</f>
        <v/>
      </c>
      <c r="N284" s="101" t="str">
        <f>IF(E284="Skeet",IFERROR(INDEX('Shooter-Squad Assignment'!$A:$A,MATCH(C284&amp;"-"&amp;D284&amp;"-"&amp;E284&amp;"-Pos5",'Shooter-Squad Assignment'!#REF!,0)),""),IF(E284="Trap",IFERROR(INDEX('Shooter-Squad Assignment'!$A:$A,MATCH(C284&amp;"-"&amp;D284&amp;"-"&amp;E284&amp;"-Pos5",'Shooter-Squad Assignment'!$V:$V,0)),""),IF(E284="Sporting Clays",IFERROR(INDEX('Shooter-Squad Assignment'!$A:$A,MATCH(C284&amp;"-"&amp;D284&amp;"-"&amp;E284&amp;"-Pos5",'Shooter-Squad Assignment'!$Y:$Y,0)),""),"")))</f>
        <v/>
      </c>
      <c r="O284" s="93" t="str">
        <f>IF(ISBLANK(N284),"",IFERROR(INDEX('Tournament List'!$D:$D,MATCH(N284,'Tournament List'!$A:$A,0)),""))</f>
        <v/>
      </c>
    </row>
    <row r="285" spans="1:15" x14ac:dyDescent="0.3">
      <c r="A285" s="91">
        <v>293</v>
      </c>
      <c r="B285" s="92" t="str">
        <f t="shared" si="4"/>
        <v>Littleton Target Masters-Open 2-Skeet</v>
      </c>
      <c r="C285" s="92" t="s">
        <v>324</v>
      </c>
      <c r="D285" s="92" t="s">
        <v>349</v>
      </c>
      <c r="E285" s="92" t="s">
        <v>143</v>
      </c>
      <c r="F285" s="101" t="str">
        <f>IF(E285="Skeet",IFERROR(INDEX('Shooter-Squad Assignment'!$A:$A,MATCH(C285&amp;"-"&amp;D285&amp;"-"&amp;E285&amp;"-Pos1",'Shooter-Squad Assignment'!#REF!,0)),""),IF(E285="Trap",IFERROR(INDEX('Shooter-Squad Assignment'!$A:$A,MATCH(C285&amp;"-"&amp;D285&amp;"-"&amp;E285&amp;"-Pos1",'Shooter-Squad Assignment'!$V:$V,0)),""),IF(E285="Sporting Clays",IFERROR(INDEX('Shooter-Squad Assignment'!$A:$A,MATCH(C285&amp;"-"&amp;D285&amp;"-"&amp;E285&amp;"-Pos1",'Shooter-Squad Assignment'!$Y:$Y,0)),""),"")))</f>
        <v/>
      </c>
      <c r="G285" s="92" t="str">
        <f>IF(ISBLANK(F285),"",IFERROR(INDEX('Tournament List'!$D:$D,MATCH(F285,'Tournament List'!$A:$A,0)),""))</f>
        <v/>
      </c>
      <c r="H285" s="101" t="str">
        <f>IF(E285="Skeet",IFERROR(INDEX('Shooter-Squad Assignment'!$A:$A,MATCH(C285&amp;"-"&amp;D285&amp;"-"&amp;E285&amp;"-Pos2",'Shooter-Squad Assignment'!#REF!,0)),""),IF(E285="Trap",IFERROR(INDEX('Shooter-Squad Assignment'!$A:$A,MATCH(C285&amp;"-"&amp;D285&amp;"-"&amp;E285&amp;"-Pos2",'Shooter-Squad Assignment'!$V:$V,0)),""),IF(E285="Sporting Clays",IFERROR(INDEX('Shooter-Squad Assignment'!$A:$A,MATCH(C285&amp;"-"&amp;D285&amp;"-"&amp;E285&amp;"-Pos2",'Shooter-Squad Assignment'!$Y:$Y,0)),""),"")))</f>
        <v/>
      </c>
      <c r="I285" s="92" t="str">
        <f>IF(ISBLANK(H285),"",IFERROR(INDEX('Tournament List'!$D:$D,MATCH(H285,'Tournament List'!$A:$A,0)),""))</f>
        <v/>
      </c>
      <c r="J285" s="101" t="str">
        <f>IF(E285="Skeet",IFERROR(INDEX('Shooter-Squad Assignment'!$A:$A,MATCH(C285&amp;"-"&amp;D285&amp;"-"&amp;E285&amp;"-Pos3",'Shooter-Squad Assignment'!#REF!,0)),""),IF(E285="Trap",IFERROR(INDEX('Shooter-Squad Assignment'!$A:$A,MATCH(C285&amp;"-"&amp;D285&amp;"-"&amp;E285&amp;"-Pos3",'Shooter-Squad Assignment'!$V:$V,0)),""),IF(E285="Sporting Clays",IFERROR(INDEX('Shooter-Squad Assignment'!$A:$A,MATCH(C285&amp;"-"&amp;D285&amp;"-"&amp;E285&amp;"-Pos3",'Shooter-Squad Assignment'!$Y:$Y,0)),""),"")))</f>
        <v/>
      </c>
      <c r="K285" s="92" t="str">
        <f>IF(ISBLANK(J285),"",IFERROR(INDEX('Tournament List'!$D:$D,MATCH(J285,'Tournament List'!$A:$A,0)),""))</f>
        <v/>
      </c>
      <c r="L285" s="101" t="str">
        <f>IF(E285="Skeet",IFERROR(INDEX('Shooter-Squad Assignment'!$A:$A,MATCH(C285&amp;"-"&amp;D285&amp;"-"&amp;E285&amp;"-Pos4",'Shooter-Squad Assignment'!#REF!,0)),""),IF(E285="Trap",IFERROR(INDEX('Shooter-Squad Assignment'!$A:$A,MATCH(C285&amp;"-"&amp;D285&amp;"-"&amp;E285&amp;"-Pos4",'Shooter-Squad Assignment'!$V:$V,0)),""),IF(E285="Sporting Clays",IFERROR(INDEX('Shooter-Squad Assignment'!$A:$A,MATCH(C285&amp;"-"&amp;D285&amp;"-"&amp;E285&amp;"-Pos4",'Shooter-Squad Assignment'!$Y:$Y,0)),""),"")))</f>
        <v/>
      </c>
      <c r="M285" s="92" t="str">
        <f>IF(ISBLANK(L285),"",IFERROR(INDEX('Tournament List'!$D:$D,MATCH(L285,'Tournament List'!$A:$A,0)),""))</f>
        <v/>
      </c>
      <c r="N285" s="101" t="str">
        <f>IF(E285="Skeet",IFERROR(INDEX('Shooter-Squad Assignment'!$A:$A,MATCH(C285&amp;"-"&amp;D285&amp;"-"&amp;E285&amp;"-Pos5",'Shooter-Squad Assignment'!#REF!,0)),""),IF(E285="Trap",IFERROR(INDEX('Shooter-Squad Assignment'!$A:$A,MATCH(C285&amp;"-"&amp;D285&amp;"-"&amp;E285&amp;"-Pos5",'Shooter-Squad Assignment'!$V:$V,0)),""),IF(E285="Sporting Clays",IFERROR(INDEX('Shooter-Squad Assignment'!$A:$A,MATCH(C285&amp;"-"&amp;D285&amp;"-"&amp;E285&amp;"-Pos5",'Shooter-Squad Assignment'!$Y:$Y,0)),""),"")))</f>
        <v/>
      </c>
      <c r="O285" s="93" t="str">
        <f>IF(ISBLANK(N285),"",IFERROR(INDEX('Tournament List'!$D:$D,MATCH(N285,'Tournament List'!$A:$A,0)),""))</f>
        <v/>
      </c>
    </row>
    <row r="286" spans="1:15" x14ac:dyDescent="0.3">
      <c r="A286" s="91">
        <v>294</v>
      </c>
      <c r="B286" s="92" t="str">
        <f t="shared" si="4"/>
        <v>Littleton Target Masters-Open 3-Skeet</v>
      </c>
      <c r="C286" s="92" t="s">
        <v>324</v>
      </c>
      <c r="D286" s="92" t="s">
        <v>355</v>
      </c>
      <c r="E286" s="92" t="s">
        <v>143</v>
      </c>
      <c r="F286" s="101" t="str">
        <f>IF(E286="Skeet",IFERROR(INDEX('Shooter-Squad Assignment'!$A:$A,MATCH(C286&amp;"-"&amp;D286&amp;"-"&amp;E286&amp;"-Pos1",'Shooter-Squad Assignment'!#REF!,0)),""),IF(E286="Trap",IFERROR(INDEX('Shooter-Squad Assignment'!$A:$A,MATCH(C286&amp;"-"&amp;D286&amp;"-"&amp;E286&amp;"-Pos1",'Shooter-Squad Assignment'!$V:$V,0)),""),IF(E286="Sporting Clays",IFERROR(INDEX('Shooter-Squad Assignment'!$A:$A,MATCH(C286&amp;"-"&amp;D286&amp;"-"&amp;E286&amp;"-Pos1",'Shooter-Squad Assignment'!$Y:$Y,0)),""),"")))</f>
        <v/>
      </c>
      <c r="G286" s="92" t="str">
        <f>IF(ISBLANK(F286),"",IFERROR(INDEX('Tournament List'!$D:$D,MATCH(F286,'Tournament List'!$A:$A,0)),""))</f>
        <v/>
      </c>
      <c r="H286" s="101" t="str">
        <f>IF(E286="Skeet",IFERROR(INDEX('Shooter-Squad Assignment'!$A:$A,MATCH(C286&amp;"-"&amp;D286&amp;"-"&amp;E286&amp;"-Pos2",'Shooter-Squad Assignment'!#REF!,0)),""),IF(E286="Trap",IFERROR(INDEX('Shooter-Squad Assignment'!$A:$A,MATCH(C286&amp;"-"&amp;D286&amp;"-"&amp;E286&amp;"-Pos2",'Shooter-Squad Assignment'!$V:$V,0)),""),IF(E286="Sporting Clays",IFERROR(INDEX('Shooter-Squad Assignment'!$A:$A,MATCH(C286&amp;"-"&amp;D286&amp;"-"&amp;E286&amp;"-Pos2",'Shooter-Squad Assignment'!$Y:$Y,0)),""),"")))</f>
        <v/>
      </c>
      <c r="I286" s="92" t="str">
        <f>IF(ISBLANK(H286),"",IFERROR(INDEX('Tournament List'!$D:$D,MATCH(H286,'Tournament List'!$A:$A,0)),""))</f>
        <v/>
      </c>
      <c r="J286" s="101" t="str">
        <f>IF(E286="Skeet",IFERROR(INDEX('Shooter-Squad Assignment'!$A:$A,MATCH(C286&amp;"-"&amp;D286&amp;"-"&amp;E286&amp;"-Pos3",'Shooter-Squad Assignment'!#REF!,0)),""),IF(E286="Trap",IFERROR(INDEX('Shooter-Squad Assignment'!$A:$A,MATCH(C286&amp;"-"&amp;D286&amp;"-"&amp;E286&amp;"-Pos3",'Shooter-Squad Assignment'!$V:$V,0)),""),IF(E286="Sporting Clays",IFERROR(INDEX('Shooter-Squad Assignment'!$A:$A,MATCH(C286&amp;"-"&amp;D286&amp;"-"&amp;E286&amp;"-Pos3",'Shooter-Squad Assignment'!$Y:$Y,0)),""),"")))</f>
        <v/>
      </c>
      <c r="K286" s="92" t="str">
        <f>IF(ISBLANK(J286),"",IFERROR(INDEX('Tournament List'!$D:$D,MATCH(J286,'Tournament List'!$A:$A,0)),""))</f>
        <v/>
      </c>
      <c r="L286" s="101" t="str">
        <f>IF(E286="Skeet",IFERROR(INDEX('Shooter-Squad Assignment'!$A:$A,MATCH(C286&amp;"-"&amp;D286&amp;"-"&amp;E286&amp;"-Pos4",'Shooter-Squad Assignment'!#REF!,0)),""),IF(E286="Trap",IFERROR(INDEX('Shooter-Squad Assignment'!$A:$A,MATCH(C286&amp;"-"&amp;D286&amp;"-"&amp;E286&amp;"-Pos4",'Shooter-Squad Assignment'!$V:$V,0)),""),IF(E286="Sporting Clays",IFERROR(INDEX('Shooter-Squad Assignment'!$A:$A,MATCH(C286&amp;"-"&amp;D286&amp;"-"&amp;E286&amp;"-Pos4",'Shooter-Squad Assignment'!$Y:$Y,0)),""),"")))</f>
        <v/>
      </c>
      <c r="M286" s="92" t="str">
        <f>IF(ISBLANK(L286),"",IFERROR(INDEX('Tournament List'!$D:$D,MATCH(L286,'Tournament List'!$A:$A,0)),""))</f>
        <v/>
      </c>
      <c r="N286" s="101" t="str">
        <f>IF(E286="Skeet",IFERROR(INDEX('Shooter-Squad Assignment'!$A:$A,MATCH(C286&amp;"-"&amp;D286&amp;"-"&amp;E286&amp;"-Pos5",'Shooter-Squad Assignment'!#REF!,0)),""),IF(E286="Trap",IFERROR(INDEX('Shooter-Squad Assignment'!$A:$A,MATCH(C286&amp;"-"&amp;D286&amp;"-"&amp;E286&amp;"-Pos5",'Shooter-Squad Assignment'!$V:$V,0)),""),IF(E286="Sporting Clays",IFERROR(INDEX('Shooter-Squad Assignment'!$A:$A,MATCH(C286&amp;"-"&amp;D286&amp;"-"&amp;E286&amp;"-Pos5",'Shooter-Squad Assignment'!$Y:$Y,0)),""),"")))</f>
        <v/>
      </c>
      <c r="O286" s="93" t="str">
        <f>IF(ISBLANK(N286),"",IFERROR(INDEX('Tournament List'!$D:$D,MATCH(N286,'Tournament List'!$A:$A,0)),""))</f>
        <v/>
      </c>
    </row>
    <row r="287" spans="1:15" x14ac:dyDescent="0.3">
      <c r="A287" s="91">
        <v>295</v>
      </c>
      <c r="B287" s="92" t="str">
        <f t="shared" si="4"/>
        <v>Littleton Target Masters-Varsity 1-Skeet</v>
      </c>
      <c r="C287" s="92" t="s">
        <v>324</v>
      </c>
      <c r="D287" s="92" t="s">
        <v>342</v>
      </c>
      <c r="E287" s="92" t="s">
        <v>143</v>
      </c>
      <c r="F287" s="101" t="str">
        <f>IF(E287="Skeet",IFERROR(INDEX('Shooter-Squad Assignment'!$A:$A,MATCH(C287&amp;"-"&amp;D287&amp;"-"&amp;E287&amp;"-Pos1",'Shooter-Squad Assignment'!#REF!,0)),""),IF(E287="Trap",IFERROR(INDEX('Shooter-Squad Assignment'!$A:$A,MATCH(C287&amp;"-"&amp;D287&amp;"-"&amp;E287&amp;"-Pos1",'Shooter-Squad Assignment'!$V:$V,0)),""),IF(E287="Sporting Clays",IFERROR(INDEX('Shooter-Squad Assignment'!$A:$A,MATCH(C287&amp;"-"&amp;D287&amp;"-"&amp;E287&amp;"-Pos1",'Shooter-Squad Assignment'!$Y:$Y,0)),""),"")))</f>
        <v/>
      </c>
      <c r="G287" s="92" t="str">
        <f>IF(ISBLANK(F287),"",IFERROR(INDEX('Tournament List'!$D:$D,MATCH(F287,'Tournament List'!$A:$A,0)),""))</f>
        <v/>
      </c>
      <c r="H287" s="101" t="str">
        <f>IF(E287="Skeet",IFERROR(INDEX('Shooter-Squad Assignment'!$A:$A,MATCH(C287&amp;"-"&amp;D287&amp;"-"&amp;E287&amp;"-Pos2",'Shooter-Squad Assignment'!#REF!,0)),""),IF(E287="Trap",IFERROR(INDEX('Shooter-Squad Assignment'!$A:$A,MATCH(C287&amp;"-"&amp;D287&amp;"-"&amp;E287&amp;"-Pos2",'Shooter-Squad Assignment'!$V:$V,0)),""),IF(E287="Sporting Clays",IFERROR(INDEX('Shooter-Squad Assignment'!$A:$A,MATCH(C287&amp;"-"&amp;D287&amp;"-"&amp;E287&amp;"-Pos2",'Shooter-Squad Assignment'!$Y:$Y,0)),""),"")))</f>
        <v/>
      </c>
      <c r="I287" s="92" t="str">
        <f>IF(ISBLANK(H287),"",IFERROR(INDEX('Tournament List'!$D:$D,MATCH(H287,'Tournament List'!$A:$A,0)),""))</f>
        <v/>
      </c>
      <c r="J287" s="101" t="str">
        <f>IF(E287="Skeet",IFERROR(INDEX('Shooter-Squad Assignment'!$A:$A,MATCH(C287&amp;"-"&amp;D287&amp;"-"&amp;E287&amp;"-Pos3",'Shooter-Squad Assignment'!#REF!,0)),""),IF(E287="Trap",IFERROR(INDEX('Shooter-Squad Assignment'!$A:$A,MATCH(C287&amp;"-"&amp;D287&amp;"-"&amp;E287&amp;"-Pos3",'Shooter-Squad Assignment'!$V:$V,0)),""),IF(E287="Sporting Clays",IFERROR(INDEX('Shooter-Squad Assignment'!$A:$A,MATCH(C287&amp;"-"&amp;D287&amp;"-"&amp;E287&amp;"-Pos3",'Shooter-Squad Assignment'!$Y:$Y,0)),""),"")))</f>
        <v/>
      </c>
      <c r="K287" s="92" t="str">
        <f>IF(ISBLANK(J287),"",IFERROR(INDEX('Tournament List'!$D:$D,MATCH(J287,'Tournament List'!$A:$A,0)),""))</f>
        <v/>
      </c>
      <c r="L287" s="101" t="str">
        <f>IF(E287="Skeet",IFERROR(INDEX('Shooter-Squad Assignment'!$A:$A,MATCH(C287&amp;"-"&amp;D287&amp;"-"&amp;E287&amp;"-Pos4",'Shooter-Squad Assignment'!#REF!,0)),""),IF(E287="Trap",IFERROR(INDEX('Shooter-Squad Assignment'!$A:$A,MATCH(C287&amp;"-"&amp;D287&amp;"-"&amp;E287&amp;"-Pos4",'Shooter-Squad Assignment'!$V:$V,0)),""),IF(E287="Sporting Clays",IFERROR(INDEX('Shooter-Squad Assignment'!$A:$A,MATCH(C287&amp;"-"&amp;D287&amp;"-"&amp;E287&amp;"-Pos4",'Shooter-Squad Assignment'!$Y:$Y,0)),""),"")))</f>
        <v/>
      </c>
      <c r="M287" s="92" t="str">
        <f>IF(ISBLANK(L287),"",IFERROR(INDEX('Tournament List'!$D:$D,MATCH(L287,'Tournament List'!$A:$A,0)),""))</f>
        <v/>
      </c>
      <c r="N287" s="101" t="str">
        <f>IF(E287="Skeet",IFERROR(INDEX('Shooter-Squad Assignment'!$A:$A,MATCH(C287&amp;"-"&amp;D287&amp;"-"&amp;E287&amp;"-Pos5",'Shooter-Squad Assignment'!#REF!,0)),""),IF(E287="Trap",IFERROR(INDEX('Shooter-Squad Assignment'!$A:$A,MATCH(C287&amp;"-"&amp;D287&amp;"-"&amp;E287&amp;"-Pos5",'Shooter-Squad Assignment'!$V:$V,0)),""),IF(E287="Sporting Clays",IFERROR(INDEX('Shooter-Squad Assignment'!$A:$A,MATCH(C287&amp;"-"&amp;D287&amp;"-"&amp;E287&amp;"-Pos5",'Shooter-Squad Assignment'!$Y:$Y,0)),""),"")))</f>
        <v/>
      </c>
      <c r="O287" s="93" t="str">
        <f>IF(ISBLANK(N287),"",IFERROR(INDEX('Tournament List'!$D:$D,MATCH(N287,'Tournament List'!$A:$A,0)),""))</f>
        <v/>
      </c>
    </row>
    <row r="288" spans="1:15" x14ac:dyDescent="0.3">
      <c r="A288" s="91">
        <v>296</v>
      </c>
      <c r="B288" s="92" t="str">
        <f t="shared" si="4"/>
        <v>Littleton Target Masters-Varsity 2-Skeet</v>
      </c>
      <c r="C288" s="92" t="s">
        <v>324</v>
      </c>
      <c r="D288" s="92" t="s">
        <v>348</v>
      </c>
      <c r="E288" s="92" t="s">
        <v>143</v>
      </c>
      <c r="F288" s="101" t="str">
        <f>IF(E288="Skeet",IFERROR(INDEX('Shooter-Squad Assignment'!$A:$A,MATCH(C288&amp;"-"&amp;D288&amp;"-"&amp;E288&amp;"-Pos1",'Shooter-Squad Assignment'!#REF!,0)),""),IF(E288="Trap",IFERROR(INDEX('Shooter-Squad Assignment'!$A:$A,MATCH(C288&amp;"-"&amp;D288&amp;"-"&amp;E288&amp;"-Pos1",'Shooter-Squad Assignment'!$V:$V,0)),""),IF(E288="Sporting Clays",IFERROR(INDEX('Shooter-Squad Assignment'!$A:$A,MATCH(C288&amp;"-"&amp;D288&amp;"-"&amp;E288&amp;"-Pos1",'Shooter-Squad Assignment'!$Y:$Y,0)),""),"")))</f>
        <v/>
      </c>
      <c r="G288" s="92" t="str">
        <f>IF(ISBLANK(F288),"",IFERROR(INDEX('Tournament List'!$D:$D,MATCH(F288,'Tournament List'!$A:$A,0)),""))</f>
        <v/>
      </c>
      <c r="H288" s="101" t="str">
        <f>IF(E288="Skeet",IFERROR(INDEX('Shooter-Squad Assignment'!$A:$A,MATCH(C288&amp;"-"&amp;D288&amp;"-"&amp;E288&amp;"-Pos2",'Shooter-Squad Assignment'!#REF!,0)),""),IF(E288="Trap",IFERROR(INDEX('Shooter-Squad Assignment'!$A:$A,MATCH(C288&amp;"-"&amp;D288&amp;"-"&amp;E288&amp;"-Pos2",'Shooter-Squad Assignment'!$V:$V,0)),""),IF(E288="Sporting Clays",IFERROR(INDEX('Shooter-Squad Assignment'!$A:$A,MATCH(C288&amp;"-"&amp;D288&amp;"-"&amp;E288&amp;"-Pos2",'Shooter-Squad Assignment'!$Y:$Y,0)),""),"")))</f>
        <v/>
      </c>
      <c r="I288" s="92" t="str">
        <f>IF(ISBLANK(H288),"",IFERROR(INDEX('Tournament List'!$D:$D,MATCH(H288,'Tournament List'!$A:$A,0)),""))</f>
        <v/>
      </c>
      <c r="J288" s="101" t="str">
        <f>IF(E288="Skeet",IFERROR(INDEX('Shooter-Squad Assignment'!$A:$A,MATCH(C288&amp;"-"&amp;D288&amp;"-"&amp;E288&amp;"-Pos3",'Shooter-Squad Assignment'!#REF!,0)),""),IF(E288="Trap",IFERROR(INDEX('Shooter-Squad Assignment'!$A:$A,MATCH(C288&amp;"-"&amp;D288&amp;"-"&amp;E288&amp;"-Pos3",'Shooter-Squad Assignment'!$V:$V,0)),""),IF(E288="Sporting Clays",IFERROR(INDEX('Shooter-Squad Assignment'!$A:$A,MATCH(C288&amp;"-"&amp;D288&amp;"-"&amp;E288&amp;"-Pos3",'Shooter-Squad Assignment'!$Y:$Y,0)),""),"")))</f>
        <v/>
      </c>
      <c r="K288" s="92" t="str">
        <f>IF(ISBLANK(J288),"",IFERROR(INDEX('Tournament List'!$D:$D,MATCH(J288,'Tournament List'!$A:$A,0)),""))</f>
        <v/>
      </c>
      <c r="L288" s="101" t="str">
        <f>IF(E288="Skeet",IFERROR(INDEX('Shooter-Squad Assignment'!$A:$A,MATCH(C288&amp;"-"&amp;D288&amp;"-"&amp;E288&amp;"-Pos4",'Shooter-Squad Assignment'!#REF!,0)),""),IF(E288="Trap",IFERROR(INDEX('Shooter-Squad Assignment'!$A:$A,MATCH(C288&amp;"-"&amp;D288&amp;"-"&amp;E288&amp;"-Pos4",'Shooter-Squad Assignment'!$V:$V,0)),""),IF(E288="Sporting Clays",IFERROR(INDEX('Shooter-Squad Assignment'!$A:$A,MATCH(C288&amp;"-"&amp;D288&amp;"-"&amp;E288&amp;"-Pos4",'Shooter-Squad Assignment'!$Y:$Y,0)),""),"")))</f>
        <v/>
      </c>
      <c r="M288" s="92" t="str">
        <f>IF(ISBLANK(L288),"",IFERROR(INDEX('Tournament List'!$D:$D,MATCH(L288,'Tournament List'!$A:$A,0)),""))</f>
        <v/>
      </c>
      <c r="N288" s="101" t="str">
        <f>IF(E288="Skeet",IFERROR(INDEX('Shooter-Squad Assignment'!$A:$A,MATCH(C288&amp;"-"&amp;D288&amp;"-"&amp;E288&amp;"-Pos5",'Shooter-Squad Assignment'!#REF!,0)),""),IF(E288="Trap",IFERROR(INDEX('Shooter-Squad Assignment'!$A:$A,MATCH(C288&amp;"-"&amp;D288&amp;"-"&amp;E288&amp;"-Pos5",'Shooter-Squad Assignment'!$V:$V,0)),""),IF(E288="Sporting Clays",IFERROR(INDEX('Shooter-Squad Assignment'!$A:$A,MATCH(C288&amp;"-"&amp;D288&amp;"-"&amp;E288&amp;"-Pos5",'Shooter-Squad Assignment'!$Y:$Y,0)),""),"")))</f>
        <v/>
      </c>
      <c r="O288" s="93" t="str">
        <f>IF(ISBLANK(N288),"",IFERROR(INDEX('Tournament List'!$D:$D,MATCH(N288,'Tournament List'!$A:$A,0)),""))</f>
        <v/>
      </c>
    </row>
    <row r="289" spans="1:15" x14ac:dyDescent="0.3">
      <c r="A289" s="91">
        <v>297</v>
      </c>
      <c r="B289" s="92" t="str">
        <f t="shared" si="4"/>
        <v>Littleton Target Masters-Varsity 3-Skeet</v>
      </c>
      <c r="C289" s="92" t="s">
        <v>324</v>
      </c>
      <c r="D289" s="92" t="s">
        <v>354</v>
      </c>
      <c r="E289" s="92" t="s">
        <v>143</v>
      </c>
      <c r="F289" s="101" t="str">
        <f>IF(E289="Skeet",IFERROR(INDEX('Shooter-Squad Assignment'!$A:$A,MATCH(C289&amp;"-"&amp;D289&amp;"-"&amp;E289&amp;"-Pos1",'Shooter-Squad Assignment'!#REF!,0)),""),IF(E289="Trap",IFERROR(INDEX('Shooter-Squad Assignment'!$A:$A,MATCH(C289&amp;"-"&amp;D289&amp;"-"&amp;E289&amp;"-Pos1",'Shooter-Squad Assignment'!$V:$V,0)),""),IF(E289="Sporting Clays",IFERROR(INDEX('Shooter-Squad Assignment'!$A:$A,MATCH(C289&amp;"-"&amp;D289&amp;"-"&amp;E289&amp;"-Pos1",'Shooter-Squad Assignment'!$Y:$Y,0)),""),"")))</f>
        <v/>
      </c>
      <c r="G289" s="92" t="str">
        <f>IF(ISBLANK(F289),"",IFERROR(INDEX('Tournament List'!$D:$D,MATCH(F289,'Tournament List'!$A:$A,0)),""))</f>
        <v/>
      </c>
      <c r="H289" s="101" t="str">
        <f>IF(E289="Skeet",IFERROR(INDEX('Shooter-Squad Assignment'!$A:$A,MATCH(C289&amp;"-"&amp;D289&amp;"-"&amp;E289&amp;"-Pos2",'Shooter-Squad Assignment'!#REF!,0)),""),IF(E289="Trap",IFERROR(INDEX('Shooter-Squad Assignment'!$A:$A,MATCH(C289&amp;"-"&amp;D289&amp;"-"&amp;E289&amp;"-Pos2",'Shooter-Squad Assignment'!$V:$V,0)),""),IF(E289="Sporting Clays",IFERROR(INDEX('Shooter-Squad Assignment'!$A:$A,MATCH(C289&amp;"-"&amp;D289&amp;"-"&amp;E289&amp;"-Pos2",'Shooter-Squad Assignment'!$Y:$Y,0)),""),"")))</f>
        <v/>
      </c>
      <c r="I289" s="92" t="str">
        <f>IF(ISBLANK(H289),"",IFERROR(INDEX('Tournament List'!$D:$D,MATCH(H289,'Tournament List'!$A:$A,0)),""))</f>
        <v/>
      </c>
      <c r="J289" s="101" t="str">
        <f>IF(E289="Skeet",IFERROR(INDEX('Shooter-Squad Assignment'!$A:$A,MATCH(C289&amp;"-"&amp;D289&amp;"-"&amp;E289&amp;"-Pos3",'Shooter-Squad Assignment'!#REF!,0)),""),IF(E289="Trap",IFERROR(INDEX('Shooter-Squad Assignment'!$A:$A,MATCH(C289&amp;"-"&amp;D289&amp;"-"&amp;E289&amp;"-Pos3",'Shooter-Squad Assignment'!$V:$V,0)),""),IF(E289="Sporting Clays",IFERROR(INDEX('Shooter-Squad Assignment'!$A:$A,MATCH(C289&amp;"-"&amp;D289&amp;"-"&amp;E289&amp;"-Pos3",'Shooter-Squad Assignment'!$Y:$Y,0)),""),"")))</f>
        <v/>
      </c>
      <c r="K289" s="92" t="str">
        <f>IF(ISBLANK(J289),"",IFERROR(INDEX('Tournament List'!$D:$D,MATCH(J289,'Tournament List'!$A:$A,0)),""))</f>
        <v/>
      </c>
      <c r="L289" s="101" t="str">
        <f>IF(E289="Skeet",IFERROR(INDEX('Shooter-Squad Assignment'!$A:$A,MATCH(C289&amp;"-"&amp;D289&amp;"-"&amp;E289&amp;"-Pos4",'Shooter-Squad Assignment'!#REF!,0)),""),IF(E289="Trap",IFERROR(INDEX('Shooter-Squad Assignment'!$A:$A,MATCH(C289&amp;"-"&amp;D289&amp;"-"&amp;E289&amp;"-Pos4",'Shooter-Squad Assignment'!$V:$V,0)),""),IF(E289="Sporting Clays",IFERROR(INDEX('Shooter-Squad Assignment'!$A:$A,MATCH(C289&amp;"-"&amp;D289&amp;"-"&amp;E289&amp;"-Pos4",'Shooter-Squad Assignment'!$Y:$Y,0)),""),"")))</f>
        <v/>
      </c>
      <c r="M289" s="92" t="str">
        <f>IF(ISBLANK(L289),"",IFERROR(INDEX('Tournament List'!$D:$D,MATCH(L289,'Tournament List'!$A:$A,0)),""))</f>
        <v/>
      </c>
      <c r="N289" s="101" t="str">
        <f>IF(E289="Skeet",IFERROR(INDEX('Shooter-Squad Assignment'!$A:$A,MATCH(C289&amp;"-"&amp;D289&amp;"-"&amp;E289&amp;"-Pos5",'Shooter-Squad Assignment'!#REF!,0)),""),IF(E289="Trap",IFERROR(INDEX('Shooter-Squad Assignment'!$A:$A,MATCH(C289&amp;"-"&amp;D289&amp;"-"&amp;E289&amp;"-Pos5",'Shooter-Squad Assignment'!$V:$V,0)),""),IF(E289="Sporting Clays",IFERROR(INDEX('Shooter-Squad Assignment'!$A:$A,MATCH(C289&amp;"-"&amp;D289&amp;"-"&amp;E289&amp;"-Pos5",'Shooter-Squad Assignment'!$Y:$Y,0)),""),"")))</f>
        <v/>
      </c>
      <c r="O289" s="93" t="str">
        <f>IF(ISBLANK(N289),"",IFERROR(INDEX('Tournament List'!$D:$D,MATCH(N289,'Tournament List'!$A:$A,0)),""))</f>
        <v/>
      </c>
    </row>
    <row r="290" spans="1:15" x14ac:dyDescent="0.3">
      <c r="A290" s="91">
        <v>298</v>
      </c>
      <c r="B290" s="92" t="str">
        <f t="shared" si="4"/>
        <v>Littleton Target Masters-Collegiate 1-Trap</v>
      </c>
      <c r="C290" s="92" t="s">
        <v>324</v>
      </c>
      <c r="D290" s="92" t="s">
        <v>344</v>
      </c>
      <c r="E290" s="92" t="s">
        <v>147</v>
      </c>
      <c r="F290" s="101" t="str">
        <f>IF(E290="Skeet",IFERROR(INDEX('Shooter-Squad Assignment'!$A:$A,MATCH(C290&amp;"-"&amp;D290&amp;"-"&amp;E290&amp;"-Pos1",'Shooter-Squad Assignment'!#REF!,0)),""),IF(E290="Trap",IFERROR(INDEX('Shooter-Squad Assignment'!$A:$A,MATCH(C290&amp;"-"&amp;D290&amp;"-"&amp;E290&amp;"-Pos1",'Shooter-Squad Assignment'!$V:$V,0)),""),IF(E290="Sporting Clays",IFERROR(INDEX('Shooter-Squad Assignment'!$A:$A,MATCH(C290&amp;"-"&amp;D290&amp;"-"&amp;E290&amp;"-Pos1",'Shooter-Squad Assignment'!$Y:$Y,0)),""),"")))</f>
        <v/>
      </c>
      <c r="G290" s="92" t="str">
        <f>IF(ISBLANK(F290),"",IFERROR(INDEX('Tournament List'!$D:$D,MATCH(F290,'Tournament List'!$A:$A,0)),""))</f>
        <v/>
      </c>
      <c r="H290" s="101" t="str">
        <f>IF(E290="Skeet",IFERROR(INDEX('Shooter-Squad Assignment'!$A:$A,MATCH(C290&amp;"-"&amp;D290&amp;"-"&amp;E290&amp;"-Pos2",'Shooter-Squad Assignment'!#REF!,0)),""),IF(E290="Trap",IFERROR(INDEX('Shooter-Squad Assignment'!$A:$A,MATCH(C290&amp;"-"&amp;D290&amp;"-"&amp;E290&amp;"-Pos2",'Shooter-Squad Assignment'!$V:$V,0)),""),IF(E290="Sporting Clays",IFERROR(INDEX('Shooter-Squad Assignment'!$A:$A,MATCH(C290&amp;"-"&amp;D290&amp;"-"&amp;E290&amp;"-Pos2",'Shooter-Squad Assignment'!$Y:$Y,0)),""),"")))</f>
        <v/>
      </c>
      <c r="I290" s="92" t="str">
        <f>IF(ISBLANK(H290),"",IFERROR(INDEX('Tournament List'!$D:$D,MATCH(H290,'Tournament List'!$A:$A,0)),""))</f>
        <v/>
      </c>
      <c r="J290" s="101" t="str">
        <f>IF(E290="Skeet",IFERROR(INDEX('Shooter-Squad Assignment'!$A:$A,MATCH(C290&amp;"-"&amp;D290&amp;"-"&amp;E290&amp;"-Pos3",'Shooter-Squad Assignment'!#REF!,0)),""),IF(E290="Trap",IFERROR(INDEX('Shooter-Squad Assignment'!$A:$A,MATCH(C290&amp;"-"&amp;D290&amp;"-"&amp;E290&amp;"-Pos3",'Shooter-Squad Assignment'!$V:$V,0)),""),IF(E290="Sporting Clays",IFERROR(INDEX('Shooter-Squad Assignment'!$A:$A,MATCH(C290&amp;"-"&amp;D290&amp;"-"&amp;E290&amp;"-Pos3",'Shooter-Squad Assignment'!$Y:$Y,0)),""),"")))</f>
        <v/>
      </c>
      <c r="K290" s="92" t="str">
        <f>IF(ISBLANK(J290),"",IFERROR(INDEX('Tournament List'!$D:$D,MATCH(J290,'Tournament List'!$A:$A,0)),""))</f>
        <v/>
      </c>
      <c r="L290" s="101" t="str">
        <f>IF(E290="Skeet",IFERROR(INDEX('Shooter-Squad Assignment'!$A:$A,MATCH(C290&amp;"-"&amp;D290&amp;"-"&amp;E290&amp;"-Pos4",'Shooter-Squad Assignment'!#REF!,0)),""),IF(E290="Trap",IFERROR(INDEX('Shooter-Squad Assignment'!$A:$A,MATCH(C290&amp;"-"&amp;D290&amp;"-"&amp;E290&amp;"-Pos4",'Shooter-Squad Assignment'!$V:$V,0)),""),IF(E290="Sporting Clays",IFERROR(INDEX('Shooter-Squad Assignment'!$A:$A,MATCH(C290&amp;"-"&amp;D290&amp;"-"&amp;E290&amp;"-Pos4",'Shooter-Squad Assignment'!$Y:$Y,0)),""),"")))</f>
        <v/>
      </c>
      <c r="M290" s="92" t="str">
        <f>IF(ISBLANK(L290),"",IFERROR(INDEX('Tournament List'!$D:$D,MATCH(L290,'Tournament List'!$A:$A,0)),""))</f>
        <v/>
      </c>
      <c r="N290" s="101" t="str">
        <f>IF(E290="Skeet",IFERROR(INDEX('Shooter-Squad Assignment'!$A:$A,MATCH(C290&amp;"-"&amp;D290&amp;"-"&amp;E290&amp;"-Pos5",'Shooter-Squad Assignment'!#REF!,0)),""),IF(E290="Trap",IFERROR(INDEX('Shooter-Squad Assignment'!$A:$A,MATCH(C290&amp;"-"&amp;D290&amp;"-"&amp;E290&amp;"-Pos5",'Shooter-Squad Assignment'!$V:$V,0)),""),IF(E290="Sporting Clays",IFERROR(INDEX('Shooter-Squad Assignment'!$A:$A,MATCH(C290&amp;"-"&amp;D290&amp;"-"&amp;E290&amp;"-Pos5",'Shooter-Squad Assignment'!$Y:$Y,0)),""),"")))</f>
        <v/>
      </c>
      <c r="O290" s="93" t="str">
        <f>IF(ISBLANK(N290),"",IFERROR(INDEX('Tournament List'!$D:$D,MATCH(N290,'Tournament List'!$A:$A,0)),""))</f>
        <v/>
      </c>
    </row>
    <row r="291" spans="1:15" x14ac:dyDescent="0.3">
      <c r="A291" s="91">
        <v>299</v>
      </c>
      <c r="B291" s="92" t="str">
        <f t="shared" si="4"/>
        <v>Littleton Target Masters-Collegiate 2-Trap</v>
      </c>
      <c r="C291" s="92" t="s">
        <v>324</v>
      </c>
      <c r="D291" s="92" t="s">
        <v>350</v>
      </c>
      <c r="E291" s="92" t="s">
        <v>147</v>
      </c>
      <c r="F291" s="101" t="str">
        <f>IF(E291="Skeet",IFERROR(INDEX('Shooter-Squad Assignment'!$A:$A,MATCH(C291&amp;"-"&amp;D291&amp;"-"&amp;E291&amp;"-Pos1",'Shooter-Squad Assignment'!#REF!,0)),""),IF(E291="Trap",IFERROR(INDEX('Shooter-Squad Assignment'!$A:$A,MATCH(C291&amp;"-"&amp;D291&amp;"-"&amp;E291&amp;"-Pos1",'Shooter-Squad Assignment'!$V:$V,0)),""),IF(E291="Sporting Clays",IFERROR(INDEX('Shooter-Squad Assignment'!$A:$A,MATCH(C291&amp;"-"&amp;D291&amp;"-"&amp;E291&amp;"-Pos1",'Shooter-Squad Assignment'!$Y:$Y,0)),""),"")))</f>
        <v/>
      </c>
      <c r="G291" s="92" t="str">
        <f>IF(ISBLANK(F291),"",IFERROR(INDEX('Tournament List'!$D:$D,MATCH(F291,'Tournament List'!$A:$A,0)),""))</f>
        <v/>
      </c>
      <c r="H291" s="101" t="str">
        <f>IF(E291="Skeet",IFERROR(INDEX('Shooter-Squad Assignment'!$A:$A,MATCH(C291&amp;"-"&amp;D291&amp;"-"&amp;E291&amp;"-Pos2",'Shooter-Squad Assignment'!#REF!,0)),""),IF(E291="Trap",IFERROR(INDEX('Shooter-Squad Assignment'!$A:$A,MATCH(C291&amp;"-"&amp;D291&amp;"-"&amp;E291&amp;"-Pos2",'Shooter-Squad Assignment'!$V:$V,0)),""),IF(E291="Sporting Clays",IFERROR(INDEX('Shooter-Squad Assignment'!$A:$A,MATCH(C291&amp;"-"&amp;D291&amp;"-"&amp;E291&amp;"-Pos2",'Shooter-Squad Assignment'!$Y:$Y,0)),""),"")))</f>
        <v/>
      </c>
      <c r="I291" s="92" t="str">
        <f>IF(ISBLANK(H291),"",IFERROR(INDEX('Tournament List'!$D:$D,MATCH(H291,'Tournament List'!$A:$A,0)),""))</f>
        <v/>
      </c>
      <c r="J291" s="101" t="str">
        <f>IF(E291="Skeet",IFERROR(INDEX('Shooter-Squad Assignment'!$A:$A,MATCH(C291&amp;"-"&amp;D291&amp;"-"&amp;E291&amp;"-Pos3",'Shooter-Squad Assignment'!#REF!,0)),""),IF(E291="Trap",IFERROR(INDEX('Shooter-Squad Assignment'!$A:$A,MATCH(C291&amp;"-"&amp;D291&amp;"-"&amp;E291&amp;"-Pos3",'Shooter-Squad Assignment'!$V:$V,0)),""),IF(E291="Sporting Clays",IFERROR(INDEX('Shooter-Squad Assignment'!$A:$A,MATCH(C291&amp;"-"&amp;D291&amp;"-"&amp;E291&amp;"-Pos3",'Shooter-Squad Assignment'!$Y:$Y,0)),""),"")))</f>
        <v/>
      </c>
      <c r="K291" s="92" t="str">
        <f>IF(ISBLANK(J291),"",IFERROR(INDEX('Tournament List'!$D:$D,MATCH(J291,'Tournament List'!$A:$A,0)),""))</f>
        <v/>
      </c>
      <c r="L291" s="101" t="str">
        <f>IF(E291="Skeet",IFERROR(INDEX('Shooter-Squad Assignment'!$A:$A,MATCH(C291&amp;"-"&amp;D291&amp;"-"&amp;E291&amp;"-Pos4",'Shooter-Squad Assignment'!#REF!,0)),""),IF(E291="Trap",IFERROR(INDEX('Shooter-Squad Assignment'!$A:$A,MATCH(C291&amp;"-"&amp;D291&amp;"-"&amp;E291&amp;"-Pos4",'Shooter-Squad Assignment'!$V:$V,0)),""),IF(E291="Sporting Clays",IFERROR(INDEX('Shooter-Squad Assignment'!$A:$A,MATCH(C291&amp;"-"&amp;D291&amp;"-"&amp;E291&amp;"-Pos4",'Shooter-Squad Assignment'!$Y:$Y,0)),""),"")))</f>
        <v/>
      </c>
      <c r="M291" s="92" t="str">
        <f>IF(ISBLANK(L291),"",IFERROR(INDEX('Tournament List'!$D:$D,MATCH(L291,'Tournament List'!$A:$A,0)),""))</f>
        <v/>
      </c>
      <c r="N291" s="101" t="str">
        <f>IF(E291="Skeet",IFERROR(INDEX('Shooter-Squad Assignment'!$A:$A,MATCH(C291&amp;"-"&amp;D291&amp;"-"&amp;E291&amp;"-Pos5",'Shooter-Squad Assignment'!#REF!,0)),""),IF(E291="Trap",IFERROR(INDEX('Shooter-Squad Assignment'!$A:$A,MATCH(C291&amp;"-"&amp;D291&amp;"-"&amp;E291&amp;"-Pos5",'Shooter-Squad Assignment'!$V:$V,0)),""),IF(E291="Sporting Clays",IFERROR(INDEX('Shooter-Squad Assignment'!$A:$A,MATCH(C291&amp;"-"&amp;D291&amp;"-"&amp;E291&amp;"-Pos5",'Shooter-Squad Assignment'!$Y:$Y,0)),""),"")))</f>
        <v/>
      </c>
      <c r="O291" s="93" t="str">
        <f>IF(ISBLANK(N291),"",IFERROR(INDEX('Tournament List'!$D:$D,MATCH(N291,'Tournament List'!$A:$A,0)),""))</f>
        <v/>
      </c>
    </row>
    <row r="292" spans="1:15" x14ac:dyDescent="0.3">
      <c r="A292" s="91">
        <v>300</v>
      </c>
      <c r="B292" s="92" t="str">
        <f t="shared" si="4"/>
        <v>Littleton Target Masters-Collegiate 3-Trap</v>
      </c>
      <c r="C292" s="92" t="s">
        <v>324</v>
      </c>
      <c r="D292" s="92" t="s">
        <v>356</v>
      </c>
      <c r="E292" s="92" t="s">
        <v>147</v>
      </c>
      <c r="F292" s="101" t="str">
        <f>IF(E292="Skeet",IFERROR(INDEX('Shooter-Squad Assignment'!$A:$A,MATCH(C292&amp;"-"&amp;D292&amp;"-"&amp;E292&amp;"-Pos1",'Shooter-Squad Assignment'!#REF!,0)),""),IF(E292="Trap",IFERROR(INDEX('Shooter-Squad Assignment'!$A:$A,MATCH(C292&amp;"-"&amp;D292&amp;"-"&amp;E292&amp;"-Pos1",'Shooter-Squad Assignment'!$V:$V,0)),""),IF(E292="Sporting Clays",IFERROR(INDEX('Shooter-Squad Assignment'!$A:$A,MATCH(C292&amp;"-"&amp;D292&amp;"-"&amp;E292&amp;"-Pos1",'Shooter-Squad Assignment'!$Y:$Y,0)),""),"")))</f>
        <v/>
      </c>
      <c r="G292" s="92" t="str">
        <f>IF(ISBLANK(F292),"",IFERROR(INDEX('Tournament List'!$D:$D,MATCH(F292,'Tournament List'!$A:$A,0)),""))</f>
        <v/>
      </c>
      <c r="H292" s="101" t="str">
        <f>IF(E292="Skeet",IFERROR(INDEX('Shooter-Squad Assignment'!$A:$A,MATCH(C292&amp;"-"&amp;D292&amp;"-"&amp;E292&amp;"-Pos2",'Shooter-Squad Assignment'!#REF!,0)),""),IF(E292="Trap",IFERROR(INDEX('Shooter-Squad Assignment'!$A:$A,MATCH(C292&amp;"-"&amp;D292&amp;"-"&amp;E292&amp;"-Pos2",'Shooter-Squad Assignment'!$V:$V,0)),""),IF(E292="Sporting Clays",IFERROR(INDEX('Shooter-Squad Assignment'!$A:$A,MATCH(C292&amp;"-"&amp;D292&amp;"-"&amp;E292&amp;"-Pos2",'Shooter-Squad Assignment'!$Y:$Y,0)),""),"")))</f>
        <v/>
      </c>
      <c r="I292" s="92" t="str">
        <f>IF(ISBLANK(H292),"",IFERROR(INDEX('Tournament List'!$D:$D,MATCH(H292,'Tournament List'!$A:$A,0)),""))</f>
        <v/>
      </c>
      <c r="J292" s="101" t="str">
        <f>IF(E292="Skeet",IFERROR(INDEX('Shooter-Squad Assignment'!$A:$A,MATCH(C292&amp;"-"&amp;D292&amp;"-"&amp;E292&amp;"-Pos3",'Shooter-Squad Assignment'!#REF!,0)),""),IF(E292="Trap",IFERROR(INDEX('Shooter-Squad Assignment'!$A:$A,MATCH(C292&amp;"-"&amp;D292&amp;"-"&amp;E292&amp;"-Pos3",'Shooter-Squad Assignment'!$V:$V,0)),""),IF(E292="Sporting Clays",IFERROR(INDEX('Shooter-Squad Assignment'!$A:$A,MATCH(C292&amp;"-"&amp;D292&amp;"-"&amp;E292&amp;"-Pos3",'Shooter-Squad Assignment'!$Y:$Y,0)),""),"")))</f>
        <v/>
      </c>
      <c r="K292" s="92" t="str">
        <f>IF(ISBLANK(J292),"",IFERROR(INDEX('Tournament List'!$D:$D,MATCH(J292,'Tournament List'!$A:$A,0)),""))</f>
        <v/>
      </c>
      <c r="L292" s="101" t="str">
        <f>IF(E292="Skeet",IFERROR(INDEX('Shooter-Squad Assignment'!$A:$A,MATCH(C292&amp;"-"&amp;D292&amp;"-"&amp;E292&amp;"-Pos4",'Shooter-Squad Assignment'!#REF!,0)),""),IF(E292="Trap",IFERROR(INDEX('Shooter-Squad Assignment'!$A:$A,MATCH(C292&amp;"-"&amp;D292&amp;"-"&amp;E292&amp;"-Pos4",'Shooter-Squad Assignment'!$V:$V,0)),""),IF(E292="Sporting Clays",IFERROR(INDEX('Shooter-Squad Assignment'!$A:$A,MATCH(C292&amp;"-"&amp;D292&amp;"-"&amp;E292&amp;"-Pos4",'Shooter-Squad Assignment'!$Y:$Y,0)),""),"")))</f>
        <v/>
      </c>
      <c r="M292" s="92" t="str">
        <f>IF(ISBLANK(L292),"",IFERROR(INDEX('Tournament List'!$D:$D,MATCH(L292,'Tournament List'!$A:$A,0)),""))</f>
        <v/>
      </c>
      <c r="N292" s="101" t="str">
        <f>IF(E292="Skeet",IFERROR(INDEX('Shooter-Squad Assignment'!$A:$A,MATCH(C292&amp;"-"&amp;D292&amp;"-"&amp;E292&amp;"-Pos5",'Shooter-Squad Assignment'!#REF!,0)),""),IF(E292="Trap",IFERROR(INDEX('Shooter-Squad Assignment'!$A:$A,MATCH(C292&amp;"-"&amp;D292&amp;"-"&amp;E292&amp;"-Pos5",'Shooter-Squad Assignment'!$V:$V,0)),""),IF(E292="Sporting Clays",IFERROR(INDEX('Shooter-Squad Assignment'!$A:$A,MATCH(C292&amp;"-"&amp;D292&amp;"-"&amp;E292&amp;"-Pos5",'Shooter-Squad Assignment'!$Y:$Y,0)),""),"")))</f>
        <v/>
      </c>
      <c r="O292" s="93" t="str">
        <f>IF(ISBLANK(N292),"",IFERROR(INDEX('Tournament List'!$D:$D,MATCH(N292,'Tournament List'!$A:$A,0)),""))</f>
        <v/>
      </c>
    </row>
    <row r="293" spans="1:15" x14ac:dyDescent="0.3">
      <c r="A293" s="91">
        <v>301</v>
      </c>
      <c r="B293" s="92" t="str">
        <f t="shared" si="4"/>
        <v>Littleton Target Masters-Intermediate 1-Trap</v>
      </c>
      <c r="C293" s="92" t="s">
        <v>324</v>
      </c>
      <c r="D293" s="92" t="s">
        <v>340</v>
      </c>
      <c r="E293" s="92" t="s">
        <v>147</v>
      </c>
      <c r="F293" s="101" t="str">
        <f>IF(E293="Skeet",IFERROR(INDEX('Shooter-Squad Assignment'!$A:$A,MATCH(C293&amp;"-"&amp;D293&amp;"-"&amp;E293&amp;"-Pos1",'Shooter-Squad Assignment'!#REF!,0)),""),IF(E293="Trap",IFERROR(INDEX('Shooter-Squad Assignment'!$A:$A,MATCH(C293&amp;"-"&amp;D293&amp;"-"&amp;E293&amp;"-Pos1",'Shooter-Squad Assignment'!$V:$V,0)),""),IF(E293="Sporting Clays",IFERROR(INDEX('Shooter-Squad Assignment'!$A:$A,MATCH(C293&amp;"-"&amp;D293&amp;"-"&amp;E293&amp;"-Pos1",'Shooter-Squad Assignment'!$Y:$Y,0)),""),"")))</f>
        <v/>
      </c>
      <c r="G293" s="92" t="str">
        <f>IF(ISBLANK(F293),"",IFERROR(INDEX('Tournament List'!$D:$D,MATCH(F293,'Tournament List'!$A:$A,0)),""))</f>
        <v/>
      </c>
      <c r="H293" s="101" t="str">
        <f>IF(E293="Skeet",IFERROR(INDEX('Shooter-Squad Assignment'!$A:$A,MATCH(C293&amp;"-"&amp;D293&amp;"-"&amp;E293&amp;"-Pos2",'Shooter-Squad Assignment'!#REF!,0)),""),IF(E293="Trap",IFERROR(INDEX('Shooter-Squad Assignment'!$A:$A,MATCH(C293&amp;"-"&amp;D293&amp;"-"&amp;E293&amp;"-Pos2",'Shooter-Squad Assignment'!$V:$V,0)),""),IF(E293="Sporting Clays",IFERROR(INDEX('Shooter-Squad Assignment'!$A:$A,MATCH(C293&amp;"-"&amp;D293&amp;"-"&amp;E293&amp;"-Pos2",'Shooter-Squad Assignment'!$Y:$Y,0)),""),"")))</f>
        <v/>
      </c>
      <c r="I293" s="92" t="str">
        <f>IF(ISBLANK(H293),"",IFERROR(INDEX('Tournament List'!$D:$D,MATCH(H293,'Tournament List'!$A:$A,0)),""))</f>
        <v/>
      </c>
      <c r="J293" s="101" t="str">
        <f>IF(E293="Skeet",IFERROR(INDEX('Shooter-Squad Assignment'!$A:$A,MATCH(C293&amp;"-"&amp;D293&amp;"-"&amp;E293&amp;"-Pos3",'Shooter-Squad Assignment'!#REF!,0)),""),IF(E293="Trap",IFERROR(INDEX('Shooter-Squad Assignment'!$A:$A,MATCH(C293&amp;"-"&amp;D293&amp;"-"&amp;E293&amp;"-Pos3",'Shooter-Squad Assignment'!$V:$V,0)),""),IF(E293="Sporting Clays",IFERROR(INDEX('Shooter-Squad Assignment'!$A:$A,MATCH(C293&amp;"-"&amp;D293&amp;"-"&amp;E293&amp;"-Pos3",'Shooter-Squad Assignment'!$Y:$Y,0)),""),"")))</f>
        <v/>
      </c>
      <c r="K293" s="92" t="str">
        <f>IF(ISBLANK(J293),"",IFERROR(INDEX('Tournament List'!$D:$D,MATCH(J293,'Tournament List'!$A:$A,0)),""))</f>
        <v/>
      </c>
      <c r="L293" s="101" t="str">
        <f>IF(E293="Skeet",IFERROR(INDEX('Shooter-Squad Assignment'!$A:$A,MATCH(C293&amp;"-"&amp;D293&amp;"-"&amp;E293&amp;"-Pos4",'Shooter-Squad Assignment'!#REF!,0)),""),IF(E293="Trap",IFERROR(INDEX('Shooter-Squad Assignment'!$A:$A,MATCH(C293&amp;"-"&amp;D293&amp;"-"&amp;E293&amp;"-Pos4",'Shooter-Squad Assignment'!$V:$V,0)),""),IF(E293="Sporting Clays",IFERROR(INDEX('Shooter-Squad Assignment'!$A:$A,MATCH(C293&amp;"-"&amp;D293&amp;"-"&amp;E293&amp;"-Pos4",'Shooter-Squad Assignment'!$Y:$Y,0)),""),"")))</f>
        <v/>
      </c>
      <c r="M293" s="92" t="str">
        <f>IF(ISBLANK(L293),"",IFERROR(INDEX('Tournament List'!$D:$D,MATCH(L293,'Tournament List'!$A:$A,0)),""))</f>
        <v/>
      </c>
      <c r="N293" s="101" t="str">
        <f>IF(E293="Skeet",IFERROR(INDEX('Shooter-Squad Assignment'!$A:$A,MATCH(C293&amp;"-"&amp;D293&amp;"-"&amp;E293&amp;"-Pos5",'Shooter-Squad Assignment'!#REF!,0)),""),IF(E293="Trap",IFERROR(INDEX('Shooter-Squad Assignment'!$A:$A,MATCH(C293&amp;"-"&amp;D293&amp;"-"&amp;E293&amp;"-Pos5",'Shooter-Squad Assignment'!$V:$V,0)),""),IF(E293="Sporting Clays",IFERROR(INDEX('Shooter-Squad Assignment'!$A:$A,MATCH(C293&amp;"-"&amp;D293&amp;"-"&amp;E293&amp;"-Pos5",'Shooter-Squad Assignment'!$Y:$Y,0)),""),"")))</f>
        <v/>
      </c>
      <c r="O293" s="93" t="str">
        <f>IF(ISBLANK(N293),"",IFERROR(INDEX('Tournament List'!$D:$D,MATCH(N293,'Tournament List'!$A:$A,0)),""))</f>
        <v/>
      </c>
    </row>
    <row r="294" spans="1:15" x14ac:dyDescent="0.3">
      <c r="A294" s="91">
        <v>302</v>
      </c>
      <c r="B294" s="92" t="str">
        <f t="shared" si="4"/>
        <v>Littleton Target Masters-Intermediate 2-Trap</v>
      </c>
      <c r="C294" s="92" t="s">
        <v>324</v>
      </c>
      <c r="D294" s="92" t="s">
        <v>346</v>
      </c>
      <c r="E294" s="92" t="s">
        <v>147</v>
      </c>
      <c r="F294" s="101" t="str">
        <f>IF(E294="Skeet",IFERROR(INDEX('Shooter-Squad Assignment'!$A:$A,MATCH(C294&amp;"-"&amp;D294&amp;"-"&amp;E294&amp;"-Pos1",'Shooter-Squad Assignment'!#REF!,0)),""),IF(E294="Trap",IFERROR(INDEX('Shooter-Squad Assignment'!$A:$A,MATCH(C294&amp;"-"&amp;D294&amp;"-"&amp;E294&amp;"-Pos1",'Shooter-Squad Assignment'!$V:$V,0)),""),IF(E294="Sporting Clays",IFERROR(INDEX('Shooter-Squad Assignment'!$A:$A,MATCH(C294&amp;"-"&amp;D294&amp;"-"&amp;E294&amp;"-Pos1",'Shooter-Squad Assignment'!$Y:$Y,0)),""),"")))</f>
        <v/>
      </c>
      <c r="G294" s="92" t="str">
        <f>IF(ISBLANK(F294),"",IFERROR(INDEX('Tournament List'!$D:$D,MATCH(F294,'Tournament List'!$A:$A,0)),""))</f>
        <v/>
      </c>
      <c r="H294" s="101" t="str">
        <f>IF(E294="Skeet",IFERROR(INDEX('Shooter-Squad Assignment'!$A:$A,MATCH(C294&amp;"-"&amp;D294&amp;"-"&amp;E294&amp;"-Pos2",'Shooter-Squad Assignment'!#REF!,0)),""),IF(E294="Trap",IFERROR(INDEX('Shooter-Squad Assignment'!$A:$A,MATCH(C294&amp;"-"&amp;D294&amp;"-"&amp;E294&amp;"-Pos2",'Shooter-Squad Assignment'!$V:$V,0)),""),IF(E294="Sporting Clays",IFERROR(INDEX('Shooter-Squad Assignment'!$A:$A,MATCH(C294&amp;"-"&amp;D294&amp;"-"&amp;E294&amp;"-Pos2",'Shooter-Squad Assignment'!$Y:$Y,0)),""),"")))</f>
        <v/>
      </c>
      <c r="I294" s="92" t="str">
        <f>IF(ISBLANK(H294),"",IFERROR(INDEX('Tournament List'!$D:$D,MATCH(H294,'Tournament List'!$A:$A,0)),""))</f>
        <v/>
      </c>
      <c r="J294" s="101" t="str">
        <f>IF(E294="Skeet",IFERROR(INDEX('Shooter-Squad Assignment'!$A:$A,MATCH(C294&amp;"-"&amp;D294&amp;"-"&amp;E294&amp;"-Pos3",'Shooter-Squad Assignment'!#REF!,0)),""),IF(E294="Trap",IFERROR(INDEX('Shooter-Squad Assignment'!$A:$A,MATCH(C294&amp;"-"&amp;D294&amp;"-"&amp;E294&amp;"-Pos3",'Shooter-Squad Assignment'!$V:$V,0)),""),IF(E294="Sporting Clays",IFERROR(INDEX('Shooter-Squad Assignment'!$A:$A,MATCH(C294&amp;"-"&amp;D294&amp;"-"&amp;E294&amp;"-Pos3",'Shooter-Squad Assignment'!$Y:$Y,0)),""),"")))</f>
        <v/>
      </c>
      <c r="K294" s="92" t="str">
        <f>IF(ISBLANK(J294),"",IFERROR(INDEX('Tournament List'!$D:$D,MATCH(J294,'Tournament List'!$A:$A,0)),""))</f>
        <v/>
      </c>
      <c r="L294" s="101" t="str">
        <f>IF(E294="Skeet",IFERROR(INDEX('Shooter-Squad Assignment'!$A:$A,MATCH(C294&amp;"-"&amp;D294&amp;"-"&amp;E294&amp;"-Pos4",'Shooter-Squad Assignment'!#REF!,0)),""),IF(E294="Trap",IFERROR(INDEX('Shooter-Squad Assignment'!$A:$A,MATCH(C294&amp;"-"&amp;D294&amp;"-"&amp;E294&amp;"-Pos4",'Shooter-Squad Assignment'!$V:$V,0)),""),IF(E294="Sporting Clays",IFERROR(INDEX('Shooter-Squad Assignment'!$A:$A,MATCH(C294&amp;"-"&amp;D294&amp;"-"&amp;E294&amp;"-Pos4",'Shooter-Squad Assignment'!$Y:$Y,0)),""),"")))</f>
        <v/>
      </c>
      <c r="M294" s="92" t="str">
        <f>IF(ISBLANK(L294),"",IFERROR(INDEX('Tournament List'!$D:$D,MATCH(L294,'Tournament List'!$A:$A,0)),""))</f>
        <v/>
      </c>
      <c r="N294" s="101" t="str">
        <f>IF(E294="Skeet",IFERROR(INDEX('Shooter-Squad Assignment'!$A:$A,MATCH(C294&amp;"-"&amp;D294&amp;"-"&amp;E294&amp;"-Pos5",'Shooter-Squad Assignment'!#REF!,0)),""),IF(E294="Trap",IFERROR(INDEX('Shooter-Squad Assignment'!$A:$A,MATCH(C294&amp;"-"&amp;D294&amp;"-"&amp;E294&amp;"-Pos5",'Shooter-Squad Assignment'!$V:$V,0)),""),IF(E294="Sporting Clays",IFERROR(INDEX('Shooter-Squad Assignment'!$A:$A,MATCH(C294&amp;"-"&amp;D294&amp;"-"&amp;E294&amp;"-Pos5",'Shooter-Squad Assignment'!$Y:$Y,0)),""),"")))</f>
        <v/>
      </c>
      <c r="O294" s="93" t="str">
        <f>IF(ISBLANK(N294),"",IFERROR(INDEX('Tournament List'!$D:$D,MATCH(N294,'Tournament List'!$A:$A,0)),""))</f>
        <v/>
      </c>
    </row>
    <row r="295" spans="1:15" x14ac:dyDescent="0.3">
      <c r="A295" s="91">
        <v>303</v>
      </c>
      <c r="B295" s="92" t="str">
        <f t="shared" si="4"/>
        <v>Littleton Target Masters-Intermediate 3-Trap</v>
      </c>
      <c r="C295" s="92" t="s">
        <v>324</v>
      </c>
      <c r="D295" s="92" t="s">
        <v>352</v>
      </c>
      <c r="E295" s="92" t="s">
        <v>147</v>
      </c>
      <c r="F295" s="101" t="str">
        <f>IF(E295="Skeet",IFERROR(INDEX('Shooter-Squad Assignment'!$A:$A,MATCH(C295&amp;"-"&amp;D295&amp;"-"&amp;E295&amp;"-Pos1",'Shooter-Squad Assignment'!#REF!,0)),""),IF(E295="Trap",IFERROR(INDEX('Shooter-Squad Assignment'!$A:$A,MATCH(C295&amp;"-"&amp;D295&amp;"-"&amp;E295&amp;"-Pos1",'Shooter-Squad Assignment'!$V:$V,0)),""),IF(E295="Sporting Clays",IFERROR(INDEX('Shooter-Squad Assignment'!$A:$A,MATCH(C295&amp;"-"&amp;D295&amp;"-"&amp;E295&amp;"-Pos1",'Shooter-Squad Assignment'!$Y:$Y,0)),""),"")))</f>
        <v/>
      </c>
      <c r="G295" s="92" t="str">
        <f>IF(ISBLANK(F295),"",IFERROR(INDEX('Tournament List'!$D:$D,MATCH(F295,'Tournament List'!$A:$A,0)),""))</f>
        <v/>
      </c>
      <c r="H295" s="101" t="str">
        <f>IF(E295="Skeet",IFERROR(INDEX('Shooter-Squad Assignment'!$A:$A,MATCH(C295&amp;"-"&amp;D295&amp;"-"&amp;E295&amp;"-Pos2",'Shooter-Squad Assignment'!#REF!,0)),""),IF(E295="Trap",IFERROR(INDEX('Shooter-Squad Assignment'!$A:$A,MATCH(C295&amp;"-"&amp;D295&amp;"-"&amp;E295&amp;"-Pos2",'Shooter-Squad Assignment'!$V:$V,0)),""),IF(E295="Sporting Clays",IFERROR(INDEX('Shooter-Squad Assignment'!$A:$A,MATCH(C295&amp;"-"&amp;D295&amp;"-"&amp;E295&amp;"-Pos2",'Shooter-Squad Assignment'!$Y:$Y,0)),""),"")))</f>
        <v/>
      </c>
      <c r="I295" s="92" t="str">
        <f>IF(ISBLANK(H295),"",IFERROR(INDEX('Tournament List'!$D:$D,MATCH(H295,'Tournament List'!$A:$A,0)),""))</f>
        <v/>
      </c>
      <c r="J295" s="101" t="str">
        <f>IF(E295="Skeet",IFERROR(INDEX('Shooter-Squad Assignment'!$A:$A,MATCH(C295&amp;"-"&amp;D295&amp;"-"&amp;E295&amp;"-Pos3",'Shooter-Squad Assignment'!#REF!,0)),""),IF(E295="Trap",IFERROR(INDEX('Shooter-Squad Assignment'!$A:$A,MATCH(C295&amp;"-"&amp;D295&amp;"-"&amp;E295&amp;"-Pos3",'Shooter-Squad Assignment'!$V:$V,0)),""),IF(E295="Sporting Clays",IFERROR(INDEX('Shooter-Squad Assignment'!$A:$A,MATCH(C295&amp;"-"&amp;D295&amp;"-"&amp;E295&amp;"-Pos3",'Shooter-Squad Assignment'!$Y:$Y,0)),""),"")))</f>
        <v/>
      </c>
      <c r="K295" s="92" t="str">
        <f>IF(ISBLANK(J295),"",IFERROR(INDEX('Tournament List'!$D:$D,MATCH(J295,'Tournament List'!$A:$A,0)),""))</f>
        <v/>
      </c>
      <c r="L295" s="101" t="str">
        <f>IF(E295="Skeet",IFERROR(INDEX('Shooter-Squad Assignment'!$A:$A,MATCH(C295&amp;"-"&amp;D295&amp;"-"&amp;E295&amp;"-Pos4",'Shooter-Squad Assignment'!#REF!,0)),""),IF(E295="Trap",IFERROR(INDEX('Shooter-Squad Assignment'!$A:$A,MATCH(C295&amp;"-"&amp;D295&amp;"-"&amp;E295&amp;"-Pos4",'Shooter-Squad Assignment'!$V:$V,0)),""),IF(E295="Sporting Clays",IFERROR(INDEX('Shooter-Squad Assignment'!$A:$A,MATCH(C295&amp;"-"&amp;D295&amp;"-"&amp;E295&amp;"-Pos4",'Shooter-Squad Assignment'!$Y:$Y,0)),""),"")))</f>
        <v/>
      </c>
      <c r="M295" s="92" t="str">
        <f>IF(ISBLANK(L295),"",IFERROR(INDEX('Tournament List'!$D:$D,MATCH(L295,'Tournament List'!$A:$A,0)),""))</f>
        <v/>
      </c>
      <c r="N295" s="101" t="str">
        <f>IF(E295="Skeet",IFERROR(INDEX('Shooter-Squad Assignment'!$A:$A,MATCH(C295&amp;"-"&amp;D295&amp;"-"&amp;E295&amp;"-Pos5",'Shooter-Squad Assignment'!#REF!,0)),""),IF(E295="Trap",IFERROR(INDEX('Shooter-Squad Assignment'!$A:$A,MATCH(C295&amp;"-"&amp;D295&amp;"-"&amp;E295&amp;"-Pos5",'Shooter-Squad Assignment'!$V:$V,0)),""),IF(E295="Sporting Clays",IFERROR(INDEX('Shooter-Squad Assignment'!$A:$A,MATCH(C295&amp;"-"&amp;D295&amp;"-"&amp;E295&amp;"-Pos5",'Shooter-Squad Assignment'!$Y:$Y,0)),""),"")))</f>
        <v/>
      </c>
      <c r="O295" s="93" t="str">
        <f>IF(ISBLANK(N295),"",IFERROR(INDEX('Tournament List'!$D:$D,MATCH(N295,'Tournament List'!$A:$A,0)),""))</f>
        <v/>
      </c>
    </row>
    <row r="296" spans="1:15" x14ac:dyDescent="0.3">
      <c r="A296" s="91">
        <v>304</v>
      </c>
      <c r="B296" s="92" t="str">
        <f t="shared" si="4"/>
        <v>Littleton Target Masters-Junior Varsity 1-Trap</v>
      </c>
      <c r="C296" s="92" t="s">
        <v>324</v>
      </c>
      <c r="D296" s="92" t="s">
        <v>341</v>
      </c>
      <c r="E296" s="92" t="s">
        <v>147</v>
      </c>
      <c r="F296" s="101" t="str">
        <f>IF(E296="Skeet",IFERROR(INDEX('Shooter-Squad Assignment'!$A:$A,MATCH(C296&amp;"-"&amp;D296&amp;"-"&amp;E296&amp;"-Pos1",'Shooter-Squad Assignment'!#REF!,0)),""),IF(E296="Trap",IFERROR(INDEX('Shooter-Squad Assignment'!$A:$A,MATCH(C296&amp;"-"&amp;D296&amp;"-"&amp;E296&amp;"-Pos1",'Shooter-Squad Assignment'!$V:$V,0)),""),IF(E296="Sporting Clays",IFERROR(INDEX('Shooter-Squad Assignment'!$A:$A,MATCH(C296&amp;"-"&amp;D296&amp;"-"&amp;E296&amp;"-Pos1",'Shooter-Squad Assignment'!$Y:$Y,0)),""),"")))</f>
        <v/>
      </c>
      <c r="G296" s="92" t="str">
        <f>IF(ISBLANK(F296),"",IFERROR(INDEX('Tournament List'!$D:$D,MATCH(F296,'Tournament List'!$A:$A,0)),""))</f>
        <v/>
      </c>
      <c r="H296" s="101" t="str">
        <f>IF(E296="Skeet",IFERROR(INDEX('Shooter-Squad Assignment'!$A:$A,MATCH(C296&amp;"-"&amp;D296&amp;"-"&amp;E296&amp;"-Pos2",'Shooter-Squad Assignment'!#REF!,0)),""),IF(E296="Trap",IFERROR(INDEX('Shooter-Squad Assignment'!$A:$A,MATCH(C296&amp;"-"&amp;D296&amp;"-"&amp;E296&amp;"-Pos2",'Shooter-Squad Assignment'!$V:$V,0)),""),IF(E296="Sporting Clays",IFERROR(INDEX('Shooter-Squad Assignment'!$A:$A,MATCH(C296&amp;"-"&amp;D296&amp;"-"&amp;E296&amp;"-Pos2",'Shooter-Squad Assignment'!$Y:$Y,0)),""),"")))</f>
        <v/>
      </c>
      <c r="I296" s="92" t="str">
        <f>IF(ISBLANK(H296),"",IFERROR(INDEX('Tournament List'!$D:$D,MATCH(H296,'Tournament List'!$A:$A,0)),""))</f>
        <v/>
      </c>
      <c r="J296" s="101" t="str">
        <f>IF(E296="Skeet",IFERROR(INDEX('Shooter-Squad Assignment'!$A:$A,MATCH(C296&amp;"-"&amp;D296&amp;"-"&amp;E296&amp;"-Pos3",'Shooter-Squad Assignment'!#REF!,0)),""),IF(E296="Trap",IFERROR(INDEX('Shooter-Squad Assignment'!$A:$A,MATCH(C296&amp;"-"&amp;D296&amp;"-"&amp;E296&amp;"-Pos3",'Shooter-Squad Assignment'!$V:$V,0)),""),IF(E296="Sporting Clays",IFERROR(INDEX('Shooter-Squad Assignment'!$A:$A,MATCH(C296&amp;"-"&amp;D296&amp;"-"&amp;E296&amp;"-Pos3",'Shooter-Squad Assignment'!$Y:$Y,0)),""),"")))</f>
        <v/>
      </c>
      <c r="K296" s="92" t="str">
        <f>IF(ISBLANK(J296),"",IFERROR(INDEX('Tournament List'!$D:$D,MATCH(J296,'Tournament List'!$A:$A,0)),""))</f>
        <v/>
      </c>
      <c r="L296" s="101" t="str">
        <f>IF(E296="Skeet",IFERROR(INDEX('Shooter-Squad Assignment'!$A:$A,MATCH(C296&amp;"-"&amp;D296&amp;"-"&amp;E296&amp;"-Pos4",'Shooter-Squad Assignment'!#REF!,0)),""),IF(E296="Trap",IFERROR(INDEX('Shooter-Squad Assignment'!$A:$A,MATCH(C296&amp;"-"&amp;D296&amp;"-"&amp;E296&amp;"-Pos4",'Shooter-Squad Assignment'!$V:$V,0)),""),IF(E296="Sporting Clays",IFERROR(INDEX('Shooter-Squad Assignment'!$A:$A,MATCH(C296&amp;"-"&amp;D296&amp;"-"&amp;E296&amp;"-Pos4",'Shooter-Squad Assignment'!$Y:$Y,0)),""),"")))</f>
        <v/>
      </c>
      <c r="M296" s="92" t="str">
        <f>IF(ISBLANK(L296),"",IFERROR(INDEX('Tournament List'!$D:$D,MATCH(L296,'Tournament List'!$A:$A,0)),""))</f>
        <v/>
      </c>
      <c r="N296" s="101" t="str">
        <f>IF(E296="Skeet",IFERROR(INDEX('Shooter-Squad Assignment'!$A:$A,MATCH(C296&amp;"-"&amp;D296&amp;"-"&amp;E296&amp;"-Pos5",'Shooter-Squad Assignment'!#REF!,0)),""),IF(E296="Trap",IFERROR(INDEX('Shooter-Squad Assignment'!$A:$A,MATCH(C296&amp;"-"&amp;D296&amp;"-"&amp;E296&amp;"-Pos5",'Shooter-Squad Assignment'!$V:$V,0)),""),IF(E296="Sporting Clays",IFERROR(INDEX('Shooter-Squad Assignment'!$A:$A,MATCH(C296&amp;"-"&amp;D296&amp;"-"&amp;E296&amp;"-Pos5",'Shooter-Squad Assignment'!$Y:$Y,0)),""),"")))</f>
        <v/>
      </c>
      <c r="O296" s="93" t="str">
        <f>IF(ISBLANK(N296),"",IFERROR(INDEX('Tournament List'!$D:$D,MATCH(N296,'Tournament List'!$A:$A,0)),""))</f>
        <v/>
      </c>
    </row>
    <row r="297" spans="1:15" x14ac:dyDescent="0.3">
      <c r="A297" s="91">
        <v>305</v>
      </c>
      <c r="B297" s="92" t="str">
        <f t="shared" si="4"/>
        <v>Littleton Target Masters-Junior Varsity 2-Trap</v>
      </c>
      <c r="C297" s="92" t="s">
        <v>324</v>
      </c>
      <c r="D297" s="92" t="s">
        <v>347</v>
      </c>
      <c r="E297" s="92" t="s">
        <v>147</v>
      </c>
      <c r="F297" s="101" t="str">
        <f>IF(E297="Skeet",IFERROR(INDEX('Shooter-Squad Assignment'!$A:$A,MATCH(C297&amp;"-"&amp;D297&amp;"-"&amp;E297&amp;"-Pos1",'Shooter-Squad Assignment'!#REF!,0)),""),IF(E297="Trap",IFERROR(INDEX('Shooter-Squad Assignment'!$A:$A,MATCH(C297&amp;"-"&amp;D297&amp;"-"&amp;E297&amp;"-Pos1",'Shooter-Squad Assignment'!$V:$V,0)),""),IF(E297="Sporting Clays",IFERROR(INDEX('Shooter-Squad Assignment'!$A:$A,MATCH(C297&amp;"-"&amp;D297&amp;"-"&amp;E297&amp;"-Pos1",'Shooter-Squad Assignment'!$Y:$Y,0)),""),"")))</f>
        <v/>
      </c>
      <c r="G297" s="92" t="str">
        <f>IF(ISBLANK(F297),"",IFERROR(INDEX('Tournament List'!$D:$D,MATCH(F297,'Tournament List'!$A:$A,0)),""))</f>
        <v/>
      </c>
      <c r="H297" s="101" t="str">
        <f>IF(E297="Skeet",IFERROR(INDEX('Shooter-Squad Assignment'!$A:$A,MATCH(C297&amp;"-"&amp;D297&amp;"-"&amp;E297&amp;"-Pos2",'Shooter-Squad Assignment'!#REF!,0)),""),IF(E297="Trap",IFERROR(INDEX('Shooter-Squad Assignment'!$A:$A,MATCH(C297&amp;"-"&amp;D297&amp;"-"&amp;E297&amp;"-Pos2",'Shooter-Squad Assignment'!$V:$V,0)),""),IF(E297="Sporting Clays",IFERROR(INDEX('Shooter-Squad Assignment'!$A:$A,MATCH(C297&amp;"-"&amp;D297&amp;"-"&amp;E297&amp;"-Pos2",'Shooter-Squad Assignment'!$Y:$Y,0)),""),"")))</f>
        <v/>
      </c>
      <c r="I297" s="92" t="str">
        <f>IF(ISBLANK(H297),"",IFERROR(INDEX('Tournament List'!$D:$D,MATCH(H297,'Tournament List'!$A:$A,0)),""))</f>
        <v/>
      </c>
      <c r="J297" s="101" t="str">
        <f>IF(E297="Skeet",IFERROR(INDEX('Shooter-Squad Assignment'!$A:$A,MATCH(C297&amp;"-"&amp;D297&amp;"-"&amp;E297&amp;"-Pos3",'Shooter-Squad Assignment'!#REF!,0)),""),IF(E297="Trap",IFERROR(INDEX('Shooter-Squad Assignment'!$A:$A,MATCH(C297&amp;"-"&amp;D297&amp;"-"&amp;E297&amp;"-Pos3",'Shooter-Squad Assignment'!$V:$V,0)),""),IF(E297="Sporting Clays",IFERROR(INDEX('Shooter-Squad Assignment'!$A:$A,MATCH(C297&amp;"-"&amp;D297&amp;"-"&amp;E297&amp;"-Pos3",'Shooter-Squad Assignment'!$Y:$Y,0)),""),"")))</f>
        <v/>
      </c>
      <c r="K297" s="92" t="str">
        <f>IF(ISBLANK(J297),"",IFERROR(INDEX('Tournament List'!$D:$D,MATCH(J297,'Tournament List'!$A:$A,0)),""))</f>
        <v/>
      </c>
      <c r="L297" s="101" t="str">
        <f>IF(E297="Skeet",IFERROR(INDEX('Shooter-Squad Assignment'!$A:$A,MATCH(C297&amp;"-"&amp;D297&amp;"-"&amp;E297&amp;"-Pos4",'Shooter-Squad Assignment'!#REF!,0)),""),IF(E297="Trap",IFERROR(INDEX('Shooter-Squad Assignment'!$A:$A,MATCH(C297&amp;"-"&amp;D297&amp;"-"&amp;E297&amp;"-Pos4",'Shooter-Squad Assignment'!$V:$V,0)),""),IF(E297="Sporting Clays",IFERROR(INDEX('Shooter-Squad Assignment'!$A:$A,MATCH(C297&amp;"-"&amp;D297&amp;"-"&amp;E297&amp;"-Pos4",'Shooter-Squad Assignment'!$Y:$Y,0)),""),"")))</f>
        <v/>
      </c>
      <c r="M297" s="92" t="str">
        <f>IF(ISBLANK(L297),"",IFERROR(INDEX('Tournament List'!$D:$D,MATCH(L297,'Tournament List'!$A:$A,0)),""))</f>
        <v/>
      </c>
      <c r="N297" s="101" t="str">
        <f>IF(E297="Skeet",IFERROR(INDEX('Shooter-Squad Assignment'!$A:$A,MATCH(C297&amp;"-"&amp;D297&amp;"-"&amp;E297&amp;"-Pos5",'Shooter-Squad Assignment'!#REF!,0)),""),IF(E297="Trap",IFERROR(INDEX('Shooter-Squad Assignment'!$A:$A,MATCH(C297&amp;"-"&amp;D297&amp;"-"&amp;E297&amp;"-Pos5",'Shooter-Squad Assignment'!$V:$V,0)),""),IF(E297="Sporting Clays",IFERROR(INDEX('Shooter-Squad Assignment'!$A:$A,MATCH(C297&amp;"-"&amp;D297&amp;"-"&amp;E297&amp;"-Pos5",'Shooter-Squad Assignment'!$Y:$Y,0)),""),"")))</f>
        <v/>
      </c>
      <c r="O297" s="93" t="str">
        <f>IF(ISBLANK(N297),"",IFERROR(INDEX('Tournament List'!$D:$D,MATCH(N297,'Tournament List'!$A:$A,0)),""))</f>
        <v/>
      </c>
    </row>
    <row r="298" spans="1:15" x14ac:dyDescent="0.3">
      <c r="A298" s="91">
        <v>306</v>
      </c>
      <c r="B298" s="92" t="str">
        <f t="shared" si="4"/>
        <v>Littleton Target Masters-Junior Varsity 3-Trap</v>
      </c>
      <c r="C298" s="92" t="s">
        <v>324</v>
      </c>
      <c r="D298" s="92" t="s">
        <v>353</v>
      </c>
      <c r="E298" s="92" t="s">
        <v>147</v>
      </c>
      <c r="F298" s="101" t="str">
        <f>IF(E298="Skeet",IFERROR(INDEX('Shooter-Squad Assignment'!$A:$A,MATCH(C298&amp;"-"&amp;D298&amp;"-"&amp;E298&amp;"-Pos1",'Shooter-Squad Assignment'!#REF!,0)),""),IF(E298="Trap",IFERROR(INDEX('Shooter-Squad Assignment'!$A:$A,MATCH(C298&amp;"-"&amp;D298&amp;"-"&amp;E298&amp;"-Pos1",'Shooter-Squad Assignment'!$V:$V,0)),""),IF(E298="Sporting Clays",IFERROR(INDEX('Shooter-Squad Assignment'!$A:$A,MATCH(C298&amp;"-"&amp;D298&amp;"-"&amp;E298&amp;"-Pos1",'Shooter-Squad Assignment'!$Y:$Y,0)),""),"")))</f>
        <v/>
      </c>
      <c r="G298" s="92" t="str">
        <f>IF(ISBLANK(F298),"",IFERROR(INDEX('Tournament List'!$D:$D,MATCH(F298,'Tournament List'!$A:$A,0)),""))</f>
        <v/>
      </c>
      <c r="H298" s="101" t="str">
        <f>IF(E298="Skeet",IFERROR(INDEX('Shooter-Squad Assignment'!$A:$A,MATCH(C298&amp;"-"&amp;D298&amp;"-"&amp;E298&amp;"-Pos2",'Shooter-Squad Assignment'!#REF!,0)),""),IF(E298="Trap",IFERROR(INDEX('Shooter-Squad Assignment'!$A:$A,MATCH(C298&amp;"-"&amp;D298&amp;"-"&amp;E298&amp;"-Pos2",'Shooter-Squad Assignment'!$V:$V,0)),""),IF(E298="Sporting Clays",IFERROR(INDEX('Shooter-Squad Assignment'!$A:$A,MATCH(C298&amp;"-"&amp;D298&amp;"-"&amp;E298&amp;"-Pos2",'Shooter-Squad Assignment'!$Y:$Y,0)),""),"")))</f>
        <v/>
      </c>
      <c r="I298" s="92" t="str">
        <f>IF(ISBLANK(H298),"",IFERROR(INDEX('Tournament List'!$D:$D,MATCH(H298,'Tournament List'!$A:$A,0)),""))</f>
        <v/>
      </c>
      <c r="J298" s="101" t="str">
        <f>IF(E298="Skeet",IFERROR(INDEX('Shooter-Squad Assignment'!$A:$A,MATCH(C298&amp;"-"&amp;D298&amp;"-"&amp;E298&amp;"-Pos3",'Shooter-Squad Assignment'!#REF!,0)),""),IF(E298="Trap",IFERROR(INDEX('Shooter-Squad Assignment'!$A:$A,MATCH(C298&amp;"-"&amp;D298&amp;"-"&amp;E298&amp;"-Pos3",'Shooter-Squad Assignment'!$V:$V,0)),""),IF(E298="Sporting Clays",IFERROR(INDEX('Shooter-Squad Assignment'!$A:$A,MATCH(C298&amp;"-"&amp;D298&amp;"-"&amp;E298&amp;"-Pos3",'Shooter-Squad Assignment'!$Y:$Y,0)),""),"")))</f>
        <v/>
      </c>
      <c r="K298" s="92" t="str">
        <f>IF(ISBLANK(J298),"",IFERROR(INDEX('Tournament List'!$D:$D,MATCH(J298,'Tournament List'!$A:$A,0)),""))</f>
        <v/>
      </c>
      <c r="L298" s="101" t="str">
        <f>IF(E298="Skeet",IFERROR(INDEX('Shooter-Squad Assignment'!$A:$A,MATCH(C298&amp;"-"&amp;D298&amp;"-"&amp;E298&amp;"-Pos4",'Shooter-Squad Assignment'!#REF!,0)),""),IF(E298="Trap",IFERROR(INDEX('Shooter-Squad Assignment'!$A:$A,MATCH(C298&amp;"-"&amp;D298&amp;"-"&amp;E298&amp;"-Pos4",'Shooter-Squad Assignment'!$V:$V,0)),""),IF(E298="Sporting Clays",IFERROR(INDEX('Shooter-Squad Assignment'!$A:$A,MATCH(C298&amp;"-"&amp;D298&amp;"-"&amp;E298&amp;"-Pos4",'Shooter-Squad Assignment'!$Y:$Y,0)),""),"")))</f>
        <v/>
      </c>
      <c r="M298" s="92" t="str">
        <f>IF(ISBLANK(L298),"",IFERROR(INDEX('Tournament List'!$D:$D,MATCH(L298,'Tournament List'!$A:$A,0)),""))</f>
        <v/>
      </c>
      <c r="N298" s="101" t="str">
        <f>IF(E298="Skeet",IFERROR(INDEX('Shooter-Squad Assignment'!$A:$A,MATCH(C298&amp;"-"&amp;D298&amp;"-"&amp;E298&amp;"-Pos5",'Shooter-Squad Assignment'!#REF!,0)),""),IF(E298="Trap",IFERROR(INDEX('Shooter-Squad Assignment'!$A:$A,MATCH(C298&amp;"-"&amp;D298&amp;"-"&amp;E298&amp;"-Pos5",'Shooter-Squad Assignment'!$V:$V,0)),""),IF(E298="Sporting Clays",IFERROR(INDEX('Shooter-Squad Assignment'!$A:$A,MATCH(C298&amp;"-"&amp;D298&amp;"-"&amp;E298&amp;"-Pos5",'Shooter-Squad Assignment'!$Y:$Y,0)),""),"")))</f>
        <v/>
      </c>
      <c r="O298" s="93" t="str">
        <f>IF(ISBLANK(N298),"",IFERROR(INDEX('Tournament List'!$D:$D,MATCH(N298,'Tournament List'!$A:$A,0)),""))</f>
        <v/>
      </c>
    </row>
    <row r="299" spans="1:15" x14ac:dyDescent="0.3">
      <c r="A299" s="91">
        <v>307</v>
      </c>
      <c r="B299" s="92" t="str">
        <f t="shared" si="4"/>
        <v>Littleton Target Masters-Novice 1-Trap</v>
      </c>
      <c r="C299" s="92" t="s">
        <v>324</v>
      </c>
      <c r="D299" s="92" t="s">
        <v>339</v>
      </c>
      <c r="E299" s="92" t="s">
        <v>147</v>
      </c>
      <c r="F299" s="101" t="str">
        <f>IF(E299="Skeet",IFERROR(INDEX('Shooter-Squad Assignment'!$A:$A,MATCH(C299&amp;"-"&amp;D299&amp;"-"&amp;E299&amp;"-Pos1",'Shooter-Squad Assignment'!#REF!,0)),""),IF(E299="Trap",IFERROR(INDEX('Shooter-Squad Assignment'!$A:$A,MATCH(C299&amp;"-"&amp;D299&amp;"-"&amp;E299&amp;"-Pos1",'Shooter-Squad Assignment'!$V:$V,0)),""),IF(E299="Sporting Clays",IFERROR(INDEX('Shooter-Squad Assignment'!$A:$A,MATCH(C299&amp;"-"&amp;D299&amp;"-"&amp;E299&amp;"-Pos1",'Shooter-Squad Assignment'!$Y:$Y,0)),""),"")))</f>
        <v/>
      </c>
      <c r="G299" s="92" t="str">
        <f>IF(ISBLANK(F299),"",IFERROR(INDEX('Tournament List'!$D:$D,MATCH(F299,'Tournament List'!$A:$A,0)),""))</f>
        <v/>
      </c>
      <c r="H299" s="101" t="str">
        <f>IF(E299="Skeet",IFERROR(INDEX('Shooter-Squad Assignment'!$A:$A,MATCH(C299&amp;"-"&amp;D299&amp;"-"&amp;E299&amp;"-Pos2",'Shooter-Squad Assignment'!#REF!,0)),""),IF(E299="Trap",IFERROR(INDEX('Shooter-Squad Assignment'!$A:$A,MATCH(C299&amp;"-"&amp;D299&amp;"-"&amp;E299&amp;"-Pos2",'Shooter-Squad Assignment'!$V:$V,0)),""),IF(E299="Sporting Clays",IFERROR(INDEX('Shooter-Squad Assignment'!$A:$A,MATCH(C299&amp;"-"&amp;D299&amp;"-"&amp;E299&amp;"-Pos2",'Shooter-Squad Assignment'!$Y:$Y,0)),""),"")))</f>
        <v/>
      </c>
      <c r="I299" s="92" t="str">
        <f>IF(ISBLANK(H299),"",IFERROR(INDEX('Tournament List'!$D:$D,MATCH(H299,'Tournament List'!$A:$A,0)),""))</f>
        <v/>
      </c>
      <c r="J299" s="101" t="str">
        <f>IF(E299="Skeet",IFERROR(INDEX('Shooter-Squad Assignment'!$A:$A,MATCH(C299&amp;"-"&amp;D299&amp;"-"&amp;E299&amp;"-Pos3",'Shooter-Squad Assignment'!#REF!,0)),""),IF(E299="Trap",IFERROR(INDEX('Shooter-Squad Assignment'!$A:$A,MATCH(C299&amp;"-"&amp;D299&amp;"-"&amp;E299&amp;"-Pos3",'Shooter-Squad Assignment'!$V:$V,0)),""),IF(E299="Sporting Clays",IFERROR(INDEX('Shooter-Squad Assignment'!$A:$A,MATCH(C299&amp;"-"&amp;D299&amp;"-"&amp;E299&amp;"-Pos3",'Shooter-Squad Assignment'!$Y:$Y,0)),""),"")))</f>
        <v/>
      </c>
      <c r="K299" s="92" t="str">
        <f>IF(ISBLANK(J299),"",IFERROR(INDEX('Tournament List'!$D:$D,MATCH(J299,'Tournament List'!$A:$A,0)),""))</f>
        <v/>
      </c>
      <c r="L299" s="101" t="str">
        <f>IF(E299="Skeet",IFERROR(INDEX('Shooter-Squad Assignment'!$A:$A,MATCH(C299&amp;"-"&amp;D299&amp;"-"&amp;E299&amp;"-Pos4",'Shooter-Squad Assignment'!#REF!,0)),""),IF(E299="Trap",IFERROR(INDEX('Shooter-Squad Assignment'!$A:$A,MATCH(C299&amp;"-"&amp;D299&amp;"-"&amp;E299&amp;"-Pos4",'Shooter-Squad Assignment'!$V:$V,0)),""),IF(E299="Sporting Clays",IFERROR(INDEX('Shooter-Squad Assignment'!$A:$A,MATCH(C299&amp;"-"&amp;D299&amp;"-"&amp;E299&amp;"-Pos4",'Shooter-Squad Assignment'!$Y:$Y,0)),""),"")))</f>
        <v/>
      </c>
      <c r="M299" s="92" t="str">
        <f>IF(ISBLANK(L299),"",IFERROR(INDEX('Tournament List'!$D:$D,MATCH(L299,'Tournament List'!$A:$A,0)),""))</f>
        <v/>
      </c>
      <c r="N299" s="101" t="str">
        <f>IF(E299="Skeet",IFERROR(INDEX('Shooter-Squad Assignment'!$A:$A,MATCH(C299&amp;"-"&amp;D299&amp;"-"&amp;E299&amp;"-Pos5",'Shooter-Squad Assignment'!#REF!,0)),""),IF(E299="Trap",IFERROR(INDEX('Shooter-Squad Assignment'!$A:$A,MATCH(C299&amp;"-"&amp;D299&amp;"-"&amp;E299&amp;"-Pos5",'Shooter-Squad Assignment'!$V:$V,0)),""),IF(E299="Sporting Clays",IFERROR(INDEX('Shooter-Squad Assignment'!$A:$A,MATCH(C299&amp;"-"&amp;D299&amp;"-"&amp;E299&amp;"-Pos5",'Shooter-Squad Assignment'!$Y:$Y,0)),""),"")))</f>
        <v/>
      </c>
      <c r="O299" s="93" t="str">
        <f>IF(ISBLANK(N299),"",IFERROR(INDEX('Tournament List'!$D:$D,MATCH(N299,'Tournament List'!$A:$A,0)),""))</f>
        <v/>
      </c>
    </row>
    <row r="300" spans="1:15" x14ac:dyDescent="0.3">
      <c r="A300" s="91">
        <v>308</v>
      </c>
      <c r="B300" s="92" t="str">
        <f t="shared" si="4"/>
        <v>Littleton Target Masters-Novice 2-Trap</v>
      </c>
      <c r="C300" s="92" t="s">
        <v>324</v>
      </c>
      <c r="D300" s="92" t="s">
        <v>345</v>
      </c>
      <c r="E300" s="92" t="s">
        <v>147</v>
      </c>
      <c r="F300" s="101" t="str">
        <f>IF(E300="Skeet",IFERROR(INDEX('Shooter-Squad Assignment'!$A:$A,MATCH(C300&amp;"-"&amp;D300&amp;"-"&amp;E300&amp;"-Pos1",'Shooter-Squad Assignment'!#REF!,0)),""),IF(E300="Trap",IFERROR(INDEX('Shooter-Squad Assignment'!$A:$A,MATCH(C300&amp;"-"&amp;D300&amp;"-"&amp;E300&amp;"-Pos1",'Shooter-Squad Assignment'!$V:$V,0)),""),IF(E300="Sporting Clays",IFERROR(INDEX('Shooter-Squad Assignment'!$A:$A,MATCH(C300&amp;"-"&amp;D300&amp;"-"&amp;E300&amp;"-Pos1",'Shooter-Squad Assignment'!$Y:$Y,0)),""),"")))</f>
        <v/>
      </c>
      <c r="G300" s="92" t="str">
        <f>IF(ISBLANK(F300),"",IFERROR(INDEX('Tournament List'!$D:$D,MATCH(F300,'Tournament List'!$A:$A,0)),""))</f>
        <v/>
      </c>
      <c r="H300" s="101" t="str">
        <f>IF(E300="Skeet",IFERROR(INDEX('Shooter-Squad Assignment'!$A:$A,MATCH(C300&amp;"-"&amp;D300&amp;"-"&amp;E300&amp;"-Pos2",'Shooter-Squad Assignment'!#REF!,0)),""),IF(E300="Trap",IFERROR(INDEX('Shooter-Squad Assignment'!$A:$A,MATCH(C300&amp;"-"&amp;D300&amp;"-"&amp;E300&amp;"-Pos2",'Shooter-Squad Assignment'!$V:$V,0)),""),IF(E300="Sporting Clays",IFERROR(INDEX('Shooter-Squad Assignment'!$A:$A,MATCH(C300&amp;"-"&amp;D300&amp;"-"&amp;E300&amp;"-Pos2",'Shooter-Squad Assignment'!$Y:$Y,0)),""),"")))</f>
        <v/>
      </c>
      <c r="I300" s="92" t="str">
        <f>IF(ISBLANK(H300),"",IFERROR(INDEX('Tournament List'!$D:$D,MATCH(H300,'Tournament List'!$A:$A,0)),""))</f>
        <v/>
      </c>
      <c r="J300" s="101" t="str">
        <f>IF(E300="Skeet",IFERROR(INDEX('Shooter-Squad Assignment'!$A:$A,MATCH(C300&amp;"-"&amp;D300&amp;"-"&amp;E300&amp;"-Pos3",'Shooter-Squad Assignment'!#REF!,0)),""),IF(E300="Trap",IFERROR(INDEX('Shooter-Squad Assignment'!$A:$A,MATCH(C300&amp;"-"&amp;D300&amp;"-"&amp;E300&amp;"-Pos3",'Shooter-Squad Assignment'!$V:$V,0)),""),IF(E300="Sporting Clays",IFERROR(INDEX('Shooter-Squad Assignment'!$A:$A,MATCH(C300&amp;"-"&amp;D300&amp;"-"&amp;E300&amp;"-Pos3",'Shooter-Squad Assignment'!$Y:$Y,0)),""),"")))</f>
        <v/>
      </c>
      <c r="K300" s="92" t="str">
        <f>IF(ISBLANK(J300),"",IFERROR(INDEX('Tournament List'!$D:$D,MATCH(J300,'Tournament List'!$A:$A,0)),""))</f>
        <v/>
      </c>
      <c r="L300" s="101" t="str">
        <f>IF(E300="Skeet",IFERROR(INDEX('Shooter-Squad Assignment'!$A:$A,MATCH(C300&amp;"-"&amp;D300&amp;"-"&amp;E300&amp;"-Pos4",'Shooter-Squad Assignment'!#REF!,0)),""),IF(E300="Trap",IFERROR(INDEX('Shooter-Squad Assignment'!$A:$A,MATCH(C300&amp;"-"&amp;D300&amp;"-"&amp;E300&amp;"-Pos4",'Shooter-Squad Assignment'!$V:$V,0)),""),IF(E300="Sporting Clays",IFERROR(INDEX('Shooter-Squad Assignment'!$A:$A,MATCH(C300&amp;"-"&amp;D300&amp;"-"&amp;E300&amp;"-Pos4",'Shooter-Squad Assignment'!$Y:$Y,0)),""),"")))</f>
        <v/>
      </c>
      <c r="M300" s="92" t="str">
        <f>IF(ISBLANK(L300),"",IFERROR(INDEX('Tournament List'!$D:$D,MATCH(L300,'Tournament List'!$A:$A,0)),""))</f>
        <v/>
      </c>
      <c r="N300" s="101" t="str">
        <f>IF(E300="Skeet",IFERROR(INDEX('Shooter-Squad Assignment'!$A:$A,MATCH(C300&amp;"-"&amp;D300&amp;"-"&amp;E300&amp;"-Pos5",'Shooter-Squad Assignment'!#REF!,0)),""),IF(E300="Trap",IFERROR(INDEX('Shooter-Squad Assignment'!$A:$A,MATCH(C300&amp;"-"&amp;D300&amp;"-"&amp;E300&amp;"-Pos5",'Shooter-Squad Assignment'!$V:$V,0)),""),IF(E300="Sporting Clays",IFERROR(INDEX('Shooter-Squad Assignment'!$A:$A,MATCH(C300&amp;"-"&amp;D300&amp;"-"&amp;E300&amp;"-Pos5",'Shooter-Squad Assignment'!$Y:$Y,0)),""),"")))</f>
        <v/>
      </c>
      <c r="O300" s="93" t="str">
        <f>IF(ISBLANK(N300),"",IFERROR(INDEX('Tournament List'!$D:$D,MATCH(N300,'Tournament List'!$A:$A,0)),""))</f>
        <v/>
      </c>
    </row>
    <row r="301" spans="1:15" x14ac:dyDescent="0.3">
      <c r="A301" s="91">
        <v>309</v>
      </c>
      <c r="B301" s="92" t="str">
        <f t="shared" si="4"/>
        <v>Littleton Target Masters-Novice 3-Trap</v>
      </c>
      <c r="C301" s="92" t="s">
        <v>324</v>
      </c>
      <c r="D301" s="92" t="s">
        <v>351</v>
      </c>
      <c r="E301" s="92" t="s">
        <v>147</v>
      </c>
      <c r="F301" s="101" t="str">
        <f>IF(E301="Skeet",IFERROR(INDEX('Shooter-Squad Assignment'!$A:$A,MATCH(C301&amp;"-"&amp;D301&amp;"-"&amp;E301&amp;"-Pos1",'Shooter-Squad Assignment'!#REF!,0)),""),IF(E301="Trap",IFERROR(INDEX('Shooter-Squad Assignment'!$A:$A,MATCH(C301&amp;"-"&amp;D301&amp;"-"&amp;E301&amp;"-Pos1",'Shooter-Squad Assignment'!$V:$V,0)),""),IF(E301="Sporting Clays",IFERROR(INDEX('Shooter-Squad Assignment'!$A:$A,MATCH(C301&amp;"-"&amp;D301&amp;"-"&amp;E301&amp;"-Pos1",'Shooter-Squad Assignment'!$Y:$Y,0)),""),"")))</f>
        <v/>
      </c>
      <c r="G301" s="92" t="str">
        <f>IF(ISBLANK(F301),"",IFERROR(INDEX('Tournament List'!$D:$D,MATCH(F301,'Tournament List'!$A:$A,0)),""))</f>
        <v/>
      </c>
      <c r="H301" s="101" t="str">
        <f>IF(E301="Skeet",IFERROR(INDEX('Shooter-Squad Assignment'!$A:$A,MATCH(C301&amp;"-"&amp;D301&amp;"-"&amp;E301&amp;"-Pos2",'Shooter-Squad Assignment'!#REF!,0)),""),IF(E301="Trap",IFERROR(INDEX('Shooter-Squad Assignment'!$A:$A,MATCH(C301&amp;"-"&amp;D301&amp;"-"&amp;E301&amp;"-Pos2",'Shooter-Squad Assignment'!$V:$V,0)),""),IF(E301="Sporting Clays",IFERROR(INDEX('Shooter-Squad Assignment'!$A:$A,MATCH(C301&amp;"-"&amp;D301&amp;"-"&amp;E301&amp;"-Pos2",'Shooter-Squad Assignment'!$Y:$Y,0)),""),"")))</f>
        <v/>
      </c>
      <c r="I301" s="92" t="str">
        <f>IF(ISBLANK(H301),"",IFERROR(INDEX('Tournament List'!$D:$D,MATCH(H301,'Tournament List'!$A:$A,0)),""))</f>
        <v/>
      </c>
      <c r="J301" s="101" t="str">
        <f>IF(E301="Skeet",IFERROR(INDEX('Shooter-Squad Assignment'!$A:$A,MATCH(C301&amp;"-"&amp;D301&amp;"-"&amp;E301&amp;"-Pos3",'Shooter-Squad Assignment'!#REF!,0)),""),IF(E301="Trap",IFERROR(INDEX('Shooter-Squad Assignment'!$A:$A,MATCH(C301&amp;"-"&amp;D301&amp;"-"&amp;E301&amp;"-Pos3",'Shooter-Squad Assignment'!$V:$V,0)),""),IF(E301="Sporting Clays",IFERROR(INDEX('Shooter-Squad Assignment'!$A:$A,MATCH(C301&amp;"-"&amp;D301&amp;"-"&amp;E301&amp;"-Pos3",'Shooter-Squad Assignment'!$Y:$Y,0)),""),"")))</f>
        <v/>
      </c>
      <c r="K301" s="92" t="str">
        <f>IF(ISBLANK(J301),"",IFERROR(INDEX('Tournament List'!$D:$D,MATCH(J301,'Tournament List'!$A:$A,0)),""))</f>
        <v/>
      </c>
      <c r="L301" s="101" t="str">
        <f>IF(E301="Skeet",IFERROR(INDEX('Shooter-Squad Assignment'!$A:$A,MATCH(C301&amp;"-"&amp;D301&amp;"-"&amp;E301&amp;"-Pos4",'Shooter-Squad Assignment'!#REF!,0)),""),IF(E301="Trap",IFERROR(INDEX('Shooter-Squad Assignment'!$A:$A,MATCH(C301&amp;"-"&amp;D301&amp;"-"&amp;E301&amp;"-Pos4",'Shooter-Squad Assignment'!$V:$V,0)),""),IF(E301="Sporting Clays",IFERROR(INDEX('Shooter-Squad Assignment'!$A:$A,MATCH(C301&amp;"-"&amp;D301&amp;"-"&amp;E301&amp;"-Pos4",'Shooter-Squad Assignment'!$Y:$Y,0)),""),"")))</f>
        <v/>
      </c>
      <c r="M301" s="92" t="str">
        <f>IF(ISBLANK(L301),"",IFERROR(INDEX('Tournament List'!$D:$D,MATCH(L301,'Tournament List'!$A:$A,0)),""))</f>
        <v/>
      </c>
      <c r="N301" s="101" t="str">
        <f>IF(E301="Skeet",IFERROR(INDEX('Shooter-Squad Assignment'!$A:$A,MATCH(C301&amp;"-"&amp;D301&amp;"-"&amp;E301&amp;"-Pos5",'Shooter-Squad Assignment'!#REF!,0)),""),IF(E301="Trap",IFERROR(INDEX('Shooter-Squad Assignment'!$A:$A,MATCH(C301&amp;"-"&amp;D301&amp;"-"&amp;E301&amp;"-Pos5",'Shooter-Squad Assignment'!$V:$V,0)),""),IF(E301="Sporting Clays",IFERROR(INDEX('Shooter-Squad Assignment'!$A:$A,MATCH(C301&amp;"-"&amp;D301&amp;"-"&amp;E301&amp;"-Pos5",'Shooter-Squad Assignment'!$Y:$Y,0)),""),"")))</f>
        <v/>
      </c>
      <c r="O301" s="93" t="str">
        <f>IF(ISBLANK(N301),"",IFERROR(INDEX('Tournament List'!$D:$D,MATCH(N301,'Tournament List'!$A:$A,0)),""))</f>
        <v/>
      </c>
    </row>
    <row r="302" spans="1:15" x14ac:dyDescent="0.3">
      <c r="A302" s="91">
        <v>310</v>
      </c>
      <c r="B302" s="92" t="str">
        <f t="shared" si="4"/>
        <v>Littleton Target Masters-Open 1-Trap</v>
      </c>
      <c r="C302" s="92" t="s">
        <v>324</v>
      </c>
      <c r="D302" s="92" t="s">
        <v>343</v>
      </c>
      <c r="E302" s="92" t="s">
        <v>147</v>
      </c>
      <c r="F302" s="101" t="str">
        <f>IF(E302="Skeet",IFERROR(INDEX('Shooter-Squad Assignment'!$A:$A,MATCH(C302&amp;"-"&amp;D302&amp;"-"&amp;E302&amp;"-Pos1",'Shooter-Squad Assignment'!#REF!,0)),""),IF(E302="Trap",IFERROR(INDEX('Shooter-Squad Assignment'!$A:$A,MATCH(C302&amp;"-"&amp;D302&amp;"-"&amp;E302&amp;"-Pos1",'Shooter-Squad Assignment'!$V:$V,0)),""),IF(E302="Sporting Clays",IFERROR(INDEX('Shooter-Squad Assignment'!$A:$A,MATCH(C302&amp;"-"&amp;D302&amp;"-"&amp;E302&amp;"-Pos1",'Shooter-Squad Assignment'!$Y:$Y,0)),""),"")))</f>
        <v/>
      </c>
      <c r="G302" s="92" t="str">
        <f>IF(ISBLANK(F302),"",IFERROR(INDEX('Tournament List'!$D:$D,MATCH(F302,'Tournament List'!$A:$A,0)),""))</f>
        <v/>
      </c>
      <c r="H302" s="101" t="str">
        <f>IF(E302="Skeet",IFERROR(INDEX('Shooter-Squad Assignment'!$A:$A,MATCH(C302&amp;"-"&amp;D302&amp;"-"&amp;E302&amp;"-Pos2",'Shooter-Squad Assignment'!#REF!,0)),""),IF(E302="Trap",IFERROR(INDEX('Shooter-Squad Assignment'!$A:$A,MATCH(C302&amp;"-"&amp;D302&amp;"-"&amp;E302&amp;"-Pos2",'Shooter-Squad Assignment'!$V:$V,0)),""),IF(E302="Sporting Clays",IFERROR(INDEX('Shooter-Squad Assignment'!$A:$A,MATCH(C302&amp;"-"&amp;D302&amp;"-"&amp;E302&amp;"-Pos2",'Shooter-Squad Assignment'!$Y:$Y,0)),""),"")))</f>
        <v/>
      </c>
      <c r="I302" s="92" t="str">
        <f>IF(ISBLANK(H302),"",IFERROR(INDEX('Tournament List'!$D:$D,MATCH(H302,'Tournament List'!$A:$A,0)),""))</f>
        <v/>
      </c>
      <c r="J302" s="101" t="str">
        <f>IF(E302="Skeet",IFERROR(INDEX('Shooter-Squad Assignment'!$A:$A,MATCH(C302&amp;"-"&amp;D302&amp;"-"&amp;E302&amp;"-Pos3",'Shooter-Squad Assignment'!#REF!,0)),""),IF(E302="Trap",IFERROR(INDEX('Shooter-Squad Assignment'!$A:$A,MATCH(C302&amp;"-"&amp;D302&amp;"-"&amp;E302&amp;"-Pos3",'Shooter-Squad Assignment'!$V:$V,0)),""),IF(E302="Sporting Clays",IFERROR(INDEX('Shooter-Squad Assignment'!$A:$A,MATCH(C302&amp;"-"&amp;D302&amp;"-"&amp;E302&amp;"-Pos3",'Shooter-Squad Assignment'!$Y:$Y,0)),""),"")))</f>
        <v/>
      </c>
      <c r="K302" s="92" t="str">
        <f>IF(ISBLANK(J302),"",IFERROR(INDEX('Tournament List'!$D:$D,MATCH(J302,'Tournament List'!$A:$A,0)),""))</f>
        <v/>
      </c>
      <c r="L302" s="101" t="str">
        <f>IF(E302="Skeet",IFERROR(INDEX('Shooter-Squad Assignment'!$A:$A,MATCH(C302&amp;"-"&amp;D302&amp;"-"&amp;E302&amp;"-Pos4",'Shooter-Squad Assignment'!#REF!,0)),""),IF(E302="Trap",IFERROR(INDEX('Shooter-Squad Assignment'!$A:$A,MATCH(C302&amp;"-"&amp;D302&amp;"-"&amp;E302&amp;"-Pos4",'Shooter-Squad Assignment'!$V:$V,0)),""),IF(E302="Sporting Clays",IFERROR(INDEX('Shooter-Squad Assignment'!$A:$A,MATCH(C302&amp;"-"&amp;D302&amp;"-"&amp;E302&amp;"-Pos4",'Shooter-Squad Assignment'!$Y:$Y,0)),""),"")))</f>
        <v/>
      </c>
      <c r="M302" s="92" t="str">
        <f>IF(ISBLANK(L302),"",IFERROR(INDEX('Tournament List'!$D:$D,MATCH(L302,'Tournament List'!$A:$A,0)),""))</f>
        <v/>
      </c>
      <c r="N302" s="101" t="str">
        <f>IF(E302="Skeet",IFERROR(INDEX('Shooter-Squad Assignment'!$A:$A,MATCH(C302&amp;"-"&amp;D302&amp;"-"&amp;E302&amp;"-Pos5",'Shooter-Squad Assignment'!#REF!,0)),""),IF(E302="Trap",IFERROR(INDEX('Shooter-Squad Assignment'!$A:$A,MATCH(C302&amp;"-"&amp;D302&amp;"-"&amp;E302&amp;"-Pos5",'Shooter-Squad Assignment'!$V:$V,0)),""),IF(E302="Sporting Clays",IFERROR(INDEX('Shooter-Squad Assignment'!$A:$A,MATCH(C302&amp;"-"&amp;D302&amp;"-"&amp;E302&amp;"-Pos5",'Shooter-Squad Assignment'!$Y:$Y,0)),""),"")))</f>
        <v/>
      </c>
      <c r="O302" s="93" t="str">
        <f>IF(ISBLANK(N302),"",IFERROR(INDEX('Tournament List'!$D:$D,MATCH(N302,'Tournament List'!$A:$A,0)),""))</f>
        <v/>
      </c>
    </row>
    <row r="303" spans="1:15" x14ac:dyDescent="0.3">
      <c r="A303" s="91">
        <v>311</v>
      </c>
      <c r="B303" s="92" t="str">
        <f t="shared" si="4"/>
        <v>Littleton Target Masters-Open 2-Trap</v>
      </c>
      <c r="C303" s="92" t="s">
        <v>324</v>
      </c>
      <c r="D303" s="92" t="s">
        <v>349</v>
      </c>
      <c r="E303" s="92" t="s">
        <v>147</v>
      </c>
      <c r="F303" s="101" t="str">
        <f>IF(E303="Skeet",IFERROR(INDEX('Shooter-Squad Assignment'!$A:$A,MATCH(C303&amp;"-"&amp;D303&amp;"-"&amp;E303&amp;"-Pos1",'Shooter-Squad Assignment'!#REF!,0)),""),IF(E303="Trap",IFERROR(INDEX('Shooter-Squad Assignment'!$A:$A,MATCH(C303&amp;"-"&amp;D303&amp;"-"&amp;E303&amp;"-Pos1",'Shooter-Squad Assignment'!$V:$V,0)),""),IF(E303="Sporting Clays",IFERROR(INDEX('Shooter-Squad Assignment'!$A:$A,MATCH(C303&amp;"-"&amp;D303&amp;"-"&amp;E303&amp;"-Pos1",'Shooter-Squad Assignment'!$Y:$Y,0)),""),"")))</f>
        <v/>
      </c>
      <c r="G303" s="92" t="str">
        <f>IF(ISBLANK(F303),"",IFERROR(INDEX('Tournament List'!$D:$D,MATCH(F303,'Tournament List'!$A:$A,0)),""))</f>
        <v/>
      </c>
      <c r="H303" s="101" t="str">
        <f>IF(E303="Skeet",IFERROR(INDEX('Shooter-Squad Assignment'!$A:$A,MATCH(C303&amp;"-"&amp;D303&amp;"-"&amp;E303&amp;"-Pos2",'Shooter-Squad Assignment'!#REF!,0)),""),IF(E303="Trap",IFERROR(INDEX('Shooter-Squad Assignment'!$A:$A,MATCH(C303&amp;"-"&amp;D303&amp;"-"&amp;E303&amp;"-Pos2",'Shooter-Squad Assignment'!$V:$V,0)),""),IF(E303="Sporting Clays",IFERROR(INDEX('Shooter-Squad Assignment'!$A:$A,MATCH(C303&amp;"-"&amp;D303&amp;"-"&amp;E303&amp;"-Pos2",'Shooter-Squad Assignment'!$Y:$Y,0)),""),"")))</f>
        <v/>
      </c>
      <c r="I303" s="92" t="str">
        <f>IF(ISBLANK(H303),"",IFERROR(INDEX('Tournament List'!$D:$D,MATCH(H303,'Tournament List'!$A:$A,0)),""))</f>
        <v/>
      </c>
      <c r="J303" s="101" t="str">
        <f>IF(E303="Skeet",IFERROR(INDEX('Shooter-Squad Assignment'!$A:$A,MATCH(C303&amp;"-"&amp;D303&amp;"-"&amp;E303&amp;"-Pos3",'Shooter-Squad Assignment'!#REF!,0)),""),IF(E303="Trap",IFERROR(INDEX('Shooter-Squad Assignment'!$A:$A,MATCH(C303&amp;"-"&amp;D303&amp;"-"&amp;E303&amp;"-Pos3",'Shooter-Squad Assignment'!$V:$V,0)),""),IF(E303="Sporting Clays",IFERROR(INDEX('Shooter-Squad Assignment'!$A:$A,MATCH(C303&amp;"-"&amp;D303&amp;"-"&amp;E303&amp;"-Pos3",'Shooter-Squad Assignment'!$Y:$Y,0)),""),"")))</f>
        <v/>
      </c>
      <c r="K303" s="92" t="str">
        <f>IF(ISBLANK(J303),"",IFERROR(INDEX('Tournament List'!$D:$D,MATCH(J303,'Tournament List'!$A:$A,0)),""))</f>
        <v/>
      </c>
      <c r="L303" s="101" t="str">
        <f>IF(E303="Skeet",IFERROR(INDEX('Shooter-Squad Assignment'!$A:$A,MATCH(C303&amp;"-"&amp;D303&amp;"-"&amp;E303&amp;"-Pos4",'Shooter-Squad Assignment'!#REF!,0)),""),IF(E303="Trap",IFERROR(INDEX('Shooter-Squad Assignment'!$A:$A,MATCH(C303&amp;"-"&amp;D303&amp;"-"&amp;E303&amp;"-Pos4",'Shooter-Squad Assignment'!$V:$V,0)),""),IF(E303="Sporting Clays",IFERROR(INDEX('Shooter-Squad Assignment'!$A:$A,MATCH(C303&amp;"-"&amp;D303&amp;"-"&amp;E303&amp;"-Pos4",'Shooter-Squad Assignment'!$Y:$Y,0)),""),"")))</f>
        <v/>
      </c>
      <c r="M303" s="92" t="str">
        <f>IF(ISBLANK(L303),"",IFERROR(INDEX('Tournament List'!$D:$D,MATCH(L303,'Tournament List'!$A:$A,0)),""))</f>
        <v/>
      </c>
      <c r="N303" s="101" t="str">
        <f>IF(E303="Skeet",IFERROR(INDEX('Shooter-Squad Assignment'!$A:$A,MATCH(C303&amp;"-"&amp;D303&amp;"-"&amp;E303&amp;"-Pos5",'Shooter-Squad Assignment'!#REF!,0)),""),IF(E303="Trap",IFERROR(INDEX('Shooter-Squad Assignment'!$A:$A,MATCH(C303&amp;"-"&amp;D303&amp;"-"&amp;E303&amp;"-Pos5",'Shooter-Squad Assignment'!$V:$V,0)),""),IF(E303="Sporting Clays",IFERROR(INDEX('Shooter-Squad Assignment'!$A:$A,MATCH(C303&amp;"-"&amp;D303&amp;"-"&amp;E303&amp;"-Pos5",'Shooter-Squad Assignment'!$Y:$Y,0)),""),"")))</f>
        <v/>
      </c>
      <c r="O303" s="93" t="str">
        <f>IF(ISBLANK(N303),"",IFERROR(INDEX('Tournament List'!$D:$D,MATCH(N303,'Tournament List'!$A:$A,0)),""))</f>
        <v/>
      </c>
    </row>
    <row r="304" spans="1:15" x14ac:dyDescent="0.3">
      <c r="A304" s="91">
        <v>312</v>
      </c>
      <c r="B304" s="92" t="str">
        <f t="shared" si="4"/>
        <v>Littleton Target Masters-Open 3-Trap</v>
      </c>
      <c r="C304" s="92" t="s">
        <v>324</v>
      </c>
      <c r="D304" s="92" t="s">
        <v>355</v>
      </c>
      <c r="E304" s="92" t="s">
        <v>147</v>
      </c>
      <c r="F304" s="101" t="str">
        <f>IF(E304="Skeet",IFERROR(INDEX('Shooter-Squad Assignment'!$A:$A,MATCH(C304&amp;"-"&amp;D304&amp;"-"&amp;E304&amp;"-Pos1",'Shooter-Squad Assignment'!#REF!,0)),""),IF(E304="Trap",IFERROR(INDEX('Shooter-Squad Assignment'!$A:$A,MATCH(C304&amp;"-"&amp;D304&amp;"-"&amp;E304&amp;"-Pos1",'Shooter-Squad Assignment'!$V:$V,0)),""),IF(E304="Sporting Clays",IFERROR(INDEX('Shooter-Squad Assignment'!$A:$A,MATCH(C304&amp;"-"&amp;D304&amp;"-"&amp;E304&amp;"-Pos1",'Shooter-Squad Assignment'!$Y:$Y,0)),""),"")))</f>
        <v/>
      </c>
      <c r="G304" s="92" t="str">
        <f>IF(ISBLANK(F304),"",IFERROR(INDEX('Tournament List'!$D:$D,MATCH(F304,'Tournament List'!$A:$A,0)),""))</f>
        <v/>
      </c>
      <c r="H304" s="101" t="str">
        <f>IF(E304="Skeet",IFERROR(INDEX('Shooter-Squad Assignment'!$A:$A,MATCH(C304&amp;"-"&amp;D304&amp;"-"&amp;E304&amp;"-Pos2",'Shooter-Squad Assignment'!#REF!,0)),""),IF(E304="Trap",IFERROR(INDEX('Shooter-Squad Assignment'!$A:$A,MATCH(C304&amp;"-"&amp;D304&amp;"-"&amp;E304&amp;"-Pos2",'Shooter-Squad Assignment'!$V:$V,0)),""),IF(E304="Sporting Clays",IFERROR(INDEX('Shooter-Squad Assignment'!$A:$A,MATCH(C304&amp;"-"&amp;D304&amp;"-"&amp;E304&amp;"-Pos2",'Shooter-Squad Assignment'!$Y:$Y,0)),""),"")))</f>
        <v/>
      </c>
      <c r="I304" s="92" t="str">
        <f>IF(ISBLANK(H304),"",IFERROR(INDEX('Tournament List'!$D:$D,MATCH(H304,'Tournament List'!$A:$A,0)),""))</f>
        <v/>
      </c>
      <c r="J304" s="101" t="str">
        <f>IF(E304="Skeet",IFERROR(INDEX('Shooter-Squad Assignment'!$A:$A,MATCH(C304&amp;"-"&amp;D304&amp;"-"&amp;E304&amp;"-Pos3",'Shooter-Squad Assignment'!#REF!,0)),""),IF(E304="Trap",IFERROR(INDEX('Shooter-Squad Assignment'!$A:$A,MATCH(C304&amp;"-"&amp;D304&amp;"-"&amp;E304&amp;"-Pos3",'Shooter-Squad Assignment'!$V:$V,0)),""),IF(E304="Sporting Clays",IFERROR(INDEX('Shooter-Squad Assignment'!$A:$A,MATCH(C304&amp;"-"&amp;D304&amp;"-"&amp;E304&amp;"-Pos3",'Shooter-Squad Assignment'!$Y:$Y,0)),""),"")))</f>
        <v/>
      </c>
      <c r="K304" s="92" t="str">
        <f>IF(ISBLANK(J304),"",IFERROR(INDEX('Tournament List'!$D:$D,MATCH(J304,'Tournament List'!$A:$A,0)),""))</f>
        <v/>
      </c>
      <c r="L304" s="101" t="str">
        <f>IF(E304="Skeet",IFERROR(INDEX('Shooter-Squad Assignment'!$A:$A,MATCH(C304&amp;"-"&amp;D304&amp;"-"&amp;E304&amp;"-Pos4",'Shooter-Squad Assignment'!#REF!,0)),""),IF(E304="Trap",IFERROR(INDEX('Shooter-Squad Assignment'!$A:$A,MATCH(C304&amp;"-"&amp;D304&amp;"-"&amp;E304&amp;"-Pos4",'Shooter-Squad Assignment'!$V:$V,0)),""),IF(E304="Sporting Clays",IFERROR(INDEX('Shooter-Squad Assignment'!$A:$A,MATCH(C304&amp;"-"&amp;D304&amp;"-"&amp;E304&amp;"-Pos4",'Shooter-Squad Assignment'!$Y:$Y,0)),""),"")))</f>
        <v/>
      </c>
      <c r="M304" s="92" t="str">
        <f>IF(ISBLANK(L304),"",IFERROR(INDEX('Tournament List'!$D:$D,MATCH(L304,'Tournament List'!$A:$A,0)),""))</f>
        <v/>
      </c>
      <c r="N304" s="101" t="str">
        <f>IF(E304="Skeet",IFERROR(INDEX('Shooter-Squad Assignment'!$A:$A,MATCH(C304&amp;"-"&amp;D304&amp;"-"&amp;E304&amp;"-Pos5",'Shooter-Squad Assignment'!#REF!,0)),""),IF(E304="Trap",IFERROR(INDEX('Shooter-Squad Assignment'!$A:$A,MATCH(C304&amp;"-"&amp;D304&amp;"-"&amp;E304&amp;"-Pos5",'Shooter-Squad Assignment'!$V:$V,0)),""),IF(E304="Sporting Clays",IFERROR(INDEX('Shooter-Squad Assignment'!$A:$A,MATCH(C304&amp;"-"&amp;D304&amp;"-"&amp;E304&amp;"-Pos5",'Shooter-Squad Assignment'!$Y:$Y,0)),""),"")))</f>
        <v/>
      </c>
      <c r="O304" s="93" t="str">
        <f>IF(ISBLANK(N304),"",IFERROR(INDEX('Tournament List'!$D:$D,MATCH(N304,'Tournament List'!$A:$A,0)),""))</f>
        <v/>
      </c>
    </row>
    <row r="305" spans="1:15" x14ac:dyDescent="0.3">
      <c r="A305" s="91">
        <v>313</v>
      </c>
      <c r="B305" s="92" t="str">
        <f t="shared" si="4"/>
        <v>Littleton Target Masters-Varsity 1-Trap</v>
      </c>
      <c r="C305" s="92" t="s">
        <v>324</v>
      </c>
      <c r="D305" s="92" t="s">
        <v>342</v>
      </c>
      <c r="E305" s="92" t="s">
        <v>147</v>
      </c>
      <c r="F305" s="101" t="str">
        <f>IF(E305="Skeet",IFERROR(INDEX('Shooter-Squad Assignment'!$A:$A,MATCH(C305&amp;"-"&amp;D305&amp;"-"&amp;E305&amp;"-Pos1",'Shooter-Squad Assignment'!#REF!,0)),""),IF(E305="Trap",IFERROR(INDEX('Shooter-Squad Assignment'!$A:$A,MATCH(C305&amp;"-"&amp;D305&amp;"-"&amp;E305&amp;"-Pos1",'Shooter-Squad Assignment'!$V:$V,0)),""),IF(E305="Sporting Clays",IFERROR(INDEX('Shooter-Squad Assignment'!$A:$A,MATCH(C305&amp;"-"&amp;D305&amp;"-"&amp;E305&amp;"-Pos1",'Shooter-Squad Assignment'!$Y:$Y,0)),""),"")))</f>
        <v/>
      </c>
      <c r="G305" s="92" t="str">
        <f>IF(ISBLANK(F305),"",IFERROR(INDEX('Tournament List'!$D:$D,MATCH(F305,'Tournament List'!$A:$A,0)),""))</f>
        <v/>
      </c>
      <c r="H305" s="101" t="str">
        <f>IF(E305="Skeet",IFERROR(INDEX('Shooter-Squad Assignment'!$A:$A,MATCH(C305&amp;"-"&amp;D305&amp;"-"&amp;E305&amp;"-Pos2",'Shooter-Squad Assignment'!#REF!,0)),""),IF(E305="Trap",IFERROR(INDEX('Shooter-Squad Assignment'!$A:$A,MATCH(C305&amp;"-"&amp;D305&amp;"-"&amp;E305&amp;"-Pos2",'Shooter-Squad Assignment'!$V:$V,0)),""),IF(E305="Sporting Clays",IFERROR(INDEX('Shooter-Squad Assignment'!$A:$A,MATCH(C305&amp;"-"&amp;D305&amp;"-"&amp;E305&amp;"-Pos2",'Shooter-Squad Assignment'!$Y:$Y,0)),""),"")))</f>
        <v/>
      </c>
      <c r="I305" s="92" t="str">
        <f>IF(ISBLANK(H305),"",IFERROR(INDEX('Tournament List'!$D:$D,MATCH(H305,'Tournament List'!$A:$A,0)),""))</f>
        <v/>
      </c>
      <c r="J305" s="101" t="str">
        <f>IF(E305="Skeet",IFERROR(INDEX('Shooter-Squad Assignment'!$A:$A,MATCH(C305&amp;"-"&amp;D305&amp;"-"&amp;E305&amp;"-Pos3",'Shooter-Squad Assignment'!#REF!,0)),""),IF(E305="Trap",IFERROR(INDEX('Shooter-Squad Assignment'!$A:$A,MATCH(C305&amp;"-"&amp;D305&amp;"-"&amp;E305&amp;"-Pos3",'Shooter-Squad Assignment'!$V:$V,0)),""),IF(E305="Sporting Clays",IFERROR(INDEX('Shooter-Squad Assignment'!$A:$A,MATCH(C305&amp;"-"&amp;D305&amp;"-"&amp;E305&amp;"-Pos3",'Shooter-Squad Assignment'!$Y:$Y,0)),""),"")))</f>
        <v/>
      </c>
      <c r="K305" s="92" t="str">
        <f>IF(ISBLANK(J305),"",IFERROR(INDEX('Tournament List'!$D:$D,MATCH(J305,'Tournament List'!$A:$A,0)),""))</f>
        <v/>
      </c>
      <c r="L305" s="101" t="str">
        <f>IF(E305="Skeet",IFERROR(INDEX('Shooter-Squad Assignment'!$A:$A,MATCH(C305&amp;"-"&amp;D305&amp;"-"&amp;E305&amp;"-Pos4",'Shooter-Squad Assignment'!#REF!,0)),""),IF(E305="Trap",IFERROR(INDEX('Shooter-Squad Assignment'!$A:$A,MATCH(C305&amp;"-"&amp;D305&amp;"-"&amp;E305&amp;"-Pos4",'Shooter-Squad Assignment'!$V:$V,0)),""),IF(E305="Sporting Clays",IFERROR(INDEX('Shooter-Squad Assignment'!$A:$A,MATCH(C305&amp;"-"&amp;D305&amp;"-"&amp;E305&amp;"-Pos4",'Shooter-Squad Assignment'!$Y:$Y,0)),""),"")))</f>
        <v/>
      </c>
      <c r="M305" s="92" t="str">
        <f>IF(ISBLANK(L305),"",IFERROR(INDEX('Tournament List'!$D:$D,MATCH(L305,'Tournament List'!$A:$A,0)),""))</f>
        <v/>
      </c>
      <c r="N305" s="101" t="str">
        <f>IF(E305="Skeet",IFERROR(INDEX('Shooter-Squad Assignment'!$A:$A,MATCH(C305&amp;"-"&amp;D305&amp;"-"&amp;E305&amp;"-Pos5",'Shooter-Squad Assignment'!#REF!,0)),""),IF(E305="Trap",IFERROR(INDEX('Shooter-Squad Assignment'!$A:$A,MATCH(C305&amp;"-"&amp;D305&amp;"-"&amp;E305&amp;"-Pos5",'Shooter-Squad Assignment'!$V:$V,0)),""),IF(E305="Sporting Clays",IFERROR(INDEX('Shooter-Squad Assignment'!$A:$A,MATCH(C305&amp;"-"&amp;D305&amp;"-"&amp;E305&amp;"-Pos5",'Shooter-Squad Assignment'!$Y:$Y,0)),""),"")))</f>
        <v/>
      </c>
      <c r="O305" s="93" t="str">
        <f>IF(ISBLANK(N305),"",IFERROR(INDEX('Tournament List'!$D:$D,MATCH(N305,'Tournament List'!$A:$A,0)),""))</f>
        <v/>
      </c>
    </row>
    <row r="306" spans="1:15" x14ac:dyDescent="0.3">
      <c r="A306" s="91">
        <v>314</v>
      </c>
      <c r="B306" s="92" t="str">
        <f t="shared" si="4"/>
        <v>Littleton Target Masters-Varsity 2-Trap</v>
      </c>
      <c r="C306" s="92" t="s">
        <v>324</v>
      </c>
      <c r="D306" s="92" t="s">
        <v>348</v>
      </c>
      <c r="E306" s="92" t="s">
        <v>147</v>
      </c>
      <c r="F306" s="101" t="str">
        <f>IF(E306="Skeet",IFERROR(INDEX('Shooter-Squad Assignment'!$A:$A,MATCH(C306&amp;"-"&amp;D306&amp;"-"&amp;E306&amp;"-Pos1",'Shooter-Squad Assignment'!#REF!,0)),""),IF(E306="Trap",IFERROR(INDEX('Shooter-Squad Assignment'!$A:$A,MATCH(C306&amp;"-"&amp;D306&amp;"-"&amp;E306&amp;"-Pos1",'Shooter-Squad Assignment'!$V:$V,0)),""),IF(E306="Sporting Clays",IFERROR(INDEX('Shooter-Squad Assignment'!$A:$A,MATCH(C306&amp;"-"&amp;D306&amp;"-"&amp;E306&amp;"-Pos1",'Shooter-Squad Assignment'!$Y:$Y,0)),""),"")))</f>
        <v/>
      </c>
      <c r="G306" s="92" t="str">
        <f>IF(ISBLANK(F306),"",IFERROR(INDEX('Tournament List'!$D:$D,MATCH(F306,'Tournament List'!$A:$A,0)),""))</f>
        <v/>
      </c>
      <c r="H306" s="101" t="str">
        <f>IF(E306="Skeet",IFERROR(INDEX('Shooter-Squad Assignment'!$A:$A,MATCH(C306&amp;"-"&amp;D306&amp;"-"&amp;E306&amp;"-Pos2",'Shooter-Squad Assignment'!#REF!,0)),""),IF(E306="Trap",IFERROR(INDEX('Shooter-Squad Assignment'!$A:$A,MATCH(C306&amp;"-"&amp;D306&amp;"-"&amp;E306&amp;"-Pos2",'Shooter-Squad Assignment'!$V:$V,0)),""),IF(E306="Sporting Clays",IFERROR(INDEX('Shooter-Squad Assignment'!$A:$A,MATCH(C306&amp;"-"&amp;D306&amp;"-"&amp;E306&amp;"-Pos2",'Shooter-Squad Assignment'!$Y:$Y,0)),""),"")))</f>
        <v/>
      </c>
      <c r="I306" s="92" t="str">
        <f>IF(ISBLANK(H306),"",IFERROR(INDEX('Tournament List'!$D:$D,MATCH(H306,'Tournament List'!$A:$A,0)),""))</f>
        <v/>
      </c>
      <c r="J306" s="101" t="str">
        <f>IF(E306="Skeet",IFERROR(INDEX('Shooter-Squad Assignment'!$A:$A,MATCH(C306&amp;"-"&amp;D306&amp;"-"&amp;E306&amp;"-Pos3",'Shooter-Squad Assignment'!#REF!,0)),""),IF(E306="Trap",IFERROR(INDEX('Shooter-Squad Assignment'!$A:$A,MATCH(C306&amp;"-"&amp;D306&amp;"-"&amp;E306&amp;"-Pos3",'Shooter-Squad Assignment'!$V:$V,0)),""),IF(E306="Sporting Clays",IFERROR(INDEX('Shooter-Squad Assignment'!$A:$A,MATCH(C306&amp;"-"&amp;D306&amp;"-"&amp;E306&amp;"-Pos3",'Shooter-Squad Assignment'!$Y:$Y,0)),""),"")))</f>
        <v/>
      </c>
      <c r="K306" s="92" t="str">
        <f>IF(ISBLANK(J306),"",IFERROR(INDEX('Tournament List'!$D:$D,MATCH(J306,'Tournament List'!$A:$A,0)),""))</f>
        <v/>
      </c>
      <c r="L306" s="101" t="str">
        <f>IF(E306="Skeet",IFERROR(INDEX('Shooter-Squad Assignment'!$A:$A,MATCH(C306&amp;"-"&amp;D306&amp;"-"&amp;E306&amp;"-Pos4",'Shooter-Squad Assignment'!#REF!,0)),""),IF(E306="Trap",IFERROR(INDEX('Shooter-Squad Assignment'!$A:$A,MATCH(C306&amp;"-"&amp;D306&amp;"-"&amp;E306&amp;"-Pos4",'Shooter-Squad Assignment'!$V:$V,0)),""),IF(E306="Sporting Clays",IFERROR(INDEX('Shooter-Squad Assignment'!$A:$A,MATCH(C306&amp;"-"&amp;D306&amp;"-"&amp;E306&amp;"-Pos4",'Shooter-Squad Assignment'!$Y:$Y,0)),""),"")))</f>
        <v/>
      </c>
      <c r="M306" s="92" t="str">
        <f>IF(ISBLANK(L306),"",IFERROR(INDEX('Tournament List'!$D:$D,MATCH(L306,'Tournament List'!$A:$A,0)),""))</f>
        <v/>
      </c>
      <c r="N306" s="101" t="str">
        <f>IF(E306="Skeet",IFERROR(INDEX('Shooter-Squad Assignment'!$A:$A,MATCH(C306&amp;"-"&amp;D306&amp;"-"&amp;E306&amp;"-Pos5",'Shooter-Squad Assignment'!#REF!,0)),""),IF(E306="Trap",IFERROR(INDEX('Shooter-Squad Assignment'!$A:$A,MATCH(C306&amp;"-"&amp;D306&amp;"-"&amp;E306&amp;"-Pos5",'Shooter-Squad Assignment'!$V:$V,0)),""),IF(E306="Sporting Clays",IFERROR(INDEX('Shooter-Squad Assignment'!$A:$A,MATCH(C306&amp;"-"&amp;D306&amp;"-"&amp;E306&amp;"-Pos5",'Shooter-Squad Assignment'!$Y:$Y,0)),""),"")))</f>
        <v/>
      </c>
      <c r="O306" s="93" t="str">
        <f>IF(ISBLANK(N306),"",IFERROR(INDEX('Tournament List'!$D:$D,MATCH(N306,'Tournament List'!$A:$A,0)),""))</f>
        <v/>
      </c>
    </row>
    <row r="307" spans="1:15" x14ac:dyDescent="0.3">
      <c r="A307" s="91">
        <v>315</v>
      </c>
      <c r="B307" s="92" t="str">
        <f t="shared" si="4"/>
        <v>Littleton Target Masters-Varsity 3-Trap</v>
      </c>
      <c r="C307" s="92" t="s">
        <v>324</v>
      </c>
      <c r="D307" s="92" t="s">
        <v>354</v>
      </c>
      <c r="E307" s="92" t="s">
        <v>147</v>
      </c>
      <c r="F307" s="101" t="str">
        <f>IF(E307="Skeet",IFERROR(INDEX('Shooter-Squad Assignment'!$A:$A,MATCH(C307&amp;"-"&amp;D307&amp;"-"&amp;E307&amp;"-Pos1",'Shooter-Squad Assignment'!#REF!,0)),""),IF(E307="Trap",IFERROR(INDEX('Shooter-Squad Assignment'!$A:$A,MATCH(C307&amp;"-"&amp;D307&amp;"-"&amp;E307&amp;"-Pos1",'Shooter-Squad Assignment'!$V:$V,0)),""),IF(E307="Sporting Clays",IFERROR(INDEX('Shooter-Squad Assignment'!$A:$A,MATCH(C307&amp;"-"&amp;D307&amp;"-"&amp;E307&amp;"-Pos1",'Shooter-Squad Assignment'!$Y:$Y,0)),""),"")))</f>
        <v/>
      </c>
      <c r="G307" s="92" t="str">
        <f>IF(ISBLANK(F307),"",IFERROR(INDEX('Tournament List'!$D:$D,MATCH(F307,'Tournament List'!$A:$A,0)),""))</f>
        <v/>
      </c>
      <c r="H307" s="101" t="str">
        <f>IF(E307="Skeet",IFERROR(INDEX('Shooter-Squad Assignment'!$A:$A,MATCH(C307&amp;"-"&amp;D307&amp;"-"&amp;E307&amp;"-Pos2",'Shooter-Squad Assignment'!#REF!,0)),""),IF(E307="Trap",IFERROR(INDEX('Shooter-Squad Assignment'!$A:$A,MATCH(C307&amp;"-"&amp;D307&amp;"-"&amp;E307&amp;"-Pos2",'Shooter-Squad Assignment'!$V:$V,0)),""),IF(E307="Sporting Clays",IFERROR(INDEX('Shooter-Squad Assignment'!$A:$A,MATCH(C307&amp;"-"&amp;D307&amp;"-"&amp;E307&amp;"-Pos2",'Shooter-Squad Assignment'!$Y:$Y,0)),""),"")))</f>
        <v/>
      </c>
      <c r="I307" s="92" t="str">
        <f>IF(ISBLANK(H307),"",IFERROR(INDEX('Tournament List'!$D:$D,MATCH(H307,'Tournament List'!$A:$A,0)),""))</f>
        <v/>
      </c>
      <c r="J307" s="101" t="str">
        <f>IF(E307="Skeet",IFERROR(INDEX('Shooter-Squad Assignment'!$A:$A,MATCH(C307&amp;"-"&amp;D307&amp;"-"&amp;E307&amp;"-Pos3",'Shooter-Squad Assignment'!#REF!,0)),""),IF(E307="Trap",IFERROR(INDEX('Shooter-Squad Assignment'!$A:$A,MATCH(C307&amp;"-"&amp;D307&amp;"-"&amp;E307&amp;"-Pos3",'Shooter-Squad Assignment'!$V:$V,0)),""),IF(E307="Sporting Clays",IFERROR(INDEX('Shooter-Squad Assignment'!$A:$A,MATCH(C307&amp;"-"&amp;D307&amp;"-"&amp;E307&amp;"-Pos3",'Shooter-Squad Assignment'!$Y:$Y,0)),""),"")))</f>
        <v/>
      </c>
      <c r="K307" s="92" t="str">
        <f>IF(ISBLANK(J307),"",IFERROR(INDEX('Tournament List'!$D:$D,MATCH(J307,'Tournament List'!$A:$A,0)),""))</f>
        <v/>
      </c>
      <c r="L307" s="101" t="str">
        <f>IF(E307="Skeet",IFERROR(INDEX('Shooter-Squad Assignment'!$A:$A,MATCH(C307&amp;"-"&amp;D307&amp;"-"&amp;E307&amp;"-Pos4",'Shooter-Squad Assignment'!#REF!,0)),""),IF(E307="Trap",IFERROR(INDEX('Shooter-Squad Assignment'!$A:$A,MATCH(C307&amp;"-"&amp;D307&amp;"-"&amp;E307&amp;"-Pos4",'Shooter-Squad Assignment'!$V:$V,0)),""),IF(E307="Sporting Clays",IFERROR(INDEX('Shooter-Squad Assignment'!$A:$A,MATCH(C307&amp;"-"&amp;D307&amp;"-"&amp;E307&amp;"-Pos4",'Shooter-Squad Assignment'!$Y:$Y,0)),""),"")))</f>
        <v/>
      </c>
      <c r="M307" s="92" t="str">
        <f>IF(ISBLANK(L307),"",IFERROR(INDEX('Tournament List'!$D:$D,MATCH(L307,'Tournament List'!$A:$A,0)),""))</f>
        <v/>
      </c>
      <c r="N307" s="101" t="str">
        <f>IF(E307="Skeet",IFERROR(INDEX('Shooter-Squad Assignment'!$A:$A,MATCH(C307&amp;"-"&amp;D307&amp;"-"&amp;E307&amp;"-Pos5",'Shooter-Squad Assignment'!#REF!,0)),""),IF(E307="Trap",IFERROR(INDEX('Shooter-Squad Assignment'!$A:$A,MATCH(C307&amp;"-"&amp;D307&amp;"-"&amp;E307&amp;"-Pos5",'Shooter-Squad Assignment'!$V:$V,0)),""),IF(E307="Sporting Clays",IFERROR(INDEX('Shooter-Squad Assignment'!$A:$A,MATCH(C307&amp;"-"&amp;D307&amp;"-"&amp;E307&amp;"-Pos5",'Shooter-Squad Assignment'!$Y:$Y,0)),""),"")))</f>
        <v/>
      </c>
      <c r="O307" s="93" t="str">
        <f>IF(ISBLANK(N307),"",IFERROR(INDEX('Tournament List'!$D:$D,MATCH(N307,'Tournament List'!$A:$A,0)),""))</f>
        <v/>
      </c>
    </row>
    <row r="308" spans="1:15" x14ac:dyDescent="0.3">
      <c r="A308" s="91">
        <v>316</v>
      </c>
      <c r="B308" s="92" t="str">
        <f t="shared" si="4"/>
        <v>Littleton Target Masters-Collegiate 1-Sporting Clays</v>
      </c>
      <c r="C308" s="92" t="s">
        <v>324</v>
      </c>
      <c r="D308" s="92" t="s">
        <v>344</v>
      </c>
      <c r="E308" s="92" t="s">
        <v>148</v>
      </c>
      <c r="F308" s="101" t="str">
        <f>IF(E308="Skeet",IFERROR(INDEX('Shooter-Squad Assignment'!$A:$A,MATCH(C308&amp;"-"&amp;D308&amp;"-"&amp;E308&amp;"-Pos1",'Shooter-Squad Assignment'!#REF!,0)),""),IF(E308="Trap",IFERROR(INDEX('Shooter-Squad Assignment'!$A:$A,MATCH(C308&amp;"-"&amp;D308&amp;"-"&amp;E308&amp;"-Pos1",'Shooter-Squad Assignment'!$V:$V,0)),""),IF(E308="Sporting Clays",IFERROR(INDEX('Shooter-Squad Assignment'!$A:$A,MATCH(C308&amp;"-"&amp;D308&amp;"-"&amp;E308&amp;"-Pos1",'Shooter-Squad Assignment'!$Y:$Y,0)),""),"")))</f>
        <v/>
      </c>
      <c r="G308" s="92" t="str">
        <f>IF(ISBLANK(F308),"",IFERROR(INDEX('Tournament List'!$D:$D,MATCH(F308,'Tournament List'!$A:$A,0)),""))</f>
        <v/>
      </c>
      <c r="H308" s="101" t="str">
        <f>IF(E308="Skeet",IFERROR(INDEX('Shooter-Squad Assignment'!$A:$A,MATCH(C308&amp;"-"&amp;D308&amp;"-"&amp;E308&amp;"-Pos2",'Shooter-Squad Assignment'!#REF!,0)),""),IF(E308="Trap",IFERROR(INDEX('Shooter-Squad Assignment'!$A:$A,MATCH(C308&amp;"-"&amp;D308&amp;"-"&amp;E308&amp;"-Pos2",'Shooter-Squad Assignment'!$V:$V,0)),""),IF(E308="Sporting Clays",IFERROR(INDEX('Shooter-Squad Assignment'!$A:$A,MATCH(C308&amp;"-"&amp;D308&amp;"-"&amp;E308&amp;"-Pos2",'Shooter-Squad Assignment'!$Y:$Y,0)),""),"")))</f>
        <v/>
      </c>
      <c r="I308" s="92" t="str">
        <f>IF(ISBLANK(H308),"",IFERROR(INDEX('Tournament List'!$D:$D,MATCH(H308,'Tournament List'!$A:$A,0)),""))</f>
        <v/>
      </c>
      <c r="J308" s="101" t="str">
        <f>IF(E308="Skeet",IFERROR(INDEX('Shooter-Squad Assignment'!$A:$A,MATCH(C308&amp;"-"&amp;D308&amp;"-"&amp;E308&amp;"-Pos3",'Shooter-Squad Assignment'!#REF!,0)),""),IF(E308="Trap",IFERROR(INDEX('Shooter-Squad Assignment'!$A:$A,MATCH(C308&amp;"-"&amp;D308&amp;"-"&amp;E308&amp;"-Pos3",'Shooter-Squad Assignment'!$V:$V,0)),""),IF(E308="Sporting Clays",IFERROR(INDEX('Shooter-Squad Assignment'!$A:$A,MATCH(C308&amp;"-"&amp;D308&amp;"-"&amp;E308&amp;"-Pos3",'Shooter-Squad Assignment'!$Y:$Y,0)),""),"")))</f>
        <v/>
      </c>
      <c r="K308" s="92" t="str">
        <f>IF(ISBLANK(J308),"",IFERROR(INDEX('Tournament List'!$D:$D,MATCH(J308,'Tournament List'!$A:$A,0)),""))</f>
        <v/>
      </c>
      <c r="L308" s="101" t="str">
        <f>IF(E308="Skeet",IFERROR(INDEX('Shooter-Squad Assignment'!$A:$A,MATCH(C308&amp;"-"&amp;D308&amp;"-"&amp;E308&amp;"-Pos4",'Shooter-Squad Assignment'!#REF!,0)),""),IF(E308="Trap",IFERROR(INDEX('Shooter-Squad Assignment'!$A:$A,MATCH(C308&amp;"-"&amp;D308&amp;"-"&amp;E308&amp;"-Pos4",'Shooter-Squad Assignment'!$V:$V,0)),""),IF(E308="Sporting Clays",IFERROR(INDEX('Shooter-Squad Assignment'!$A:$A,MATCH(C308&amp;"-"&amp;D308&amp;"-"&amp;E308&amp;"-Pos4",'Shooter-Squad Assignment'!$Y:$Y,0)),""),"")))</f>
        <v/>
      </c>
      <c r="M308" s="92" t="str">
        <f>IF(ISBLANK(L308),"",IFERROR(INDEX('Tournament List'!$D:$D,MATCH(L308,'Tournament List'!$A:$A,0)),""))</f>
        <v/>
      </c>
      <c r="N308" s="101" t="str">
        <f>IF(E308="Skeet",IFERROR(INDEX('Shooter-Squad Assignment'!$A:$A,MATCH(C308&amp;"-"&amp;D308&amp;"-"&amp;E308&amp;"-Pos5",'Shooter-Squad Assignment'!#REF!,0)),""),IF(E308="Trap",IFERROR(INDEX('Shooter-Squad Assignment'!$A:$A,MATCH(C308&amp;"-"&amp;D308&amp;"-"&amp;E308&amp;"-Pos5",'Shooter-Squad Assignment'!$V:$V,0)),""),IF(E308="Sporting Clays",IFERROR(INDEX('Shooter-Squad Assignment'!$A:$A,MATCH(C308&amp;"-"&amp;D308&amp;"-"&amp;E308&amp;"-Pos5",'Shooter-Squad Assignment'!$Y:$Y,0)),""),"")))</f>
        <v/>
      </c>
      <c r="O308" s="93" t="str">
        <f>IF(ISBLANK(N308),"",IFERROR(INDEX('Tournament List'!$D:$D,MATCH(N308,'Tournament List'!$A:$A,0)),""))</f>
        <v/>
      </c>
    </row>
    <row r="309" spans="1:15" x14ac:dyDescent="0.3">
      <c r="A309" s="91">
        <v>317</v>
      </c>
      <c r="B309" s="92" t="str">
        <f t="shared" si="4"/>
        <v>Littleton Target Masters-Collegiate 2-Sporting Clays</v>
      </c>
      <c r="C309" s="92" t="s">
        <v>324</v>
      </c>
      <c r="D309" s="92" t="s">
        <v>350</v>
      </c>
      <c r="E309" s="92" t="s">
        <v>148</v>
      </c>
      <c r="F309" s="101" t="str">
        <f>IF(E309="Skeet",IFERROR(INDEX('Shooter-Squad Assignment'!$A:$A,MATCH(C309&amp;"-"&amp;D309&amp;"-"&amp;E309&amp;"-Pos1",'Shooter-Squad Assignment'!#REF!,0)),""),IF(E309="Trap",IFERROR(INDEX('Shooter-Squad Assignment'!$A:$A,MATCH(C309&amp;"-"&amp;D309&amp;"-"&amp;E309&amp;"-Pos1",'Shooter-Squad Assignment'!$V:$V,0)),""),IF(E309="Sporting Clays",IFERROR(INDEX('Shooter-Squad Assignment'!$A:$A,MATCH(C309&amp;"-"&amp;D309&amp;"-"&amp;E309&amp;"-Pos1",'Shooter-Squad Assignment'!$Y:$Y,0)),""),"")))</f>
        <v/>
      </c>
      <c r="G309" s="92" t="str">
        <f>IF(ISBLANK(F309),"",IFERROR(INDEX('Tournament List'!$D:$D,MATCH(F309,'Tournament List'!$A:$A,0)),""))</f>
        <v/>
      </c>
      <c r="H309" s="101" t="str">
        <f>IF(E309="Skeet",IFERROR(INDEX('Shooter-Squad Assignment'!$A:$A,MATCH(C309&amp;"-"&amp;D309&amp;"-"&amp;E309&amp;"-Pos2",'Shooter-Squad Assignment'!#REF!,0)),""),IF(E309="Trap",IFERROR(INDEX('Shooter-Squad Assignment'!$A:$A,MATCH(C309&amp;"-"&amp;D309&amp;"-"&amp;E309&amp;"-Pos2",'Shooter-Squad Assignment'!$V:$V,0)),""),IF(E309="Sporting Clays",IFERROR(INDEX('Shooter-Squad Assignment'!$A:$A,MATCH(C309&amp;"-"&amp;D309&amp;"-"&amp;E309&amp;"-Pos2",'Shooter-Squad Assignment'!$Y:$Y,0)),""),"")))</f>
        <v/>
      </c>
      <c r="I309" s="92" t="str">
        <f>IF(ISBLANK(H309),"",IFERROR(INDEX('Tournament List'!$D:$D,MATCH(H309,'Tournament List'!$A:$A,0)),""))</f>
        <v/>
      </c>
      <c r="J309" s="101" t="str">
        <f>IF(E309="Skeet",IFERROR(INDEX('Shooter-Squad Assignment'!$A:$A,MATCH(C309&amp;"-"&amp;D309&amp;"-"&amp;E309&amp;"-Pos3",'Shooter-Squad Assignment'!#REF!,0)),""),IF(E309="Trap",IFERROR(INDEX('Shooter-Squad Assignment'!$A:$A,MATCH(C309&amp;"-"&amp;D309&amp;"-"&amp;E309&amp;"-Pos3",'Shooter-Squad Assignment'!$V:$V,0)),""),IF(E309="Sporting Clays",IFERROR(INDEX('Shooter-Squad Assignment'!$A:$A,MATCH(C309&amp;"-"&amp;D309&amp;"-"&amp;E309&amp;"-Pos3",'Shooter-Squad Assignment'!$Y:$Y,0)),""),"")))</f>
        <v/>
      </c>
      <c r="K309" s="92" t="str">
        <f>IF(ISBLANK(J309),"",IFERROR(INDEX('Tournament List'!$D:$D,MATCH(J309,'Tournament List'!$A:$A,0)),""))</f>
        <v/>
      </c>
      <c r="L309" s="101" t="str">
        <f>IF(E309="Skeet",IFERROR(INDEX('Shooter-Squad Assignment'!$A:$A,MATCH(C309&amp;"-"&amp;D309&amp;"-"&amp;E309&amp;"-Pos4",'Shooter-Squad Assignment'!#REF!,0)),""),IF(E309="Trap",IFERROR(INDEX('Shooter-Squad Assignment'!$A:$A,MATCH(C309&amp;"-"&amp;D309&amp;"-"&amp;E309&amp;"-Pos4",'Shooter-Squad Assignment'!$V:$V,0)),""),IF(E309="Sporting Clays",IFERROR(INDEX('Shooter-Squad Assignment'!$A:$A,MATCH(C309&amp;"-"&amp;D309&amp;"-"&amp;E309&amp;"-Pos4",'Shooter-Squad Assignment'!$Y:$Y,0)),""),"")))</f>
        <v/>
      </c>
      <c r="M309" s="92" t="str">
        <f>IF(ISBLANK(L309),"",IFERROR(INDEX('Tournament List'!$D:$D,MATCH(L309,'Tournament List'!$A:$A,0)),""))</f>
        <v/>
      </c>
      <c r="N309" s="101" t="str">
        <f>IF(E309="Skeet",IFERROR(INDEX('Shooter-Squad Assignment'!$A:$A,MATCH(C309&amp;"-"&amp;D309&amp;"-"&amp;E309&amp;"-Pos5",'Shooter-Squad Assignment'!#REF!,0)),""),IF(E309="Trap",IFERROR(INDEX('Shooter-Squad Assignment'!$A:$A,MATCH(C309&amp;"-"&amp;D309&amp;"-"&amp;E309&amp;"-Pos5",'Shooter-Squad Assignment'!$V:$V,0)),""),IF(E309="Sporting Clays",IFERROR(INDEX('Shooter-Squad Assignment'!$A:$A,MATCH(C309&amp;"-"&amp;D309&amp;"-"&amp;E309&amp;"-Pos5",'Shooter-Squad Assignment'!$Y:$Y,0)),""),"")))</f>
        <v/>
      </c>
      <c r="O309" s="93" t="str">
        <f>IF(ISBLANK(N309),"",IFERROR(INDEX('Tournament List'!$D:$D,MATCH(N309,'Tournament List'!$A:$A,0)),""))</f>
        <v/>
      </c>
    </row>
    <row r="310" spans="1:15" x14ac:dyDescent="0.3">
      <c r="A310" s="91">
        <v>318</v>
      </c>
      <c r="B310" s="92" t="str">
        <f t="shared" si="4"/>
        <v>Littleton Target Masters-Collegiate 3-Sporting Clays</v>
      </c>
      <c r="C310" s="92" t="s">
        <v>324</v>
      </c>
      <c r="D310" s="92" t="s">
        <v>356</v>
      </c>
      <c r="E310" s="92" t="s">
        <v>148</v>
      </c>
      <c r="F310" s="101" t="str">
        <f>IF(E310="Skeet",IFERROR(INDEX('Shooter-Squad Assignment'!$A:$A,MATCH(C310&amp;"-"&amp;D310&amp;"-"&amp;E310&amp;"-Pos1",'Shooter-Squad Assignment'!#REF!,0)),""),IF(E310="Trap",IFERROR(INDEX('Shooter-Squad Assignment'!$A:$A,MATCH(C310&amp;"-"&amp;D310&amp;"-"&amp;E310&amp;"-Pos1",'Shooter-Squad Assignment'!$V:$V,0)),""),IF(E310="Sporting Clays",IFERROR(INDEX('Shooter-Squad Assignment'!$A:$A,MATCH(C310&amp;"-"&amp;D310&amp;"-"&amp;E310&amp;"-Pos1",'Shooter-Squad Assignment'!$Y:$Y,0)),""),"")))</f>
        <v/>
      </c>
      <c r="G310" s="92" t="str">
        <f>IF(ISBLANK(F310),"",IFERROR(INDEX('Tournament List'!$D:$D,MATCH(F310,'Tournament List'!$A:$A,0)),""))</f>
        <v/>
      </c>
      <c r="H310" s="101" t="str">
        <f>IF(E310="Skeet",IFERROR(INDEX('Shooter-Squad Assignment'!$A:$A,MATCH(C310&amp;"-"&amp;D310&amp;"-"&amp;E310&amp;"-Pos2",'Shooter-Squad Assignment'!#REF!,0)),""),IF(E310="Trap",IFERROR(INDEX('Shooter-Squad Assignment'!$A:$A,MATCH(C310&amp;"-"&amp;D310&amp;"-"&amp;E310&amp;"-Pos2",'Shooter-Squad Assignment'!$V:$V,0)),""),IF(E310="Sporting Clays",IFERROR(INDEX('Shooter-Squad Assignment'!$A:$A,MATCH(C310&amp;"-"&amp;D310&amp;"-"&amp;E310&amp;"-Pos2",'Shooter-Squad Assignment'!$Y:$Y,0)),""),"")))</f>
        <v/>
      </c>
      <c r="I310" s="92" t="str">
        <f>IF(ISBLANK(H310),"",IFERROR(INDEX('Tournament List'!$D:$D,MATCH(H310,'Tournament List'!$A:$A,0)),""))</f>
        <v/>
      </c>
      <c r="J310" s="101" t="str">
        <f>IF(E310="Skeet",IFERROR(INDEX('Shooter-Squad Assignment'!$A:$A,MATCH(C310&amp;"-"&amp;D310&amp;"-"&amp;E310&amp;"-Pos3",'Shooter-Squad Assignment'!#REF!,0)),""),IF(E310="Trap",IFERROR(INDEX('Shooter-Squad Assignment'!$A:$A,MATCH(C310&amp;"-"&amp;D310&amp;"-"&amp;E310&amp;"-Pos3",'Shooter-Squad Assignment'!$V:$V,0)),""),IF(E310="Sporting Clays",IFERROR(INDEX('Shooter-Squad Assignment'!$A:$A,MATCH(C310&amp;"-"&amp;D310&amp;"-"&amp;E310&amp;"-Pos3",'Shooter-Squad Assignment'!$Y:$Y,0)),""),"")))</f>
        <v/>
      </c>
      <c r="K310" s="92" t="str">
        <f>IF(ISBLANK(J310),"",IFERROR(INDEX('Tournament List'!$D:$D,MATCH(J310,'Tournament List'!$A:$A,0)),""))</f>
        <v/>
      </c>
      <c r="L310" s="101" t="str">
        <f>IF(E310="Skeet",IFERROR(INDEX('Shooter-Squad Assignment'!$A:$A,MATCH(C310&amp;"-"&amp;D310&amp;"-"&amp;E310&amp;"-Pos4",'Shooter-Squad Assignment'!#REF!,0)),""),IF(E310="Trap",IFERROR(INDEX('Shooter-Squad Assignment'!$A:$A,MATCH(C310&amp;"-"&amp;D310&amp;"-"&amp;E310&amp;"-Pos4",'Shooter-Squad Assignment'!$V:$V,0)),""),IF(E310="Sporting Clays",IFERROR(INDEX('Shooter-Squad Assignment'!$A:$A,MATCH(C310&amp;"-"&amp;D310&amp;"-"&amp;E310&amp;"-Pos4",'Shooter-Squad Assignment'!$Y:$Y,0)),""),"")))</f>
        <v/>
      </c>
      <c r="M310" s="92" t="str">
        <f>IF(ISBLANK(L310),"",IFERROR(INDEX('Tournament List'!$D:$D,MATCH(L310,'Tournament List'!$A:$A,0)),""))</f>
        <v/>
      </c>
      <c r="N310" s="101" t="str">
        <f>IF(E310="Skeet",IFERROR(INDEX('Shooter-Squad Assignment'!$A:$A,MATCH(C310&amp;"-"&amp;D310&amp;"-"&amp;E310&amp;"-Pos5",'Shooter-Squad Assignment'!#REF!,0)),""),IF(E310="Trap",IFERROR(INDEX('Shooter-Squad Assignment'!$A:$A,MATCH(C310&amp;"-"&amp;D310&amp;"-"&amp;E310&amp;"-Pos5",'Shooter-Squad Assignment'!$V:$V,0)),""),IF(E310="Sporting Clays",IFERROR(INDEX('Shooter-Squad Assignment'!$A:$A,MATCH(C310&amp;"-"&amp;D310&amp;"-"&amp;E310&amp;"-Pos5",'Shooter-Squad Assignment'!$Y:$Y,0)),""),"")))</f>
        <v/>
      </c>
      <c r="O310" s="93" t="str">
        <f>IF(ISBLANK(N310),"",IFERROR(INDEX('Tournament List'!$D:$D,MATCH(N310,'Tournament List'!$A:$A,0)),""))</f>
        <v/>
      </c>
    </row>
    <row r="311" spans="1:15" x14ac:dyDescent="0.3">
      <c r="A311" s="91">
        <v>319</v>
      </c>
      <c r="B311" s="92" t="str">
        <f t="shared" si="4"/>
        <v>Littleton Target Masters-Intermediate 1-Sporting Clays</v>
      </c>
      <c r="C311" s="92" t="s">
        <v>324</v>
      </c>
      <c r="D311" s="92" t="s">
        <v>340</v>
      </c>
      <c r="E311" s="92" t="s">
        <v>148</v>
      </c>
      <c r="F311" s="101" t="str">
        <f>IF(E311="Skeet",IFERROR(INDEX('Shooter-Squad Assignment'!$A:$A,MATCH(C311&amp;"-"&amp;D311&amp;"-"&amp;E311&amp;"-Pos1",'Shooter-Squad Assignment'!#REF!,0)),""),IF(E311="Trap",IFERROR(INDEX('Shooter-Squad Assignment'!$A:$A,MATCH(C311&amp;"-"&amp;D311&amp;"-"&amp;E311&amp;"-Pos1",'Shooter-Squad Assignment'!$V:$V,0)),""),IF(E311="Sporting Clays",IFERROR(INDEX('Shooter-Squad Assignment'!$A:$A,MATCH(C311&amp;"-"&amp;D311&amp;"-"&amp;E311&amp;"-Pos1",'Shooter-Squad Assignment'!$Y:$Y,0)),""),"")))</f>
        <v/>
      </c>
      <c r="G311" s="92" t="str">
        <f>IF(ISBLANK(F311),"",IFERROR(INDEX('Tournament List'!$D:$D,MATCH(F311,'Tournament List'!$A:$A,0)),""))</f>
        <v/>
      </c>
      <c r="H311" s="101" t="str">
        <f>IF(E311="Skeet",IFERROR(INDEX('Shooter-Squad Assignment'!$A:$A,MATCH(C311&amp;"-"&amp;D311&amp;"-"&amp;E311&amp;"-Pos2",'Shooter-Squad Assignment'!#REF!,0)),""),IF(E311="Trap",IFERROR(INDEX('Shooter-Squad Assignment'!$A:$A,MATCH(C311&amp;"-"&amp;D311&amp;"-"&amp;E311&amp;"-Pos2",'Shooter-Squad Assignment'!$V:$V,0)),""),IF(E311="Sporting Clays",IFERROR(INDEX('Shooter-Squad Assignment'!$A:$A,MATCH(C311&amp;"-"&amp;D311&amp;"-"&amp;E311&amp;"-Pos2",'Shooter-Squad Assignment'!$Y:$Y,0)),""),"")))</f>
        <v/>
      </c>
      <c r="I311" s="92" t="str">
        <f>IF(ISBLANK(H311),"",IFERROR(INDEX('Tournament List'!$D:$D,MATCH(H311,'Tournament List'!$A:$A,0)),""))</f>
        <v/>
      </c>
      <c r="J311" s="101" t="str">
        <f>IF(E311="Skeet",IFERROR(INDEX('Shooter-Squad Assignment'!$A:$A,MATCH(C311&amp;"-"&amp;D311&amp;"-"&amp;E311&amp;"-Pos3",'Shooter-Squad Assignment'!#REF!,0)),""),IF(E311="Trap",IFERROR(INDEX('Shooter-Squad Assignment'!$A:$A,MATCH(C311&amp;"-"&amp;D311&amp;"-"&amp;E311&amp;"-Pos3",'Shooter-Squad Assignment'!$V:$V,0)),""),IF(E311="Sporting Clays",IFERROR(INDEX('Shooter-Squad Assignment'!$A:$A,MATCH(C311&amp;"-"&amp;D311&amp;"-"&amp;E311&amp;"-Pos3",'Shooter-Squad Assignment'!$Y:$Y,0)),""),"")))</f>
        <v/>
      </c>
      <c r="K311" s="92" t="str">
        <f>IF(ISBLANK(J311),"",IFERROR(INDEX('Tournament List'!$D:$D,MATCH(J311,'Tournament List'!$A:$A,0)),""))</f>
        <v/>
      </c>
      <c r="L311" s="101" t="str">
        <f>IF(E311="Skeet",IFERROR(INDEX('Shooter-Squad Assignment'!$A:$A,MATCH(C311&amp;"-"&amp;D311&amp;"-"&amp;E311&amp;"-Pos4",'Shooter-Squad Assignment'!#REF!,0)),""),IF(E311="Trap",IFERROR(INDEX('Shooter-Squad Assignment'!$A:$A,MATCH(C311&amp;"-"&amp;D311&amp;"-"&amp;E311&amp;"-Pos4",'Shooter-Squad Assignment'!$V:$V,0)),""),IF(E311="Sporting Clays",IFERROR(INDEX('Shooter-Squad Assignment'!$A:$A,MATCH(C311&amp;"-"&amp;D311&amp;"-"&amp;E311&amp;"-Pos4",'Shooter-Squad Assignment'!$Y:$Y,0)),""),"")))</f>
        <v/>
      </c>
      <c r="M311" s="92" t="str">
        <f>IF(ISBLANK(L311),"",IFERROR(INDEX('Tournament List'!$D:$D,MATCH(L311,'Tournament List'!$A:$A,0)),""))</f>
        <v/>
      </c>
      <c r="N311" s="101" t="str">
        <f>IF(E311="Skeet",IFERROR(INDEX('Shooter-Squad Assignment'!$A:$A,MATCH(C311&amp;"-"&amp;D311&amp;"-"&amp;E311&amp;"-Pos5",'Shooter-Squad Assignment'!#REF!,0)),""),IF(E311="Trap",IFERROR(INDEX('Shooter-Squad Assignment'!$A:$A,MATCH(C311&amp;"-"&amp;D311&amp;"-"&amp;E311&amp;"-Pos5",'Shooter-Squad Assignment'!$V:$V,0)),""),IF(E311="Sporting Clays",IFERROR(INDEX('Shooter-Squad Assignment'!$A:$A,MATCH(C311&amp;"-"&amp;D311&amp;"-"&amp;E311&amp;"-Pos5",'Shooter-Squad Assignment'!$Y:$Y,0)),""),"")))</f>
        <v/>
      </c>
      <c r="O311" s="93" t="str">
        <f>IF(ISBLANK(N311),"",IFERROR(INDEX('Tournament List'!$D:$D,MATCH(N311,'Tournament List'!$A:$A,0)),""))</f>
        <v/>
      </c>
    </row>
    <row r="312" spans="1:15" x14ac:dyDescent="0.3">
      <c r="A312" s="91">
        <v>320</v>
      </c>
      <c r="B312" s="92" t="str">
        <f t="shared" si="4"/>
        <v>Littleton Target Masters-Intermediate 2-Sporting Clays</v>
      </c>
      <c r="C312" s="92" t="s">
        <v>324</v>
      </c>
      <c r="D312" s="92" t="s">
        <v>346</v>
      </c>
      <c r="E312" s="92" t="s">
        <v>148</v>
      </c>
      <c r="F312" s="101" t="str">
        <f>IF(E312="Skeet",IFERROR(INDEX('Shooter-Squad Assignment'!$A:$A,MATCH(C312&amp;"-"&amp;D312&amp;"-"&amp;E312&amp;"-Pos1",'Shooter-Squad Assignment'!#REF!,0)),""),IF(E312="Trap",IFERROR(INDEX('Shooter-Squad Assignment'!$A:$A,MATCH(C312&amp;"-"&amp;D312&amp;"-"&amp;E312&amp;"-Pos1",'Shooter-Squad Assignment'!$V:$V,0)),""),IF(E312="Sporting Clays",IFERROR(INDEX('Shooter-Squad Assignment'!$A:$A,MATCH(C312&amp;"-"&amp;D312&amp;"-"&amp;E312&amp;"-Pos1",'Shooter-Squad Assignment'!$Y:$Y,0)),""),"")))</f>
        <v/>
      </c>
      <c r="G312" s="92" t="str">
        <f>IF(ISBLANK(F312),"",IFERROR(INDEX('Tournament List'!$D:$D,MATCH(F312,'Tournament List'!$A:$A,0)),""))</f>
        <v/>
      </c>
      <c r="H312" s="101" t="str">
        <f>IF(E312="Skeet",IFERROR(INDEX('Shooter-Squad Assignment'!$A:$A,MATCH(C312&amp;"-"&amp;D312&amp;"-"&amp;E312&amp;"-Pos2",'Shooter-Squad Assignment'!#REF!,0)),""),IF(E312="Trap",IFERROR(INDEX('Shooter-Squad Assignment'!$A:$A,MATCH(C312&amp;"-"&amp;D312&amp;"-"&amp;E312&amp;"-Pos2",'Shooter-Squad Assignment'!$V:$V,0)),""),IF(E312="Sporting Clays",IFERROR(INDEX('Shooter-Squad Assignment'!$A:$A,MATCH(C312&amp;"-"&amp;D312&amp;"-"&amp;E312&amp;"-Pos2",'Shooter-Squad Assignment'!$Y:$Y,0)),""),"")))</f>
        <v/>
      </c>
      <c r="I312" s="92" t="str">
        <f>IF(ISBLANK(H312),"",IFERROR(INDEX('Tournament List'!$D:$D,MATCH(H312,'Tournament List'!$A:$A,0)),""))</f>
        <v/>
      </c>
      <c r="J312" s="101" t="str">
        <f>IF(E312="Skeet",IFERROR(INDEX('Shooter-Squad Assignment'!$A:$A,MATCH(C312&amp;"-"&amp;D312&amp;"-"&amp;E312&amp;"-Pos3",'Shooter-Squad Assignment'!#REF!,0)),""),IF(E312="Trap",IFERROR(INDEX('Shooter-Squad Assignment'!$A:$A,MATCH(C312&amp;"-"&amp;D312&amp;"-"&amp;E312&amp;"-Pos3",'Shooter-Squad Assignment'!$V:$V,0)),""),IF(E312="Sporting Clays",IFERROR(INDEX('Shooter-Squad Assignment'!$A:$A,MATCH(C312&amp;"-"&amp;D312&amp;"-"&amp;E312&amp;"-Pos3",'Shooter-Squad Assignment'!$Y:$Y,0)),""),"")))</f>
        <v/>
      </c>
      <c r="K312" s="92" t="str">
        <f>IF(ISBLANK(J312),"",IFERROR(INDEX('Tournament List'!$D:$D,MATCH(J312,'Tournament List'!$A:$A,0)),""))</f>
        <v/>
      </c>
      <c r="L312" s="101" t="str">
        <f>IF(E312="Skeet",IFERROR(INDEX('Shooter-Squad Assignment'!$A:$A,MATCH(C312&amp;"-"&amp;D312&amp;"-"&amp;E312&amp;"-Pos4",'Shooter-Squad Assignment'!#REF!,0)),""),IF(E312="Trap",IFERROR(INDEX('Shooter-Squad Assignment'!$A:$A,MATCH(C312&amp;"-"&amp;D312&amp;"-"&amp;E312&amp;"-Pos4",'Shooter-Squad Assignment'!$V:$V,0)),""),IF(E312="Sporting Clays",IFERROR(INDEX('Shooter-Squad Assignment'!$A:$A,MATCH(C312&amp;"-"&amp;D312&amp;"-"&amp;E312&amp;"-Pos4",'Shooter-Squad Assignment'!$Y:$Y,0)),""),"")))</f>
        <v/>
      </c>
      <c r="M312" s="92" t="str">
        <f>IF(ISBLANK(L312),"",IFERROR(INDEX('Tournament List'!$D:$D,MATCH(L312,'Tournament List'!$A:$A,0)),""))</f>
        <v/>
      </c>
      <c r="N312" s="101" t="str">
        <f>IF(E312="Skeet",IFERROR(INDEX('Shooter-Squad Assignment'!$A:$A,MATCH(C312&amp;"-"&amp;D312&amp;"-"&amp;E312&amp;"-Pos5",'Shooter-Squad Assignment'!#REF!,0)),""),IF(E312="Trap",IFERROR(INDEX('Shooter-Squad Assignment'!$A:$A,MATCH(C312&amp;"-"&amp;D312&amp;"-"&amp;E312&amp;"-Pos5",'Shooter-Squad Assignment'!$V:$V,0)),""),IF(E312="Sporting Clays",IFERROR(INDEX('Shooter-Squad Assignment'!$A:$A,MATCH(C312&amp;"-"&amp;D312&amp;"-"&amp;E312&amp;"-Pos5",'Shooter-Squad Assignment'!$Y:$Y,0)),""),"")))</f>
        <v/>
      </c>
      <c r="O312" s="93" t="str">
        <f>IF(ISBLANK(N312),"",IFERROR(INDEX('Tournament List'!$D:$D,MATCH(N312,'Tournament List'!$A:$A,0)),""))</f>
        <v/>
      </c>
    </row>
    <row r="313" spans="1:15" x14ac:dyDescent="0.3">
      <c r="A313" s="91">
        <v>321</v>
      </c>
      <c r="B313" s="92" t="str">
        <f t="shared" si="4"/>
        <v>Littleton Target Masters-Intermediate 3-Sporting Clays</v>
      </c>
      <c r="C313" s="92" t="s">
        <v>324</v>
      </c>
      <c r="D313" s="92" t="s">
        <v>352</v>
      </c>
      <c r="E313" s="92" t="s">
        <v>148</v>
      </c>
      <c r="F313" s="101" t="str">
        <f>IF(E313="Skeet",IFERROR(INDEX('Shooter-Squad Assignment'!$A:$A,MATCH(C313&amp;"-"&amp;D313&amp;"-"&amp;E313&amp;"-Pos1",'Shooter-Squad Assignment'!#REF!,0)),""),IF(E313="Trap",IFERROR(INDEX('Shooter-Squad Assignment'!$A:$A,MATCH(C313&amp;"-"&amp;D313&amp;"-"&amp;E313&amp;"-Pos1",'Shooter-Squad Assignment'!$V:$V,0)),""),IF(E313="Sporting Clays",IFERROR(INDEX('Shooter-Squad Assignment'!$A:$A,MATCH(C313&amp;"-"&amp;D313&amp;"-"&amp;E313&amp;"-Pos1",'Shooter-Squad Assignment'!$Y:$Y,0)),""),"")))</f>
        <v/>
      </c>
      <c r="G313" s="92" t="str">
        <f>IF(ISBLANK(F313),"",IFERROR(INDEX('Tournament List'!$D:$D,MATCH(F313,'Tournament List'!$A:$A,0)),""))</f>
        <v/>
      </c>
      <c r="H313" s="101" t="str">
        <f>IF(E313="Skeet",IFERROR(INDEX('Shooter-Squad Assignment'!$A:$A,MATCH(C313&amp;"-"&amp;D313&amp;"-"&amp;E313&amp;"-Pos2",'Shooter-Squad Assignment'!#REF!,0)),""),IF(E313="Trap",IFERROR(INDEX('Shooter-Squad Assignment'!$A:$A,MATCH(C313&amp;"-"&amp;D313&amp;"-"&amp;E313&amp;"-Pos2",'Shooter-Squad Assignment'!$V:$V,0)),""),IF(E313="Sporting Clays",IFERROR(INDEX('Shooter-Squad Assignment'!$A:$A,MATCH(C313&amp;"-"&amp;D313&amp;"-"&amp;E313&amp;"-Pos2",'Shooter-Squad Assignment'!$Y:$Y,0)),""),"")))</f>
        <v/>
      </c>
      <c r="I313" s="92" t="str">
        <f>IF(ISBLANK(H313),"",IFERROR(INDEX('Tournament List'!$D:$D,MATCH(H313,'Tournament List'!$A:$A,0)),""))</f>
        <v/>
      </c>
      <c r="J313" s="101" t="str">
        <f>IF(E313="Skeet",IFERROR(INDEX('Shooter-Squad Assignment'!$A:$A,MATCH(C313&amp;"-"&amp;D313&amp;"-"&amp;E313&amp;"-Pos3",'Shooter-Squad Assignment'!#REF!,0)),""),IF(E313="Trap",IFERROR(INDEX('Shooter-Squad Assignment'!$A:$A,MATCH(C313&amp;"-"&amp;D313&amp;"-"&amp;E313&amp;"-Pos3",'Shooter-Squad Assignment'!$V:$V,0)),""),IF(E313="Sporting Clays",IFERROR(INDEX('Shooter-Squad Assignment'!$A:$A,MATCH(C313&amp;"-"&amp;D313&amp;"-"&amp;E313&amp;"-Pos3",'Shooter-Squad Assignment'!$Y:$Y,0)),""),"")))</f>
        <v/>
      </c>
      <c r="K313" s="92" t="str">
        <f>IF(ISBLANK(J313),"",IFERROR(INDEX('Tournament List'!$D:$D,MATCH(J313,'Tournament List'!$A:$A,0)),""))</f>
        <v/>
      </c>
      <c r="L313" s="101" t="str">
        <f>IF(E313="Skeet",IFERROR(INDEX('Shooter-Squad Assignment'!$A:$A,MATCH(C313&amp;"-"&amp;D313&amp;"-"&amp;E313&amp;"-Pos4",'Shooter-Squad Assignment'!#REF!,0)),""),IF(E313="Trap",IFERROR(INDEX('Shooter-Squad Assignment'!$A:$A,MATCH(C313&amp;"-"&amp;D313&amp;"-"&amp;E313&amp;"-Pos4",'Shooter-Squad Assignment'!$V:$V,0)),""),IF(E313="Sporting Clays",IFERROR(INDEX('Shooter-Squad Assignment'!$A:$A,MATCH(C313&amp;"-"&amp;D313&amp;"-"&amp;E313&amp;"-Pos4",'Shooter-Squad Assignment'!$Y:$Y,0)),""),"")))</f>
        <v/>
      </c>
      <c r="M313" s="92" t="str">
        <f>IF(ISBLANK(L313),"",IFERROR(INDEX('Tournament List'!$D:$D,MATCH(L313,'Tournament List'!$A:$A,0)),""))</f>
        <v/>
      </c>
      <c r="N313" s="101" t="str">
        <f>IF(E313="Skeet",IFERROR(INDEX('Shooter-Squad Assignment'!$A:$A,MATCH(C313&amp;"-"&amp;D313&amp;"-"&amp;E313&amp;"-Pos5",'Shooter-Squad Assignment'!#REF!,0)),""),IF(E313="Trap",IFERROR(INDEX('Shooter-Squad Assignment'!$A:$A,MATCH(C313&amp;"-"&amp;D313&amp;"-"&amp;E313&amp;"-Pos5",'Shooter-Squad Assignment'!$V:$V,0)),""),IF(E313="Sporting Clays",IFERROR(INDEX('Shooter-Squad Assignment'!$A:$A,MATCH(C313&amp;"-"&amp;D313&amp;"-"&amp;E313&amp;"-Pos5",'Shooter-Squad Assignment'!$Y:$Y,0)),""),"")))</f>
        <v/>
      </c>
      <c r="O313" s="93" t="str">
        <f>IF(ISBLANK(N313),"",IFERROR(INDEX('Tournament List'!$D:$D,MATCH(N313,'Tournament List'!$A:$A,0)),""))</f>
        <v/>
      </c>
    </row>
    <row r="314" spans="1:15" x14ac:dyDescent="0.3">
      <c r="A314" s="91">
        <v>322</v>
      </c>
      <c r="B314" s="92" t="str">
        <f t="shared" si="4"/>
        <v>Littleton Target Masters-Junior Varsity 1-Sporting Clays</v>
      </c>
      <c r="C314" s="92" t="s">
        <v>324</v>
      </c>
      <c r="D314" s="92" t="s">
        <v>341</v>
      </c>
      <c r="E314" s="92" t="s">
        <v>148</v>
      </c>
      <c r="F314" s="101" t="str">
        <f>IF(E314="Skeet",IFERROR(INDEX('Shooter-Squad Assignment'!$A:$A,MATCH(C314&amp;"-"&amp;D314&amp;"-"&amp;E314&amp;"-Pos1",'Shooter-Squad Assignment'!#REF!,0)),""),IF(E314="Trap",IFERROR(INDEX('Shooter-Squad Assignment'!$A:$A,MATCH(C314&amp;"-"&amp;D314&amp;"-"&amp;E314&amp;"-Pos1",'Shooter-Squad Assignment'!$V:$V,0)),""),IF(E314="Sporting Clays",IFERROR(INDEX('Shooter-Squad Assignment'!$A:$A,MATCH(C314&amp;"-"&amp;D314&amp;"-"&amp;E314&amp;"-Pos1",'Shooter-Squad Assignment'!$Y:$Y,0)),""),"")))</f>
        <v/>
      </c>
      <c r="G314" s="92" t="str">
        <f>IF(ISBLANK(F314),"",IFERROR(INDEX('Tournament List'!$D:$D,MATCH(F314,'Tournament List'!$A:$A,0)),""))</f>
        <v/>
      </c>
      <c r="H314" s="101" t="str">
        <f>IF(E314="Skeet",IFERROR(INDEX('Shooter-Squad Assignment'!$A:$A,MATCH(C314&amp;"-"&amp;D314&amp;"-"&amp;E314&amp;"-Pos2",'Shooter-Squad Assignment'!#REF!,0)),""),IF(E314="Trap",IFERROR(INDEX('Shooter-Squad Assignment'!$A:$A,MATCH(C314&amp;"-"&amp;D314&amp;"-"&amp;E314&amp;"-Pos2",'Shooter-Squad Assignment'!$V:$V,0)),""),IF(E314="Sporting Clays",IFERROR(INDEX('Shooter-Squad Assignment'!$A:$A,MATCH(C314&amp;"-"&amp;D314&amp;"-"&amp;E314&amp;"-Pos2",'Shooter-Squad Assignment'!$Y:$Y,0)),""),"")))</f>
        <v/>
      </c>
      <c r="I314" s="92" t="str">
        <f>IF(ISBLANK(H314),"",IFERROR(INDEX('Tournament List'!$D:$D,MATCH(H314,'Tournament List'!$A:$A,0)),""))</f>
        <v/>
      </c>
      <c r="J314" s="101" t="str">
        <f>IF(E314="Skeet",IFERROR(INDEX('Shooter-Squad Assignment'!$A:$A,MATCH(C314&amp;"-"&amp;D314&amp;"-"&amp;E314&amp;"-Pos3",'Shooter-Squad Assignment'!#REF!,0)),""),IF(E314="Trap",IFERROR(INDEX('Shooter-Squad Assignment'!$A:$A,MATCH(C314&amp;"-"&amp;D314&amp;"-"&amp;E314&amp;"-Pos3",'Shooter-Squad Assignment'!$V:$V,0)),""),IF(E314="Sporting Clays",IFERROR(INDEX('Shooter-Squad Assignment'!$A:$A,MATCH(C314&amp;"-"&amp;D314&amp;"-"&amp;E314&amp;"-Pos3",'Shooter-Squad Assignment'!$Y:$Y,0)),""),"")))</f>
        <v/>
      </c>
      <c r="K314" s="92" t="str">
        <f>IF(ISBLANK(J314),"",IFERROR(INDEX('Tournament List'!$D:$D,MATCH(J314,'Tournament List'!$A:$A,0)),""))</f>
        <v/>
      </c>
      <c r="L314" s="101" t="str">
        <f>IF(E314="Skeet",IFERROR(INDEX('Shooter-Squad Assignment'!$A:$A,MATCH(C314&amp;"-"&amp;D314&amp;"-"&amp;E314&amp;"-Pos4",'Shooter-Squad Assignment'!#REF!,0)),""),IF(E314="Trap",IFERROR(INDEX('Shooter-Squad Assignment'!$A:$A,MATCH(C314&amp;"-"&amp;D314&amp;"-"&amp;E314&amp;"-Pos4",'Shooter-Squad Assignment'!$V:$V,0)),""),IF(E314="Sporting Clays",IFERROR(INDEX('Shooter-Squad Assignment'!$A:$A,MATCH(C314&amp;"-"&amp;D314&amp;"-"&amp;E314&amp;"-Pos4",'Shooter-Squad Assignment'!$Y:$Y,0)),""),"")))</f>
        <v/>
      </c>
      <c r="M314" s="92" t="str">
        <f>IF(ISBLANK(L314),"",IFERROR(INDEX('Tournament List'!$D:$D,MATCH(L314,'Tournament List'!$A:$A,0)),""))</f>
        <v/>
      </c>
      <c r="N314" s="101" t="str">
        <f>IF(E314="Skeet",IFERROR(INDEX('Shooter-Squad Assignment'!$A:$A,MATCH(C314&amp;"-"&amp;D314&amp;"-"&amp;E314&amp;"-Pos5",'Shooter-Squad Assignment'!#REF!,0)),""),IF(E314="Trap",IFERROR(INDEX('Shooter-Squad Assignment'!$A:$A,MATCH(C314&amp;"-"&amp;D314&amp;"-"&amp;E314&amp;"-Pos5",'Shooter-Squad Assignment'!$V:$V,0)),""),IF(E314="Sporting Clays",IFERROR(INDEX('Shooter-Squad Assignment'!$A:$A,MATCH(C314&amp;"-"&amp;D314&amp;"-"&amp;E314&amp;"-Pos5",'Shooter-Squad Assignment'!$Y:$Y,0)),""),"")))</f>
        <v/>
      </c>
      <c r="O314" s="93" t="str">
        <f>IF(ISBLANK(N314),"",IFERROR(INDEX('Tournament List'!$D:$D,MATCH(N314,'Tournament List'!$A:$A,0)),""))</f>
        <v/>
      </c>
    </row>
    <row r="315" spans="1:15" x14ac:dyDescent="0.3">
      <c r="A315" s="91">
        <v>323</v>
      </c>
      <c r="B315" s="92" t="str">
        <f t="shared" si="4"/>
        <v>Littleton Target Masters-Junior Varsity 2-Sporting Clays</v>
      </c>
      <c r="C315" s="92" t="s">
        <v>324</v>
      </c>
      <c r="D315" s="92" t="s">
        <v>347</v>
      </c>
      <c r="E315" s="92" t="s">
        <v>148</v>
      </c>
      <c r="F315" s="101" t="str">
        <f>IF(E315="Skeet",IFERROR(INDEX('Shooter-Squad Assignment'!$A:$A,MATCH(C315&amp;"-"&amp;D315&amp;"-"&amp;E315&amp;"-Pos1",'Shooter-Squad Assignment'!#REF!,0)),""),IF(E315="Trap",IFERROR(INDEX('Shooter-Squad Assignment'!$A:$A,MATCH(C315&amp;"-"&amp;D315&amp;"-"&amp;E315&amp;"-Pos1",'Shooter-Squad Assignment'!$V:$V,0)),""),IF(E315="Sporting Clays",IFERROR(INDEX('Shooter-Squad Assignment'!$A:$A,MATCH(C315&amp;"-"&amp;D315&amp;"-"&amp;E315&amp;"-Pos1",'Shooter-Squad Assignment'!$Y:$Y,0)),""),"")))</f>
        <v/>
      </c>
      <c r="G315" s="92" t="str">
        <f>IF(ISBLANK(F315),"",IFERROR(INDEX('Tournament List'!$D:$D,MATCH(F315,'Tournament List'!$A:$A,0)),""))</f>
        <v/>
      </c>
      <c r="H315" s="101" t="str">
        <f>IF(E315="Skeet",IFERROR(INDEX('Shooter-Squad Assignment'!$A:$A,MATCH(C315&amp;"-"&amp;D315&amp;"-"&amp;E315&amp;"-Pos2",'Shooter-Squad Assignment'!#REF!,0)),""),IF(E315="Trap",IFERROR(INDEX('Shooter-Squad Assignment'!$A:$A,MATCH(C315&amp;"-"&amp;D315&amp;"-"&amp;E315&amp;"-Pos2",'Shooter-Squad Assignment'!$V:$V,0)),""),IF(E315="Sporting Clays",IFERROR(INDEX('Shooter-Squad Assignment'!$A:$A,MATCH(C315&amp;"-"&amp;D315&amp;"-"&amp;E315&amp;"-Pos2",'Shooter-Squad Assignment'!$Y:$Y,0)),""),"")))</f>
        <v/>
      </c>
      <c r="I315" s="92" t="str">
        <f>IF(ISBLANK(H315),"",IFERROR(INDEX('Tournament List'!$D:$D,MATCH(H315,'Tournament List'!$A:$A,0)),""))</f>
        <v/>
      </c>
      <c r="J315" s="101" t="str">
        <f>IF(E315="Skeet",IFERROR(INDEX('Shooter-Squad Assignment'!$A:$A,MATCH(C315&amp;"-"&amp;D315&amp;"-"&amp;E315&amp;"-Pos3",'Shooter-Squad Assignment'!#REF!,0)),""),IF(E315="Trap",IFERROR(INDEX('Shooter-Squad Assignment'!$A:$A,MATCH(C315&amp;"-"&amp;D315&amp;"-"&amp;E315&amp;"-Pos3",'Shooter-Squad Assignment'!$V:$V,0)),""),IF(E315="Sporting Clays",IFERROR(INDEX('Shooter-Squad Assignment'!$A:$A,MATCH(C315&amp;"-"&amp;D315&amp;"-"&amp;E315&amp;"-Pos3",'Shooter-Squad Assignment'!$Y:$Y,0)),""),"")))</f>
        <v/>
      </c>
      <c r="K315" s="92" t="str">
        <f>IF(ISBLANK(J315),"",IFERROR(INDEX('Tournament List'!$D:$D,MATCH(J315,'Tournament List'!$A:$A,0)),""))</f>
        <v/>
      </c>
      <c r="L315" s="101" t="str">
        <f>IF(E315="Skeet",IFERROR(INDEX('Shooter-Squad Assignment'!$A:$A,MATCH(C315&amp;"-"&amp;D315&amp;"-"&amp;E315&amp;"-Pos4",'Shooter-Squad Assignment'!#REF!,0)),""),IF(E315="Trap",IFERROR(INDEX('Shooter-Squad Assignment'!$A:$A,MATCH(C315&amp;"-"&amp;D315&amp;"-"&amp;E315&amp;"-Pos4",'Shooter-Squad Assignment'!$V:$V,0)),""),IF(E315="Sporting Clays",IFERROR(INDEX('Shooter-Squad Assignment'!$A:$A,MATCH(C315&amp;"-"&amp;D315&amp;"-"&amp;E315&amp;"-Pos4",'Shooter-Squad Assignment'!$Y:$Y,0)),""),"")))</f>
        <v/>
      </c>
      <c r="M315" s="92" t="str">
        <f>IF(ISBLANK(L315),"",IFERROR(INDEX('Tournament List'!$D:$D,MATCH(L315,'Tournament List'!$A:$A,0)),""))</f>
        <v/>
      </c>
      <c r="N315" s="101" t="str">
        <f>IF(E315="Skeet",IFERROR(INDEX('Shooter-Squad Assignment'!$A:$A,MATCH(C315&amp;"-"&amp;D315&amp;"-"&amp;E315&amp;"-Pos5",'Shooter-Squad Assignment'!#REF!,0)),""),IF(E315="Trap",IFERROR(INDEX('Shooter-Squad Assignment'!$A:$A,MATCH(C315&amp;"-"&amp;D315&amp;"-"&amp;E315&amp;"-Pos5",'Shooter-Squad Assignment'!$V:$V,0)),""),IF(E315="Sporting Clays",IFERROR(INDEX('Shooter-Squad Assignment'!$A:$A,MATCH(C315&amp;"-"&amp;D315&amp;"-"&amp;E315&amp;"-Pos5",'Shooter-Squad Assignment'!$Y:$Y,0)),""),"")))</f>
        <v/>
      </c>
      <c r="O315" s="93" t="str">
        <f>IF(ISBLANK(N315),"",IFERROR(INDEX('Tournament List'!$D:$D,MATCH(N315,'Tournament List'!$A:$A,0)),""))</f>
        <v/>
      </c>
    </row>
    <row r="316" spans="1:15" x14ac:dyDescent="0.3">
      <c r="A316" s="91">
        <v>324</v>
      </c>
      <c r="B316" s="92" t="str">
        <f t="shared" si="4"/>
        <v>Littleton Target Masters-Junior Varsity 3-Sporting Clays</v>
      </c>
      <c r="C316" s="92" t="s">
        <v>324</v>
      </c>
      <c r="D316" s="92" t="s">
        <v>353</v>
      </c>
      <c r="E316" s="92" t="s">
        <v>148</v>
      </c>
      <c r="F316" s="101" t="str">
        <f>IF(E316="Skeet",IFERROR(INDEX('Shooter-Squad Assignment'!$A:$A,MATCH(C316&amp;"-"&amp;D316&amp;"-"&amp;E316&amp;"-Pos1",'Shooter-Squad Assignment'!#REF!,0)),""),IF(E316="Trap",IFERROR(INDEX('Shooter-Squad Assignment'!$A:$A,MATCH(C316&amp;"-"&amp;D316&amp;"-"&amp;E316&amp;"-Pos1",'Shooter-Squad Assignment'!$V:$V,0)),""),IF(E316="Sporting Clays",IFERROR(INDEX('Shooter-Squad Assignment'!$A:$A,MATCH(C316&amp;"-"&amp;D316&amp;"-"&amp;E316&amp;"-Pos1",'Shooter-Squad Assignment'!$Y:$Y,0)),""),"")))</f>
        <v/>
      </c>
      <c r="G316" s="92" t="str">
        <f>IF(ISBLANK(F316),"",IFERROR(INDEX('Tournament List'!$D:$D,MATCH(F316,'Tournament List'!$A:$A,0)),""))</f>
        <v/>
      </c>
      <c r="H316" s="101" t="str">
        <f>IF(E316="Skeet",IFERROR(INDEX('Shooter-Squad Assignment'!$A:$A,MATCH(C316&amp;"-"&amp;D316&amp;"-"&amp;E316&amp;"-Pos2",'Shooter-Squad Assignment'!#REF!,0)),""),IF(E316="Trap",IFERROR(INDEX('Shooter-Squad Assignment'!$A:$A,MATCH(C316&amp;"-"&amp;D316&amp;"-"&amp;E316&amp;"-Pos2",'Shooter-Squad Assignment'!$V:$V,0)),""),IF(E316="Sporting Clays",IFERROR(INDEX('Shooter-Squad Assignment'!$A:$A,MATCH(C316&amp;"-"&amp;D316&amp;"-"&amp;E316&amp;"-Pos2",'Shooter-Squad Assignment'!$Y:$Y,0)),""),"")))</f>
        <v/>
      </c>
      <c r="I316" s="92" t="str">
        <f>IF(ISBLANK(H316),"",IFERROR(INDEX('Tournament List'!$D:$D,MATCH(H316,'Tournament List'!$A:$A,0)),""))</f>
        <v/>
      </c>
      <c r="J316" s="101" t="str">
        <f>IF(E316="Skeet",IFERROR(INDEX('Shooter-Squad Assignment'!$A:$A,MATCH(C316&amp;"-"&amp;D316&amp;"-"&amp;E316&amp;"-Pos3",'Shooter-Squad Assignment'!#REF!,0)),""),IF(E316="Trap",IFERROR(INDEX('Shooter-Squad Assignment'!$A:$A,MATCH(C316&amp;"-"&amp;D316&amp;"-"&amp;E316&amp;"-Pos3",'Shooter-Squad Assignment'!$V:$V,0)),""),IF(E316="Sporting Clays",IFERROR(INDEX('Shooter-Squad Assignment'!$A:$A,MATCH(C316&amp;"-"&amp;D316&amp;"-"&amp;E316&amp;"-Pos3",'Shooter-Squad Assignment'!$Y:$Y,0)),""),"")))</f>
        <v/>
      </c>
      <c r="K316" s="92" t="str">
        <f>IF(ISBLANK(J316),"",IFERROR(INDEX('Tournament List'!$D:$D,MATCH(J316,'Tournament List'!$A:$A,0)),""))</f>
        <v/>
      </c>
      <c r="L316" s="101" t="str">
        <f>IF(E316="Skeet",IFERROR(INDEX('Shooter-Squad Assignment'!$A:$A,MATCH(C316&amp;"-"&amp;D316&amp;"-"&amp;E316&amp;"-Pos4",'Shooter-Squad Assignment'!#REF!,0)),""),IF(E316="Trap",IFERROR(INDEX('Shooter-Squad Assignment'!$A:$A,MATCH(C316&amp;"-"&amp;D316&amp;"-"&amp;E316&amp;"-Pos4",'Shooter-Squad Assignment'!$V:$V,0)),""),IF(E316="Sporting Clays",IFERROR(INDEX('Shooter-Squad Assignment'!$A:$A,MATCH(C316&amp;"-"&amp;D316&amp;"-"&amp;E316&amp;"-Pos4",'Shooter-Squad Assignment'!$Y:$Y,0)),""),"")))</f>
        <v/>
      </c>
      <c r="M316" s="92" t="str">
        <f>IF(ISBLANK(L316),"",IFERROR(INDEX('Tournament List'!$D:$D,MATCH(L316,'Tournament List'!$A:$A,0)),""))</f>
        <v/>
      </c>
      <c r="N316" s="101" t="str">
        <f>IF(E316="Skeet",IFERROR(INDEX('Shooter-Squad Assignment'!$A:$A,MATCH(C316&amp;"-"&amp;D316&amp;"-"&amp;E316&amp;"-Pos5",'Shooter-Squad Assignment'!#REF!,0)),""),IF(E316="Trap",IFERROR(INDEX('Shooter-Squad Assignment'!$A:$A,MATCH(C316&amp;"-"&amp;D316&amp;"-"&amp;E316&amp;"-Pos5",'Shooter-Squad Assignment'!$V:$V,0)),""),IF(E316="Sporting Clays",IFERROR(INDEX('Shooter-Squad Assignment'!$A:$A,MATCH(C316&amp;"-"&amp;D316&amp;"-"&amp;E316&amp;"-Pos5",'Shooter-Squad Assignment'!$Y:$Y,0)),""),"")))</f>
        <v/>
      </c>
      <c r="O316" s="93" t="str">
        <f>IF(ISBLANK(N316),"",IFERROR(INDEX('Tournament List'!$D:$D,MATCH(N316,'Tournament List'!$A:$A,0)),""))</f>
        <v/>
      </c>
    </row>
    <row r="317" spans="1:15" x14ac:dyDescent="0.3">
      <c r="A317" s="91">
        <v>325</v>
      </c>
      <c r="B317" s="92" t="str">
        <f t="shared" si="4"/>
        <v>Littleton Target Masters-Novice 1-Sporting Clays</v>
      </c>
      <c r="C317" s="92" t="s">
        <v>324</v>
      </c>
      <c r="D317" s="92" t="s">
        <v>339</v>
      </c>
      <c r="E317" s="92" t="s">
        <v>148</v>
      </c>
      <c r="F317" s="101" t="str">
        <f>IF(E317="Skeet",IFERROR(INDEX('Shooter-Squad Assignment'!$A:$A,MATCH(C317&amp;"-"&amp;D317&amp;"-"&amp;E317&amp;"-Pos1",'Shooter-Squad Assignment'!#REF!,0)),""),IF(E317="Trap",IFERROR(INDEX('Shooter-Squad Assignment'!$A:$A,MATCH(C317&amp;"-"&amp;D317&amp;"-"&amp;E317&amp;"-Pos1",'Shooter-Squad Assignment'!$V:$V,0)),""),IF(E317="Sporting Clays",IFERROR(INDEX('Shooter-Squad Assignment'!$A:$A,MATCH(C317&amp;"-"&amp;D317&amp;"-"&amp;E317&amp;"-Pos1",'Shooter-Squad Assignment'!$Y:$Y,0)),""),"")))</f>
        <v/>
      </c>
      <c r="G317" s="92" t="str">
        <f>IF(ISBLANK(F317),"",IFERROR(INDEX('Tournament List'!$D:$D,MATCH(F317,'Tournament List'!$A:$A,0)),""))</f>
        <v/>
      </c>
      <c r="H317" s="101" t="str">
        <f>IF(E317="Skeet",IFERROR(INDEX('Shooter-Squad Assignment'!$A:$A,MATCH(C317&amp;"-"&amp;D317&amp;"-"&amp;E317&amp;"-Pos2",'Shooter-Squad Assignment'!#REF!,0)),""),IF(E317="Trap",IFERROR(INDEX('Shooter-Squad Assignment'!$A:$A,MATCH(C317&amp;"-"&amp;D317&amp;"-"&amp;E317&amp;"-Pos2",'Shooter-Squad Assignment'!$V:$V,0)),""),IF(E317="Sporting Clays",IFERROR(INDEX('Shooter-Squad Assignment'!$A:$A,MATCH(C317&amp;"-"&amp;D317&amp;"-"&amp;E317&amp;"-Pos2",'Shooter-Squad Assignment'!$Y:$Y,0)),""),"")))</f>
        <v/>
      </c>
      <c r="I317" s="92" t="str">
        <f>IF(ISBLANK(H317),"",IFERROR(INDEX('Tournament List'!$D:$D,MATCH(H317,'Tournament List'!$A:$A,0)),""))</f>
        <v/>
      </c>
      <c r="J317" s="101" t="str">
        <f>IF(E317="Skeet",IFERROR(INDEX('Shooter-Squad Assignment'!$A:$A,MATCH(C317&amp;"-"&amp;D317&amp;"-"&amp;E317&amp;"-Pos3",'Shooter-Squad Assignment'!#REF!,0)),""),IF(E317="Trap",IFERROR(INDEX('Shooter-Squad Assignment'!$A:$A,MATCH(C317&amp;"-"&amp;D317&amp;"-"&amp;E317&amp;"-Pos3",'Shooter-Squad Assignment'!$V:$V,0)),""),IF(E317="Sporting Clays",IFERROR(INDEX('Shooter-Squad Assignment'!$A:$A,MATCH(C317&amp;"-"&amp;D317&amp;"-"&amp;E317&amp;"-Pos3",'Shooter-Squad Assignment'!$Y:$Y,0)),""),"")))</f>
        <v/>
      </c>
      <c r="K317" s="92" t="str">
        <f>IF(ISBLANK(J317),"",IFERROR(INDEX('Tournament List'!$D:$D,MATCH(J317,'Tournament List'!$A:$A,0)),""))</f>
        <v/>
      </c>
      <c r="L317" s="101" t="str">
        <f>IF(E317="Skeet",IFERROR(INDEX('Shooter-Squad Assignment'!$A:$A,MATCH(C317&amp;"-"&amp;D317&amp;"-"&amp;E317&amp;"-Pos4",'Shooter-Squad Assignment'!#REF!,0)),""),IF(E317="Trap",IFERROR(INDEX('Shooter-Squad Assignment'!$A:$A,MATCH(C317&amp;"-"&amp;D317&amp;"-"&amp;E317&amp;"-Pos4",'Shooter-Squad Assignment'!$V:$V,0)),""),IF(E317="Sporting Clays",IFERROR(INDEX('Shooter-Squad Assignment'!$A:$A,MATCH(C317&amp;"-"&amp;D317&amp;"-"&amp;E317&amp;"-Pos4",'Shooter-Squad Assignment'!$Y:$Y,0)),""),"")))</f>
        <v/>
      </c>
      <c r="M317" s="92" t="str">
        <f>IF(ISBLANK(L317),"",IFERROR(INDEX('Tournament List'!$D:$D,MATCH(L317,'Tournament List'!$A:$A,0)),""))</f>
        <v/>
      </c>
      <c r="N317" s="101" t="str">
        <f>IF(E317="Skeet",IFERROR(INDEX('Shooter-Squad Assignment'!$A:$A,MATCH(C317&amp;"-"&amp;D317&amp;"-"&amp;E317&amp;"-Pos5",'Shooter-Squad Assignment'!#REF!,0)),""),IF(E317="Trap",IFERROR(INDEX('Shooter-Squad Assignment'!$A:$A,MATCH(C317&amp;"-"&amp;D317&amp;"-"&amp;E317&amp;"-Pos5",'Shooter-Squad Assignment'!$V:$V,0)),""),IF(E317="Sporting Clays",IFERROR(INDEX('Shooter-Squad Assignment'!$A:$A,MATCH(C317&amp;"-"&amp;D317&amp;"-"&amp;E317&amp;"-Pos5",'Shooter-Squad Assignment'!$Y:$Y,0)),""),"")))</f>
        <v/>
      </c>
      <c r="O317" s="93" t="str">
        <f>IF(ISBLANK(N317),"",IFERROR(INDEX('Tournament List'!$D:$D,MATCH(N317,'Tournament List'!$A:$A,0)),""))</f>
        <v/>
      </c>
    </row>
    <row r="318" spans="1:15" x14ac:dyDescent="0.3">
      <c r="A318" s="91">
        <v>326</v>
      </c>
      <c r="B318" s="92" t="str">
        <f t="shared" si="4"/>
        <v>Littleton Target Masters-Novice 2-Sporting Clays</v>
      </c>
      <c r="C318" s="92" t="s">
        <v>324</v>
      </c>
      <c r="D318" s="92" t="s">
        <v>345</v>
      </c>
      <c r="E318" s="92" t="s">
        <v>148</v>
      </c>
      <c r="F318" s="101" t="str">
        <f>IF(E318="Skeet",IFERROR(INDEX('Shooter-Squad Assignment'!$A:$A,MATCH(C318&amp;"-"&amp;D318&amp;"-"&amp;E318&amp;"-Pos1",'Shooter-Squad Assignment'!#REF!,0)),""),IF(E318="Trap",IFERROR(INDEX('Shooter-Squad Assignment'!$A:$A,MATCH(C318&amp;"-"&amp;D318&amp;"-"&amp;E318&amp;"-Pos1",'Shooter-Squad Assignment'!$V:$V,0)),""),IF(E318="Sporting Clays",IFERROR(INDEX('Shooter-Squad Assignment'!$A:$A,MATCH(C318&amp;"-"&amp;D318&amp;"-"&amp;E318&amp;"-Pos1",'Shooter-Squad Assignment'!$Y:$Y,0)),""),"")))</f>
        <v/>
      </c>
      <c r="G318" s="92" t="str">
        <f>IF(ISBLANK(F318),"",IFERROR(INDEX('Tournament List'!$D:$D,MATCH(F318,'Tournament List'!$A:$A,0)),""))</f>
        <v/>
      </c>
      <c r="H318" s="101" t="str">
        <f>IF(E318="Skeet",IFERROR(INDEX('Shooter-Squad Assignment'!$A:$A,MATCH(C318&amp;"-"&amp;D318&amp;"-"&amp;E318&amp;"-Pos2",'Shooter-Squad Assignment'!#REF!,0)),""),IF(E318="Trap",IFERROR(INDEX('Shooter-Squad Assignment'!$A:$A,MATCH(C318&amp;"-"&amp;D318&amp;"-"&amp;E318&amp;"-Pos2",'Shooter-Squad Assignment'!$V:$V,0)),""),IF(E318="Sporting Clays",IFERROR(INDEX('Shooter-Squad Assignment'!$A:$A,MATCH(C318&amp;"-"&amp;D318&amp;"-"&amp;E318&amp;"-Pos2",'Shooter-Squad Assignment'!$Y:$Y,0)),""),"")))</f>
        <v/>
      </c>
      <c r="I318" s="92" t="str">
        <f>IF(ISBLANK(H318),"",IFERROR(INDEX('Tournament List'!$D:$D,MATCH(H318,'Tournament List'!$A:$A,0)),""))</f>
        <v/>
      </c>
      <c r="J318" s="101" t="str">
        <f>IF(E318="Skeet",IFERROR(INDEX('Shooter-Squad Assignment'!$A:$A,MATCH(C318&amp;"-"&amp;D318&amp;"-"&amp;E318&amp;"-Pos3",'Shooter-Squad Assignment'!#REF!,0)),""),IF(E318="Trap",IFERROR(INDEX('Shooter-Squad Assignment'!$A:$A,MATCH(C318&amp;"-"&amp;D318&amp;"-"&amp;E318&amp;"-Pos3",'Shooter-Squad Assignment'!$V:$V,0)),""),IF(E318="Sporting Clays",IFERROR(INDEX('Shooter-Squad Assignment'!$A:$A,MATCH(C318&amp;"-"&amp;D318&amp;"-"&amp;E318&amp;"-Pos3",'Shooter-Squad Assignment'!$Y:$Y,0)),""),"")))</f>
        <v/>
      </c>
      <c r="K318" s="92" t="str">
        <f>IF(ISBLANK(J318),"",IFERROR(INDEX('Tournament List'!$D:$D,MATCH(J318,'Tournament List'!$A:$A,0)),""))</f>
        <v/>
      </c>
      <c r="L318" s="101" t="str">
        <f>IF(E318="Skeet",IFERROR(INDEX('Shooter-Squad Assignment'!$A:$A,MATCH(C318&amp;"-"&amp;D318&amp;"-"&amp;E318&amp;"-Pos4",'Shooter-Squad Assignment'!#REF!,0)),""),IF(E318="Trap",IFERROR(INDEX('Shooter-Squad Assignment'!$A:$A,MATCH(C318&amp;"-"&amp;D318&amp;"-"&amp;E318&amp;"-Pos4",'Shooter-Squad Assignment'!$V:$V,0)),""),IF(E318="Sporting Clays",IFERROR(INDEX('Shooter-Squad Assignment'!$A:$A,MATCH(C318&amp;"-"&amp;D318&amp;"-"&amp;E318&amp;"-Pos4",'Shooter-Squad Assignment'!$Y:$Y,0)),""),"")))</f>
        <v/>
      </c>
      <c r="M318" s="92" t="str">
        <f>IF(ISBLANK(L318),"",IFERROR(INDEX('Tournament List'!$D:$D,MATCH(L318,'Tournament List'!$A:$A,0)),""))</f>
        <v/>
      </c>
      <c r="N318" s="101" t="str">
        <f>IF(E318="Skeet",IFERROR(INDEX('Shooter-Squad Assignment'!$A:$A,MATCH(C318&amp;"-"&amp;D318&amp;"-"&amp;E318&amp;"-Pos5",'Shooter-Squad Assignment'!#REF!,0)),""),IF(E318="Trap",IFERROR(INDEX('Shooter-Squad Assignment'!$A:$A,MATCH(C318&amp;"-"&amp;D318&amp;"-"&amp;E318&amp;"-Pos5",'Shooter-Squad Assignment'!$V:$V,0)),""),IF(E318="Sporting Clays",IFERROR(INDEX('Shooter-Squad Assignment'!$A:$A,MATCH(C318&amp;"-"&amp;D318&amp;"-"&amp;E318&amp;"-Pos5",'Shooter-Squad Assignment'!$Y:$Y,0)),""),"")))</f>
        <v/>
      </c>
      <c r="O318" s="93" t="str">
        <f>IF(ISBLANK(N318),"",IFERROR(INDEX('Tournament List'!$D:$D,MATCH(N318,'Tournament List'!$A:$A,0)),""))</f>
        <v/>
      </c>
    </row>
    <row r="319" spans="1:15" x14ac:dyDescent="0.3">
      <c r="A319" s="91">
        <v>327</v>
      </c>
      <c r="B319" s="92" t="str">
        <f t="shared" si="4"/>
        <v>Littleton Target Masters-Novice 3-Sporting Clays</v>
      </c>
      <c r="C319" s="92" t="s">
        <v>324</v>
      </c>
      <c r="D319" s="92" t="s">
        <v>351</v>
      </c>
      <c r="E319" s="92" t="s">
        <v>148</v>
      </c>
      <c r="F319" s="101" t="str">
        <f>IF(E319="Skeet",IFERROR(INDEX('Shooter-Squad Assignment'!$A:$A,MATCH(C319&amp;"-"&amp;D319&amp;"-"&amp;E319&amp;"-Pos1",'Shooter-Squad Assignment'!#REF!,0)),""),IF(E319="Trap",IFERROR(INDEX('Shooter-Squad Assignment'!$A:$A,MATCH(C319&amp;"-"&amp;D319&amp;"-"&amp;E319&amp;"-Pos1",'Shooter-Squad Assignment'!$V:$V,0)),""),IF(E319="Sporting Clays",IFERROR(INDEX('Shooter-Squad Assignment'!$A:$A,MATCH(C319&amp;"-"&amp;D319&amp;"-"&amp;E319&amp;"-Pos1",'Shooter-Squad Assignment'!$Y:$Y,0)),""),"")))</f>
        <v/>
      </c>
      <c r="G319" s="92" t="str">
        <f>IF(ISBLANK(F319),"",IFERROR(INDEX('Tournament List'!$D:$D,MATCH(F319,'Tournament List'!$A:$A,0)),""))</f>
        <v/>
      </c>
      <c r="H319" s="101" t="str">
        <f>IF(E319="Skeet",IFERROR(INDEX('Shooter-Squad Assignment'!$A:$A,MATCH(C319&amp;"-"&amp;D319&amp;"-"&amp;E319&amp;"-Pos2",'Shooter-Squad Assignment'!#REF!,0)),""),IF(E319="Trap",IFERROR(INDEX('Shooter-Squad Assignment'!$A:$A,MATCH(C319&amp;"-"&amp;D319&amp;"-"&amp;E319&amp;"-Pos2",'Shooter-Squad Assignment'!$V:$V,0)),""),IF(E319="Sporting Clays",IFERROR(INDEX('Shooter-Squad Assignment'!$A:$A,MATCH(C319&amp;"-"&amp;D319&amp;"-"&amp;E319&amp;"-Pos2",'Shooter-Squad Assignment'!$Y:$Y,0)),""),"")))</f>
        <v/>
      </c>
      <c r="I319" s="92" t="str">
        <f>IF(ISBLANK(H319),"",IFERROR(INDEX('Tournament List'!$D:$D,MATCH(H319,'Tournament List'!$A:$A,0)),""))</f>
        <v/>
      </c>
      <c r="J319" s="101" t="str">
        <f>IF(E319="Skeet",IFERROR(INDEX('Shooter-Squad Assignment'!$A:$A,MATCH(C319&amp;"-"&amp;D319&amp;"-"&amp;E319&amp;"-Pos3",'Shooter-Squad Assignment'!#REF!,0)),""),IF(E319="Trap",IFERROR(INDEX('Shooter-Squad Assignment'!$A:$A,MATCH(C319&amp;"-"&amp;D319&amp;"-"&amp;E319&amp;"-Pos3",'Shooter-Squad Assignment'!$V:$V,0)),""),IF(E319="Sporting Clays",IFERROR(INDEX('Shooter-Squad Assignment'!$A:$A,MATCH(C319&amp;"-"&amp;D319&amp;"-"&amp;E319&amp;"-Pos3",'Shooter-Squad Assignment'!$Y:$Y,0)),""),"")))</f>
        <v/>
      </c>
      <c r="K319" s="92" t="str">
        <f>IF(ISBLANK(J319),"",IFERROR(INDEX('Tournament List'!$D:$D,MATCH(J319,'Tournament List'!$A:$A,0)),""))</f>
        <v/>
      </c>
      <c r="L319" s="101" t="str">
        <f>IF(E319="Skeet",IFERROR(INDEX('Shooter-Squad Assignment'!$A:$A,MATCH(C319&amp;"-"&amp;D319&amp;"-"&amp;E319&amp;"-Pos4",'Shooter-Squad Assignment'!#REF!,0)),""),IF(E319="Trap",IFERROR(INDEX('Shooter-Squad Assignment'!$A:$A,MATCH(C319&amp;"-"&amp;D319&amp;"-"&amp;E319&amp;"-Pos4",'Shooter-Squad Assignment'!$V:$V,0)),""),IF(E319="Sporting Clays",IFERROR(INDEX('Shooter-Squad Assignment'!$A:$A,MATCH(C319&amp;"-"&amp;D319&amp;"-"&amp;E319&amp;"-Pos4",'Shooter-Squad Assignment'!$Y:$Y,0)),""),"")))</f>
        <v/>
      </c>
      <c r="M319" s="92" t="str">
        <f>IF(ISBLANK(L319),"",IFERROR(INDEX('Tournament List'!$D:$D,MATCH(L319,'Tournament List'!$A:$A,0)),""))</f>
        <v/>
      </c>
      <c r="N319" s="101" t="str">
        <f>IF(E319="Skeet",IFERROR(INDEX('Shooter-Squad Assignment'!$A:$A,MATCH(C319&amp;"-"&amp;D319&amp;"-"&amp;E319&amp;"-Pos5",'Shooter-Squad Assignment'!#REF!,0)),""),IF(E319="Trap",IFERROR(INDEX('Shooter-Squad Assignment'!$A:$A,MATCH(C319&amp;"-"&amp;D319&amp;"-"&amp;E319&amp;"-Pos5",'Shooter-Squad Assignment'!$V:$V,0)),""),IF(E319="Sporting Clays",IFERROR(INDEX('Shooter-Squad Assignment'!$A:$A,MATCH(C319&amp;"-"&amp;D319&amp;"-"&amp;E319&amp;"-Pos5",'Shooter-Squad Assignment'!$Y:$Y,0)),""),"")))</f>
        <v/>
      </c>
      <c r="O319" s="93" t="str">
        <f>IF(ISBLANK(N319),"",IFERROR(INDEX('Tournament List'!$D:$D,MATCH(N319,'Tournament List'!$A:$A,0)),""))</f>
        <v/>
      </c>
    </row>
    <row r="320" spans="1:15" x14ac:dyDescent="0.3">
      <c r="A320" s="91">
        <v>328</v>
      </c>
      <c r="B320" s="92" t="str">
        <f t="shared" si="4"/>
        <v>Littleton Target Masters-Open 1-Sporting Clays</v>
      </c>
      <c r="C320" s="92" t="s">
        <v>324</v>
      </c>
      <c r="D320" s="92" t="s">
        <v>343</v>
      </c>
      <c r="E320" s="92" t="s">
        <v>148</v>
      </c>
      <c r="F320" s="101" t="str">
        <f>IF(E320="Skeet",IFERROR(INDEX('Shooter-Squad Assignment'!$A:$A,MATCH(C320&amp;"-"&amp;D320&amp;"-"&amp;E320&amp;"-Pos1",'Shooter-Squad Assignment'!#REF!,0)),""),IF(E320="Trap",IFERROR(INDEX('Shooter-Squad Assignment'!$A:$A,MATCH(C320&amp;"-"&amp;D320&amp;"-"&amp;E320&amp;"-Pos1",'Shooter-Squad Assignment'!$V:$V,0)),""),IF(E320="Sporting Clays",IFERROR(INDEX('Shooter-Squad Assignment'!$A:$A,MATCH(C320&amp;"-"&amp;D320&amp;"-"&amp;E320&amp;"-Pos1",'Shooter-Squad Assignment'!$Y:$Y,0)),""),"")))</f>
        <v/>
      </c>
      <c r="G320" s="92" t="str">
        <f>IF(ISBLANK(F320),"",IFERROR(INDEX('Tournament List'!$D:$D,MATCH(F320,'Tournament List'!$A:$A,0)),""))</f>
        <v/>
      </c>
      <c r="H320" s="101" t="str">
        <f>IF(E320="Skeet",IFERROR(INDEX('Shooter-Squad Assignment'!$A:$A,MATCH(C320&amp;"-"&amp;D320&amp;"-"&amp;E320&amp;"-Pos2",'Shooter-Squad Assignment'!#REF!,0)),""),IF(E320="Trap",IFERROR(INDEX('Shooter-Squad Assignment'!$A:$A,MATCH(C320&amp;"-"&amp;D320&amp;"-"&amp;E320&amp;"-Pos2",'Shooter-Squad Assignment'!$V:$V,0)),""),IF(E320="Sporting Clays",IFERROR(INDEX('Shooter-Squad Assignment'!$A:$A,MATCH(C320&amp;"-"&amp;D320&amp;"-"&amp;E320&amp;"-Pos2",'Shooter-Squad Assignment'!$Y:$Y,0)),""),"")))</f>
        <v/>
      </c>
      <c r="I320" s="92" t="str">
        <f>IF(ISBLANK(H320),"",IFERROR(INDEX('Tournament List'!$D:$D,MATCH(H320,'Tournament List'!$A:$A,0)),""))</f>
        <v/>
      </c>
      <c r="J320" s="101" t="str">
        <f>IF(E320="Skeet",IFERROR(INDEX('Shooter-Squad Assignment'!$A:$A,MATCH(C320&amp;"-"&amp;D320&amp;"-"&amp;E320&amp;"-Pos3",'Shooter-Squad Assignment'!#REF!,0)),""),IF(E320="Trap",IFERROR(INDEX('Shooter-Squad Assignment'!$A:$A,MATCH(C320&amp;"-"&amp;D320&amp;"-"&amp;E320&amp;"-Pos3",'Shooter-Squad Assignment'!$V:$V,0)),""),IF(E320="Sporting Clays",IFERROR(INDEX('Shooter-Squad Assignment'!$A:$A,MATCH(C320&amp;"-"&amp;D320&amp;"-"&amp;E320&amp;"-Pos3",'Shooter-Squad Assignment'!$Y:$Y,0)),""),"")))</f>
        <v/>
      </c>
      <c r="K320" s="92" t="str">
        <f>IF(ISBLANK(J320),"",IFERROR(INDEX('Tournament List'!$D:$D,MATCH(J320,'Tournament List'!$A:$A,0)),""))</f>
        <v/>
      </c>
      <c r="L320" s="101" t="str">
        <f>IF(E320="Skeet",IFERROR(INDEX('Shooter-Squad Assignment'!$A:$A,MATCH(C320&amp;"-"&amp;D320&amp;"-"&amp;E320&amp;"-Pos4",'Shooter-Squad Assignment'!#REF!,0)),""),IF(E320="Trap",IFERROR(INDEX('Shooter-Squad Assignment'!$A:$A,MATCH(C320&amp;"-"&amp;D320&amp;"-"&amp;E320&amp;"-Pos4",'Shooter-Squad Assignment'!$V:$V,0)),""),IF(E320="Sporting Clays",IFERROR(INDEX('Shooter-Squad Assignment'!$A:$A,MATCH(C320&amp;"-"&amp;D320&amp;"-"&amp;E320&amp;"-Pos4",'Shooter-Squad Assignment'!$Y:$Y,0)),""),"")))</f>
        <v/>
      </c>
      <c r="M320" s="92" t="str">
        <f>IF(ISBLANK(L320),"",IFERROR(INDEX('Tournament List'!$D:$D,MATCH(L320,'Tournament List'!$A:$A,0)),""))</f>
        <v/>
      </c>
      <c r="N320" s="101" t="str">
        <f>IF(E320="Skeet",IFERROR(INDEX('Shooter-Squad Assignment'!$A:$A,MATCH(C320&amp;"-"&amp;D320&amp;"-"&amp;E320&amp;"-Pos5",'Shooter-Squad Assignment'!#REF!,0)),""),IF(E320="Trap",IFERROR(INDEX('Shooter-Squad Assignment'!$A:$A,MATCH(C320&amp;"-"&amp;D320&amp;"-"&amp;E320&amp;"-Pos5",'Shooter-Squad Assignment'!$V:$V,0)),""),IF(E320="Sporting Clays",IFERROR(INDEX('Shooter-Squad Assignment'!$A:$A,MATCH(C320&amp;"-"&amp;D320&amp;"-"&amp;E320&amp;"-Pos5",'Shooter-Squad Assignment'!$Y:$Y,0)),""),"")))</f>
        <v/>
      </c>
      <c r="O320" s="93" t="str">
        <f>IF(ISBLANK(N320),"",IFERROR(INDEX('Tournament List'!$D:$D,MATCH(N320,'Tournament List'!$A:$A,0)),""))</f>
        <v/>
      </c>
    </row>
    <row r="321" spans="1:15" x14ac:dyDescent="0.3">
      <c r="A321" s="91">
        <v>329</v>
      </c>
      <c r="B321" s="92" t="str">
        <f t="shared" si="4"/>
        <v>Littleton Target Masters-Open 2-Sporting Clays</v>
      </c>
      <c r="C321" s="92" t="s">
        <v>324</v>
      </c>
      <c r="D321" s="92" t="s">
        <v>349</v>
      </c>
      <c r="E321" s="92" t="s">
        <v>148</v>
      </c>
      <c r="F321" s="101" t="str">
        <f>IF(E321="Skeet",IFERROR(INDEX('Shooter-Squad Assignment'!$A:$A,MATCH(C321&amp;"-"&amp;D321&amp;"-"&amp;E321&amp;"-Pos1",'Shooter-Squad Assignment'!#REF!,0)),""),IF(E321="Trap",IFERROR(INDEX('Shooter-Squad Assignment'!$A:$A,MATCH(C321&amp;"-"&amp;D321&amp;"-"&amp;E321&amp;"-Pos1",'Shooter-Squad Assignment'!$V:$V,0)),""),IF(E321="Sporting Clays",IFERROR(INDEX('Shooter-Squad Assignment'!$A:$A,MATCH(C321&amp;"-"&amp;D321&amp;"-"&amp;E321&amp;"-Pos1",'Shooter-Squad Assignment'!$Y:$Y,0)),""),"")))</f>
        <v/>
      </c>
      <c r="G321" s="92" t="str">
        <f>IF(ISBLANK(F321),"",IFERROR(INDEX('Tournament List'!$D:$D,MATCH(F321,'Tournament List'!$A:$A,0)),""))</f>
        <v/>
      </c>
      <c r="H321" s="101" t="str">
        <f>IF(E321="Skeet",IFERROR(INDEX('Shooter-Squad Assignment'!$A:$A,MATCH(C321&amp;"-"&amp;D321&amp;"-"&amp;E321&amp;"-Pos2",'Shooter-Squad Assignment'!#REF!,0)),""),IF(E321="Trap",IFERROR(INDEX('Shooter-Squad Assignment'!$A:$A,MATCH(C321&amp;"-"&amp;D321&amp;"-"&amp;E321&amp;"-Pos2",'Shooter-Squad Assignment'!$V:$V,0)),""),IF(E321="Sporting Clays",IFERROR(INDEX('Shooter-Squad Assignment'!$A:$A,MATCH(C321&amp;"-"&amp;D321&amp;"-"&amp;E321&amp;"-Pos2",'Shooter-Squad Assignment'!$Y:$Y,0)),""),"")))</f>
        <v/>
      </c>
      <c r="I321" s="92" t="str">
        <f>IF(ISBLANK(H321),"",IFERROR(INDEX('Tournament List'!$D:$D,MATCH(H321,'Tournament List'!$A:$A,0)),""))</f>
        <v/>
      </c>
      <c r="J321" s="101" t="str">
        <f>IF(E321="Skeet",IFERROR(INDEX('Shooter-Squad Assignment'!$A:$A,MATCH(C321&amp;"-"&amp;D321&amp;"-"&amp;E321&amp;"-Pos3",'Shooter-Squad Assignment'!#REF!,0)),""),IF(E321="Trap",IFERROR(INDEX('Shooter-Squad Assignment'!$A:$A,MATCH(C321&amp;"-"&amp;D321&amp;"-"&amp;E321&amp;"-Pos3",'Shooter-Squad Assignment'!$V:$V,0)),""),IF(E321="Sporting Clays",IFERROR(INDEX('Shooter-Squad Assignment'!$A:$A,MATCH(C321&amp;"-"&amp;D321&amp;"-"&amp;E321&amp;"-Pos3",'Shooter-Squad Assignment'!$Y:$Y,0)),""),"")))</f>
        <v/>
      </c>
      <c r="K321" s="92" t="str">
        <f>IF(ISBLANK(J321),"",IFERROR(INDEX('Tournament List'!$D:$D,MATCH(J321,'Tournament List'!$A:$A,0)),""))</f>
        <v/>
      </c>
      <c r="L321" s="101" t="str">
        <f>IF(E321="Skeet",IFERROR(INDEX('Shooter-Squad Assignment'!$A:$A,MATCH(C321&amp;"-"&amp;D321&amp;"-"&amp;E321&amp;"-Pos4",'Shooter-Squad Assignment'!#REF!,0)),""),IF(E321="Trap",IFERROR(INDEX('Shooter-Squad Assignment'!$A:$A,MATCH(C321&amp;"-"&amp;D321&amp;"-"&amp;E321&amp;"-Pos4",'Shooter-Squad Assignment'!$V:$V,0)),""),IF(E321="Sporting Clays",IFERROR(INDEX('Shooter-Squad Assignment'!$A:$A,MATCH(C321&amp;"-"&amp;D321&amp;"-"&amp;E321&amp;"-Pos4",'Shooter-Squad Assignment'!$Y:$Y,0)),""),"")))</f>
        <v/>
      </c>
      <c r="M321" s="92" t="str">
        <f>IF(ISBLANK(L321),"",IFERROR(INDEX('Tournament List'!$D:$D,MATCH(L321,'Tournament List'!$A:$A,0)),""))</f>
        <v/>
      </c>
      <c r="N321" s="101" t="str">
        <f>IF(E321="Skeet",IFERROR(INDEX('Shooter-Squad Assignment'!$A:$A,MATCH(C321&amp;"-"&amp;D321&amp;"-"&amp;E321&amp;"-Pos5",'Shooter-Squad Assignment'!#REF!,0)),""),IF(E321="Trap",IFERROR(INDEX('Shooter-Squad Assignment'!$A:$A,MATCH(C321&amp;"-"&amp;D321&amp;"-"&amp;E321&amp;"-Pos5",'Shooter-Squad Assignment'!$V:$V,0)),""),IF(E321="Sporting Clays",IFERROR(INDEX('Shooter-Squad Assignment'!$A:$A,MATCH(C321&amp;"-"&amp;D321&amp;"-"&amp;E321&amp;"-Pos5",'Shooter-Squad Assignment'!$Y:$Y,0)),""),"")))</f>
        <v/>
      </c>
      <c r="O321" s="93" t="str">
        <f>IF(ISBLANK(N321),"",IFERROR(INDEX('Tournament List'!$D:$D,MATCH(N321,'Tournament List'!$A:$A,0)),""))</f>
        <v/>
      </c>
    </row>
    <row r="322" spans="1:15" x14ac:dyDescent="0.3">
      <c r="A322" s="91">
        <v>330</v>
      </c>
      <c r="B322" s="92" t="str">
        <f t="shared" si="4"/>
        <v>Littleton Target Masters-Open 3-Sporting Clays</v>
      </c>
      <c r="C322" s="92" t="s">
        <v>324</v>
      </c>
      <c r="D322" s="92" t="s">
        <v>355</v>
      </c>
      <c r="E322" s="92" t="s">
        <v>148</v>
      </c>
      <c r="F322" s="101" t="str">
        <f>IF(E322="Skeet",IFERROR(INDEX('Shooter-Squad Assignment'!$A:$A,MATCH(C322&amp;"-"&amp;D322&amp;"-"&amp;E322&amp;"-Pos1",'Shooter-Squad Assignment'!#REF!,0)),""),IF(E322="Trap",IFERROR(INDEX('Shooter-Squad Assignment'!$A:$A,MATCH(C322&amp;"-"&amp;D322&amp;"-"&amp;E322&amp;"-Pos1",'Shooter-Squad Assignment'!$V:$V,0)),""),IF(E322="Sporting Clays",IFERROR(INDEX('Shooter-Squad Assignment'!$A:$A,MATCH(C322&amp;"-"&amp;D322&amp;"-"&amp;E322&amp;"-Pos1",'Shooter-Squad Assignment'!$Y:$Y,0)),""),"")))</f>
        <v/>
      </c>
      <c r="G322" s="92" t="str">
        <f>IF(ISBLANK(F322),"",IFERROR(INDEX('Tournament List'!$D:$D,MATCH(F322,'Tournament List'!$A:$A,0)),""))</f>
        <v/>
      </c>
      <c r="H322" s="101" t="str">
        <f>IF(E322="Skeet",IFERROR(INDEX('Shooter-Squad Assignment'!$A:$A,MATCH(C322&amp;"-"&amp;D322&amp;"-"&amp;E322&amp;"-Pos2",'Shooter-Squad Assignment'!#REF!,0)),""),IF(E322="Trap",IFERROR(INDEX('Shooter-Squad Assignment'!$A:$A,MATCH(C322&amp;"-"&amp;D322&amp;"-"&amp;E322&amp;"-Pos2",'Shooter-Squad Assignment'!$V:$V,0)),""),IF(E322="Sporting Clays",IFERROR(INDEX('Shooter-Squad Assignment'!$A:$A,MATCH(C322&amp;"-"&amp;D322&amp;"-"&amp;E322&amp;"-Pos2",'Shooter-Squad Assignment'!$Y:$Y,0)),""),"")))</f>
        <v/>
      </c>
      <c r="I322" s="92" t="str">
        <f>IF(ISBLANK(H322),"",IFERROR(INDEX('Tournament List'!$D:$D,MATCH(H322,'Tournament List'!$A:$A,0)),""))</f>
        <v/>
      </c>
      <c r="J322" s="101" t="str">
        <f>IF(E322="Skeet",IFERROR(INDEX('Shooter-Squad Assignment'!$A:$A,MATCH(C322&amp;"-"&amp;D322&amp;"-"&amp;E322&amp;"-Pos3",'Shooter-Squad Assignment'!#REF!,0)),""),IF(E322="Trap",IFERROR(INDEX('Shooter-Squad Assignment'!$A:$A,MATCH(C322&amp;"-"&amp;D322&amp;"-"&amp;E322&amp;"-Pos3",'Shooter-Squad Assignment'!$V:$V,0)),""),IF(E322="Sporting Clays",IFERROR(INDEX('Shooter-Squad Assignment'!$A:$A,MATCH(C322&amp;"-"&amp;D322&amp;"-"&amp;E322&amp;"-Pos3",'Shooter-Squad Assignment'!$Y:$Y,0)),""),"")))</f>
        <v/>
      </c>
      <c r="K322" s="92" t="str">
        <f>IF(ISBLANK(J322),"",IFERROR(INDEX('Tournament List'!$D:$D,MATCH(J322,'Tournament List'!$A:$A,0)),""))</f>
        <v/>
      </c>
      <c r="L322" s="101" t="str">
        <f>IF(E322="Skeet",IFERROR(INDEX('Shooter-Squad Assignment'!$A:$A,MATCH(C322&amp;"-"&amp;D322&amp;"-"&amp;E322&amp;"-Pos4",'Shooter-Squad Assignment'!#REF!,0)),""),IF(E322="Trap",IFERROR(INDEX('Shooter-Squad Assignment'!$A:$A,MATCH(C322&amp;"-"&amp;D322&amp;"-"&amp;E322&amp;"-Pos4",'Shooter-Squad Assignment'!$V:$V,0)),""),IF(E322="Sporting Clays",IFERROR(INDEX('Shooter-Squad Assignment'!$A:$A,MATCH(C322&amp;"-"&amp;D322&amp;"-"&amp;E322&amp;"-Pos4",'Shooter-Squad Assignment'!$Y:$Y,0)),""),"")))</f>
        <v/>
      </c>
      <c r="M322" s="92" t="str">
        <f>IF(ISBLANK(L322),"",IFERROR(INDEX('Tournament List'!$D:$D,MATCH(L322,'Tournament List'!$A:$A,0)),""))</f>
        <v/>
      </c>
      <c r="N322" s="101" t="str">
        <f>IF(E322="Skeet",IFERROR(INDEX('Shooter-Squad Assignment'!$A:$A,MATCH(C322&amp;"-"&amp;D322&amp;"-"&amp;E322&amp;"-Pos5",'Shooter-Squad Assignment'!#REF!,0)),""),IF(E322="Trap",IFERROR(INDEX('Shooter-Squad Assignment'!$A:$A,MATCH(C322&amp;"-"&amp;D322&amp;"-"&amp;E322&amp;"-Pos5",'Shooter-Squad Assignment'!$V:$V,0)),""),IF(E322="Sporting Clays",IFERROR(INDEX('Shooter-Squad Assignment'!$A:$A,MATCH(C322&amp;"-"&amp;D322&amp;"-"&amp;E322&amp;"-Pos5",'Shooter-Squad Assignment'!$Y:$Y,0)),""),"")))</f>
        <v/>
      </c>
      <c r="O322" s="93" t="str">
        <f>IF(ISBLANK(N322),"",IFERROR(INDEX('Tournament List'!$D:$D,MATCH(N322,'Tournament List'!$A:$A,0)),""))</f>
        <v/>
      </c>
    </row>
    <row r="323" spans="1:15" x14ac:dyDescent="0.3">
      <c r="A323" s="91">
        <v>331</v>
      </c>
      <c r="B323" s="92" t="str">
        <f t="shared" ref="B323:B386" si="5">C323&amp;"-"&amp;D323&amp;"-"&amp;E323</f>
        <v>Littleton Target Masters-Varsity 1-Sporting Clays</v>
      </c>
      <c r="C323" s="92" t="s">
        <v>324</v>
      </c>
      <c r="D323" s="92" t="s">
        <v>342</v>
      </c>
      <c r="E323" s="92" t="s">
        <v>148</v>
      </c>
      <c r="F323" s="101" t="str">
        <f>IF(E323="Skeet",IFERROR(INDEX('Shooter-Squad Assignment'!$A:$A,MATCH(C323&amp;"-"&amp;D323&amp;"-"&amp;E323&amp;"-Pos1",'Shooter-Squad Assignment'!#REF!,0)),""),IF(E323="Trap",IFERROR(INDEX('Shooter-Squad Assignment'!$A:$A,MATCH(C323&amp;"-"&amp;D323&amp;"-"&amp;E323&amp;"-Pos1",'Shooter-Squad Assignment'!$V:$V,0)),""),IF(E323="Sporting Clays",IFERROR(INDEX('Shooter-Squad Assignment'!$A:$A,MATCH(C323&amp;"-"&amp;D323&amp;"-"&amp;E323&amp;"-Pos1",'Shooter-Squad Assignment'!$Y:$Y,0)),""),"")))</f>
        <v/>
      </c>
      <c r="G323" s="92" t="str">
        <f>IF(ISBLANK(F323),"",IFERROR(INDEX('Tournament List'!$D:$D,MATCH(F323,'Tournament List'!$A:$A,0)),""))</f>
        <v/>
      </c>
      <c r="H323" s="101" t="str">
        <f>IF(E323="Skeet",IFERROR(INDEX('Shooter-Squad Assignment'!$A:$A,MATCH(C323&amp;"-"&amp;D323&amp;"-"&amp;E323&amp;"-Pos2",'Shooter-Squad Assignment'!#REF!,0)),""),IF(E323="Trap",IFERROR(INDEX('Shooter-Squad Assignment'!$A:$A,MATCH(C323&amp;"-"&amp;D323&amp;"-"&amp;E323&amp;"-Pos2",'Shooter-Squad Assignment'!$V:$V,0)),""),IF(E323="Sporting Clays",IFERROR(INDEX('Shooter-Squad Assignment'!$A:$A,MATCH(C323&amp;"-"&amp;D323&amp;"-"&amp;E323&amp;"-Pos2",'Shooter-Squad Assignment'!$Y:$Y,0)),""),"")))</f>
        <v/>
      </c>
      <c r="I323" s="92" t="str">
        <f>IF(ISBLANK(H323),"",IFERROR(INDEX('Tournament List'!$D:$D,MATCH(H323,'Tournament List'!$A:$A,0)),""))</f>
        <v/>
      </c>
      <c r="J323" s="101" t="str">
        <f>IF(E323="Skeet",IFERROR(INDEX('Shooter-Squad Assignment'!$A:$A,MATCH(C323&amp;"-"&amp;D323&amp;"-"&amp;E323&amp;"-Pos3",'Shooter-Squad Assignment'!#REF!,0)),""),IF(E323="Trap",IFERROR(INDEX('Shooter-Squad Assignment'!$A:$A,MATCH(C323&amp;"-"&amp;D323&amp;"-"&amp;E323&amp;"-Pos3",'Shooter-Squad Assignment'!$V:$V,0)),""),IF(E323="Sporting Clays",IFERROR(INDEX('Shooter-Squad Assignment'!$A:$A,MATCH(C323&amp;"-"&amp;D323&amp;"-"&amp;E323&amp;"-Pos3",'Shooter-Squad Assignment'!$Y:$Y,0)),""),"")))</f>
        <v/>
      </c>
      <c r="K323" s="92" t="str">
        <f>IF(ISBLANK(J323),"",IFERROR(INDEX('Tournament List'!$D:$D,MATCH(J323,'Tournament List'!$A:$A,0)),""))</f>
        <v/>
      </c>
      <c r="L323" s="101" t="str">
        <f>IF(E323="Skeet",IFERROR(INDEX('Shooter-Squad Assignment'!$A:$A,MATCH(C323&amp;"-"&amp;D323&amp;"-"&amp;E323&amp;"-Pos4",'Shooter-Squad Assignment'!#REF!,0)),""),IF(E323="Trap",IFERROR(INDEX('Shooter-Squad Assignment'!$A:$A,MATCH(C323&amp;"-"&amp;D323&amp;"-"&amp;E323&amp;"-Pos4",'Shooter-Squad Assignment'!$V:$V,0)),""),IF(E323="Sporting Clays",IFERROR(INDEX('Shooter-Squad Assignment'!$A:$A,MATCH(C323&amp;"-"&amp;D323&amp;"-"&amp;E323&amp;"-Pos4",'Shooter-Squad Assignment'!$Y:$Y,0)),""),"")))</f>
        <v/>
      </c>
      <c r="M323" s="92" t="str">
        <f>IF(ISBLANK(L323),"",IFERROR(INDEX('Tournament List'!$D:$D,MATCH(L323,'Tournament List'!$A:$A,0)),""))</f>
        <v/>
      </c>
      <c r="N323" s="101" t="str">
        <f>IF(E323="Skeet",IFERROR(INDEX('Shooter-Squad Assignment'!$A:$A,MATCH(C323&amp;"-"&amp;D323&amp;"-"&amp;E323&amp;"-Pos5",'Shooter-Squad Assignment'!#REF!,0)),""),IF(E323="Trap",IFERROR(INDEX('Shooter-Squad Assignment'!$A:$A,MATCH(C323&amp;"-"&amp;D323&amp;"-"&amp;E323&amp;"-Pos5",'Shooter-Squad Assignment'!$V:$V,0)),""),IF(E323="Sporting Clays",IFERROR(INDEX('Shooter-Squad Assignment'!$A:$A,MATCH(C323&amp;"-"&amp;D323&amp;"-"&amp;E323&amp;"-Pos5",'Shooter-Squad Assignment'!$Y:$Y,0)),""),"")))</f>
        <v/>
      </c>
      <c r="O323" s="93" t="str">
        <f>IF(ISBLANK(N323),"",IFERROR(INDEX('Tournament List'!$D:$D,MATCH(N323,'Tournament List'!$A:$A,0)),""))</f>
        <v/>
      </c>
    </row>
    <row r="324" spans="1:15" x14ac:dyDescent="0.3">
      <c r="A324" s="91">
        <v>332</v>
      </c>
      <c r="B324" s="92" t="str">
        <f t="shared" si="5"/>
        <v>Littleton Target Masters-Varsity 2-Sporting Clays</v>
      </c>
      <c r="C324" s="92" t="s">
        <v>324</v>
      </c>
      <c r="D324" s="92" t="s">
        <v>348</v>
      </c>
      <c r="E324" s="92" t="s">
        <v>148</v>
      </c>
      <c r="F324" s="101" t="str">
        <f>IF(E324="Skeet",IFERROR(INDEX('Shooter-Squad Assignment'!$A:$A,MATCH(C324&amp;"-"&amp;D324&amp;"-"&amp;E324&amp;"-Pos1",'Shooter-Squad Assignment'!#REF!,0)),""),IF(E324="Trap",IFERROR(INDEX('Shooter-Squad Assignment'!$A:$A,MATCH(C324&amp;"-"&amp;D324&amp;"-"&amp;E324&amp;"-Pos1",'Shooter-Squad Assignment'!$V:$V,0)),""),IF(E324="Sporting Clays",IFERROR(INDEX('Shooter-Squad Assignment'!$A:$A,MATCH(C324&amp;"-"&amp;D324&amp;"-"&amp;E324&amp;"-Pos1",'Shooter-Squad Assignment'!$Y:$Y,0)),""),"")))</f>
        <v/>
      </c>
      <c r="G324" s="92" t="str">
        <f>IF(ISBLANK(F324),"",IFERROR(INDEX('Tournament List'!$D:$D,MATCH(F324,'Tournament List'!$A:$A,0)),""))</f>
        <v/>
      </c>
      <c r="H324" s="101" t="str">
        <f>IF(E324="Skeet",IFERROR(INDEX('Shooter-Squad Assignment'!$A:$A,MATCH(C324&amp;"-"&amp;D324&amp;"-"&amp;E324&amp;"-Pos2",'Shooter-Squad Assignment'!#REF!,0)),""),IF(E324="Trap",IFERROR(INDEX('Shooter-Squad Assignment'!$A:$A,MATCH(C324&amp;"-"&amp;D324&amp;"-"&amp;E324&amp;"-Pos2",'Shooter-Squad Assignment'!$V:$V,0)),""),IF(E324="Sporting Clays",IFERROR(INDEX('Shooter-Squad Assignment'!$A:$A,MATCH(C324&amp;"-"&amp;D324&amp;"-"&amp;E324&amp;"-Pos2",'Shooter-Squad Assignment'!$Y:$Y,0)),""),"")))</f>
        <v/>
      </c>
      <c r="I324" s="92" t="str">
        <f>IF(ISBLANK(H324),"",IFERROR(INDEX('Tournament List'!$D:$D,MATCH(H324,'Tournament List'!$A:$A,0)),""))</f>
        <v/>
      </c>
      <c r="J324" s="101" t="str">
        <f>IF(E324="Skeet",IFERROR(INDEX('Shooter-Squad Assignment'!$A:$A,MATCH(C324&amp;"-"&amp;D324&amp;"-"&amp;E324&amp;"-Pos3",'Shooter-Squad Assignment'!#REF!,0)),""),IF(E324="Trap",IFERROR(INDEX('Shooter-Squad Assignment'!$A:$A,MATCH(C324&amp;"-"&amp;D324&amp;"-"&amp;E324&amp;"-Pos3",'Shooter-Squad Assignment'!$V:$V,0)),""),IF(E324="Sporting Clays",IFERROR(INDEX('Shooter-Squad Assignment'!$A:$A,MATCH(C324&amp;"-"&amp;D324&amp;"-"&amp;E324&amp;"-Pos3",'Shooter-Squad Assignment'!$Y:$Y,0)),""),"")))</f>
        <v/>
      </c>
      <c r="K324" s="92" t="str">
        <f>IF(ISBLANK(J324),"",IFERROR(INDEX('Tournament List'!$D:$D,MATCH(J324,'Tournament List'!$A:$A,0)),""))</f>
        <v/>
      </c>
      <c r="L324" s="101" t="str">
        <f>IF(E324="Skeet",IFERROR(INDEX('Shooter-Squad Assignment'!$A:$A,MATCH(C324&amp;"-"&amp;D324&amp;"-"&amp;E324&amp;"-Pos4",'Shooter-Squad Assignment'!#REF!,0)),""),IF(E324="Trap",IFERROR(INDEX('Shooter-Squad Assignment'!$A:$A,MATCH(C324&amp;"-"&amp;D324&amp;"-"&amp;E324&amp;"-Pos4",'Shooter-Squad Assignment'!$V:$V,0)),""),IF(E324="Sporting Clays",IFERROR(INDEX('Shooter-Squad Assignment'!$A:$A,MATCH(C324&amp;"-"&amp;D324&amp;"-"&amp;E324&amp;"-Pos4",'Shooter-Squad Assignment'!$Y:$Y,0)),""),"")))</f>
        <v/>
      </c>
      <c r="M324" s="92" t="str">
        <f>IF(ISBLANK(L324),"",IFERROR(INDEX('Tournament List'!$D:$D,MATCH(L324,'Tournament List'!$A:$A,0)),""))</f>
        <v/>
      </c>
      <c r="N324" s="101" t="str">
        <f>IF(E324="Skeet",IFERROR(INDEX('Shooter-Squad Assignment'!$A:$A,MATCH(C324&amp;"-"&amp;D324&amp;"-"&amp;E324&amp;"-Pos5",'Shooter-Squad Assignment'!#REF!,0)),""),IF(E324="Trap",IFERROR(INDEX('Shooter-Squad Assignment'!$A:$A,MATCH(C324&amp;"-"&amp;D324&amp;"-"&amp;E324&amp;"-Pos5",'Shooter-Squad Assignment'!$V:$V,0)),""),IF(E324="Sporting Clays",IFERROR(INDEX('Shooter-Squad Assignment'!$A:$A,MATCH(C324&amp;"-"&amp;D324&amp;"-"&amp;E324&amp;"-Pos5",'Shooter-Squad Assignment'!$Y:$Y,0)),""),"")))</f>
        <v/>
      </c>
      <c r="O324" s="93" t="str">
        <f>IF(ISBLANK(N324),"",IFERROR(INDEX('Tournament List'!$D:$D,MATCH(N324,'Tournament List'!$A:$A,0)),""))</f>
        <v/>
      </c>
    </row>
    <row r="325" spans="1:15" ht="15" thickBot="1" x14ac:dyDescent="0.35">
      <c r="A325" s="94">
        <v>333</v>
      </c>
      <c r="B325" s="95" t="str">
        <f t="shared" si="5"/>
        <v>Littleton Target Masters-Varsity 3-Sporting Clays</v>
      </c>
      <c r="C325" s="95" t="s">
        <v>324</v>
      </c>
      <c r="D325" s="95" t="s">
        <v>354</v>
      </c>
      <c r="E325" s="95" t="s">
        <v>148</v>
      </c>
      <c r="F325" s="102" t="str">
        <f>IF(E325="Skeet",IFERROR(INDEX('Shooter-Squad Assignment'!$A:$A,MATCH(C325&amp;"-"&amp;D325&amp;"-"&amp;E325&amp;"-Pos1",'Shooter-Squad Assignment'!#REF!,0)),""),IF(E325="Trap",IFERROR(INDEX('Shooter-Squad Assignment'!$A:$A,MATCH(C325&amp;"-"&amp;D325&amp;"-"&amp;E325&amp;"-Pos1",'Shooter-Squad Assignment'!$V:$V,0)),""),IF(E325="Sporting Clays",IFERROR(INDEX('Shooter-Squad Assignment'!$A:$A,MATCH(C325&amp;"-"&amp;D325&amp;"-"&amp;E325&amp;"-Pos1",'Shooter-Squad Assignment'!$Y:$Y,0)),""),"")))</f>
        <v/>
      </c>
      <c r="G325" s="95" t="str">
        <f>IF(ISBLANK(F325),"",IFERROR(INDEX('Tournament List'!$D:$D,MATCH(F325,'Tournament List'!$A:$A,0)),""))</f>
        <v/>
      </c>
      <c r="H325" s="102" t="str">
        <f>IF(E325="Skeet",IFERROR(INDEX('Shooter-Squad Assignment'!$A:$A,MATCH(C325&amp;"-"&amp;D325&amp;"-"&amp;E325&amp;"-Pos2",'Shooter-Squad Assignment'!#REF!,0)),""),IF(E325="Trap",IFERROR(INDEX('Shooter-Squad Assignment'!$A:$A,MATCH(C325&amp;"-"&amp;D325&amp;"-"&amp;E325&amp;"-Pos2",'Shooter-Squad Assignment'!$V:$V,0)),""),IF(E325="Sporting Clays",IFERROR(INDEX('Shooter-Squad Assignment'!$A:$A,MATCH(C325&amp;"-"&amp;D325&amp;"-"&amp;E325&amp;"-Pos2",'Shooter-Squad Assignment'!$Y:$Y,0)),""),"")))</f>
        <v/>
      </c>
      <c r="I325" s="95" t="str">
        <f>IF(ISBLANK(H325),"",IFERROR(INDEX('Tournament List'!$D:$D,MATCH(H325,'Tournament List'!$A:$A,0)),""))</f>
        <v/>
      </c>
      <c r="J325" s="102" t="str">
        <f>IF(E325="Skeet",IFERROR(INDEX('Shooter-Squad Assignment'!$A:$A,MATCH(C325&amp;"-"&amp;D325&amp;"-"&amp;E325&amp;"-Pos3",'Shooter-Squad Assignment'!#REF!,0)),""),IF(E325="Trap",IFERROR(INDEX('Shooter-Squad Assignment'!$A:$A,MATCH(C325&amp;"-"&amp;D325&amp;"-"&amp;E325&amp;"-Pos3",'Shooter-Squad Assignment'!$V:$V,0)),""),IF(E325="Sporting Clays",IFERROR(INDEX('Shooter-Squad Assignment'!$A:$A,MATCH(C325&amp;"-"&amp;D325&amp;"-"&amp;E325&amp;"-Pos3",'Shooter-Squad Assignment'!$Y:$Y,0)),""),"")))</f>
        <v/>
      </c>
      <c r="K325" s="95" t="str">
        <f>IF(ISBLANK(J325),"",IFERROR(INDEX('Tournament List'!$D:$D,MATCH(J325,'Tournament List'!$A:$A,0)),""))</f>
        <v/>
      </c>
      <c r="L325" s="102" t="str">
        <f>IF(E325="Skeet",IFERROR(INDEX('Shooter-Squad Assignment'!$A:$A,MATCH(C325&amp;"-"&amp;D325&amp;"-"&amp;E325&amp;"-Pos4",'Shooter-Squad Assignment'!#REF!,0)),""),IF(E325="Trap",IFERROR(INDEX('Shooter-Squad Assignment'!$A:$A,MATCH(C325&amp;"-"&amp;D325&amp;"-"&amp;E325&amp;"-Pos4",'Shooter-Squad Assignment'!$V:$V,0)),""),IF(E325="Sporting Clays",IFERROR(INDEX('Shooter-Squad Assignment'!$A:$A,MATCH(C325&amp;"-"&amp;D325&amp;"-"&amp;E325&amp;"-Pos4",'Shooter-Squad Assignment'!$Y:$Y,0)),""),"")))</f>
        <v/>
      </c>
      <c r="M325" s="95" t="str">
        <f>IF(ISBLANK(L325),"",IFERROR(INDEX('Tournament List'!$D:$D,MATCH(L325,'Tournament List'!$A:$A,0)),""))</f>
        <v/>
      </c>
      <c r="N325" s="102" t="str">
        <f>IF(E325="Skeet",IFERROR(INDEX('Shooter-Squad Assignment'!$A:$A,MATCH(C325&amp;"-"&amp;D325&amp;"-"&amp;E325&amp;"-Pos5",'Shooter-Squad Assignment'!#REF!,0)),""),IF(E325="Trap",IFERROR(INDEX('Shooter-Squad Assignment'!$A:$A,MATCH(C325&amp;"-"&amp;D325&amp;"-"&amp;E325&amp;"-Pos5",'Shooter-Squad Assignment'!$V:$V,0)),""),IF(E325="Sporting Clays",IFERROR(INDEX('Shooter-Squad Assignment'!$A:$A,MATCH(C325&amp;"-"&amp;D325&amp;"-"&amp;E325&amp;"-Pos5",'Shooter-Squad Assignment'!$Y:$Y,0)),""),"")))</f>
        <v/>
      </c>
      <c r="O325" s="96" t="str">
        <f>IF(ISBLANK(N325),"",IFERROR(INDEX('Tournament List'!$D:$D,MATCH(N325,'Tournament List'!$A:$A,0)),""))</f>
        <v/>
      </c>
    </row>
    <row r="326" spans="1:15" x14ac:dyDescent="0.3">
      <c r="A326" s="76">
        <v>334</v>
      </c>
      <c r="B326" s="77" t="str">
        <f t="shared" si="5"/>
        <v>-Collegiate 1-Skeet</v>
      </c>
      <c r="C326" s="77"/>
      <c r="D326" s="77" t="s">
        <v>344</v>
      </c>
      <c r="E326" s="77" t="s">
        <v>143</v>
      </c>
      <c r="F326" s="97" t="str">
        <f>IF(E326="Skeet",IFERROR(INDEX('Shooter-Squad Assignment'!$A:$A,MATCH(C326&amp;"-"&amp;D326&amp;"-"&amp;E326&amp;"-Pos1",'Shooter-Squad Assignment'!#REF!,0)),""),IF(E326="Trap",IFERROR(INDEX('Shooter-Squad Assignment'!$A:$A,MATCH(C326&amp;"-"&amp;D326&amp;"-"&amp;E326&amp;"-Pos1",'Shooter-Squad Assignment'!$V:$V,0)),""),IF(E326="Sporting Clays",IFERROR(INDEX('Shooter-Squad Assignment'!$A:$A,MATCH(C326&amp;"-"&amp;D326&amp;"-"&amp;E326&amp;"-Pos1",'Shooter-Squad Assignment'!$Y:$Y,0)),""),"")))</f>
        <v/>
      </c>
      <c r="G326" s="77" t="str">
        <f>IF(ISBLANK(F326),"",IFERROR(INDEX('Tournament List'!$D:$D,MATCH(F326,'Tournament List'!$A:$A,0)),""))</f>
        <v/>
      </c>
      <c r="H326" s="97" t="str">
        <f>IF(E326="Skeet",IFERROR(INDEX('Shooter-Squad Assignment'!$A:$A,MATCH(C326&amp;"-"&amp;D326&amp;"-"&amp;E326&amp;"-Pos2",'Shooter-Squad Assignment'!#REF!,0)),""),IF(E326="Trap",IFERROR(INDEX('Shooter-Squad Assignment'!$A:$A,MATCH(C326&amp;"-"&amp;D326&amp;"-"&amp;E326&amp;"-Pos2",'Shooter-Squad Assignment'!$V:$V,0)),""),IF(E326="Sporting Clays",IFERROR(INDEX('Shooter-Squad Assignment'!$A:$A,MATCH(C326&amp;"-"&amp;D326&amp;"-"&amp;E326&amp;"-Pos2",'Shooter-Squad Assignment'!$Y:$Y,0)),""),"")))</f>
        <v/>
      </c>
      <c r="I326" s="77" t="str">
        <f>IF(ISBLANK(H326),"",IFERROR(INDEX('Tournament List'!$D:$D,MATCH(H326,'Tournament List'!$A:$A,0)),""))</f>
        <v/>
      </c>
      <c r="J326" s="97" t="str">
        <f>IF(E326="Skeet",IFERROR(INDEX('Shooter-Squad Assignment'!$A:$A,MATCH(C326&amp;"-"&amp;D326&amp;"-"&amp;E326&amp;"-Pos3",'Shooter-Squad Assignment'!#REF!,0)),""),IF(E326="Trap",IFERROR(INDEX('Shooter-Squad Assignment'!$A:$A,MATCH(C326&amp;"-"&amp;D326&amp;"-"&amp;E326&amp;"-Pos3",'Shooter-Squad Assignment'!$V:$V,0)),""),IF(E326="Sporting Clays",IFERROR(INDEX('Shooter-Squad Assignment'!$A:$A,MATCH(C326&amp;"-"&amp;D326&amp;"-"&amp;E326&amp;"-Pos3",'Shooter-Squad Assignment'!$Y:$Y,0)),""),"")))</f>
        <v/>
      </c>
      <c r="K326" s="77" t="str">
        <f>IF(ISBLANK(J326),"",IFERROR(INDEX('Tournament List'!$D:$D,MATCH(J326,'Tournament List'!$A:$A,0)),""))</f>
        <v/>
      </c>
      <c r="L326" s="97" t="str">
        <f>IF(E326="Skeet",IFERROR(INDEX('Shooter-Squad Assignment'!$A:$A,MATCH(C326&amp;"-"&amp;D326&amp;"-"&amp;E326&amp;"-Pos4",'Shooter-Squad Assignment'!#REF!,0)),""),IF(E326="Trap",IFERROR(INDEX('Shooter-Squad Assignment'!$A:$A,MATCH(C326&amp;"-"&amp;D326&amp;"-"&amp;E326&amp;"-Pos4",'Shooter-Squad Assignment'!$V:$V,0)),""),IF(E326="Sporting Clays",IFERROR(INDEX('Shooter-Squad Assignment'!$A:$A,MATCH(C326&amp;"-"&amp;D326&amp;"-"&amp;E326&amp;"-Pos4",'Shooter-Squad Assignment'!$Y:$Y,0)),""),"")))</f>
        <v/>
      </c>
      <c r="M326" s="77" t="str">
        <f>IF(ISBLANK(L326),"",IFERROR(INDEX('Tournament List'!$D:$D,MATCH(L326,'Tournament List'!$A:$A,0)),""))</f>
        <v/>
      </c>
      <c r="N326" s="97" t="str">
        <f>IF(E326="Skeet",IFERROR(INDEX('Shooter-Squad Assignment'!$A:$A,MATCH(C326&amp;"-"&amp;D326&amp;"-"&amp;E326&amp;"-Pos5",'Shooter-Squad Assignment'!#REF!,0)),""),IF(E326="Trap",IFERROR(INDEX('Shooter-Squad Assignment'!$A:$A,MATCH(C326&amp;"-"&amp;D326&amp;"-"&amp;E326&amp;"-Pos5",'Shooter-Squad Assignment'!$V:$V,0)),""),IF(E326="Sporting Clays",IFERROR(INDEX('Shooter-Squad Assignment'!$A:$A,MATCH(C326&amp;"-"&amp;D326&amp;"-"&amp;E326&amp;"-Pos5",'Shooter-Squad Assignment'!$Y:$Y,0)),""),"")))</f>
        <v/>
      </c>
      <c r="O326" s="78" t="str">
        <f>IF(ISBLANK(N326),"",IFERROR(INDEX('Tournament List'!$D:$D,MATCH(N326,'Tournament List'!$A:$A,0)),""))</f>
        <v/>
      </c>
    </row>
    <row r="327" spans="1:15" x14ac:dyDescent="0.3">
      <c r="A327" s="79">
        <v>335</v>
      </c>
      <c r="B327" s="73" t="str">
        <f t="shared" si="5"/>
        <v>-Collegiate 2-Skeet</v>
      </c>
      <c r="C327" s="73"/>
      <c r="D327" s="73" t="s">
        <v>350</v>
      </c>
      <c r="E327" s="73" t="s">
        <v>143</v>
      </c>
      <c r="F327" s="98" t="str">
        <f>IF(E327="Skeet",IFERROR(INDEX('Shooter-Squad Assignment'!$A:$A,MATCH(C327&amp;"-"&amp;D327&amp;"-"&amp;E327&amp;"-Pos1",'Shooter-Squad Assignment'!#REF!,0)),""),IF(E327="Trap",IFERROR(INDEX('Shooter-Squad Assignment'!$A:$A,MATCH(C327&amp;"-"&amp;D327&amp;"-"&amp;E327&amp;"-Pos1",'Shooter-Squad Assignment'!$V:$V,0)),""),IF(E327="Sporting Clays",IFERROR(INDEX('Shooter-Squad Assignment'!$A:$A,MATCH(C327&amp;"-"&amp;D327&amp;"-"&amp;E327&amp;"-Pos1",'Shooter-Squad Assignment'!$Y:$Y,0)),""),"")))</f>
        <v/>
      </c>
      <c r="G327" s="73" t="str">
        <f>IF(ISBLANK(F327),"",IFERROR(INDEX('Tournament List'!$D:$D,MATCH(F327,'Tournament List'!$A:$A,0)),""))</f>
        <v/>
      </c>
      <c r="H327" s="98" t="str">
        <f>IF(E327="Skeet",IFERROR(INDEX('Shooter-Squad Assignment'!$A:$A,MATCH(C327&amp;"-"&amp;D327&amp;"-"&amp;E327&amp;"-Pos2",'Shooter-Squad Assignment'!#REF!,0)),""),IF(E327="Trap",IFERROR(INDEX('Shooter-Squad Assignment'!$A:$A,MATCH(C327&amp;"-"&amp;D327&amp;"-"&amp;E327&amp;"-Pos2",'Shooter-Squad Assignment'!$V:$V,0)),""),IF(E327="Sporting Clays",IFERROR(INDEX('Shooter-Squad Assignment'!$A:$A,MATCH(C327&amp;"-"&amp;D327&amp;"-"&amp;E327&amp;"-Pos2",'Shooter-Squad Assignment'!$Y:$Y,0)),""),"")))</f>
        <v/>
      </c>
      <c r="I327" s="73" t="str">
        <f>IF(ISBLANK(H327),"",IFERROR(INDEX('Tournament List'!$D:$D,MATCH(H327,'Tournament List'!$A:$A,0)),""))</f>
        <v/>
      </c>
      <c r="J327" s="98" t="str">
        <f>IF(E327="Skeet",IFERROR(INDEX('Shooter-Squad Assignment'!$A:$A,MATCH(C327&amp;"-"&amp;D327&amp;"-"&amp;E327&amp;"-Pos3",'Shooter-Squad Assignment'!#REF!,0)),""),IF(E327="Trap",IFERROR(INDEX('Shooter-Squad Assignment'!$A:$A,MATCH(C327&amp;"-"&amp;D327&amp;"-"&amp;E327&amp;"-Pos3",'Shooter-Squad Assignment'!$V:$V,0)),""),IF(E327="Sporting Clays",IFERROR(INDEX('Shooter-Squad Assignment'!$A:$A,MATCH(C327&amp;"-"&amp;D327&amp;"-"&amp;E327&amp;"-Pos3",'Shooter-Squad Assignment'!$Y:$Y,0)),""),"")))</f>
        <v/>
      </c>
      <c r="K327" s="73" t="str">
        <f>IF(ISBLANK(J327),"",IFERROR(INDEX('Tournament List'!$D:$D,MATCH(J327,'Tournament List'!$A:$A,0)),""))</f>
        <v/>
      </c>
      <c r="L327" s="98" t="str">
        <f>IF(E327="Skeet",IFERROR(INDEX('Shooter-Squad Assignment'!$A:$A,MATCH(C327&amp;"-"&amp;D327&amp;"-"&amp;E327&amp;"-Pos4",'Shooter-Squad Assignment'!#REF!,0)),""),IF(E327="Trap",IFERROR(INDEX('Shooter-Squad Assignment'!$A:$A,MATCH(C327&amp;"-"&amp;D327&amp;"-"&amp;E327&amp;"-Pos4",'Shooter-Squad Assignment'!$V:$V,0)),""),IF(E327="Sporting Clays",IFERROR(INDEX('Shooter-Squad Assignment'!$A:$A,MATCH(C327&amp;"-"&amp;D327&amp;"-"&amp;E327&amp;"-Pos4",'Shooter-Squad Assignment'!$Y:$Y,0)),""),"")))</f>
        <v/>
      </c>
      <c r="M327" s="73" t="str">
        <f>IF(ISBLANK(L327),"",IFERROR(INDEX('Tournament List'!$D:$D,MATCH(L327,'Tournament List'!$A:$A,0)),""))</f>
        <v/>
      </c>
      <c r="N327" s="98" t="str">
        <f>IF(E327="Skeet",IFERROR(INDEX('Shooter-Squad Assignment'!$A:$A,MATCH(C327&amp;"-"&amp;D327&amp;"-"&amp;E327&amp;"-Pos5",'Shooter-Squad Assignment'!#REF!,0)),""),IF(E327="Trap",IFERROR(INDEX('Shooter-Squad Assignment'!$A:$A,MATCH(C327&amp;"-"&amp;D327&amp;"-"&amp;E327&amp;"-Pos5",'Shooter-Squad Assignment'!$V:$V,0)),""),IF(E327="Sporting Clays",IFERROR(INDEX('Shooter-Squad Assignment'!$A:$A,MATCH(C327&amp;"-"&amp;D327&amp;"-"&amp;E327&amp;"-Pos5",'Shooter-Squad Assignment'!$Y:$Y,0)),""),"")))</f>
        <v/>
      </c>
      <c r="O327" s="80" t="str">
        <f>IF(ISBLANK(N327),"",IFERROR(INDEX('Tournament List'!$D:$D,MATCH(N327,'Tournament List'!$A:$A,0)),""))</f>
        <v/>
      </c>
    </row>
    <row r="328" spans="1:15" x14ac:dyDescent="0.3">
      <c r="A328" s="79">
        <v>336</v>
      </c>
      <c r="B328" s="73" t="str">
        <f t="shared" si="5"/>
        <v>-Collegiate 3-Skeet</v>
      </c>
      <c r="C328" s="73"/>
      <c r="D328" s="73" t="s">
        <v>356</v>
      </c>
      <c r="E328" s="73" t="s">
        <v>143</v>
      </c>
      <c r="F328" s="98" t="str">
        <f>IF(E328="Skeet",IFERROR(INDEX('Shooter-Squad Assignment'!$A:$A,MATCH(C328&amp;"-"&amp;D328&amp;"-"&amp;E328&amp;"-Pos1",'Shooter-Squad Assignment'!#REF!,0)),""),IF(E328="Trap",IFERROR(INDEX('Shooter-Squad Assignment'!$A:$A,MATCH(C328&amp;"-"&amp;D328&amp;"-"&amp;E328&amp;"-Pos1",'Shooter-Squad Assignment'!$V:$V,0)),""),IF(E328="Sporting Clays",IFERROR(INDEX('Shooter-Squad Assignment'!$A:$A,MATCH(C328&amp;"-"&amp;D328&amp;"-"&amp;E328&amp;"-Pos1",'Shooter-Squad Assignment'!$Y:$Y,0)),""),"")))</f>
        <v/>
      </c>
      <c r="G328" s="73" t="str">
        <f>IF(ISBLANK(F328),"",IFERROR(INDEX('Tournament List'!$D:$D,MATCH(F328,'Tournament List'!$A:$A,0)),""))</f>
        <v/>
      </c>
      <c r="H328" s="98" t="str">
        <f>IF(E328="Skeet",IFERROR(INDEX('Shooter-Squad Assignment'!$A:$A,MATCH(C328&amp;"-"&amp;D328&amp;"-"&amp;E328&amp;"-Pos2",'Shooter-Squad Assignment'!#REF!,0)),""),IF(E328="Trap",IFERROR(INDEX('Shooter-Squad Assignment'!$A:$A,MATCH(C328&amp;"-"&amp;D328&amp;"-"&amp;E328&amp;"-Pos2",'Shooter-Squad Assignment'!$V:$V,0)),""),IF(E328="Sporting Clays",IFERROR(INDEX('Shooter-Squad Assignment'!$A:$A,MATCH(C328&amp;"-"&amp;D328&amp;"-"&amp;E328&amp;"-Pos2",'Shooter-Squad Assignment'!$Y:$Y,0)),""),"")))</f>
        <v/>
      </c>
      <c r="I328" s="73" t="str">
        <f>IF(ISBLANK(H328),"",IFERROR(INDEX('Tournament List'!$D:$D,MATCH(H328,'Tournament List'!$A:$A,0)),""))</f>
        <v/>
      </c>
      <c r="J328" s="98" t="str">
        <f>IF(E328="Skeet",IFERROR(INDEX('Shooter-Squad Assignment'!$A:$A,MATCH(C328&amp;"-"&amp;D328&amp;"-"&amp;E328&amp;"-Pos3",'Shooter-Squad Assignment'!#REF!,0)),""),IF(E328="Trap",IFERROR(INDEX('Shooter-Squad Assignment'!$A:$A,MATCH(C328&amp;"-"&amp;D328&amp;"-"&amp;E328&amp;"-Pos3",'Shooter-Squad Assignment'!$V:$V,0)),""),IF(E328="Sporting Clays",IFERROR(INDEX('Shooter-Squad Assignment'!$A:$A,MATCH(C328&amp;"-"&amp;D328&amp;"-"&amp;E328&amp;"-Pos3",'Shooter-Squad Assignment'!$Y:$Y,0)),""),"")))</f>
        <v/>
      </c>
      <c r="K328" s="73" t="str">
        <f>IF(ISBLANK(J328),"",IFERROR(INDEX('Tournament List'!$D:$D,MATCH(J328,'Tournament List'!$A:$A,0)),""))</f>
        <v/>
      </c>
      <c r="L328" s="98" t="str">
        <f>IF(E328="Skeet",IFERROR(INDEX('Shooter-Squad Assignment'!$A:$A,MATCH(C328&amp;"-"&amp;D328&amp;"-"&amp;E328&amp;"-Pos4",'Shooter-Squad Assignment'!#REF!,0)),""),IF(E328="Trap",IFERROR(INDEX('Shooter-Squad Assignment'!$A:$A,MATCH(C328&amp;"-"&amp;D328&amp;"-"&amp;E328&amp;"-Pos4",'Shooter-Squad Assignment'!$V:$V,0)),""),IF(E328="Sporting Clays",IFERROR(INDEX('Shooter-Squad Assignment'!$A:$A,MATCH(C328&amp;"-"&amp;D328&amp;"-"&amp;E328&amp;"-Pos4",'Shooter-Squad Assignment'!$Y:$Y,0)),""),"")))</f>
        <v/>
      </c>
      <c r="M328" s="73" t="str">
        <f>IF(ISBLANK(L328),"",IFERROR(INDEX('Tournament List'!$D:$D,MATCH(L328,'Tournament List'!$A:$A,0)),""))</f>
        <v/>
      </c>
      <c r="N328" s="98" t="str">
        <f>IF(E328="Skeet",IFERROR(INDEX('Shooter-Squad Assignment'!$A:$A,MATCH(C328&amp;"-"&amp;D328&amp;"-"&amp;E328&amp;"-Pos5",'Shooter-Squad Assignment'!#REF!,0)),""),IF(E328="Trap",IFERROR(INDEX('Shooter-Squad Assignment'!$A:$A,MATCH(C328&amp;"-"&amp;D328&amp;"-"&amp;E328&amp;"-Pos5",'Shooter-Squad Assignment'!$V:$V,0)),""),IF(E328="Sporting Clays",IFERROR(INDEX('Shooter-Squad Assignment'!$A:$A,MATCH(C328&amp;"-"&amp;D328&amp;"-"&amp;E328&amp;"-Pos5",'Shooter-Squad Assignment'!$Y:$Y,0)),""),"")))</f>
        <v/>
      </c>
      <c r="O328" s="80" t="str">
        <f>IF(ISBLANK(N328),"",IFERROR(INDEX('Tournament List'!$D:$D,MATCH(N328,'Tournament List'!$A:$A,0)),""))</f>
        <v/>
      </c>
    </row>
    <row r="329" spans="1:15" x14ac:dyDescent="0.3">
      <c r="A329" s="79">
        <v>337</v>
      </c>
      <c r="B329" s="73" t="str">
        <f t="shared" si="5"/>
        <v>-Intermediate 1-Skeet</v>
      </c>
      <c r="C329" s="73"/>
      <c r="D329" s="73" t="s">
        <v>340</v>
      </c>
      <c r="E329" s="73" t="s">
        <v>143</v>
      </c>
      <c r="F329" s="98" t="str">
        <f>IF(E329="Skeet",IFERROR(INDEX('Shooter-Squad Assignment'!$A:$A,MATCH(C329&amp;"-"&amp;D329&amp;"-"&amp;E329&amp;"-Pos1",'Shooter-Squad Assignment'!#REF!,0)),""),IF(E329="Trap",IFERROR(INDEX('Shooter-Squad Assignment'!$A:$A,MATCH(C329&amp;"-"&amp;D329&amp;"-"&amp;E329&amp;"-Pos1",'Shooter-Squad Assignment'!$V:$V,0)),""),IF(E329="Sporting Clays",IFERROR(INDEX('Shooter-Squad Assignment'!$A:$A,MATCH(C329&amp;"-"&amp;D329&amp;"-"&amp;E329&amp;"-Pos1",'Shooter-Squad Assignment'!$Y:$Y,0)),""),"")))</f>
        <v/>
      </c>
      <c r="G329" s="73" t="str">
        <f>IF(ISBLANK(F329),"",IFERROR(INDEX('Tournament List'!$D:$D,MATCH(F329,'Tournament List'!$A:$A,0)),""))</f>
        <v/>
      </c>
      <c r="H329" s="98" t="str">
        <f>IF(E329="Skeet",IFERROR(INDEX('Shooter-Squad Assignment'!$A:$A,MATCH(C329&amp;"-"&amp;D329&amp;"-"&amp;E329&amp;"-Pos2",'Shooter-Squad Assignment'!#REF!,0)),""),IF(E329="Trap",IFERROR(INDEX('Shooter-Squad Assignment'!$A:$A,MATCH(C329&amp;"-"&amp;D329&amp;"-"&amp;E329&amp;"-Pos2",'Shooter-Squad Assignment'!$V:$V,0)),""),IF(E329="Sporting Clays",IFERROR(INDEX('Shooter-Squad Assignment'!$A:$A,MATCH(C329&amp;"-"&amp;D329&amp;"-"&amp;E329&amp;"-Pos2",'Shooter-Squad Assignment'!$Y:$Y,0)),""),"")))</f>
        <v/>
      </c>
      <c r="I329" s="73" t="str">
        <f>IF(ISBLANK(H329),"",IFERROR(INDEX('Tournament List'!$D:$D,MATCH(H329,'Tournament List'!$A:$A,0)),""))</f>
        <v/>
      </c>
      <c r="J329" s="98" t="str">
        <f>IF(E329="Skeet",IFERROR(INDEX('Shooter-Squad Assignment'!$A:$A,MATCH(C329&amp;"-"&amp;D329&amp;"-"&amp;E329&amp;"-Pos3",'Shooter-Squad Assignment'!#REF!,0)),""),IF(E329="Trap",IFERROR(INDEX('Shooter-Squad Assignment'!$A:$A,MATCH(C329&amp;"-"&amp;D329&amp;"-"&amp;E329&amp;"-Pos3",'Shooter-Squad Assignment'!$V:$V,0)),""),IF(E329="Sporting Clays",IFERROR(INDEX('Shooter-Squad Assignment'!$A:$A,MATCH(C329&amp;"-"&amp;D329&amp;"-"&amp;E329&amp;"-Pos3",'Shooter-Squad Assignment'!$Y:$Y,0)),""),"")))</f>
        <v/>
      </c>
      <c r="K329" s="73" t="str">
        <f>IF(ISBLANK(J329),"",IFERROR(INDEX('Tournament List'!$D:$D,MATCH(J329,'Tournament List'!$A:$A,0)),""))</f>
        <v/>
      </c>
      <c r="L329" s="98" t="str">
        <f>IF(E329="Skeet",IFERROR(INDEX('Shooter-Squad Assignment'!$A:$A,MATCH(C329&amp;"-"&amp;D329&amp;"-"&amp;E329&amp;"-Pos4",'Shooter-Squad Assignment'!#REF!,0)),""),IF(E329="Trap",IFERROR(INDEX('Shooter-Squad Assignment'!$A:$A,MATCH(C329&amp;"-"&amp;D329&amp;"-"&amp;E329&amp;"-Pos4",'Shooter-Squad Assignment'!$V:$V,0)),""),IF(E329="Sporting Clays",IFERROR(INDEX('Shooter-Squad Assignment'!$A:$A,MATCH(C329&amp;"-"&amp;D329&amp;"-"&amp;E329&amp;"-Pos4",'Shooter-Squad Assignment'!$Y:$Y,0)),""),"")))</f>
        <v/>
      </c>
      <c r="M329" s="73" t="str">
        <f>IF(ISBLANK(L329),"",IFERROR(INDEX('Tournament List'!$D:$D,MATCH(L329,'Tournament List'!$A:$A,0)),""))</f>
        <v/>
      </c>
      <c r="N329" s="98" t="str">
        <f>IF(E329="Skeet",IFERROR(INDEX('Shooter-Squad Assignment'!$A:$A,MATCH(C329&amp;"-"&amp;D329&amp;"-"&amp;E329&amp;"-Pos5",'Shooter-Squad Assignment'!#REF!,0)),""),IF(E329="Trap",IFERROR(INDEX('Shooter-Squad Assignment'!$A:$A,MATCH(C329&amp;"-"&amp;D329&amp;"-"&amp;E329&amp;"-Pos5",'Shooter-Squad Assignment'!$V:$V,0)),""),IF(E329="Sporting Clays",IFERROR(INDEX('Shooter-Squad Assignment'!$A:$A,MATCH(C329&amp;"-"&amp;D329&amp;"-"&amp;E329&amp;"-Pos5",'Shooter-Squad Assignment'!$Y:$Y,0)),""),"")))</f>
        <v/>
      </c>
      <c r="O329" s="80" t="str">
        <f>IF(ISBLANK(N329),"",IFERROR(INDEX('Tournament List'!$D:$D,MATCH(N329,'Tournament List'!$A:$A,0)),""))</f>
        <v/>
      </c>
    </row>
    <row r="330" spans="1:15" x14ac:dyDescent="0.3">
      <c r="A330" s="79">
        <v>338</v>
      </c>
      <c r="B330" s="73" t="str">
        <f t="shared" si="5"/>
        <v>-Intermediate 2-Skeet</v>
      </c>
      <c r="C330" s="73"/>
      <c r="D330" s="73" t="s">
        <v>346</v>
      </c>
      <c r="E330" s="73" t="s">
        <v>143</v>
      </c>
      <c r="F330" s="98" t="str">
        <f>IF(E330="Skeet",IFERROR(INDEX('Shooter-Squad Assignment'!$A:$A,MATCH(C330&amp;"-"&amp;D330&amp;"-"&amp;E330&amp;"-Pos1",'Shooter-Squad Assignment'!#REF!,0)),""),IF(E330="Trap",IFERROR(INDEX('Shooter-Squad Assignment'!$A:$A,MATCH(C330&amp;"-"&amp;D330&amp;"-"&amp;E330&amp;"-Pos1",'Shooter-Squad Assignment'!$V:$V,0)),""),IF(E330="Sporting Clays",IFERROR(INDEX('Shooter-Squad Assignment'!$A:$A,MATCH(C330&amp;"-"&amp;D330&amp;"-"&amp;E330&amp;"-Pos1",'Shooter-Squad Assignment'!$Y:$Y,0)),""),"")))</f>
        <v/>
      </c>
      <c r="G330" s="73" t="str">
        <f>IF(ISBLANK(F330),"",IFERROR(INDEX('Tournament List'!$D:$D,MATCH(F330,'Tournament List'!$A:$A,0)),""))</f>
        <v/>
      </c>
      <c r="H330" s="98" t="str">
        <f>IF(E330="Skeet",IFERROR(INDEX('Shooter-Squad Assignment'!$A:$A,MATCH(C330&amp;"-"&amp;D330&amp;"-"&amp;E330&amp;"-Pos2",'Shooter-Squad Assignment'!#REF!,0)),""),IF(E330="Trap",IFERROR(INDEX('Shooter-Squad Assignment'!$A:$A,MATCH(C330&amp;"-"&amp;D330&amp;"-"&amp;E330&amp;"-Pos2",'Shooter-Squad Assignment'!$V:$V,0)),""),IF(E330="Sporting Clays",IFERROR(INDEX('Shooter-Squad Assignment'!$A:$A,MATCH(C330&amp;"-"&amp;D330&amp;"-"&amp;E330&amp;"-Pos2",'Shooter-Squad Assignment'!$Y:$Y,0)),""),"")))</f>
        <v/>
      </c>
      <c r="I330" s="73" t="str">
        <f>IF(ISBLANK(H330),"",IFERROR(INDEX('Tournament List'!$D:$D,MATCH(H330,'Tournament List'!$A:$A,0)),""))</f>
        <v/>
      </c>
      <c r="J330" s="98" t="str">
        <f>IF(E330="Skeet",IFERROR(INDEX('Shooter-Squad Assignment'!$A:$A,MATCH(C330&amp;"-"&amp;D330&amp;"-"&amp;E330&amp;"-Pos3",'Shooter-Squad Assignment'!#REF!,0)),""),IF(E330="Trap",IFERROR(INDEX('Shooter-Squad Assignment'!$A:$A,MATCH(C330&amp;"-"&amp;D330&amp;"-"&amp;E330&amp;"-Pos3",'Shooter-Squad Assignment'!$V:$V,0)),""),IF(E330="Sporting Clays",IFERROR(INDEX('Shooter-Squad Assignment'!$A:$A,MATCH(C330&amp;"-"&amp;D330&amp;"-"&amp;E330&amp;"-Pos3",'Shooter-Squad Assignment'!$Y:$Y,0)),""),"")))</f>
        <v/>
      </c>
      <c r="K330" s="73" t="str">
        <f>IF(ISBLANK(J330),"",IFERROR(INDEX('Tournament List'!$D:$D,MATCH(J330,'Tournament List'!$A:$A,0)),""))</f>
        <v/>
      </c>
      <c r="L330" s="98" t="str">
        <f>IF(E330="Skeet",IFERROR(INDEX('Shooter-Squad Assignment'!$A:$A,MATCH(C330&amp;"-"&amp;D330&amp;"-"&amp;E330&amp;"-Pos4",'Shooter-Squad Assignment'!#REF!,0)),""),IF(E330="Trap",IFERROR(INDEX('Shooter-Squad Assignment'!$A:$A,MATCH(C330&amp;"-"&amp;D330&amp;"-"&amp;E330&amp;"-Pos4",'Shooter-Squad Assignment'!$V:$V,0)),""),IF(E330="Sporting Clays",IFERROR(INDEX('Shooter-Squad Assignment'!$A:$A,MATCH(C330&amp;"-"&amp;D330&amp;"-"&amp;E330&amp;"-Pos4",'Shooter-Squad Assignment'!$Y:$Y,0)),""),"")))</f>
        <v/>
      </c>
      <c r="M330" s="73" t="str">
        <f>IF(ISBLANK(L330),"",IFERROR(INDEX('Tournament List'!$D:$D,MATCH(L330,'Tournament List'!$A:$A,0)),""))</f>
        <v/>
      </c>
      <c r="N330" s="98" t="str">
        <f>IF(E330="Skeet",IFERROR(INDEX('Shooter-Squad Assignment'!$A:$A,MATCH(C330&amp;"-"&amp;D330&amp;"-"&amp;E330&amp;"-Pos5",'Shooter-Squad Assignment'!#REF!,0)),""),IF(E330="Trap",IFERROR(INDEX('Shooter-Squad Assignment'!$A:$A,MATCH(C330&amp;"-"&amp;D330&amp;"-"&amp;E330&amp;"-Pos5",'Shooter-Squad Assignment'!$V:$V,0)),""),IF(E330="Sporting Clays",IFERROR(INDEX('Shooter-Squad Assignment'!$A:$A,MATCH(C330&amp;"-"&amp;D330&amp;"-"&amp;E330&amp;"-Pos5",'Shooter-Squad Assignment'!$Y:$Y,0)),""),"")))</f>
        <v/>
      </c>
      <c r="O330" s="80" t="str">
        <f>IF(ISBLANK(N330),"",IFERROR(INDEX('Tournament List'!$D:$D,MATCH(N330,'Tournament List'!$A:$A,0)),""))</f>
        <v/>
      </c>
    </row>
    <row r="331" spans="1:15" x14ac:dyDescent="0.3">
      <c r="A331" s="79">
        <v>339</v>
      </c>
      <c r="B331" s="73" t="str">
        <f t="shared" si="5"/>
        <v>-Intermediate 3-Skeet</v>
      </c>
      <c r="C331" s="73"/>
      <c r="D331" s="73" t="s">
        <v>352</v>
      </c>
      <c r="E331" s="73" t="s">
        <v>143</v>
      </c>
      <c r="F331" s="98" t="str">
        <f>IF(E331="Skeet",IFERROR(INDEX('Shooter-Squad Assignment'!$A:$A,MATCH(C331&amp;"-"&amp;D331&amp;"-"&amp;E331&amp;"-Pos1",'Shooter-Squad Assignment'!#REF!,0)),""),IF(E331="Trap",IFERROR(INDEX('Shooter-Squad Assignment'!$A:$A,MATCH(C331&amp;"-"&amp;D331&amp;"-"&amp;E331&amp;"-Pos1",'Shooter-Squad Assignment'!$V:$V,0)),""),IF(E331="Sporting Clays",IFERROR(INDEX('Shooter-Squad Assignment'!$A:$A,MATCH(C331&amp;"-"&amp;D331&amp;"-"&amp;E331&amp;"-Pos1",'Shooter-Squad Assignment'!$Y:$Y,0)),""),"")))</f>
        <v/>
      </c>
      <c r="G331" s="73" t="str">
        <f>IF(ISBLANK(F331),"",IFERROR(INDEX('Tournament List'!$D:$D,MATCH(F331,'Tournament List'!$A:$A,0)),""))</f>
        <v/>
      </c>
      <c r="H331" s="98" t="str">
        <f>IF(E331="Skeet",IFERROR(INDEX('Shooter-Squad Assignment'!$A:$A,MATCH(C331&amp;"-"&amp;D331&amp;"-"&amp;E331&amp;"-Pos2",'Shooter-Squad Assignment'!#REF!,0)),""),IF(E331="Trap",IFERROR(INDEX('Shooter-Squad Assignment'!$A:$A,MATCH(C331&amp;"-"&amp;D331&amp;"-"&amp;E331&amp;"-Pos2",'Shooter-Squad Assignment'!$V:$V,0)),""),IF(E331="Sporting Clays",IFERROR(INDEX('Shooter-Squad Assignment'!$A:$A,MATCH(C331&amp;"-"&amp;D331&amp;"-"&amp;E331&amp;"-Pos2",'Shooter-Squad Assignment'!$Y:$Y,0)),""),"")))</f>
        <v/>
      </c>
      <c r="I331" s="73" t="str">
        <f>IF(ISBLANK(H331),"",IFERROR(INDEX('Tournament List'!$D:$D,MATCH(H331,'Tournament List'!$A:$A,0)),""))</f>
        <v/>
      </c>
      <c r="J331" s="98" t="str">
        <f>IF(E331="Skeet",IFERROR(INDEX('Shooter-Squad Assignment'!$A:$A,MATCH(C331&amp;"-"&amp;D331&amp;"-"&amp;E331&amp;"-Pos3",'Shooter-Squad Assignment'!#REF!,0)),""),IF(E331="Trap",IFERROR(INDEX('Shooter-Squad Assignment'!$A:$A,MATCH(C331&amp;"-"&amp;D331&amp;"-"&amp;E331&amp;"-Pos3",'Shooter-Squad Assignment'!$V:$V,0)),""),IF(E331="Sporting Clays",IFERROR(INDEX('Shooter-Squad Assignment'!$A:$A,MATCH(C331&amp;"-"&amp;D331&amp;"-"&amp;E331&amp;"-Pos3",'Shooter-Squad Assignment'!$Y:$Y,0)),""),"")))</f>
        <v/>
      </c>
      <c r="K331" s="73" t="str">
        <f>IF(ISBLANK(J331),"",IFERROR(INDEX('Tournament List'!$D:$D,MATCH(J331,'Tournament List'!$A:$A,0)),""))</f>
        <v/>
      </c>
      <c r="L331" s="98" t="str">
        <f>IF(E331="Skeet",IFERROR(INDEX('Shooter-Squad Assignment'!$A:$A,MATCH(C331&amp;"-"&amp;D331&amp;"-"&amp;E331&amp;"-Pos4",'Shooter-Squad Assignment'!#REF!,0)),""),IF(E331="Trap",IFERROR(INDEX('Shooter-Squad Assignment'!$A:$A,MATCH(C331&amp;"-"&amp;D331&amp;"-"&amp;E331&amp;"-Pos4",'Shooter-Squad Assignment'!$V:$V,0)),""),IF(E331="Sporting Clays",IFERROR(INDEX('Shooter-Squad Assignment'!$A:$A,MATCH(C331&amp;"-"&amp;D331&amp;"-"&amp;E331&amp;"-Pos4",'Shooter-Squad Assignment'!$Y:$Y,0)),""),"")))</f>
        <v/>
      </c>
      <c r="M331" s="73" t="str">
        <f>IF(ISBLANK(L331),"",IFERROR(INDEX('Tournament List'!$D:$D,MATCH(L331,'Tournament List'!$A:$A,0)),""))</f>
        <v/>
      </c>
      <c r="N331" s="98" t="str">
        <f>IF(E331="Skeet",IFERROR(INDEX('Shooter-Squad Assignment'!$A:$A,MATCH(C331&amp;"-"&amp;D331&amp;"-"&amp;E331&amp;"-Pos5",'Shooter-Squad Assignment'!#REF!,0)),""),IF(E331="Trap",IFERROR(INDEX('Shooter-Squad Assignment'!$A:$A,MATCH(C331&amp;"-"&amp;D331&amp;"-"&amp;E331&amp;"-Pos5",'Shooter-Squad Assignment'!$V:$V,0)),""),IF(E331="Sporting Clays",IFERROR(INDEX('Shooter-Squad Assignment'!$A:$A,MATCH(C331&amp;"-"&amp;D331&amp;"-"&amp;E331&amp;"-Pos5",'Shooter-Squad Assignment'!$Y:$Y,0)),""),"")))</f>
        <v/>
      </c>
      <c r="O331" s="80" t="str">
        <f>IF(ISBLANK(N331),"",IFERROR(INDEX('Tournament List'!$D:$D,MATCH(N331,'Tournament List'!$A:$A,0)),""))</f>
        <v/>
      </c>
    </row>
    <row r="332" spans="1:15" x14ac:dyDescent="0.3">
      <c r="A332" s="79">
        <v>340</v>
      </c>
      <c r="B332" s="73" t="str">
        <f t="shared" si="5"/>
        <v>-Junior Varsity 1-Skeet</v>
      </c>
      <c r="C332" s="73"/>
      <c r="D332" s="73" t="s">
        <v>341</v>
      </c>
      <c r="E332" s="73" t="s">
        <v>143</v>
      </c>
      <c r="F332" s="98" t="str">
        <f>IF(E332="Skeet",IFERROR(INDEX('Shooter-Squad Assignment'!$A:$A,MATCH(C332&amp;"-"&amp;D332&amp;"-"&amp;E332&amp;"-Pos1",'Shooter-Squad Assignment'!#REF!,0)),""),IF(E332="Trap",IFERROR(INDEX('Shooter-Squad Assignment'!$A:$A,MATCH(C332&amp;"-"&amp;D332&amp;"-"&amp;E332&amp;"-Pos1",'Shooter-Squad Assignment'!$V:$V,0)),""),IF(E332="Sporting Clays",IFERROR(INDEX('Shooter-Squad Assignment'!$A:$A,MATCH(C332&amp;"-"&amp;D332&amp;"-"&amp;E332&amp;"-Pos1",'Shooter-Squad Assignment'!$Y:$Y,0)),""),"")))</f>
        <v/>
      </c>
      <c r="G332" s="73" t="str">
        <f>IF(ISBLANK(F332),"",IFERROR(INDEX('Tournament List'!$D:$D,MATCH(F332,'Tournament List'!$A:$A,0)),""))</f>
        <v/>
      </c>
      <c r="H332" s="98" t="str">
        <f>IF(E332="Skeet",IFERROR(INDEX('Shooter-Squad Assignment'!$A:$A,MATCH(C332&amp;"-"&amp;D332&amp;"-"&amp;E332&amp;"-Pos2",'Shooter-Squad Assignment'!#REF!,0)),""),IF(E332="Trap",IFERROR(INDEX('Shooter-Squad Assignment'!$A:$A,MATCH(C332&amp;"-"&amp;D332&amp;"-"&amp;E332&amp;"-Pos2",'Shooter-Squad Assignment'!$V:$V,0)),""),IF(E332="Sporting Clays",IFERROR(INDEX('Shooter-Squad Assignment'!$A:$A,MATCH(C332&amp;"-"&amp;D332&amp;"-"&amp;E332&amp;"-Pos2",'Shooter-Squad Assignment'!$Y:$Y,0)),""),"")))</f>
        <v/>
      </c>
      <c r="I332" s="73" t="str">
        <f>IF(ISBLANK(H332),"",IFERROR(INDEX('Tournament List'!$D:$D,MATCH(H332,'Tournament List'!$A:$A,0)),""))</f>
        <v/>
      </c>
      <c r="J332" s="98" t="str">
        <f>IF(E332="Skeet",IFERROR(INDEX('Shooter-Squad Assignment'!$A:$A,MATCH(C332&amp;"-"&amp;D332&amp;"-"&amp;E332&amp;"-Pos3",'Shooter-Squad Assignment'!#REF!,0)),""),IF(E332="Trap",IFERROR(INDEX('Shooter-Squad Assignment'!$A:$A,MATCH(C332&amp;"-"&amp;D332&amp;"-"&amp;E332&amp;"-Pos3",'Shooter-Squad Assignment'!$V:$V,0)),""),IF(E332="Sporting Clays",IFERROR(INDEX('Shooter-Squad Assignment'!$A:$A,MATCH(C332&amp;"-"&amp;D332&amp;"-"&amp;E332&amp;"-Pos3",'Shooter-Squad Assignment'!$Y:$Y,0)),""),"")))</f>
        <v/>
      </c>
      <c r="K332" s="73" t="str">
        <f>IF(ISBLANK(J332),"",IFERROR(INDEX('Tournament List'!$D:$D,MATCH(J332,'Tournament List'!$A:$A,0)),""))</f>
        <v/>
      </c>
      <c r="L332" s="98" t="str">
        <f>IF(E332="Skeet",IFERROR(INDEX('Shooter-Squad Assignment'!$A:$A,MATCH(C332&amp;"-"&amp;D332&amp;"-"&amp;E332&amp;"-Pos4",'Shooter-Squad Assignment'!#REF!,0)),""),IF(E332="Trap",IFERROR(INDEX('Shooter-Squad Assignment'!$A:$A,MATCH(C332&amp;"-"&amp;D332&amp;"-"&amp;E332&amp;"-Pos4",'Shooter-Squad Assignment'!$V:$V,0)),""),IF(E332="Sporting Clays",IFERROR(INDEX('Shooter-Squad Assignment'!$A:$A,MATCH(C332&amp;"-"&amp;D332&amp;"-"&amp;E332&amp;"-Pos4",'Shooter-Squad Assignment'!$Y:$Y,0)),""),"")))</f>
        <v/>
      </c>
      <c r="M332" s="73" t="str">
        <f>IF(ISBLANK(L332),"",IFERROR(INDEX('Tournament List'!$D:$D,MATCH(L332,'Tournament List'!$A:$A,0)),""))</f>
        <v/>
      </c>
      <c r="N332" s="98" t="str">
        <f>IF(E332="Skeet",IFERROR(INDEX('Shooter-Squad Assignment'!$A:$A,MATCH(C332&amp;"-"&amp;D332&amp;"-"&amp;E332&amp;"-Pos5",'Shooter-Squad Assignment'!#REF!,0)),""),IF(E332="Trap",IFERROR(INDEX('Shooter-Squad Assignment'!$A:$A,MATCH(C332&amp;"-"&amp;D332&amp;"-"&amp;E332&amp;"-Pos5",'Shooter-Squad Assignment'!$V:$V,0)),""),IF(E332="Sporting Clays",IFERROR(INDEX('Shooter-Squad Assignment'!$A:$A,MATCH(C332&amp;"-"&amp;D332&amp;"-"&amp;E332&amp;"-Pos5",'Shooter-Squad Assignment'!$Y:$Y,0)),""),"")))</f>
        <v/>
      </c>
      <c r="O332" s="80" t="str">
        <f>IF(ISBLANK(N332),"",IFERROR(INDEX('Tournament List'!$D:$D,MATCH(N332,'Tournament List'!$A:$A,0)),""))</f>
        <v/>
      </c>
    </row>
    <row r="333" spans="1:15" x14ac:dyDescent="0.3">
      <c r="A333" s="79">
        <v>341</v>
      </c>
      <c r="B333" s="73" t="str">
        <f t="shared" si="5"/>
        <v>-Junior Varsity 2-Skeet</v>
      </c>
      <c r="C333" s="73"/>
      <c r="D333" s="73" t="s">
        <v>347</v>
      </c>
      <c r="E333" s="73" t="s">
        <v>143</v>
      </c>
      <c r="F333" s="98" t="str">
        <f>IF(E333="Skeet",IFERROR(INDEX('Shooter-Squad Assignment'!$A:$A,MATCH(C333&amp;"-"&amp;D333&amp;"-"&amp;E333&amp;"-Pos1",'Shooter-Squad Assignment'!#REF!,0)),""),IF(E333="Trap",IFERROR(INDEX('Shooter-Squad Assignment'!$A:$A,MATCH(C333&amp;"-"&amp;D333&amp;"-"&amp;E333&amp;"-Pos1",'Shooter-Squad Assignment'!$V:$V,0)),""),IF(E333="Sporting Clays",IFERROR(INDEX('Shooter-Squad Assignment'!$A:$A,MATCH(C333&amp;"-"&amp;D333&amp;"-"&amp;E333&amp;"-Pos1",'Shooter-Squad Assignment'!$Y:$Y,0)),""),"")))</f>
        <v/>
      </c>
      <c r="G333" s="73" t="str">
        <f>IF(ISBLANK(F333),"",IFERROR(INDEX('Tournament List'!$D:$D,MATCH(F333,'Tournament List'!$A:$A,0)),""))</f>
        <v/>
      </c>
      <c r="H333" s="98" t="str">
        <f>IF(E333="Skeet",IFERROR(INDEX('Shooter-Squad Assignment'!$A:$A,MATCH(C333&amp;"-"&amp;D333&amp;"-"&amp;E333&amp;"-Pos2",'Shooter-Squad Assignment'!#REF!,0)),""),IF(E333="Trap",IFERROR(INDEX('Shooter-Squad Assignment'!$A:$A,MATCH(C333&amp;"-"&amp;D333&amp;"-"&amp;E333&amp;"-Pos2",'Shooter-Squad Assignment'!$V:$V,0)),""),IF(E333="Sporting Clays",IFERROR(INDEX('Shooter-Squad Assignment'!$A:$A,MATCH(C333&amp;"-"&amp;D333&amp;"-"&amp;E333&amp;"-Pos2",'Shooter-Squad Assignment'!$Y:$Y,0)),""),"")))</f>
        <v/>
      </c>
      <c r="I333" s="73" t="str">
        <f>IF(ISBLANK(H333),"",IFERROR(INDEX('Tournament List'!$D:$D,MATCH(H333,'Tournament List'!$A:$A,0)),""))</f>
        <v/>
      </c>
      <c r="J333" s="98" t="str">
        <f>IF(E333="Skeet",IFERROR(INDEX('Shooter-Squad Assignment'!$A:$A,MATCH(C333&amp;"-"&amp;D333&amp;"-"&amp;E333&amp;"-Pos3",'Shooter-Squad Assignment'!#REF!,0)),""),IF(E333="Trap",IFERROR(INDEX('Shooter-Squad Assignment'!$A:$A,MATCH(C333&amp;"-"&amp;D333&amp;"-"&amp;E333&amp;"-Pos3",'Shooter-Squad Assignment'!$V:$V,0)),""),IF(E333="Sporting Clays",IFERROR(INDEX('Shooter-Squad Assignment'!$A:$A,MATCH(C333&amp;"-"&amp;D333&amp;"-"&amp;E333&amp;"-Pos3",'Shooter-Squad Assignment'!$Y:$Y,0)),""),"")))</f>
        <v/>
      </c>
      <c r="K333" s="73" t="str">
        <f>IF(ISBLANK(J333),"",IFERROR(INDEX('Tournament List'!$D:$D,MATCH(J333,'Tournament List'!$A:$A,0)),""))</f>
        <v/>
      </c>
      <c r="L333" s="98" t="str">
        <f>IF(E333="Skeet",IFERROR(INDEX('Shooter-Squad Assignment'!$A:$A,MATCH(C333&amp;"-"&amp;D333&amp;"-"&amp;E333&amp;"-Pos4",'Shooter-Squad Assignment'!#REF!,0)),""),IF(E333="Trap",IFERROR(INDEX('Shooter-Squad Assignment'!$A:$A,MATCH(C333&amp;"-"&amp;D333&amp;"-"&amp;E333&amp;"-Pos4",'Shooter-Squad Assignment'!$V:$V,0)),""),IF(E333="Sporting Clays",IFERROR(INDEX('Shooter-Squad Assignment'!$A:$A,MATCH(C333&amp;"-"&amp;D333&amp;"-"&amp;E333&amp;"-Pos4",'Shooter-Squad Assignment'!$Y:$Y,0)),""),"")))</f>
        <v/>
      </c>
      <c r="M333" s="73" t="str">
        <f>IF(ISBLANK(L333),"",IFERROR(INDEX('Tournament List'!$D:$D,MATCH(L333,'Tournament List'!$A:$A,0)),""))</f>
        <v/>
      </c>
      <c r="N333" s="98" t="str">
        <f>IF(E333="Skeet",IFERROR(INDEX('Shooter-Squad Assignment'!$A:$A,MATCH(C333&amp;"-"&amp;D333&amp;"-"&amp;E333&amp;"-Pos5",'Shooter-Squad Assignment'!#REF!,0)),""),IF(E333="Trap",IFERROR(INDEX('Shooter-Squad Assignment'!$A:$A,MATCH(C333&amp;"-"&amp;D333&amp;"-"&amp;E333&amp;"-Pos5",'Shooter-Squad Assignment'!$V:$V,0)),""),IF(E333="Sporting Clays",IFERROR(INDEX('Shooter-Squad Assignment'!$A:$A,MATCH(C333&amp;"-"&amp;D333&amp;"-"&amp;E333&amp;"-Pos5",'Shooter-Squad Assignment'!$Y:$Y,0)),""),"")))</f>
        <v/>
      </c>
      <c r="O333" s="80" t="str">
        <f>IF(ISBLANK(N333),"",IFERROR(INDEX('Tournament List'!$D:$D,MATCH(N333,'Tournament List'!$A:$A,0)),""))</f>
        <v/>
      </c>
    </row>
    <row r="334" spans="1:15" x14ac:dyDescent="0.3">
      <c r="A334" s="79">
        <v>342</v>
      </c>
      <c r="B334" s="73" t="str">
        <f t="shared" si="5"/>
        <v>-Junior Varsity 3-Skeet</v>
      </c>
      <c r="C334" s="73"/>
      <c r="D334" s="73" t="s">
        <v>353</v>
      </c>
      <c r="E334" s="73" t="s">
        <v>143</v>
      </c>
      <c r="F334" s="98" t="str">
        <f>IF(E334="Skeet",IFERROR(INDEX('Shooter-Squad Assignment'!$A:$A,MATCH(C334&amp;"-"&amp;D334&amp;"-"&amp;E334&amp;"-Pos1",'Shooter-Squad Assignment'!#REF!,0)),""),IF(E334="Trap",IFERROR(INDEX('Shooter-Squad Assignment'!$A:$A,MATCH(C334&amp;"-"&amp;D334&amp;"-"&amp;E334&amp;"-Pos1",'Shooter-Squad Assignment'!$V:$V,0)),""),IF(E334="Sporting Clays",IFERROR(INDEX('Shooter-Squad Assignment'!$A:$A,MATCH(C334&amp;"-"&amp;D334&amp;"-"&amp;E334&amp;"-Pos1",'Shooter-Squad Assignment'!$Y:$Y,0)),""),"")))</f>
        <v/>
      </c>
      <c r="G334" s="73" t="str">
        <f>IF(ISBLANK(F334),"",IFERROR(INDEX('Tournament List'!$D:$D,MATCH(F334,'Tournament List'!$A:$A,0)),""))</f>
        <v/>
      </c>
      <c r="H334" s="98" t="str">
        <f>IF(E334="Skeet",IFERROR(INDEX('Shooter-Squad Assignment'!$A:$A,MATCH(C334&amp;"-"&amp;D334&amp;"-"&amp;E334&amp;"-Pos2",'Shooter-Squad Assignment'!#REF!,0)),""),IF(E334="Trap",IFERROR(INDEX('Shooter-Squad Assignment'!$A:$A,MATCH(C334&amp;"-"&amp;D334&amp;"-"&amp;E334&amp;"-Pos2",'Shooter-Squad Assignment'!$V:$V,0)),""),IF(E334="Sporting Clays",IFERROR(INDEX('Shooter-Squad Assignment'!$A:$A,MATCH(C334&amp;"-"&amp;D334&amp;"-"&amp;E334&amp;"-Pos2",'Shooter-Squad Assignment'!$Y:$Y,0)),""),"")))</f>
        <v/>
      </c>
      <c r="I334" s="73" t="str">
        <f>IF(ISBLANK(H334),"",IFERROR(INDEX('Tournament List'!$D:$D,MATCH(H334,'Tournament List'!$A:$A,0)),""))</f>
        <v/>
      </c>
      <c r="J334" s="98" t="str">
        <f>IF(E334="Skeet",IFERROR(INDEX('Shooter-Squad Assignment'!$A:$A,MATCH(C334&amp;"-"&amp;D334&amp;"-"&amp;E334&amp;"-Pos3",'Shooter-Squad Assignment'!#REF!,0)),""),IF(E334="Trap",IFERROR(INDEX('Shooter-Squad Assignment'!$A:$A,MATCH(C334&amp;"-"&amp;D334&amp;"-"&amp;E334&amp;"-Pos3",'Shooter-Squad Assignment'!$V:$V,0)),""),IF(E334="Sporting Clays",IFERROR(INDEX('Shooter-Squad Assignment'!$A:$A,MATCH(C334&amp;"-"&amp;D334&amp;"-"&amp;E334&amp;"-Pos3",'Shooter-Squad Assignment'!$Y:$Y,0)),""),"")))</f>
        <v/>
      </c>
      <c r="K334" s="73" t="str">
        <f>IF(ISBLANK(J334),"",IFERROR(INDEX('Tournament List'!$D:$D,MATCH(J334,'Tournament List'!$A:$A,0)),""))</f>
        <v/>
      </c>
      <c r="L334" s="98" t="str">
        <f>IF(E334="Skeet",IFERROR(INDEX('Shooter-Squad Assignment'!$A:$A,MATCH(C334&amp;"-"&amp;D334&amp;"-"&amp;E334&amp;"-Pos4",'Shooter-Squad Assignment'!#REF!,0)),""),IF(E334="Trap",IFERROR(INDEX('Shooter-Squad Assignment'!$A:$A,MATCH(C334&amp;"-"&amp;D334&amp;"-"&amp;E334&amp;"-Pos4",'Shooter-Squad Assignment'!$V:$V,0)),""),IF(E334="Sporting Clays",IFERROR(INDEX('Shooter-Squad Assignment'!$A:$A,MATCH(C334&amp;"-"&amp;D334&amp;"-"&amp;E334&amp;"-Pos4",'Shooter-Squad Assignment'!$Y:$Y,0)),""),"")))</f>
        <v/>
      </c>
      <c r="M334" s="73" t="str">
        <f>IF(ISBLANK(L334),"",IFERROR(INDEX('Tournament List'!$D:$D,MATCH(L334,'Tournament List'!$A:$A,0)),""))</f>
        <v/>
      </c>
      <c r="N334" s="98" t="str">
        <f>IF(E334="Skeet",IFERROR(INDEX('Shooter-Squad Assignment'!$A:$A,MATCH(C334&amp;"-"&amp;D334&amp;"-"&amp;E334&amp;"-Pos5",'Shooter-Squad Assignment'!#REF!,0)),""),IF(E334="Trap",IFERROR(INDEX('Shooter-Squad Assignment'!$A:$A,MATCH(C334&amp;"-"&amp;D334&amp;"-"&amp;E334&amp;"-Pos5",'Shooter-Squad Assignment'!$V:$V,0)),""),IF(E334="Sporting Clays",IFERROR(INDEX('Shooter-Squad Assignment'!$A:$A,MATCH(C334&amp;"-"&amp;D334&amp;"-"&amp;E334&amp;"-Pos5",'Shooter-Squad Assignment'!$Y:$Y,0)),""),"")))</f>
        <v/>
      </c>
      <c r="O334" s="80" t="str">
        <f>IF(ISBLANK(N334),"",IFERROR(INDEX('Tournament List'!$D:$D,MATCH(N334,'Tournament List'!$A:$A,0)),""))</f>
        <v/>
      </c>
    </row>
    <row r="335" spans="1:15" x14ac:dyDescent="0.3">
      <c r="A335" s="79">
        <v>343</v>
      </c>
      <c r="B335" s="73" t="str">
        <f t="shared" si="5"/>
        <v>-Novice 1-Skeet</v>
      </c>
      <c r="C335" s="73"/>
      <c r="D335" s="73" t="s">
        <v>339</v>
      </c>
      <c r="E335" s="73" t="s">
        <v>143</v>
      </c>
      <c r="F335" s="98" t="str">
        <f>IF(E335="Skeet",IFERROR(INDEX('Shooter-Squad Assignment'!$A:$A,MATCH(C335&amp;"-"&amp;D335&amp;"-"&amp;E335&amp;"-Pos1",'Shooter-Squad Assignment'!#REF!,0)),""),IF(E335="Trap",IFERROR(INDEX('Shooter-Squad Assignment'!$A:$A,MATCH(C335&amp;"-"&amp;D335&amp;"-"&amp;E335&amp;"-Pos1",'Shooter-Squad Assignment'!$V:$V,0)),""),IF(E335="Sporting Clays",IFERROR(INDEX('Shooter-Squad Assignment'!$A:$A,MATCH(C335&amp;"-"&amp;D335&amp;"-"&amp;E335&amp;"-Pos1",'Shooter-Squad Assignment'!$Y:$Y,0)),""),"")))</f>
        <v/>
      </c>
      <c r="G335" s="73" t="str">
        <f>IF(ISBLANK(F335),"",IFERROR(INDEX('Tournament List'!$D:$D,MATCH(F335,'Tournament List'!$A:$A,0)),""))</f>
        <v/>
      </c>
      <c r="H335" s="98" t="str">
        <f>IF(E335="Skeet",IFERROR(INDEX('Shooter-Squad Assignment'!$A:$A,MATCH(C335&amp;"-"&amp;D335&amp;"-"&amp;E335&amp;"-Pos2",'Shooter-Squad Assignment'!#REF!,0)),""),IF(E335="Trap",IFERROR(INDEX('Shooter-Squad Assignment'!$A:$A,MATCH(C335&amp;"-"&amp;D335&amp;"-"&amp;E335&amp;"-Pos2",'Shooter-Squad Assignment'!$V:$V,0)),""),IF(E335="Sporting Clays",IFERROR(INDEX('Shooter-Squad Assignment'!$A:$A,MATCH(C335&amp;"-"&amp;D335&amp;"-"&amp;E335&amp;"-Pos2",'Shooter-Squad Assignment'!$Y:$Y,0)),""),"")))</f>
        <v/>
      </c>
      <c r="I335" s="73" t="str">
        <f>IF(ISBLANK(H335),"",IFERROR(INDEX('Tournament List'!$D:$D,MATCH(H335,'Tournament List'!$A:$A,0)),""))</f>
        <v/>
      </c>
      <c r="J335" s="98" t="str">
        <f>IF(E335="Skeet",IFERROR(INDEX('Shooter-Squad Assignment'!$A:$A,MATCH(C335&amp;"-"&amp;D335&amp;"-"&amp;E335&amp;"-Pos3",'Shooter-Squad Assignment'!#REF!,0)),""),IF(E335="Trap",IFERROR(INDEX('Shooter-Squad Assignment'!$A:$A,MATCH(C335&amp;"-"&amp;D335&amp;"-"&amp;E335&amp;"-Pos3",'Shooter-Squad Assignment'!$V:$V,0)),""),IF(E335="Sporting Clays",IFERROR(INDEX('Shooter-Squad Assignment'!$A:$A,MATCH(C335&amp;"-"&amp;D335&amp;"-"&amp;E335&amp;"-Pos3",'Shooter-Squad Assignment'!$Y:$Y,0)),""),"")))</f>
        <v/>
      </c>
      <c r="K335" s="73" t="str">
        <f>IF(ISBLANK(J335),"",IFERROR(INDEX('Tournament List'!$D:$D,MATCH(J335,'Tournament List'!$A:$A,0)),""))</f>
        <v/>
      </c>
      <c r="L335" s="98" t="str">
        <f>IF(E335="Skeet",IFERROR(INDEX('Shooter-Squad Assignment'!$A:$A,MATCH(C335&amp;"-"&amp;D335&amp;"-"&amp;E335&amp;"-Pos4",'Shooter-Squad Assignment'!#REF!,0)),""),IF(E335="Trap",IFERROR(INDEX('Shooter-Squad Assignment'!$A:$A,MATCH(C335&amp;"-"&amp;D335&amp;"-"&amp;E335&amp;"-Pos4",'Shooter-Squad Assignment'!$V:$V,0)),""),IF(E335="Sporting Clays",IFERROR(INDEX('Shooter-Squad Assignment'!$A:$A,MATCH(C335&amp;"-"&amp;D335&amp;"-"&amp;E335&amp;"-Pos4",'Shooter-Squad Assignment'!$Y:$Y,0)),""),"")))</f>
        <v/>
      </c>
      <c r="M335" s="73" t="str">
        <f>IF(ISBLANK(L335),"",IFERROR(INDEX('Tournament List'!$D:$D,MATCH(L335,'Tournament List'!$A:$A,0)),""))</f>
        <v/>
      </c>
      <c r="N335" s="98" t="str">
        <f>IF(E335="Skeet",IFERROR(INDEX('Shooter-Squad Assignment'!$A:$A,MATCH(C335&amp;"-"&amp;D335&amp;"-"&amp;E335&amp;"-Pos5",'Shooter-Squad Assignment'!#REF!,0)),""),IF(E335="Trap",IFERROR(INDEX('Shooter-Squad Assignment'!$A:$A,MATCH(C335&amp;"-"&amp;D335&amp;"-"&amp;E335&amp;"-Pos5",'Shooter-Squad Assignment'!$V:$V,0)),""),IF(E335="Sporting Clays",IFERROR(INDEX('Shooter-Squad Assignment'!$A:$A,MATCH(C335&amp;"-"&amp;D335&amp;"-"&amp;E335&amp;"-Pos5",'Shooter-Squad Assignment'!$Y:$Y,0)),""),"")))</f>
        <v/>
      </c>
      <c r="O335" s="80" t="str">
        <f>IF(ISBLANK(N335),"",IFERROR(INDEX('Tournament List'!$D:$D,MATCH(N335,'Tournament List'!$A:$A,0)),""))</f>
        <v/>
      </c>
    </row>
    <row r="336" spans="1:15" x14ac:dyDescent="0.3">
      <c r="A336" s="79">
        <v>344</v>
      </c>
      <c r="B336" s="73" t="str">
        <f t="shared" si="5"/>
        <v>-Novice 2-Skeet</v>
      </c>
      <c r="C336" s="73"/>
      <c r="D336" s="73" t="s">
        <v>345</v>
      </c>
      <c r="E336" s="73" t="s">
        <v>143</v>
      </c>
      <c r="F336" s="98" t="str">
        <f>IF(E336="Skeet",IFERROR(INDEX('Shooter-Squad Assignment'!$A:$A,MATCH(C336&amp;"-"&amp;D336&amp;"-"&amp;E336&amp;"-Pos1",'Shooter-Squad Assignment'!#REF!,0)),""),IF(E336="Trap",IFERROR(INDEX('Shooter-Squad Assignment'!$A:$A,MATCH(C336&amp;"-"&amp;D336&amp;"-"&amp;E336&amp;"-Pos1",'Shooter-Squad Assignment'!$V:$V,0)),""),IF(E336="Sporting Clays",IFERROR(INDEX('Shooter-Squad Assignment'!$A:$A,MATCH(C336&amp;"-"&amp;D336&amp;"-"&amp;E336&amp;"-Pos1",'Shooter-Squad Assignment'!$Y:$Y,0)),""),"")))</f>
        <v/>
      </c>
      <c r="G336" s="73" t="str">
        <f>IF(ISBLANK(F336),"",IFERROR(INDEX('Tournament List'!$D:$D,MATCH(F336,'Tournament List'!$A:$A,0)),""))</f>
        <v/>
      </c>
      <c r="H336" s="98" t="str">
        <f>IF(E336="Skeet",IFERROR(INDEX('Shooter-Squad Assignment'!$A:$A,MATCH(C336&amp;"-"&amp;D336&amp;"-"&amp;E336&amp;"-Pos2",'Shooter-Squad Assignment'!#REF!,0)),""),IF(E336="Trap",IFERROR(INDEX('Shooter-Squad Assignment'!$A:$A,MATCH(C336&amp;"-"&amp;D336&amp;"-"&amp;E336&amp;"-Pos2",'Shooter-Squad Assignment'!$V:$V,0)),""),IF(E336="Sporting Clays",IFERROR(INDEX('Shooter-Squad Assignment'!$A:$A,MATCH(C336&amp;"-"&amp;D336&amp;"-"&amp;E336&amp;"-Pos2",'Shooter-Squad Assignment'!$Y:$Y,0)),""),"")))</f>
        <v/>
      </c>
      <c r="I336" s="73" t="str">
        <f>IF(ISBLANK(H336),"",IFERROR(INDEX('Tournament List'!$D:$D,MATCH(H336,'Tournament List'!$A:$A,0)),""))</f>
        <v/>
      </c>
      <c r="J336" s="98" t="str">
        <f>IF(E336="Skeet",IFERROR(INDEX('Shooter-Squad Assignment'!$A:$A,MATCH(C336&amp;"-"&amp;D336&amp;"-"&amp;E336&amp;"-Pos3",'Shooter-Squad Assignment'!#REF!,0)),""),IF(E336="Trap",IFERROR(INDEX('Shooter-Squad Assignment'!$A:$A,MATCH(C336&amp;"-"&amp;D336&amp;"-"&amp;E336&amp;"-Pos3",'Shooter-Squad Assignment'!$V:$V,0)),""),IF(E336="Sporting Clays",IFERROR(INDEX('Shooter-Squad Assignment'!$A:$A,MATCH(C336&amp;"-"&amp;D336&amp;"-"&amp;E336&amp;"-Pos3",'Shooter-Squad Assignment'!$Y:$Y,0)),""),"")))</f>
        <v/>
      </c>
      <c r="K336" s="73" t="str">
        <f>IF(ISBLANK(J336),"",IFERROR(INDEX('Tournament List'!$D:$D,MATCH(J336,'Tournament List'!$A:$A,0)),""))</f>
        <v/>
      </c>
      <c r="L336" s="98" t="str">
        <f>IF(E336="Skeet",IFERROR(INDEX('Shooter-Squad Assignment'!$A:$A,MATCH(C336&amp;"-"&amp;D336&amp;"-"&amp;E336&amp;"-Pos4",'Shooter-Squad Assignment'!#REF!,0)),""),IF(E336="Trap",IFERROR(INDEX('Shooter-Squad Assignment'!$A:$A,MATCH(C336&amp;"-"&amp;D336&amp;"-"&amp;E336&amp;"-Pos4",'Shooter-Squad Assignment'!$V:$V,0)),""),IF(E336="Sporting Clays",IFERROR(INDEX('Shooter-Squad Assignment'!$A:$A,MATCH(C336&amp;"-"&amp;D336&amp;"-"&amp;E336&amp;"-Pos4",'Shooter-Squad Assignment'!$Y:$Y,0)),""),"")))</f>
        <v/>
      </c>
      <c r="M336" s="73" t="str">
        <f>IF(ISBLANK(L336),"",IFERROR(INDEX('Tournament List'!$D:$D,MATCH(L336,'Tournament List'!$A:$A,0)),""))</f>
        <v/>
      </c>
      <c r="N336" s="98" t="str">
        <f>IF(E336="Skeet",IFERROR(INDEX('Shooter-Squad Assignment'!$A:$A,MATCH(C336&amp;"-"&amp;D336&amp;"-"&amp;E336&amp;"-Pos5",'Shooter-Squad Assignment'!#REF!,0)),""),IF(E336="Trap",IFERROR(INDEX('Shooter-Squad Assignment'!$A:$A,MATCH(C336&amp;"-"&amp;D336&amp;"-"&amp;E336&amp;"-Pos5",'Shooter-Squad Assignment'!$V:$V,0)),""),IF(E336="Sporting Clays",IFERROR(INDEX('Shooter-Squad Assignment'!$A:$A,MATCH(C336&amp;"-"&amp;D336&amp;"-"&amp;E336&amp;"-Pos5",'Shooter-Squad Assignment'!$Y:$Y,0)),""),"")))</f>
        <v/>
      </c>
      <c r="O336" s="80" t="str">
        <f>IF(ISBLANK(N336),"",IFERROR(INDEX('Tournament List'!$D:$D,MATCH(N336,'Tournament List'!$A:$A,0)),""))</f>
        <v/>
      </c>
    </row>
    <row r="337" spans="1:15" x14ac:dyDescent="0.3">
      <c r="A337" s="79">
        <v>345</v>
      </c>
      <c r="B337" s="73" t="str">
        <f t="shared" si="5"/>
        <v>-Novice 3-Skeet</v>
      </c>
      <c r="C337" s="73"/>
      <c r="D337" s="73" t="s">
        <v>351</v>
      </c>
      <c r="E337" s="73" t="s">
        <v>143</v>
      </c>
      <c r="F337" s="98" t="str">
        <f>IF(E337="Skeet",IFERROR(INDEX('Shooter-Squad Assignment'!$A:$A,MATCH(C337&amp;"-"&amp;D337&amp;"-"&amp;E337&amp;"-Pos1",'Shooter-Squad Assignment'!#REF!,0)),""),IF(E337="Trap",IFERROR(INDEX('Shooter-Squad Assignment'!$A:$A,MATCH(C337&amp;"-"&amp;D337&amp;"-"&amp;E337&amp;"-Pos1",'Shooter-Squad Assignment'!$V:$V,0)),""),IF(E337="Sporting Clays",IFERROR(INDEX('Shooter-Squad Assignment'!$A:$A,MATCH(C337&amp;"-"&amp;D337&amp;"-"&amp;E337&amp;"-Pos1",'Shooter-Squad Assignment'!$Y:$Y,0)),""),"")))</f>
        <v/>
      </c>
      <c r="G337" s="73" t="str">
        <f>IF(ISBLANK(F337),"",IFERROR(INDEX('Tournament List'!$D:$D,MATCH(F337,'Tournament List'!$A:$A,0)),""))</f>
        <v/>
      </c>
      <c r="H337" s="98" t="str">
        <f>IF(E337="Skeet",IFERROR(INDEX('Shooter-Squad Assignment'!$A:$A,MATCH(C337&amp;"-"&amp;D337&amp;"-"&amp;E337&amp;"-Pos2",'Shooter-Squad Assignment'!#REF!,0)),""),IF(E337="Trap",IFERROR(INDEX('Shooter-Squad Assignment'!$A:$A,MATCH(C337&amp;"-"&amp;D337&amp;"-"&amp;E337&amp;"-Pos2",'Shooter-Squad Assignment'!$V:$V,0)),""),IF(E337="Sporting Clays",IFERROR(INDEX('Shooter-Squad Assignment'!$A:$A,MATCH(C337&amp;"-"&amp;D337&amp;"-"&amp;E337&amp;"-Pos2",'Shooter-Squad Assignment'!$Y:$Y,0)),""),"")))</f>
        <v/>
      </c>
      <c r="I337" s="73" t="str">
        <f>IF(ISBLANK(H337),"",IFERROR(INDEX('Tournament List'!$D:$D,MATCH(H337,'Tournament List'!$A:$A,0)),""))</f>
        <v/>
      </c>
      <c r="J337" s="98" t="str">
        <f>IF(E337="Skeet",IFERROR(INDEX('Shooter-Squad Assignment'!$A:$A,MATCH(C337&amp;"-"&amp;D337&amp;"-"&amp;E337&amp;"-Pos3",'Shooter-Squad Assignment'!#REF!,0)),""),IF(E337="Trap",IFERROR(INDEX('Shooter-Squad Assignment'!$A:$A,MATCH(C337&amp;"-"&amp;D337&amp;"-"&amp;E337&amp;"-Pos3",'Shooter-Squad Assignment'!$V:$V,0)),""),IF(E337="Sporting Clays",IFERROR(INDEX('Shooter-Squad Assignment'!$A:$A,MATCH(C337&amp;"-"&amp;D337&amp;"-"&amp;E337&amp;"-Pos3",'Shooter-Squad Assignment'!$Y:$Y,0)),""),"")))</f>
        <v/>
      </c>
      <c r="K337" s="73" t="str">
        <f>IF(ISBLANK(J337),"",IFERROR(INDEX('Tournament List'!$D:$D,MATCH(J337,'Tournament List'!$A:$A,0)),""))</f>
        <v/>
      </c>
      <c r="L337" s="98" t="str">
        <f>IF(E337="Skeet",IFERROR(INDEX('Shooter-Squad Assignment'!$A:$A,MATCH(C337&amp;"-"&amp;D337&amp;"-"&amp;E337&amp;"-Pos4",'Shooter-Squad Assignment'!#REF!,0)),""),IF(E337="Trap",IFERROR(INDEX('Shooter-Squad Assignment'!$A:$A,MATCH(C337&amp;"-"&amp;D337&amp;"-"&amp;E337&amp;"-Pos4",'Shooter-Squad Assignment'!$V:$V,0)),""),IF(E337="Sporting Clays",IFERROR(INDEX('Shooter-Squad Assignment'!$A:$A,MATCH(C337&amp;"-"&amp;D337&amp;"-"&amp;E337&amp;"-Pos4",'Shooter-Squad Assignment'!$Y:$Y,0)),""),"")))</f>
        <v/>
      </c>
      <c r="M337" s="73" t="str">
        <f>IF(ISBLANK(L337),"",IFERROR(INDEX('Tournament List'!$D:$D,MATCH(L337,'Tournament List'!$A:$A,0)),""))</f>
        <v/>
      </c>
      <c r="N337" s="98" t="str">
        <f>IF(E337="Skeet",IFERROR(INDEX('Shooter-Squad Assignment'!$A:$A,MATCH(C337&amp;"-"&amp;D337&amp;"-"&amp;E337&amp;"-Pos5",'Shooter-Squad Assignment'!#REF!,0)),""),IF(E337="Trap",IFERROR(INDEX('Shooter-Squad Assignment'!$A:$A,MATCH(C337&amp;"-"&amp;D337&amp;"-"&amp;E337&amp;"-Pos5",'Shooter-Squad Assignment'!$V:$V,0)),""),IF(E337="Sporting Clays",IFERROR(INDEX('Shooter-Squad Assignment'!$A:$A,MATCH(C337&amp;"-"&amp;D337&amp;"-"&amp;E337&amp;"-Pos5",'Shooter-Squad Assignment'!$Y:$Y,0)),""),"")))</f>
        <v/>
      </c>
      <c r="O337" s="80" t="str">
        <f>IF(ISBLANK(N337),"",IFERROR(INDEX('Tournament List'!$D:$D,MATCH(N337,'Tournament List'!$A:$A,0)),""))</f>
        <v/>
      </c>
    </row>
    <row r="338" spans="1:15" x14ac:dyDescent="0.3">
      <c r="A338" s="79">
        <v>346</v>
      </c>
      <c r="B338" s="73" t="str">
        <f t="shared" si="5"/>
        <v>-Open 1-Skeet</v>
      </c>
      <c r="C338" s="73"/>
      <c r="D338" s="73" t="s">
        <v>343</v>
      </c>
      <c r="E338" s="73" t="s">
        <v>143</v>
      </c>
      <c r="F338" s="98" t="str">
        <f>IF(E338="Skeet",IFERROR(INDEX('Shooter-Squad Assignment'!$A:$A,MATCH(C338&amp;"-"&amp;D338&amp;"-"&amp;E338&amp;"-Pos1",'Shooter-Squad Assignment'!#REF!,0)),""),IF(E338="Trap",IFERROR(INDEX('Shooter-Squad Assignment'!$A:$A,MATCH(C338&amp;"-"&amp;D338&amp;"-"&amp;E338&amp;"-Pos1",'Shooter-Squad Assignment'!$V:$V,0)),""),IF(E338="Sporting Clays",IFERROR(INDEX('Shooter-Squad Assignment'!$A:$A,MATCH(C338&amp;"-"&amp;D338&amp;"-"&amp;E338&amp;"-Pos1",'Shooter-Squad Assignment'!$Y:$Y,0)),""),"")))</f>
        <v/>
      </c>
      <c r="G338" s="73" t="str">
        <f>IF(ISBLANK(F338),"",IFERROR(INDEX('Tournament List'!$D:$D,MATCH(F338,'Tournament List'!$A:$A,0)),""))</f>
        <v/>
      </c>
      <c r="H338" s="98" t="str">
        <f>IF(E338="Skeet",IFERROR(INDEX('Shooter-Squad Assignment'!$A:$A,MATCH(C338&amp;"-"&amp;D338&amp;"-"&amp;E338&amp;"-Pos2",'Shooter-Squad Assignment'!#REF!,0)),""),IF(E338="Trap",IFERROR(INDEX('Shooter-Squad Assignment'!$A:$A,MATCH(C338&amp;"-"&amp;D338&amp;"-"&amp;E338&amp;"-Pos2",'Shooter-Squad Assignment'!$V:$V,0)),""),IF(E338="Sporting Clays",IFERROR(INDEX('Shooter-Squad Assignment'!$A:$A,MATCH(C338&amp;"-"&amp;D338&amp;"-"&amp;E338&amp;"-Pos2",'Shooter-Squad Assignment'!$Y:$Y,0)),""),"")))</f>
        <v/>
      </c>
      <c r="I338" s="73" t="str">
        <f>IF(ISBLANK(H338),"",IFERROR(INDEX('Tournament List'!$D:$D,MATCH(H338,'Tournament List'!$A:$A,0)),""))</f>
        <v/>
      </c>
      <c r="J338" s="98" t="str">
        <f>IF(E338="Skeet",IFERROR(INDEX('Shooter-Squad Assignment'!$A:$A,MATCH(C338&amp;"-"&amp;D338&amp;"-"&amp;E338&amp;"-Pos3",'Shooter-Squad Assignment'!#REF!,0)),""),IF(E338="Trap",IFERROR(INDEX('Shooter-Squad Assignment'!$A:$A,MATCH(C338&amp;"-"&amp;D338&amp;"-"&amp;E338&amp;"-Pos3",'Shooter-Squad Assignment'!$V:$V,0)),""),IF(E338="Sporting Clays",IFERROR(INDEX('Shooter-Squad Assignment'!$A:$A,MATCH(C338&amp;"-"&amp;D338&amp;"-"&amp;E338&amp;"-Pos3",'Shooter-Squad Assignment'!$Y:$Y,0)),""),"")))</f>
        <v/>
      </c>
      <c r="K338" s="73" t="str">
        <f>IF(ISBLANK(J338),"",IFERROR(INDEX('Tournament List'!$D:$D,MATCH(J338,'Tournament List'!$A:$A,0)),""))</f>
        <v/>
      </c>
      <c r="L338" s="98" t="str">
        <f>IF(E338="Skeet",IFERROR(INDEX('Shooter-Squad Assignment'!$A:$A,MATCH(C338&amp;"-"&amp;D338&amp;"-"&amp;E338&amp;"-Pos4",'Shooter-Squad Assignment'!#REF!,0)),""),IF(E338="Trap",IFERROR(INDEX('Shooter-Squad Assignment'!$A:$A,MATCH(C338&amp;"-"&amp;D338&amp;"-"&amp;E338&amp;"-Pos4",'Shooter-Squad Assignment'!$V:$V,0)),""),IF(E338="Sporting Clays",IFERROR(INDEX('Shooter-Squad Assignment'!$A:$A,MATCH(C338&amp;"-"&amp;D338&amp;"-"&amp;E338&amp;"-Pos4",'Shooter-Squad Assignment'!$Y:$Y,0)),""),"")))</f>
        <v/>
      </c>
      <c r="M338" s="73" t="str">
        <f>IF(ISBLANK(L338),"",IFERROR(INDEX('Tournament List'!$D:$D,MATCH(L338,'Tournament List'!$A:$A,0)),""))</f>
        <v/>
      </c>
      <c r="N338" s="98" t="str">
        <f>IF(E338="Skeet",IFERROR(INDEX('Shooter-Squad Assignment'!$A:$A,MATCH(C338&amp;"-"&amp;D338&amp;"-"&amp;E338&amp;"-Pos5",'Shooter-Squad Assignment'!#REF!,0)),""),IF(E338="Trap",IFERROR(INDEX('Shooter-Squad Assignment'!$A:$A,MATCH(C338&amp;"-"&amp;D338&amp;"-"&amp;E338&amp;"-Pos5",'Shooter-Squad Assignment'!$V:$V,0)),""),IF(E338="Sporting Clays",IFERROR(INDEX('Shooter-Squad Assignment'!$A:$A,MATCH(C338&amp;"-"&amp;D338&amp;"-"&amp;E338&amp;"-Pos5",'Shooter-Squad Assignment'!$Y:$Y,0)),""),"")))</f>
        <v/>
      </c>
      <c r="O338" s="80" t="str">
        <f>IF(ISBLANK(N338),"",IFERROR(INDEX('Tournament List'!$D:$D,MATCH(N338,'Tournament List'!$A:$A,0)),""))</f>
        <v/>
      </c>
    </row>
    <row r="339" spans="1:15" x14ac:dyDescent="0.3">
      <c r="A339" s="79">
        <v>347</v>
      </c>
      <c r="B339" s="73" t="str">
        <f t="shared" si="5"/>
        <v>-Open 2-Skeet</v>
      </c>
      <c r="C339" s="73"/>
      <c r="D339" s="73" t="s">
        <v>349</v>
      </c>
      <c r="E339" s="73" t="s">
        <v>143</v>
      </c>
      <c r="F339" s="98" t="str">
        <f>IF(E339="Skeet",IFERROR(INDEX('Shooter-Squad Assignment'!$A:$A,MATCH(C339&amp;"-"&amp;D339&amp;"-"&amp;E339&amp;"-Pos1",'Shooter-Squad Assignment'!#REF!,0)),""),IF(E339="Trap",IFERROR(INDEX('Shooter-Squad Assignment'!$A:$A,MATCH(C339&amp;"-"&amp;D339&amp;"-"&amp;E339&amp;"-Pos1",'Shooter-Squad Assignment'!$V:$V,0)),""),IF(E339="Sporting Clays",IFERROR(INDEX('Shooter-Squad Assignment'!$A:$A,MATCH(C339&amp;"-"&amp;D339&amp;"-"&amp;E339&amp;"-Pos1",'Shooter-Squad Assignment'!$Y:$Y,0)),""),"")))</f>
        <v/>
      </c>
      <c r="G339" s="73" t="str">
        <f>IF(ISBLANK(F339),"",IFERROR(INDEX('Tournament List'!$D:$D,MATCH(F339,'Tournament List'!$A:$A,0)),""))</f>
        <v/>
      </c>
      <c r="H339" s="98" t="str">
        <f>IF(E339="Skeet",IFERROR(INDEX('Shooter-Squad Assignment'!$A:$A,MATCH(C339&amp;"-"&amp;D339&amp;"-"&amp;E339&amp;"-Pos2",'Shooter-Squad Assignment'!#REF!,0)),""),IF(E339="Trap",IFERROR(INDEX('Shooter-Squad Assignment'!$A:$A,MATCH(C339&amp;"-"&amp;D339&amp;"-"&amp;E339&amp;"-Pos2",'Shooter-Squad Assignment'!$V:$V,0)),""),IF(E339="Sporting Clays",IFERROR(INDEX('Shooter-Squad Assignment'!$A:$A,MATCH(C339&amp;"-"&amp;D339&amp;"-"&amp;E339&amp;"-Pos2",'Shooter-Squad Assignment'!$Y:$Y,0)),""),"")))</f>
        <v/>
      </c>
      <c r="I339" s="73" t="str">
        <f>IF(ISBLANK(H339),"",IFERROR(INDEX('Tournament List'!$D:$D,MATCH(H339,'Tournament List'!$A:$A,0)),""))</f>
        <v/>
      </c>
      <c r="J339" s="98" t="str">
        <f>IF(E339="Skeet",IFERROR(INDEX('Shooter-Squad Assignment'!$A:$A,MATCH(C339&amp;"-"&amp;D339&amp;"-"&amp;E339&amp;"-Pos3",'Shooter-Squad Assignment'!#REF!,0)),""),IF(E339="Trap",IFERROR(INDEX('Shooter-Squad Assignment'!$A:$A,MATCH(C339&amp;"-"&amp;D339&amp;"-"&amp;E339&amp;"-Pos3",'Shooter-Squad Assignment'!$V:$V,0)),""),IF(E339="Sporting Clays",IFERROR(INDEX('Shooter-Squad Assignment'!$A:$A,MATCH(C339&amp;"-"&amp;D339&amp;"-"&amp;E339&amp;"-Pos3",'Shooter-Squad Assignment'!$Y:$Y,0)),""),"")))</f>
        <v/>
      </c>
      <c r="K339" s="73" t="str">
        <f>IF(ISBLANK(J339),"",IFERROR(INDEX('Tournament List'!$D:$D,MATCH(J339,'Tournament List'!$A:$A,0)),""))</f>
        <v/>
      </c>
      <c r="L339" s="98" t="str">
        <f>IF(E339="Skeet",IFERROR(INDEX('Shooter-Squad Assignment'!$A:$A,MATCH(C339&amp;"-"&amp;D339&amp;"-"&amp;E339&amp;"-Pos4",'Shooter-Squad Assignment'!#REF!,0)),""),IF(E339="Trap",IFERROR(INDEX('Shooter-Squad Assignment'!$A:$A,MATCH(C339&amp;"-"&amp;D339&amp;"-"&amp;E339&amp;"-Pos4",'Shooter-Squad Assignment'!$V:$V,0)),""),IF(E339="Sporting Clays",IFERROR(INDEX('Shooter-Squad Assignment'!$A:$A,MATCH(C339&amp;"-"&amp;D339&amp;"-"&amp;E339&amp;"-Pos4",'Shooter-Squad Assignment'!$Y:$Y,0)),""),"")))</f>
        <v/>
      </c>
      <c r="M339" s="73" t="str">
        <f>IF(ISBLANK(L339),"",IFERROR(INDEX('Tournament List'!$D:$D,MATCH(L339,'Tournament List'!$A:$A,0)),""))</f>
        <v/>
      </c>
      <c r="N339" s="98" t="str">
        <f>IF(E339="Skeet",IFERROR(INDEX('Shooter-Squad Assignment'!$A:$A,MATCH(C339&amp;"-"&amp;D339&amp;"-"&amp;E339&amp;"-Pos5",'Shooter-Squad Assignment'!#REF!,0)),""),IF(E339="Trap",IFERROR(INDEX('Shooter-Squad Assignment'!$A:$A,MATCH(C339&amp;"-"&amp;D339&amp;"-"&amp;E339&amp;"-Pos5",'Shooter-Squad Assignment'!$V:$V,0)),""),IF(E339="Sporting Clays",IFERROR(INDEX('Shooter-Squad Assignment'!$A:$A,MATCH(C339&amp;"-"&amp;D339&amp;"-"&amp;E339&amp;"-Pos5",'Shooter-Squad Assignment'!$Y:$Y,0)),""),"")))</f>
        <v/>
      </c>
      <c r="O339" s="80" t="str">
        <f>IF(ISBLANK(N339),"",IFERROR(INDEX('Tournament List'!$D:$D,MATCH(N339,'Tournament List'!$A:$A,0)),""))</f>
        <v/>
      </c>
    </row>
    <row r="340" spans="1:15" x14ac:dyDescent="0.3">
      <c r="A340" s="79">
        <v>348</v>
      </c>
      <c r="B340" s="73" t="str">
        <f t="shared" si="5"/>
        <v>-Open 3-Skeet</v>
      </c>
      <c r="C340" s="73"/>
      <c r="D340" s="73" t="s">
        <v>355</v>
      </c>
      <c r="E340" s="73" t="s">
        <v>143</v>
      </c>
      <c r="F340" s="98" t="str">
        <f>IF(E340="Skeet",IFERROR(INDEX('Shooter-Squad Assignment'!$A:$A,MATCH(C340&amp;"-"&amp;D340&amp;"-"&amp;E340&amp;"-Pos1",'Shooter-Squad Assignment'!#REF!,0)),""),IF(E340="Trap",IFERROR(INDEX('Shooter-Squad Assignment'!$A:$A,MATCH(C340&amp;"-"&amp;D340&amp;"-"&amp;E340&amp;"-Pos1",'Shooter-Squad Assignment'!$V:$V,0)),""),IF(E340="Sporting Clays",IFERROR(INDEX('Shooter-Squad Assignment'!$A:$A,MATCH(C340&amp;"-"&amp;D340&amp;"-"&amp;E340&amp;"-Pos1",'Shooter-Squad Assignment'!$Y:$Y,0)),""),"")))</f>
        <v/>
      </c>
      <c r="G340" s="73" t="str">
        <f>IF(ISBLANK(F340),"",IFERROR(INDEX('Tournament List'!$D:$D,MATCH(F340,'Tournament List'!$A:$A,0)),""))</f>
        <v/>
      </c>
      <c r="H340" s="98" t="str">
        <f>IF(E340="Skeet",IFERROR(INDEX('Shooter-Squad Assignment'!$A:$A,MATCH(C340&amp;"-"&amp;D340&amp;"-"&amp;E340&amp;"-Pos2",'Shooter-Squad Assignment'!#REF!,0)),""),IF(E340="Trap",IFERROR(INDEX('Shooter-Squad Assignment'!$A:$A,MATCH(C340&amp;"-"&amp;D340&amp;"-"&amp;E340&amp;"-Pos2",'Shooter-Squad Assignment'!$V:$V,0)),""),IF(E340="Sporting Clays",IFERROR(INDEX('Shooter-Squad Assignment'!$A:$A,MATCH(C340&amp;"-"&amp;D340&amp;"-"&amp;E340&amp;"-Pos2",'Shooter-Squad Assignment'!$Y:$Y,0)),""),"")))</f>
        <v/>
      </c>
      <c r="I340" s="73" t="str">
        <f>IF(ISBLANK(H340),"",IFERROR(INDEX('Tournament List'!$D:$D,MATCH(H340,'Tournament List'!$A:$A,0)),""))</f>
        <v/>
      </c>
      <c r="J340" s="98" t="str">
        <f>IF(E340="Skeet",IFERROR(INDEX('Shooter-Squad Assignment'!$A:$A,MATCH(C340&amp;"-"&amp;D340&amp;"-"&amp;E340&amp;"-Pos3",'Shooter-Squad Assignment'!#REF!,0)),""),IF(E340="Trap",IFERROR(INDEX('Shooter-Squad Assignment'!$A:$A,MATCH(C340&amp;"-"&amp;D340&amp;"-"&amp;E340&amp;"-Pos3",'Shooter-Squad Assignment'!$V:$V,0)),""),IF(E340="Sporting Clays",IFERROR(INDEX('Shooter-Squad Assignment'!$A:$A,MATCH(C340&amp;"-"&amp;D340&amp;"-"&amp;E340&amp;"-Pos3",'Shooter-Squad Assignment'!$Y:$Y,0)),""),"")))</f>
        <v/>
      </c>
      <c r="K340" s="73" t="str">
        <f>IF(ISBLANK(J340),"",IFERROR(INDEX('Tournament List'!$D:$D,MATCH(J340,'Tournament List'!$A:$A,0)),""))</f>
        <v/>
      </c>
      <c r="L340" s="98" t="str">
        <f>IF(E340="Skeet",IFERROR(INDEX('Shooter-Squad Assignment'!$A:$A,MATCH(C340&amp;"-"&amp;D340&amp;"-"&amp;E340&amp;"-Pos4",'Shooter-Squad Assignment'!#REF!,0)),""),IF(E340="Trap",IFERROR(INDEX('Shooter-Squad Assignment'!$A:$A,MATCH(C340&amp;"-"&amp;D340&amp;"-"&amp;E340&amp;"-Pos4",'Shooter-Squad Assignment'!$V:$V,0)),""),IF(E340="Sporting Clays",IFERROR(INDEX('Shooter-Squad Assignment'!$A:$A,MATCH(C340&amp;"-"&amp;D340&amp;"-"&amp;E340&amp;"-Pos4",'Shooter-Squad Assignment'!$Y:$Y,0)),""),"")))</f>
        <v/>
      </c>
      <c r="M340" s="73" t="str">
        <f>IF(ISBLANK(L340),"",IFERROR(INDEX('Tournament List'!$D:$D,MATCH(L340,'Tournament List'!$A:$A,0)),""))</f>
        <v/>
      </c>
      <c r="N340" s="98" t="str">
        <f>IF(E340="Skeet",IFERROR(INDEX('Shooter-Squad Assignment'!$A:$A,MATCH(C340&amp;"-"&amp;D340&amp;"-"&amp;E340&amp;"-Pos5",'Shooter-Squad Assignment'!#REF!,0)),""),IF(E340="Trap",IFERROR(INDEX('Shooter-Squad Assignment'!$A:$A,MATCH(C340&amp;"-"&amp;D340&amp;"-"&amp;E340&amp;"-Pos5",'Shooter-Squad Assignment'!$V:$V,0)),""),IF(E340="Sporting Clays",IFERROR(INDEX('Shooter-Squad Assignment'!$A:$A,MATCH(C340&amp;"-"&amp;D340&amp;"-"&amp;E340&amp;"-Pos5",'Shooter-Squad Assignment'!$Y:$Y,0)),""),"")))</f>
        <v/>
      </c>
      <c r="O340" s="80" t="str">
        <f>IF(ISBLANK(N340),"",IFERROR(INDEX('Tournament List'!$D:$D,MATCH(N340,'Tournament List'!$A:$A,0)),""))</f>
        <v/>
      </c>
    </row>
    <row r="341" spans="1:15" x14ac:dyDescent="0.3">
      <c r="A341" s="79">
        <v>349</v>
      </c>
      <c r="B341" s="73" t="str">
        <f t="shared" si="5"/>
        <v>-Varsity 1-Skeet</v>
      </c>
      <c r="C341" s="73"/>
      <c r="D341" s="73" t="s">
        <v>342</v>
      </c>
      <c r="E341" s="73" t="s">
        <v>143</v>
      </c>
      <c r="F341" s="98" t="str">
        <f>IF(E341="Skeet",IFERROR(INDEX('Shooter-Squad Assignment'!$A:$A,MATCH(C341&amp;"-"&amp;D341&amp;"-"&amp;E341&amp;"-Pos1",'Shooter-Squad Assignment'!#REF!,0)),""),IF(E341="Trap",IFERROR(INDEX('Shooter-Squad Assignment'!$A:$A,MATCH(C341&amp;"-"&amp;D341&amp;"-"&amp;E341&amp;"-Pos1",'Shooter-Squad Assignment'!$V:$V,0)),""),IF(E341="Sporting Clays",IFERROR(INDEX('Shooter-Squad Assignment'!$A:$A,MATCH(C341&amp;"-"&amp;D341&amp;"-"&amp;E341&amp;"-Pos1",'Shooter-Squad Assignment'!$Y:$Y,0)),""),"")))</f>
        <v/>
      </c>
      <c r="G341" s="73" t="str">
        <f>IF(ISBLANK(F341),"",IFERROR(INDEX('Tournament List'!$D:$D,MATCH(F341,'Tournament List'!$A:$A,0)),""))</f>
        <v/>
      </c>
      <c r="H341" s="98" t="str">
        <f>IF(E341="Skeet",IFERROR(INDEX('Shooter-Squad Assignment'!$A:$A,MATCH(C341&amp;"-"&amp;D341&amp;"-"&amp;E341&amp;"-Pos2",'Shooter-Squad Assignment'!#REF!,0)),""),IF(E341="Trap",IFERROR(INDEX('Shooter-Squad Assignment'!$A:$A,MATCH(C341&amp;"-"&amp;D341&amp;"-"&amp;E341&amp;"-Pos2",'Shooter-Squad Assignment'!$V:$V,0)),""),IF(E341="Sporting Clays",IFERROR(INDEX('Shooter-Squad Assignment'!$A:$A,MATCH(C341&amp;"-"&amp;D341&amp;"-"&amp;E341&amp;"-Pos2",'Shooter-Squad Assignment'!$Y:$Y,0)),""),"")))</f>
        <v/>
      </c>
      <c r="I341" s="73" t="str">
        <f>IF(ISBLANK(H341),"",IFERROR(INDEX('Tournament List'!$D:$D,MATCH(H341,'Tournament List'!$A:$A,0)),""))</f>
        <v/>
      </c>
      <c r="J341" s="98" t="str">
        <f>IF(E341="Skeet",IFERROR(INDEX('Shooter-Squad Assignment'!$A:$A,MATCH(C341&amp;"-"&amp;D341&amp;"-"&amp;E341&amp;"-Pos3",'Shooter-Squad Assignment'!#REF!,0)),""),IF(E341="Trap",IFERROR(INDEX('Shooter-Squad Assignment'!$A:$A,MATCH(C341&amp;"-"&amp;D341&amp;"-"&amp;E341&amp;"-Pos3",'Shooter-Squad Assignment'!$V:$V,0)),""),IF(E341="Sporting Clays",IFERROR(INDEX('Shooter-Squad Assignment'!$A:$A,MATCH(C341&amp;"-"&amp;D341&amp;"-"&amp;E341&amp;"-Pos3",'Shooter-Squad Assignment'!$Y:$Y,0)),""),"")))</f>
        <v/>
      </c>
      <c r="K341" s="73" t="str">
        <f>IF(ISBLANK(J341),"",IFERROR(INDEX('Tournament List'!$D:$D,MATCH(J341,'Tournament List'!$A:$A,0)),""))</f>
        <v/>
      </c>
      <c r="L341" s="98" t="str">
        <f>IF(E341="Skeet",IFERROR(INDEX('Shooter-Squad Assignment'!$A:$A,MATCH(C341&amp;"-"&amp;D341&amp;"-"&amp;E341&amp;"-Pos4",'Shooter-Squad Assignment'!#REF!,0)),""),IF(E341="Trap",IFERROR(INDEX('Shooter-Squad Assignment'!$A:$A,MATCH(C341&amp;"-"&amp;D341&amp;"-"&amp;E341&amp;"-Pos4",'Shooter-Squad Assignment'!$V:$V,0)),""),IF(E341="Sporting Clays",IFERROR(INDEX('Shooter-Squad Assignment'!$A:$A,MATCH(C341&amp;"-"&amp;D341&amp;"-"&amp;E341&amp;"-Pos4",'Shooter-Squad Assignment'!$Y:$Y,0)),""),"")))</f>
        <v/>
      </c>
      <c r="M341" s="73" t="str">
        <f>IF(ISBLANK(L341),"",IFERROR(INDEX('Tournament List'!$D:$D,MATCH(L341,'Tournament List'!$A:$A,0)),""))</f>
        <v/>
      </c>
      <c r="N341" s="98" t="str">
        <f>IF(E341="Skeet",IFERROR(INDEX('Shooter-Squad Assignment'!$A:$A,MATCH(C341&amp;"-"&amp;D341&amp;"-"&amp;E341&amp;"-Pos5",'Shooter-Squad Assignment'!#REF!,0)),""),IF(E341="Trap",IFERROR(INDEX('Shooter-Squad Assignment'!$A:$A,MATCH(C341&amp;"-"&amp;D341&amp;"-"&amp;E341&amp;"-Pos5",'Shooter-Squad Assignment'!$V:$V,0)),""),IF(E341="Sporting Clays",IFERROR(INDEX('Shooter-Squad Assignment'!$A:$A,MATCH(C341&amp;"-"&amp;D341&amp;"-"&amp;E341&amp;"-Pos5",'Shooter-Squad Assignment'!$Y:$Y,0)),""),"")))</f>
        <v/>
      </c>
      <c r="O341" s="80" t="str">
        <f>IF(ISBLANK(N341),"",IFERROR(INDEX('Tournament List'!$D:$D,MATCH(N341,'Tournament List'!$A:$A,0)),""))</f>
        <v/>
      </c>
    </row>
    <row r="342" spans="1:15" x14ac:dyDescent="0.3">
      <c r="A342" s="79">
        <v>350</v>
      </c>
      <c r="B342" s="73" t="str">
        <f t="shared" si="5"/>
        <v>-Varsity 2-Skeet</v>
      </c>
      <c r="C342" s="73"/>
      <c r="D342" s="73" t="s">
        <v>348</v>
      </c>
      <c r="E342" s="73" t="s">
        <v>143</v>
      </c>
      <c r="F342" s="98" t="str">
        <f>IF(E342="Skeet",IFERROR(INDEX('Shooter-Squad Assignment'!$A:$A,MATCH(C342&amp;"-"&amp;D342&amp;"-"&amp;E342&amp;"-Pos1",'Shooter-Squad Assignment'!#REF!,0)),""),IF(E342="Trap",IFERROR(INDEX('Shooter-Squad Assignment'!$A:$A,MATCH(C342&amp;"-"&amp;D342&amp;"-"&amp;E342&amp;"-Pos1",'Shooter-Squad Assignment'!$V:$V,0)),""),IF(E342="Sporting Clays",IFERROR(INDEX('Shooter-Squad Assignment'!$A:$A,MATCH(C342&amp;"-"&amp;D342&amp;"-"&amp;E342&amp;"-Pos1",'Shooter-Squad Assignment'!$Y:$Y,0)),""),"")))</f>
        <v/>
      </c>
      <c r="G342" s="73" t="str">
        <f>IF(ISBLANK(F342),"",IFERROR(INDEX('Tournament List'!$D:$D,MATCH(F342,'Tournament List'!$A:$A,0)),""))</f>
        <v/>
      </c>
      <c r="H342" s="98" t="str">
        <f>IF(E342="Skeet",IFERROR(INDEX('Shooter-Squad Assignment'!$A:$A,MATCH(C342&amp;"-"&amp;D342&amp;"-"&amp;E342&amp;"-Pos2",'Shooter-Squad Assignment'!#REF!,0)),""),IF(E342="Trap",IFERROR(INDEX('Shooter-Squad Assignment'!$A:$A,MATCH(C342&amp;"-"&amp;D342&amp;"-"&amp;E342&amp;"-Pos2",'Shooter-Squad Assignment'!$V:$V,0)),""),IF(E342="Sporting Clays",IFERROR(INDEX('Shooter-Squad Assignment'!$A:$A,MATCH(C342&amp;"-"&amp;D342&amp;"-"&amp;E342&amp;"-Pos2",'Shooter-Squad Assignment'!$Y:$Y,0)),""),"")))</f>
        <v/>
      </c>
      <c r="I342" s="73" t="str">
        <f>IF(ISBLANK(H342),"",IFERROR(INDEX('Tournament List'!$D:$D,MATCH(H342,'Tournament List'!$A:$A,0)),""))</f>
        <v/>
      </c>
      <c r="J342" s="98" t="str">
        <f>IF(E342="Skeet",IFERROR(INDEX('Shooter-Squad Assignment'!$A:$A,MATCH(C342&amp;"-"&amp;D342&amp;"-"&amp;E342&amp;"-Pos3",'Shooter-Squad Assignment'!#REF!,0)),""),IF(E342="Trap",IFERROR(INDEX('Shooter-Squad Assignment'!$A:$A,MATCH(C342&amp;"-"&amp;D342&amp;"-"&amp;E342&amp;"-Pos3",'Shooter-Squad Assignment'!$V:$V,0)),""),IF(E342="Sporting Clays",IFERROR(INDEX('Shooter-Squad Assignment'!$A:$A,MATCH(C342&amp;"-"&amp;D342&amp;"-"&amp;E342&amp;"-Pos3",'Shooter-Squad Assignment'!$Y:$Y,0)),""),"")))</f>
        <v/>
      </c>
      <c r="K342" s="73" t="str">
        <f>IF(ISBLANK(J342),"",IFERROR(INDEX('Tournament List'!$D:$D,MATCH(J342,'Tournament List'!$A:$A,0)),""))</f>
        <v/>
      </c>
      <c r="L342" s="98" t="str">
        <f>IF(E342="Skeet",IFERROR(INDEX('Shooter-Squad Assignment'!$A:$A,MATCH(C342&amp;"-"&amp;D342&amp;"-"&amp;E342&amp;"-Pos4",'Shooter-Squad Assignment'!#REF!,0)),""),IF(E342="Trap",IFERROR(INDEX('Shooter-Squad Assignment'!$A:$A,MATCH(C342&amp;"-"&amp;D342&amp;"-"&amp;E342&amp;"-Pos4",'Shooter-Squad Assignment'!$V:$V,0)),""),IF(E342="Sporting Clays",IFERROR(INDEX('Shooter-Squad Assignment'!$A:$A,MATCH(C342&amp;"-"&amp;D342&amp;"-"&amp;E342&amp;"-Pos4",'Shooter-Squad Assignment'!$Y:$Y,0)),""),"")))</f>
        <v/>
      </c>
      <c r="M342" s="73" t="str">
        <f>IF(ISBLANK(L342),"",IFERROR(INDEX('Tournament List'!$D:$D,MATCH(L342,'Tournament List'!$A:$A,0)),""))</f>
        <v/>
      </c>
      <c r="N342" s="98" t="str">
        <f>IF(E342="Skeet",IFERROR(INDEX('Shooter-Squad Assignment'!$A:$A,MATCH(C342&amp;"-"&amp;D342&amp;"-"&amp;E342&amp;"-Pos5",'Shooter-Squad Assignment'!#REF!,0)),""),IF(E342="Trap",IFERROR(INDEX('Shooter-Squad Assignment'!$A:$A,MATCH(C342&amp;"-"&amp;D342&amp;"-"&amp;E342&amp;"-Pos5",'Shooter-Squad Assignment'!$V:$V,0)),""),IF(E342="Sporting Clays",IFERROR(INDEX('Shooter-Squad Assignment'!$A:$A,MATCH(C342&amp;"-"&amp;D342&amp;"-"&amp;E342&amp;"-Pos5",'Shooter-Squad Assignment'!$Y:$Y,0)),""),"")))</f>
        <v/>
      </c>
      <c r="O342" s="80" t="str">
        <f>IF(ISBLANK(N342),"",IFERROR(INDEX('Tournament List'!$D:$D,MATCH(N342,'Tournament List'!$A:$A,0)),""))</f>
        <v/>
      </c>
    </row>
    <row r="343" spans="1:15" x14ac:dyDescent="0.3">
      <c r="A343" s="79">
        <v>351</v>
      </c>
      <c r="B343" s="73" t="str">
        <f t="shared" si="5"/>
        <v>-Varsity 3-Skeet</v>
      </c>
      <c r="C343" s="73"/>
      <c r="D343" s="73" t="s">
        <v>354</v>
      </c>
      <c r="E343" s="73" t="s">
        <v>143</v>
      </c>
      <c r="F343" s="98" t="str">
        <f>IF(E343="Skeet",IFERROR(INDEX('Shooter-Squad Assignment'!$A:$A,MATCH(C343&amp;"-"&amp;D343&amp;"-"&amp;E343&amp;"-Pos1",'Shooter-Squad Assignment'!#REF!,0)),""),IF(E343="Trap",IFERROR(INDEX('Shooter-Squad Assignment'!$A:$A,MATCH(C343&amp;"-"&amp;D343&amp;"-"&amp;E343&amp;"-Pos1",'Shooter-Squad Assignment'!$V:$V,0)),""),IF(E343="Sporting Clays",IFERROR(INDEX('Shooter-Squad Assignment'!$A:$A,MATCH(C343&amp;"-"&amp;D343&amp;"-"&amp;E343&amp;"-Pos1",'Shooter-Squad Assignment'!$Y:$Y,0)),""),"")))</f>
        <v/>
      </c>
      <c r="G343" s="73" t="str">
        <f>IF(ISBLANK(F343),"",IFERROR(INDEX('Tournament List'!$D:$D,MATCH(F343,'Tournament List'!$A:$A,0)),""))</f>
        <v/>
      </c>
      <c r="H343" s="98" t="str">
        <f>IF(E343="Skeet",IFERROR(INDEX('Shooter-Squad Assignment'!$A:$A,MATCH(C343&amp;"-"&amp;D343&amp;"-"&amp;E343&amp;"-Pos2",'Shooter-Squad Assignment'!#REF!,0)),""),IF(E343="Trap",IFERROR(INDEX('Shooter-Squad Assignment'!$A:$A,MATCH(C343&amp;"-"&amp;D343&amp;"-"&amp;E343&amp;"-Pos2",'Shooter-Squad Assignment'!$V:$V,0)),""),IF(E343="Sporting Clays",IFERROR(INDEX('Shooter-Squad Assignment'!$A:$A,MATCH(C343&amp;"-"&amp;D343&amp;"-"&amp;E343&amp;"-Pos2",'Shooter-Squad Assignment'!$Y:$Y,0)),""),"")))</f>
        <v/>
      </c>
      <c r="I343" s="73" t="str">
        <f>IF(ISBLANK(H343),"",IFERROR(INDEX('Tournament List'!$D:$D,MATCH(H343,'Tournament List'!$A:$A,0)),""))</f>
        <v/>
      </c>
      <c r="J343" s="98" t="str">
        <f>IF(E343="Skeet",IFERROR(INDEX('Shooter-Squad Assignment'!$A:$A,MATCH(C343&amp;"-"&amp;D343&amp;"-"&amp;E343&amp;"-Pos3",'Shooter-Squad Assignment'!#REF!,0)),""),IF(E343="Trap",IFERROR(INDEX('Shooter-Squad Assignment'!$A:$A,MATCH(C343&amp;"-"&amp;D343&amp;"-"&amp;E343&amp;"-Pos3",'Shooter-Squad Assignment'!$V:$V,0)),""),IF(E343="Sporting Clays",IFERROR(INDEX('Shooter-Squad Assignment'!$A:$A,MATCH(C343&amp;"-"&amp;D343&amp;"-"&amp;E343&amp;"-Pos3",'Shooter-Squad Assignment'!$Y:$Y,0)),""),"")))</f>
        <v/>
      </c>
      <c r="K343" s="73" t="str">
        <f>IF(ISBLANK(J343),"",IFERROR(INDEX('Tournament List'!$D:$D,MATCH(J343,'Tournament List'!$A:$A,0)),""))</f>
        <v/>
      </c>
      <c r="L343" s="98" t="str">
        <f>IF(E343="Skeet",IFERROR(INDEX('Shooter-Squad Assignment'!$A:$A,MATCH(C343&amp;"-"&amp;D343&amp;"-"&amp;E343&amp;"-Pos4",'Shooter-Squad Assignment'!#REF!,0)),""),IF(E343="Trap",IFERROR(INDEX('Shooter-Squad Assignment'!$A:$A,MATCH(C343&amp;"-"&amp;D343&amp;"-"&amp;E343&amp;"-Pos4",'Shooter-Squad Assignment'!$V:$V,0)),""),IF(E343="Sporting Clays",IFERROR(INDEX('Shooter-Squad Assignment'!$A:$A,MATCH(C343&amp;"-"&amp;D343&amp;"-"&amp;E343&amp;"-Pos4",'Shooter-Squad Assignment'!$Y:$Y,0)),""),"")))</f>
        <v/>
      </c>
      <c r="M343" s="73" t="str">
        <f>IF(ISBLANK(L343),"",IFERROR(INDEX('Tournament List'!$D:$D,MATCH(L343,'Tournament List'!$A:$A,0)),""))</f>
        <v/>
      </c>
      <c r="N343" s="98" t="str">
        <f>IF(E343="Skeet",IFERROR(INDEX('Shooter-Squad Assignment'!$A:$A,MATCH(C343&amp;"-"&amp;D343&amp;"-"&amp;E343&amp;"-Pos5",'Shooter-Squad Assignment'!#REF!,0)),""),IF(E343="Trap",IFERROR(INDEX('Shooter-Squad Assignment'!$A:$A,MATCH(C343&amp;"-"&amp;D343&amp;"-"&amp;E343&amp;"-Pos5",'Shooter-Squad Assignment'!$V:$V,0)),""),IF(E343="Sporting Clays",IFERROR(INDEX('Shooter-Squad Assignment'!$A:$A,MATCH(C343&amp;"-"&amp;D343&amp;"-"&amp;E343&amp;"-Pos5",'Shooter-Squad Assignment'!$Y:$Y,0)),""),"")))</f>
        <v/>
      </c>
      <c r="O343" s="80" t="str">
        <f>IF(ISBLANK(N343),"",IFERROR(INDEX('Tournament List'!$D:$D,MATCH(N343,'Tournament List'!$A:$A,0)),""))</f>
        <v/>
      </c>
    </row>
    <row r="344" spans="1:15" x14ac:dyDescent="0.3">
      <c r="A344" s="79">
        <v>352</v>
      </c>
      <c r="B344" s="73" t="str">
        <f t="shared" si="5"/>
        <v>-Collegiate 1-Trap</v>
      </c>
      <c r="C344" s="73"/>
      <c r="D344" s="73" t="s">
        <v>344</v>
      </c>
      <c r="E344" s="73" t="s">
        <v>147</v>
      </c>
      <c r="F344" s="98" t="str">
        <f>IF(E344="Skeet",IFERROR(INDEX('Shooter-Squad Assignment'!$A:$A,MATCH(C344&amp;"-"&amp;D344&amp;"-"&amp;E344&amp;"-Pos1",'Shooter-Squad Assignment'!#REF!,0)),""),IF(E344="Trap",IFERROR(INDEX('Shooter-Squad Assignment'!$A:$A,MATCH(C344&amp;"-"&amp;D344&amp;"-"&amp;E344&amp;"-Pos1",'Shooter-Squad Assignment'!$V:$V,0)),""),IF(E344="Sporting Clays",IFERROR(INDEX('Shooter-Squad Assignment'!$A:$A,MATCH(C344&amp;"-"&amp;D344&amp;"-"&amp;E344&amp;"-Pos1",'Shooter-Squad Assignment'!$Y:$Y,0)),""),"")))</f>
        <v/>
      </c>
      <c r="G344" s="73" t="str">
        <f>IF(ISBLANK(F344),"",IFERROR(INDEX('Tournament List'!$D:$D,MATCH(F344,'Tournament List'!$A:$A,0)),""))</f>
        <v/>
      </c>
      <c r="H344" s="98" t="str">
        <f>IF(E344="Skeet",IFERROR(INDEX('Shooter-Squad Assignment'!$A:$A,MATCH(C344&amp;"-"&amp;D344&amp;"-"&amp;E344&amp;"-Pos2",'Shooter-Squad Assignment'!#REF!,0)),""),IF(E344="Trap",IFERROR(INDEX('Shooter-Squad Assignment'!$A:$A,MATCH(C344&amp;"-"&amp;D344&amp;"-"&amp;E344&amp;"-Pos2",'Shooter-Squad Assignment'!$V:$V,0)),""),IF(E344="Sporting Clays",IFERROR(INDEX('Shooter-Squad Assignment'!$A:$A,MATCH(C344&amp;"-"&amp;D344&amp;"-"&amp;E344&amp;"-Pos2",'Shooter-Squad Assignment'!$Y:$Y,0)),""),"")))</f>
        <v/>
      </c>
      <c r="I344" s="73" t="str">
        <f>IF(ISBLANK(H344),"",IFERROR(INDEX('Tournament List'!$D:$D,MATCH(H344,'Tournament List'!$A:$A,0)),""))</f>
        <v/>
      </c>
      <c r="J344" s="98" t="str">
        <f>IF(E344="Skeet",IFERROR(INDEX('Shooter-Squad Assignment'!$A:$A,MATCH(C344&amp;"-"&amp;D344&amp;"-"&amp;E344&amp;"-Pos3",'Shooter-Squad Assignment'!#REF!,0)),""),IF(E344="Trap",IFERROR(INDEX('Shooter-Squad Assignment'!$A:$A,MATCH(C344&amp;"-"&amp;D344&amp;"-"&amp;E344&amp;"-Pos3",'Shooter-Squad Assignment'!$V:$V,0)),""),IF(E344="Sporting Clays",IFERROR(INDEX('Shooter-Squad Assignment'!$A:$A,MATCH(C344&amp;"-"&amp;D344&amp;"-"&amp;E344&amp;"-Pos3",'Shooter-Squad Assignment'!$Y:$Y,0)),""),"")))</f>
        <v/>
      </c>
      <c r="K344" s="73" t="str">
        <f>IF(ISBLANK(J344),"",IFERROR(INDEX('Tournament List'!$D:$D,MATCH(J344,'Tournament List'!$A:$A,0)),""))</f>
        <v/>
      </c>
      <c r="L344" s="98" t="str">
        <f>IF(E344="Skeet",IFERROR(INDEX('Shooter-Squad Assignment'!$A:$A,MATCH(C344&amp;"-"&amp;D344&amp;"-"&amp;E344&amp;"-Pos4",'Shooter-Squad Assignment'!#REF!,0)),""),IF(E344="Trap",IFERROR(INDEX('Shooter-Squad Assignment'!$A:$A,MATCH(C344&amp;"-"&amp;D344&amp;"-"&amp;E344&amp;"-Pos4",'Shooter-Squad Assignment'!$V:$V,0)),""),IF(E344="Sporting Clays",IFERROR(INDEX('Shooter-Squad Assignment'!$A:$A,MATCH(C344&amp;"-"&amp;D344&amp;"-"&amp;E344&amp;"-Pos4",'Shooter-Squad Assignment'!$Y:$Y,0)),""),"")))</f>
        <v/>
      </c>
      <c r="M344" s="73" t="str">
        <f>IF(ISBLANK(L344),"",IFERROR(INDEX('Tournament List'!$D:$D,MATCH(L344,'Tournament List'!$A:$A,0)),""))</f>
        <v/>
      </c>
      <c r="N344" s="98" t="str">
        <f>IF(E344="Skeet",IFERROR(INDEX('Shooter-Squad Assignment'!$A:$A,MATCH(C344&amp;"-"&amp;D344&amp;"-"&amp;E344&amp;"-Pos5",'Shooter-Squad Assignment'!#REF!,0)),""),IF(E344="Trap",IFERROR(INDEX('Shooter-Squad Assignment'!$A:$A,MATCH(C344&amp;"-"&amp;D344&amp;"-"&amp;E344&amp;"-Pos5",'Shooter-Squad Assignment'!$V:$V,0)),""),IF(E344="Sporting Clays",IFERROR(INDEX('Shooter-Squad Assignment'!$A:$A,MATCH(C344&amp;"-"&amp;D344&amp;"-"&amp;E344&amp;"-Pos5",'Shooter-Squad Assignment'!$Y:$Y,0)),""),"")))</f>
        <v/>
      </c>
      <c r="O344" s="80" t="str">
        <f>IF(ISBLANK(N344),"",IFERROR(INDEX('Tournament List'!$D:$D,MATCH(N344,'Tournament List'!$A:$A,0)),""))</f>
        <v/>
      </c>
    </row>
    <row r="345" spans="1:15" x14ac:dyDescent="0.3">
      <c r="A345" s="79">
        <v>353</v>
      </c>
      <c r="B345" s="73" t="str">
        <f t="shared" si="5"/>
        <v>-Collegiate 2-Trap</v>
      </c>
      <c r="C345" s="73"/>
      <c r="D345" s="73" t="s">
        <v>350</v>
      </c>
      <c r="E345" s="73" t="s">
        <v>147</v>
      </c>
      <c r="F345" s="98" t="str">
        <f>IF(E345="Skeet",IFERROR(INDEX('Shooter-Squad Assignment'!$A:$A,MATCH(C345&amp;"-"&amp;D345&amp;"-"&amp;E345&amp;"-Pos1",'Shooter-Squad Assignment'!#REF!,0)),""),IF(E345="Trap",IFERROR(INDEX('Shooter-Squad Assignment'!$A:$A,MATCH(C345&amp;"-"&amp;D345&amp;"-"&amp;E345&amp;"-Pos1",'Shooter-Squad Assignment'!$V:$V,0)),""),IF(E345="Sporting Clays",IFERROR(INDEX('Shooter-Squad Assignment'!$A:$A,MATCH(C345&amp;"-"&amp;D345&amp;"-"&amp;E345&amp;"-Pos1",'Shooter-Squad Assignment'!$Y:$Y,0)),""),"")))</f>
        <v/>
      </c>
      <c r="G345" s="73" t="str">
        <f>IF(ISBLANK(F345),"",IFERROR(INDEX('Tournament List'!$D:$D,MATCH(F345,'Tournament List'!$A:$A,0)),""))</f>
        <v/>
      </c>
      <c r="H345" s="98" t="str">
        <f>IF(E345="Skeet",IFERROR(INDEX('Shooter-Squad Assignment'!$A:$A,MATCH(C345&amp;"-"&amp;D345&amp;"-"&amp;E345&amp;"-Pos2",'Shooter-Squad Assignment'!#REF!,0)),""),IF(E345="Trap",IFERROR(INDEX('Shooter-Squad Assignment'!$A:$A,MATCH(C345&amp;"-"&amp;D345&amp;"-"&amp;E345&amp;"-Pos2",'Shooter-Squad Assignment'!$V:$V,0)),""),IF(E345="Sporting Clays",IFERROR(INDEX('Shooter-Squad Assignment'!$A:$A,MATCH(C345&amp;"-"&amp;D345&amp;"-"&amp;E345&amp;"-Pos2",'Shooter-Squad Assignment'!$Y:$Y,0)),""),"")))</f>
        <v/>
      </c>
      <c r="I345" s="73" t="str">
        <f>IF(ISBLANK(H345),"",IFERROR(INDEX('Tournament List'!$D:$D,MATCH(H345,'Tournament List'!$A:$A,0)),""))</f>
        <v/>
      </c>
      <c r="J345" s="98" t="str">
        <f>IF(E345="Skeet",IFERROR(INDEX('Shooter-Squad Assignment'!$A:$A,MATCH(C345&amp;"-"&amp;D345&amp;"-"&amp;E345&amp;"-Pos3",'Shooter-Squad Assignment'!#REF!,0)),""),IF(E345="Trap",IFERROR(INDEX('Shooter-Squad Assignment'!$A:$A,MATCH(C345&amp;"-"&amp;D345&amp;"-"&amp;E345&amp;"-Pos3",'Shooter-Squad Assignment'!$V:$V,0)),""),IF(E345="Sporting Clays",IFERROR(INDEX('Shooter-Squad Assignment'!$A:$A,MATCH(C345&amp;"-"&amp;D345&amp;"-"&amp;E345&amp;"-Pos3",'Shooter-Squad Assignment'!$Y:$Y,0)),""),"")))</f>
        <v/>
      </c>
      <c r="K345" s="73" t="str">
        <f>IF(ISBLANK(J345),"",IFERROR(INDEX('Tournament List'!$D:$D,MATCH(J345,'Tournament List'!$A:$A,0)),""))</f>
        <v/>
      </c>
      <c r="L345" s="98" t="str">
        <f>IF(E345="Skeet",IFERROR(INDEX('Shooter-Squad Assignment'!$A:$A,MATCH(C345&amp;"-"&amp;D345&amp;"-"&amp;E345&amp;"-Pos4",'Shooter-Squad Assignment'!#REF!,0)),""),IF(E345="Trap",IFERROR(INDEX('Shooter-Squad Assignment'!$A:$A,MATCH(C345&amp;"-"&amp;D345&amp;"-"&amp;E345&amp;"-Pos4",'Shooter-Squad Assignment'!$V:$V,0)),""),IF(E345="Sporting Clays",IFERROR(INDEX('Shooter-Squad Assignment'!$A:$A,MATCH(C345&amp;"-"&amp;D345&amp;"-"&amp;E345&amp;"-Pos4",'Shooter-Squad Assignment'!$Y:$Y,0)),""),"")))</f>
        <v/>
      </c>
      <c r="M345" s="73" t="str">
        <f>IF(ISBLANK(L345),"",IFERROR(INDEX('Tournament List'!$D:$D,MATCH(L345,'Tournament List'!$A:$A,0)),""))</f>
        <v/>
      </c>
      <c r="N345" s="98" t="str">
        <f>IF(E345="Skeet",IFERROR(INDEX('Shooter-Squad Assignment'!$A:$A,MATCH(C345&amp;"-"&amp;D345&amp;"-"&amp;E345&amp;"-Pos5",'Shooter-Squad Assignment'!#REF!,0)),""),IF(E345="Trap",IFERROR(INDEX('Shooter-Squad Assignment'!$A:$A,MATCH(C345&amp;"-"&amp;D345&amp;"-"&amp;E345&amp;"-Pos5",'Shooter-Squad Assignment'!$V:$V,0)),""),IF(E345="Sporting Clays",IFERROR(INDEX('Shooter-Squad Assignment'!$A:$A,MATCH(C345&amp;"-"&amp;D345&amp;"-"&amp;E345&amp;"-Pos5",'Shooter-Squad Assignment'!$Y:$Y,0)),""),"")))</f>
        <v/>
      </c>
      <c r="O345" s="80" t="str">
        <f>IF(ISBLANK(N345),"",IFERROR(INDEX('Tournament List'!$D:$D,MATCH(N345,'Tournament List'!$A:$A,0)),""))</f>
        <v/>
      </c>
    </row>
    <row r="346" spans="1:15" x14ac:dyDescent="0.3">
      <c r="A346" s="79">
        <v>354</v>
      </c>
      <c r="B346" s="73" t="str">
        <f t="shared" si="5"/>
        <v>-Collegiate 3-Trap</v>
      </c>
      <c r="C346" s="73"/>
      <c r="D346" s="73" t="s">
        <v>356</v>
      </c>
      <c r="E346" s="73" t="s">
        <v>147</v>
      </c>
      <c r="F346" s="98" t="str">
        <f>IF(E346="Skeet",IFERROR(INDEX('Shooter-Squad Assignment'!$A:$A,MATCH(C346&amp;"-"&amp;D346&amp;"-"&amp;E346&amp;"-Pos1",'Shooter-Squad Assignment'!#REF!,0)),""),IF(E346="Trap",IFERROR(INDEX('Shooter-Squad Assignment'!$A:$A,MATCH(C346&amp;"-"&amp;D346&amp;"-"&amp;E346&amp;"-Pos1",'Shooter-Squad Assignment'!$V:$V,0)),""),IF(E346="Sporting Clays",IFERROR(INDEX('Shooter-Squad Assignment'!$A:$A,MATCH(C346&amp;"-"&amp;D346&amp;"-"&amp;E346&amp;"-Pos1",'Shooter-Squad Assignment'!$Y:$Y,0)),""),"")))</f>
        <v/>
      </c>
      <c r="G346" s="73" t="str">
        <f>IF(ISBLANK(F346),"",IFERROR(INDEX('Tournament List'!$D:$D,MATCH(F346,'Tournament List'!$A:$A,0)),""))</f>
        <v/>
      </c>
      <c r="H346" s="98" t="str">
        <f>IF(E346="Skeet",IFERROR(INDEX('Shooter-Squad Assignment'!$A:$A,MATCH(C346&amp;"-"&amp;D346&amp;"-"&amp;E346&amp;"-Pos2",'Shooter-Squad Assignment'!#REF!,0)),""),IF(E346="Trap",IFERROR(INDEX('Shooter-Squad Assignment'!$A:$A,MATCH(C346&amp;"-"&amp;D346&amp;"-"&amp;E346&amp;"-Pos2",'Shooter-Squad Assignment'!$V:$V,0)),""),IF(E346="Sporting Clays",IFERROR(INDEX('Shooter-Squad Assignment'!$A:$A,MATCH(C346&amp;"-"&amp;D346&amp;"-"&amp;E346&amp;"-Pos2",'Shooter-Squad Assignment'!$Y:$Y,0)),""),"")))</f>
        <v/>
      </c>
      <c r="I346" s="73" t="str">
        <f>IF(ISBLANK(H346),"",IFERROR(INDEX('Tournament List'!$D:$D,MATCH(H346,'Tournament List'!$A:$A,0)),""))</f>
        <v/>
      </c>
      <c r="J346" s="98" t="str">
        <f>IF(E346="Skeet",IFERROR(INDEX('Shooter-Squad Assignment'!$A:$A,MATCH(C346&amp;"-"&amp;D346&amp;"-"&amp;E346&amp;"-Pos3",'Shooter-Squad Assignment'!#REF!,0)),""),IF(E346="Trap",IFERROR(INDEX('Shooter-Squad Assignment'!$A:$A,MATCH(C346&amp;"-"&amp;D346&amp;"-"&amp;E346&amp;"-Pos3",'Shooter-Squad Assignment'!$V:$V,0)),""),IF(E346="Sporting Clays",IFERROR(INDEX('Shooter-Squad Assignment'!$A:$A,MATCH(C346&amp;"-"&amp;D346&amp;"-"&amp;E346&amp;"-Pos3",'Shooter-Squad Assignment'!$Y:$Y,0)),""),"")))</f>
        <v/>
      </c>
      <c r="K346" s="73" t="str">
        <f>IF(ISBLANK(J346),"",IFERROR(INDEX('Tournament List'!$D:$D,MATCH(J346,'Tournament List'!$A:$A,0)),""))</f>
        <v/>
      </c>
      <c r="L346" s="98" t="str">
        <f>IF(E346="Skeet",IFERROR(INDEX('Shooter-Squad Assignment'!$A:$A,MATCH(C346&amp;"-"&amp;D346&amp;"-"&amp;E346&amp;"-Pos4",'Shooter-Squad Assignment'!#REF!,0)),""),IF(E346="Trap",IFERROR(INDEX('Shooter-Squad Assignment'!$A:$A,MATCH(C346&amp;"-"&amp;D346&amp;"-"&amp;E346&amp;"-Pos4",'Shooter-Squad Assignment'!$V:$V,0)),""),IF(E346="Sporting Clays",IFERROR(INDEX('Shooter-Squad Assignment'!$A:$A,MATCH(C346&amp;"-"&amp;D346&amp;"-"&amp;E346&amp;"-Pos4",'Shooter-Squad Assignment'!$Y:$Y,0)),""),"")))</f>
        <v/>
      </c>
      <c r="M346" s="73" t="str">
        <f>IF(ISBLANK(L346),"",IFERROR(INDEX('Tournament List'!$D:$D,MATCH(L346,'Tournament List'!$A:$A,0)),""))</f>
        <v/>
      </c>
      <c r="N346" s="98" t="str">
        <f>IF(E346="Skeet",IFERROR(INDEX('Shooter-Squad Assignment'!$A:$A,MATCH(C346&amp;"-"&amp;D346&amp;"-"&amp;E346&amp;"-Pos5",'Shooter-Squad Assignment'!#REF!,0)),""),IF(E346="Trap",IFERROR(INDEX('Shooter-Squad Assignment'!$A:$A,MATCH(C346&amp;"-"&amp;D346&amp;"-"&amp;E346&amp;"-Pos5",'Shooter-Squad Assignment'!$V:$V,0)),""),IF(E346="Sporting Clays",IFERROR(INDEX('Shooter-Squad Assignment'!$A:$A,MATCH(C346&amp;"-"&amp;D346&amp;"-"&amp;E346&amp;"-Pos5",'Shooter-Squad Assignment'!$Y:$Y,0)),""),"")))</f>
        <v/>
      </c>
      <c r="O346" s="80" t="str">
        <f>IF(ISBLANK(N346),"",IFERROR(INDEX('Tournament List'!$D:$D,MATCH(N346,'Tournament List'!$A:$A,0)),""))</f>
        <v/>
      </c>
    </row>
    <row r="347" spans="1:15" x14ac:dyDescent="0.3">
      <c r="A347" s="79">
        <v>355</v>
      </c>
      <c r="B347" s="73" t="str">
        <f t="shared" si="5"/>
        <v>-Intermediate 1-Trap</v>
      </c>
      <c r="C347" s="73"/>
      <c r="D347" s="73" t="s">
        <v>340</v>
      </c>
      <c r="E347" s="73" t="s">
        <v>147</v>
      </c>
      <c r="F347" s="98" t="str">
        <f>IF(E347="Skeet",IFERROR(INDEX('Shooter-Squad Assignment'!$A:$A,MATCH(C347&amp;"-"&amp;D347&amp;"-"&amp;E347&amp;"-Pos1",'Shooter-Squad Assignment'!#REF!,0)),""),IF(E347="Trap",IFERROR(INDEX('Shooter-Squad Assignment'!$A:$A,MATCH(C347&amp;"-"&amp;D347&amp;"-"&amp;E347&amp;"-Pos1",'Shooter-Squad Assignment'!$V:$V,0)),""),IF(E347="Sporting Clays",IFERROR(INDEX('Shooter-Squad Assignment'!$A:$A,MATCH(C347&amp;"-"&amp;D347&amp;"-"&amp;E347&amp;"-Pos1",'Shooter-Squad Assignment'!$Y:$Y,0)),""),"")))</f>
        <v/>
      </c>
      <c r="G347" s="73" t="str">
        <f>IF(ISBLANK(F347),"",IFERROR(INDEX('Tournament List'!$D:$D,MATCH(F347,'Tournament List'!$A:$A,0)),""))</f>
        <v/>
      </c>
      <c r="H347" s="98" t="str">
        <f>IF(E347="Skeet",IFERROR(INDEX('Shooter-Squad Assignment'!$A:$A,MATCH(C347&amp;"-"&amp;D347&amp;"-"&amp;E347&amp;"-Pos2",'Shooter-Squad Assignment'!#REF!,0)),""),IF(E347="Trap",IFERROR(INDEX('Shooter-Squad Assignment'!$A:$A,MATCH(C347&amp;"-"&amp;D347&amp;"-"&amp;E347&amp;"-Pos2",'Shooter-Squad Assignment'!$V:$V,0)),""),IF(E347="Sporting Clays",IFERROR(INDEX('Shooter-Squad Assignment'!$A:$A,MATCH(C347&amp;"-"&amp;D347&amp;"-"&amp;E347&amp;"-Pos2",'Shooter-Squad Assignment'!$Y:$Y,0)),""),"")))</f>
        <v/>
      </c>
      <c r="I347" s="73" t="str">
        <f>IF(ISBLANK(H347),"",IFERROR(INDEX('Tournament List'!$D:$D,MATCH(H347,'Tournament List'!$A:$A,0)),""))</f>
        <v/>
      </c>
      <c r="J347" s="98" t="str">
        <f>IF(E347="Skeet",IFERROR(INDEX('Shooter-Squad Assignment'!$A:$A,MATCH(C347&amp;"-"&amp;D347&amp;"-"&amp;E347&amp;"-Pos3",'Shooter-Squad Assignment'!#REF!,0)),""),IF(E347="Trap",IFERROR(INDEX('Shooter-Squad Assignment'!$A:$A,MATCH(C347&amp;"-"&amp;D347&amp;"-"&amp;E347&amp;"-Pos3",'Shooter-Squad Assignment'!$V:$V,0)),""),IF(E347="Sporting Clays",IFERROR(INDEX('Shooter-Squad Assignment'!$A:$A,MATCH(C347&amp;"-"&amp;D347&amp;"-"&amp;E347&amp;"-Pos3",'Shooter-Squad Assignment'!$Y:$Y,0)),""),"")))</f>
        <v/>
      </c>
      <c r="K347" s="73" t="str">
        <f>IF(ISBLANK(J347),"",IFERROR(INDEX('Tournament List'!$D:$D,MATCH(J347,'Tournament List'!$A:$A,0)),""))</f>
        <v/>
      </c>
      <c r="L347" s="98" t="str">
        <f>IF(E347="Skeet",IFERROR(INDEX('Shooter-Squad Assignment'!$A:$A,MATCH(C347&amp;"-"&amp;D347&amp;"-"&amp;E347&amp;"-Pos4",'Shooter-Squad Assignment'!#REF!,0)),""),IF(E347="Trap",IFERROR(INDEX('Shooter-Squad Assignment'!$A:$A,MATCH(C347&amp;"-"&amp;D347&amp;"-"&amp;E347&amp;"-Pos4",'Shooter-Squad Assignment'!$V:$V,0)),""),IF(E347="Sporting Clays",IFERROR(INDEX('Shooter-Squad Assignment'!$A:$A,MATCH(C347&amp;"-"&amp;D347&amp;"-"&amp;E347&amp;"-Pos4",'Shooter-Squad Assignment'!$Y:$Y,0)),""),"")))</f>
        <v/>
      </c>
      <c r="M347" s="73" t="str">
        <f>IF(ISBLANK(L347),"",IFERROR(INDEX('Tournament List'!$D:$D,MATCH(L347,'Tournament List'!$A:$A,0)),""))</f>
        <v/>
      </c>
      <c r="N347" s="98" t="str">
        <f>IF(E347="Skeet",IFERROR(INDEX('Shooter-Squad Assignment'!$A:$A,MATCH(C347&amp;"-"&amp;D347&amp;"-"&amp;E347&amp;"-Pos5",'Shooter-Squad Assignment'!#REF!,0)),""),IF(E347="Trap",IFERROR(INDEX('Shooter-Squad Assignment'!$A:$A,MATCH(C347&amp;"-"&amp;D347&amp;"-"&amp;E347&amp;"-Pos5",'Shooter-Squad Assignment'!$V:$V,0)),""),IF(E347="Sporting Clays",IFERROR(INDEX('Shooter-Squad Assignment'!$A:$A,MATCH(C347&amp;"-"&amp;D347&amp;"-"&amp;E347&amp;"-Pos5",'Shooter-Squad Assignment'!$Y:$Y,0)),""),"")))</f>
        <v/>
      </c>
      <c r="O347" s="80" t="str">
        <f>IF(ISBLANK(N347),"",IFERROR(INDEX('Tournament List'!$D:$D,MATCH(N347,'Tournament List'!$A:$A,0)),""))</f>
        <v/>
      </c>
    </row>
    <row r="348" spans="1:15" x14ac:dyDescent="0.3">
      <c r="A348" s="79">
        <v>356</v>
      </c>
      <c r="B348" s="73" t="str">
        <f t="shared" si="5"/>
        <v>-Intermediate 2-Trap</v>
      </c>
      <c r="C348" s="73"/>
      <c r="D348" s="73" t="s">
        <v>346</v>
      </c>
      <c r="E348" s="73" t="s">
        <v>147</v>
      </c>
      <c r="F348" s="98" t="str">
        <f>IF(E348="Skeet",IFERROR(INDEX('Shooter-Squad Assignment'!$A:$A,MATCH(C348&amp;"-"&amp;D348&amp;"-"&amp;E348&amp;"-Pos1",'Shooter-Squad Assignment'!#REF!,0)),""),IF(E348="Trap",IFERROR(INDEX('Shooter-Squad Assignment'!$A:$A,MATCH(C348&amp;"-"&amp;D348&amp;"-"&amp;E348&amp;"-Pos1",'Shooter-Squad Assignment'!$V:$V,0)),""),IF(E348="Sporting Clays",IFERROR(INDEX('Shooter-Squad Assignment'!$A:$A,MATCH(C348&amp;"-"&amp;D348&amp;"-"&amp;E348&amp;"-Pos1",'Shooter-Squad Assignment'!$Y:$Y,0)),""),"")))</f>
        <v/>
      </c>
      <c r="G348" s="73" t="str">
        <f>IF(ISBLANK(F348),"",IFERROR(INDEX('Tournament List'!$D:$D,MATCH(F348,'Tournament List'!$A:$A,0)),""))</f>
        <v/>
      </c>
      <c r="H348" s="98" t="str">
        <f>IF(E348="Skeet",IFERROR(INDEX('Shooter-Squad Assignment'!$A:$A,MATCH(C348&amp;"-"&amp;D348&amp;"-"&amp;E348&amp;"-Pos2",'Shooter-Squad Assignment'!#REF!,0)),""),IF(E348="Trap",IFERROR(INDEX('Shooter-Squad Assignment'!$A:$A,MATCH(C348&amp;"-"&amp;D348&amp;"-"&amp;E348&amp;"-Pos2",'Shooter-Squad Assignment'!$V:$V,0)),""),IF(E348="Sporting Clays",IFERROR(INDEX('Shooter-Squad Assignment'!$A:$A,MATCH(C348&amp;"-"&amp;D348&amp;"-"&amp;E348&amp;"-Pos2",'Shooter-Squad Assignment'!$Y:$Y,0)),""),"")))</f>
        <v/>
      </c>
      <c r="I348" s="73" t="str">
        <f>IF(ISBLANK(H348),"",IFERROR(INDEX('Tournament List'!$D:$D,MATCH(H348,'Tournament List'!$A:$A,0)),""))</f>
        <v/>
      </c>
      <c r="J348" s="98" t="str">
        <f>IF(E348="Skeet",IFERROR(INDEX('Shooter-Squad Assignment'!$A:$A,MATCH(C348&amp;"-"&amp;D348&amp;"-"&amp;E348&amp;"-Pos3",'Shooter-Squad Assignment'!#REF!,0)),""),IF(E348="Trap",IFERROR(INDEX('Shooter-Squad Assignment'!$A:$A,MATCH(C348&amp;"-"&amp;D348&amp;"-"&amp;E348&amp;"-Pos3",'Shooter-Squad Assignment'!$V:$V,0)),""),IF(E348="Sporting Clays",IFERROR(INDEX('Shooter-Squad Assignment'!$A:$A,MATCH(C348&amp;"-"&amp;D348&amp;"-"&amp;E348&amp;"-Pos3",'Shooter-Squad Assignment'!$Y:$Y,0)),""),"")))</f>
        <v/>
      </c>
      <c r="K348" s="73" t="str">
        <f>IF(ISBLANK(J348),"",IFERROR(INDEX('Tournament List'!$D:$D,MATCH(J348,'Tournament List'!$A:$A,0)),""))</f>
        <v/>
      </c>
      <c r="L348" s="98" t="str">
        <f>IF(E348="Skeet",IFERROR(INDEX('Shooter-Squad Assignment'!$A:$A,MATCH(C348&amp;"-"&amp;D348&amp;"-"&amp;E348&amp;"-Pos4",'Shooter-Squad Assignment'!#REF!,0)),""),IF(E348="Trap",IFERROR(INDEX('Shooter-Squad Assignment'!$A:$A,MATCH(C348&amp;"-"&amp;D348&amp;"-"&amp;E348&amp;"-Pos4",'Shooter-Squad Assignment'!$V:$V,0)),""),IF(E348="Sporting Clays",IFERROR(INDEX('Shooter-Squad Assignment'!$A:$A,MATCH(C348&amp;"-"&amp;D348&amp;"-"&amp;E348&amp;"-Pos4",'Shooter-Squad Assignment'!$Y:$Y,0)),""),"")))</f>
        <v/>
      </c>
      <c r="M348" s="73" t="str">
        <f>IF(ISBLANK(L348),"",IFERROR(INDEX('Tournament List'!$D:$D,MATCH(L348,'Tournament List'!$A:$A,0)),""))</f>
        <v/>
      </c>
      <c r="N348" s="98" t="str">
        <f>IF(E348="Skeet",IFERROR(INDEX('Shooter-Squad Assignment'!$A:$A,MATCH(C348&amp;"-"&amp;D348&amp;"-"&amp;E348&amp;"-Pos5",'Shooter-Squad Assignment'!#REF!,0)),""),IF(E348="Trap",IFERROR(INDEX('Shooter-Squad Assignment'!$A:$A,MATCH(C348&amp;"-"&amp;D348&amp;"-"&amp;E348&amp;"-Pos5",'Shooter-Squad Assignment'!$V:$V,0)),""),IF(E348="Sporting Clays",IFERROR(INDEX('Shooter-Squad Assignment'!$A:$A,MATCH(C348&amp;"-"&amp;D348&amp;"-"&amp;E348&amp;"-Pos5",'Shooter-Squad Assignment'!$Y:$Y,0)),""),"")))</f>
        <v/>
      </c>
      <c r="O348" s="80" t="str">
        <f>IF(ISBLANK(N348),"",IFERROR(INDEX('Tournament List'!$D:$D,MATCH(N348,'Tournament List'!$A:$A,0)),""))</f>
        <v/>
      </c>
    </row>
    <row r="349" spans="1:15" x14ac:dyDescent="0.3">
      <c r="A349" s="79">
        <v>357</v>
      </c>
      <c r="B349" s="73" t="str">
        <f t="shared" si="5"/>
        <v>-Intermediate 3-Trap</v>
      </c>
      <c r="C349" s="73"/>
      <c r="D349" s="73" t="s">
        <v>352</v>
      </c>
      <c r="E349" s="73" t="s">
        <v>147</v>
      </c>
      <c r="F349" s="98" t="str">
        <f>IF(E349="Skeet",IFERROR(INDEX('Shooter-Squad Assignment'!$A:$A,MATCH(C349&amp;"-"&amp;D349&amp;"-"&amp;E349&amp;"-Pos1",'Shooter-Squad Assignment'!#REF!,0)),""),IF(E349="Trap",IFERROR(INDEX('Shooter-Squad Assignment'!$A:$A,MATCH(C349&amp;"-"&amp;D349&amp;"-"&amp;E349&amp;"-Pos1",'Shooter-Squad Assignment'!$V:$V,0)),""),IF(E349="Sporting Clays",IFERROR(INDEX('Shooter-Squad Assignment'!$A:$A,MATCH(C349&amp;"-"&amp;D349&amp;"-"&amp;E349&amp;"-Pos1",'Shooter-Squad Assignment'!$Y:$Y,0)),""),"")))</f>
        <v/>
      </c>
      <c r="G349" s="73" t="str">
        <f>IF(ISBLANK(F349),"",IFERROR(INDEX('Tournament List'!$D:$D,MATCH(F349,'Tournament List'!$A:$A,0)),""))</f>
        <v/>
      </c>
      <c r="H349" s="98" t="str">
        <f>IF(E349="Skeet",IFERROR(INDEX('Shooter-Squad Assignment'!$A:$A,MATCH(C349&amp;"-"&amp;D349&amp;"-"&amp;E349&amp;"-Pos2",'Shooter-Squad Assignment'!#REF!,0)),""),IF(E349="Trap",IFERROR(INDEX('Shooter-Squad Assignment'!$A:$A,MATCH(C349&amp;"-"&amp;D349&amp;"-"&amp;E349&amp;"-Pos2",'Shooter-Squad Assignment'!$V:$V,0)),""),IF(E349="Sporting Clays",IFERROR(INDEX('Shooter-Squad Assignment'!$A:$A,MATCH(C349&amp;"-"&amp;D349&amp;"-"&amp;E349&amp;"-Pos2",'Shooter-Squad Assignment'!$Y:$Y,0)),""),"")))</f>
        <v/>
      </c>
      <c r="I349" s="73" t="str">
        <f>IF(ISBLANK(H349),"",IFERROR(INDEX('Tournament List'!$D:$D,MATCH(H349,'Tournament List'!$A:$A,0)),""))</f>
        <v/>
      </c>
      <c r="J349" s="98" t="str">
        <f>IF(E349="Skeet",IFERROR(INDEX('Shooter-Squad Assignment'!$A:$A,MATCH(C349&amp;"-"&amp;D349&amp;"-"&amp;E349&amp;"-Pos3",'Shooter-Squad Assignment'!#REF!,0)),""),IF(E349="Trap",IFERROR(INDEX('Shooter-Squad Assignment'!$A:$A,MATCH(C349&amp;"-"&amp;D349&amp;"-"&amp;E349&amp;"-Pos3",'Shooter-Squad Assignment'!$V:$V,0)),""),IF(E349="Sporting Clays",IFERROR(INDEX('Shooter-Squad Assignment'!$A:$A,MATCH(C349&amp;"-"&amp;D349&amp;"-"&amp;E349&amp;"-Pos3",'Shooter-Squad Assignment'!$Y:$Y,0)),""),"")))</f>
        <v/>
      </c>
      <c r="K349" s="73" t="str">
        <f>IF(ISBLANK(J349),"",IFERROR(INDEX('Tournament List'!$D:$D,MATCH(J349,'Tournament List'!$A:$A,0)),""))</f>
        <v/>
      </c>
      <c r="L349" s="98" t="str">
        <f>IF(E349="Skeet",IFERROR(INDEX('Shooter-Squad Assignment'!$A:$A,MATCH(C349&amp;"-"&amp;D349&amp;"-"&amp;E349&amp;"-Pos4",'Shooter-Squad Assignment'!#REF!,0)),""),IF(E349="Trap",IFERROR(INDEX('Shooter-Squad Assignment'!$A:$A,MATCH(C349&amp;"-"&amp;D349&amp;"-"&amp;E349&amp;"-Pos4",'Shooter-Squad Assignment'!$V:$V,0)),""),IF(E349="Sporting Clays",IFERROR(INDEX('Shooter-Squad Assignment'!$A:$A,MATCH(C349&amp;"-"&amp;D349&amp;"-"&amp;E349&amp;"-Pos4",'Shooter-Squad Assignment'!$Y:$Y,0)),""),"")))</f>
        <v/>
      </c>
      <c r="M349" s="73" t="str">
        <f>IF(ISBLANK(L349),"",IFERROR(INDEX('Tournament List'!$D:$D,MATCH(L349,'Tournament List'!$A:$A,0)),""))</f>
        <v/>
      </c>
      <c r="N349" s="98" t="str">
        <f>IF(E349="Skeet",IFERROR(INDEX('Shooter-Squad Assignment'!$A:$A,MATCH(C349&amp;"-"&amp;D349&amp;"-"&amp;E349&amp;"-Pos5",'Shooter-Squad Assignment'!#REF!,0)),""),IF(E349="Trap",IFERROR(INDEX('Shooter-Squad Assignment'!$A:$A,MATCH(C349&amp;"-"&amp;D349&amp;"-"&amp;E349&amp;"-Pos5",'Shooter-Squad Assignment'!$V:$V,0)),""),IF(E349="Sporting Clays",IFERROR(INDEX('Shooter-Squad Assignment'!$A:$A,MATCH(C349&amp;"-"&amp;D349&amp;"-"&amp;E349&amp;"-Pos5",'Shooter-Squad Assignment'!$Y:$Y,0)),""),"")))</f>
        <v/>
      </c>
      <c r="O349" s="80" t="str">
        <f>IF(ISBLANK(N349),"",IFERROR(INDEX('Tournament List'!$D:$D,MATCH(N349,'Tournament List'!$A:$A,0)),""))</f>
        <v/>
      </c>
    </row>
    <row r="350" spans="1:15" x14ac:dyDescent="0.3">
      <c r="A350" s="79">
        <v>358</v>
      </c>
      <c r="B350" s="73" t="str">
        <f t="shared" si="5"/>
        <v>-Junior Varsity 1-Trap</v>
      </c>
      <c r="C350" s="73"/>
      <c r="D350" s="73" t="s">
        <v>341</v>
      </c>
      <c r="E350" s="73" t="s">
        <v>147</v>
      </c>
      <c r="F350" s="98" t="str">
        <f>IF(E350="Skeet",IFERROR(INDEX('Shooter-Squad Assignment'!$A:$A,MATCH(C350&amp;"-"&amp;D350&amp;"-"&amp;E350&amp;"-Pos1",'Shooter-Squad Assignment'!#REF!,0)),""),IF(E350="Trap",IFERROR(INDEX('Shooter-Squad Assignment'!$A:$A,MATCH(C350&amp;"-"&amp;D350&amp;"-"&amp;E350&amp;"-Pos1",'Shooter-Squad Assignment'!$V:$V,0)),""),IF(E350="Sporting Clays",IFERROR(INDEX('Shooter-Squad Assignment'!$A:$A,MATCH(C350&amp;"-"&amp;D350&amp;"-"&amp;E350&amp;"-Pos1",'Shooter-Squad Assignment'!$Y:$Y,0)),""),"")))</f>
        <v/>
      </c>
      <c r="G350" s="73" t="str">
        <f>IF(ISBLANK(F350),"",IFERROR(INDEX('Tournament List'!$D:$D,MATCH(F350,'Tournament List'!$A:$A,0)),""))</f>
        <v/>
      </c>
      <c r="H350" s="98" t="str">
        <f>IF(E350="Skeet",IFERROR(INDEX('Shooter-Squad Assignment'!$A:$A,MATCH(C350&amp;"-"&amp;D350&amp;"-"&amp;E350&amp;"-Pos2",'Shooter-Squad Assignment'!#REF!,0)),""),IF(E350="Trap",IFERROR(INDEX('Shooter-Squad Assignment'!$A:$A,MATCH(C350&amp;"-"&amp;D350&amp;"-"&amp;E350&amp;"-Pos2",'Shooter-Squad Assignment'!$V:$V,0)),""),IF(E350="Sporting Clays",IFERROR(INDEX('Shooter-Squad Assignment'!$A:$A,MATCH(C350&amp;"-"&amp;D350&amp;"-"&amp;E350&amp;"-Pos2",'Shooter-Squad Assignment'!$Y:$Y,0)),""),"")))</f>
        <v/>
      </c>
      <c r="I350" s="73" t="str">
        <f>IF(ISBLANK(H350),"",IFERROR(INDEX('Tournament List'!$D:$D,MATCH(H350,'Tournament List'!$A:$A,0)),""))</f>
        <v/>
      </c>
      <c r="J350" s="98" t="str">
        <f>IF(E350="Skeet",IFERROR(INDEX('Shooter-Squad Assignment'!$A:$A,MATCH(C350&amp;"-"&amp;D350&amp;"-"&amp;E350&amp;"-Pos3",'Shooter-Squad Assignment'!#REF!,0)),""),IF(E350="Trap",IFERROR(INDEX('Shooter-Squad Assignment'!$A:$A,MATCH(C350&amp;"-"&amp;D350&amp;"-"&amp;E350&amp;"-Pos3",'Shooter-Squad Assignment'!$V:$V,0)),""),IF(E350="Sporting Clays",IFERROR(INDEX('Shooter-Squad Assignment'!$A:$A,MATCH(C350&amp;"-"&amp;D350&amp;"-"&amp;E350&amp;"-Pos3",'Shooter-Squad Assignment'!$Y:$Y,0)),""),"")))</f>
        <v/>
      </c>
      <c r="K350" s="73" t="str">
        <f>IF(ISBLANK(J350),"",IFERROR(INDEX('Tournament List'!$D:$D,MATCH(J350,'Tournament List'!$A:$A,0)),""))</f>
        <v/>
      </c>
      <c r="L350" s="98" t="str">
        <f>IF(E350="Skeet",IFERROR(INDEX('Shooter-Squad Assignment'!$A:$A,MATCH(C350&amp;"-"&amp;D350&amp;"-"&amp;E350&amp;"-Pos4",'Shooter-Squad Assignment'!#REF!,0)),""),IF(E350="Trap",IFERROR(INDEX('Shooter-Squad Assignment'!$A:$A,MATCH(C350&amp;"-"&amp;D350&amp;"-"&amp;E350&amp;"-Pos4",'Shooter-Squad Assignment'!$V:$V,0)),""),IF(E350="Sporting Clays",IFERROR(INDEX('Shooter-Squad Assignment'!$A:$A,MATCH(C350&amp;"-"&amp;D350&amp;"-"&amp;E350&amp;"-Pos4",'Shooter-Squad Assignment'!$Y:$Y,0)),""),"")))</f>
        <v/>
      </c>
      <c r="M350" s="73" t="str">
        <f>IF(ISBLANK(L350),"",IFERROR(INDEX('Tournament List'!$D:$D,MATCH(L350,'Tournament List'!$A:$A,0)),""))</f>
        <v/>
      </c>
      <c r="N350" s="98" t="str">
        <f>IF(E350="Skeet",IFERROR(INDEX('Shooter-Squad Assignment'!$A:$A,MATCH(C350&amp;"-"&amp;D350&amp;"-"&amp;E350&amp;"-Pos5",'Shooter-Squad Assignment'!#REF!,0)),""),IF(E350="Trap",IFERROR(INDEX('Shooter-Squad Assignment'!$A:$A,MATCH(C350&amp;"-"&amp;D350&amp;"-"&amp;E350&amp;"-Pos5",'Shooter-Squad Assignment'!$V:$V,0)),""),IF(E350="Sporting Clays",IFERROR(INDEX('Shooter-Squad Assignment'!$A:$A,MATCH(C350&amp;"-"&amp;D350&amp;"-"&amp;E350&amp;"-Pos5",'Shooter-Squad Assignment'!$Y:$Y,0)),""),"")))</f>
        <v/>
      </c>
      <c r="O350" s="80" t="str">
        <f>IF(ISBLANK(N350),"",IFERROR(INDEX('Tournament List'!$D:$D,MATCH(N350,'Tournament List'!$A:$A,0)),""))</f>
        <v/>
      </c>
    </row>
    <row r="351" spans="1:15" x14ac:dyDescent="0.3">
      <c r="A351" s="79">
        <v>359</v>
      </c>
      <c r="B351" s="73" t="str">
        <f t="shared" si="5"/>
        <v>-Junior Varsity 2-Trap</v>
      </c>
      <c r="C351" s="73"/>
      <c r="D351" s="73" t="s">
        <v>347</v>
      </c>
      <c r="E351" s="73" t="s">
        <v>147</v>
      </c>
      <c r="F351" s="98" t="str">
        <f>IF(E351="Skeet",IFERROR(INDEX('Shooter-Squad Assignment'!$A:$A,MATCH(C351&amp;"-"&amp;D351&amp;"-"&amp;E351&amp;"-Pos1",'Shooter-Squad Assignment'!#REF!,0)),""),IF(E351="Trap",IFERROR(INDEX('Shooter-Squad Assignment'!$A:$A,MATCH(C351&amp;"-"&amp;D351&amp;"-"&amp;E351&amp;"-Pos1",'Shooter-Squad Assignment'!$V:$V,0)),""),IF(E351="Sporting Clays",IFERROR(INDEX('Shooter-Squad Assignment'!$A:$A,MATCH(C351&amp;"-"&amp;D351&amp;"-"&amp;E351&amp;"-Pos1",'Shooter-Squad Assignment'!$Y:$Y,0)),""),"")))</f>
        <v/>
      </c>
      <c r="G351" s="73" t="str">
        <f>IF(ISBLANK(F351),"",IFERROR(INDEX('Tournament List'!$D:$D,MATCH(F351,'Tournament List'!$A:$A,0)),""))</f>
        <v/>
      </c>
      <c r="H351" s="98" t="str">
        <f>IF(E351="Skeet",IFERROR(INDEX('Shooter-Squad Assignment'!$A:$A,MATCH(C351&amp;"-"&amp;D351&amp;"-"&amp;E351&amp;"-Pos2",'Shooter-Squad Assignment'!#REF!,0)),""),IF(E351="Trap",IFERROR(INDEX('Shooter-Squad Assignment'!$A:$A,MATCH(C351&amp;"-"&amp;D351&amp;"-"&amp;E351&amp;"-Pos2",'Shooter-Squad Assignment'!$V:$V,0)),""),IF(E351="Sporting Clays",IFERROR(INDEX('Shooter-Squad Assignment'!$A:$A,MATCH(C351&amp;"-"&amp;D351&amp;"-"&amp;E351&amp;"-Pos2",'Shooter-Squad Assignment'!$Y:$Y,0)),""),"")))</f>
        <v/>
      </c>
      <c r="I351" s="73" t="str">
        <f>IF(ISBLANK(H351),"",IFERROR(INDEX('Tournament List'!$D:$D,MATCH(H351,'Tournament List'!$A:$A,0)),""))</f>
        <v/>
      </c>
      <c r="J351" s="98" t="str">
        <f>IF(E351="Skeet",IFERROR(INDEX('Shooter-Squad Assignment'!$A:$A,MATCH(C351&amp;"-"&amp;D351&amp;"-"&amp;E351&amp;"-Pos3",'Shooter-Squad Assignment'!#REF!,0)),""),IF(E351="Trap",IFERROR(INDEX('Shooter-Squad Assignment'!$A:$A,MATCH(C351&amp;"-"&amp;D351&amp;"-"&amp;E351&amp;"-Pos3",'Shooter-Squad Assignment'!$V:$V,0)),""),IF(E351="Sporting Clays",IFERROR(INDEX('Shooter-Squad Assignment'!$A:$A,MATCH(C351&amp;"-"&amp;D351&amp;"-"&amp;E351&amp;"-Pos3",'Shooter-Squad Assignment'!$Y:$Y,0)),""),"")))</f>
        <v/>
      </c>
      <c r="K351" s="73" t="str">
        <f>IF(ISBLANK(J351),"",IFERROR(INDEX('Tournament List'!$D:$D,MATCH(J351,'Tournament List'!$A:$A,0)),""))</f>
        <v/>
      </c>
      <c r="L351" s="98" t="str">
        <f>IF(E351="Skeet",IFERROR(INDEX('Shooter-Squad Assignment'!$A:$A,MATCH(C351&amp;"-"&amp;D351&amp;"-"&amp;E351&amp;"-Pos4",'Shooter-Squad Assignment'!#REF!,0)),""),IF(E351="Trap",IFERROR(INDEX('Shooter-Squad Assignment'!$A:$A,MATCH(C351&amp;"-"&amp;D351&amp;"-"&amp;E351&amp;"-Pos4",'Shooter-Squad Assignment'!$V:$V,0)),""),IF(E351="Sporting Clays",IFERROR(INDEX('Shooter-Squad Assignment'!$A:$A,MATCH(C351&amp;"-"&amp;D351&amp;"-"&amp;E351&amp;"-Pos4",'Shooter-Squad Assignment'!$Y:$Y,0)),""),"")))</f>
        <v/>
      </c>
      <c r="M351" s="73" t="str">
        <f>IF(ISBLANK(L351),"",IFERROR(INDEX('Tournament List'!$D:$D,MATCH(L351,'Tournament List'!$A:$A,0)),""))</f>
        <v/>
      </c>
      <c r="N351" s="98" t="str">
        <f>IF(E351="Skeet",IFERROR(INDEX('Shooter-Squad Assignment'!$A:$A,MATCH(C351&amp;"-"&amp;D351&amp;"-"&amp;E351&amp;"-Pos5",'Shooter-Squad Assignment'!#REF!,0)),""),IF(E351="Trap",IFERROR(INDEX('Shooter-Squad Assignment'!$A:$A,MATCH(C351&amp;"-"&amp;D351&amp;"-"&amp;E351&amp;"-Pos5",'Shooter-Squad Assignment'!$V:$V,0)),""),IF(E351="Sporting Clays",IFERROR(INDEX('Shooter-Squad Assignment'!$A:$A,MATCH(C351&amp;"-"&amp;D351&amp;"-"&amp;E351&amp;"-Pos5",'Shooter-Squad Assignment'!$Y:$Y,0)),""),"")))</f>
        <v/>
      </c>
      <c r="O351" s="80" t="str">
        <f>IF(ISBLANK(N351),"",IFERROR(INDEX('Tournament List'!$D:$D,MATCH(N351,'Tournament List'!$A:$A,0)),""))</f>
        <v/>
      </c>
    </row>
    <row r="352" spans="1:15" x14ac:dyDescent="0.3">
      <c r="A352" s="79">
        <v>360</v>
      </c>
      <c r="B352" s="73" t="str">
        <f t="shared" si="5"/>
        <v>-Junior Varsity 3-Trap</v>
      </c>
      <c r="C352" s="73"/>
      <c r="D352" s="73" t="s">
        <v>353</v>
      </c>
      <c r="E352" s="73" t="s">
        <v>147</v>
      </c>
      <c r="F352" s="98" t="str">
        <f>IF(E352="Skeet",IFERROR(INDEX('Shooter-Squad Assignment'!$A:$A,MATCH(C352&amp;"-"&amp;D352&amp;"-"&amp;E352&amp;"-Pos1",'Shooter-Squad Assignment'!#REF!,0)),""),IF(E352="Trap",IFERROR(INDEX('Shooter-Squad Assignment'!$A:$A,MATCH(C352&amp;"-"&amp;D352&amp;"-"&amp;E352&amp;"-Pos1",'Shooter-Squad Assignment'!$V:$V,0)),""),IF(E352="Sporting Clays",IFERROR(INDEX('Shooter-Squad Assignment'!$A:$A,MATCH(C352&amp;"-"&amp;D352&amp;"-"&amp;E352&amp;"-Pos1",'Shooter-Squad Assignment'!$Y:$Y,0)),""),"")))</f>
        <v/>
      </c>
      <c r="G352" s="73" t="str">
        <f>IF(ISBLANK(F352),"",IFERROR(INDEX('Tournament List'!$D:$D,MATCH(F352,'Tournament List'!$A:$A,0)),""))</f>
        <v/>
      </c>
      <c r="H352" s="98" t="str">
        <f>IF(E352="Skeet",IFERROR(INDEX('Shooter-Squad Assignment'!$A:$A,MATCH(C352&amp;"-"&amp;D352&amp;"-"&amp;E352&amp;"-Pos2",'Shooter-Squad Assignment'!#REF!,0)),""),IF(E352="Trap",IFERROR(INDEX('Shooter-Squad Assignment'!$A:$A,MATCH(C352&amp;"-"&amp;D352&amp;"-"&amp;E352&amp;"-Pos2",'Shooter-Squad Assignment'!$V:$V,0)),""),IF(E352="Sporting Clays",IFERROR(INDEX('Shooter-Squad Assignment'!$A:$A,MATCH(C352&amp;"-"&amp;D352&amp;"-"&amp;E352&amp;"-Pos2",'Shooter-Squad Assignment'!$Y:$Y,0)),""),"")))</f>
        <v/>
      </c>
      <c r="I352" s="73" t="str">
        <f>IF(ISBLANK(H352),"",IFERROR(INDEX('Tournament List'!$D:$D,MATCH(H352,'Tournament List'!$A:$A,0)),""))</f>
        <v/>
      </c>
      <c r="J352" s="98" t="str">
        <f>IF(E352="Skeet",IFERROR(INDEX('Shooter-Squad Assignment'!$A:$A,MATCH(C352&amp;"-"&amp;D352&amp;"-"&amp;E352&amp;"-Pos3",'Shooter-Squad Assignment'!#REF!,0)),""),IF(E352="Trap",IFERROR(INDEX('Shooter-Squad Assignment'!$A:$A,MATCH(C352&amp;"-"&amp;D352&amp;"-"&amp;E352&amp;"-Pos3",'Shooter-Squad Assignment'!$V:$V,0)),""),IF(E352="Sporting Clays",IFERROR(INDEX('Shooter-Squad Assignment'!$A:$A,MATCH(C352&amp;"-"&amp;D352&amp;"-"&amp;E352&amp;"-Pos3",'Shooter-Squad Assignment'!$Y:$Y,0)),""),"")))</f>
        <v/>
      </c>
      <c r="K352" s="73" t="str">
        <f>IF(ISBLANK(J352),"",IFERROR(INDEX('Tournament List'!$D:$D,MATCH(J352,'Tournament List'!$A:$A,0)),""))</f>
        <v/>
      </c>
      <c r="L352" s="98" t="str">
        <f>IF(E352="Skeet",IFERROR(INDEX('Shooter-Squad Assignment'!$A:$A,MATCH(C352&amp;"-"&amp;D352&amp;"-"&amp;E352&amp;"-Pos4",'Shooter-Squad Assignment'!#REF!,0)),""),IF(E352="Trap",IFERROR(INDEX('Shooter-Squad Assignment'!$A:$A,MATCH(C352&amp;"-"&amp;D352&amp;"-"&amp;E352&amp;"-Pos4",'Shooter-Squad Assignment'!$V:$V,0)),""),IF(E352="Sporting Clays",IFERROR(INDEX('Shooter-Squad Assignment'!$A:$A,MATCH(C352&amp;"-"&amp;D352&amp;"-"&amp;E352&amp;"-Pos4",'Shooter-Squad Assignment'!$Y:$Y,0)),""),"")))</f>
        <v/>
      </c>
      <c r="M352" s="73" t="str">
        <f>IF(ISBLANK(L352),"",IFERROR(INDEX('Tournament List'!$D:$D,MATCH(L352,'Tournament List'!$A:$A,0)),""))</f>
        <v/>
      </c>
      <c r="N352" s="98" t="str">
        <f>IF(E352="Skeet",IFERROR(INDEX('Shooter-Squad Assignment'!$A:$A,MATCH(C352&amp;"-"&amp;D352&amp;"-"&amp;E352&amp;"-Pos5",'Shooter-Squad Assignment'!#REF!,0)),""),IF(E352="Trap",IFERROR(INDEX('Shooter-Squad Assignment'!$A:$A,MATCH(C352&amp;"-"&amp;D352&amp;"-"&amp;E352&amp;"-Pos5",'Shooter-Squad Assignment'!$V:$V,0)),""),IF(E352="Sporting Clays",IFERROR(INDEX('Shooter-Squad Assignment'!$A:$A,MATCH(C352&amp;"-"&amp;D352&amp;"-"&amp;E352&amp;"-Pos5",'Shooter-Squad Assignment'!$Y:$Y,0)),""),"")))</f>
        <v/>
      </c>
      <c r="O352" s="80" t="str">
        <f>IF(ISBLANK(N352),"",IFERROR(INDEX('Tournament List'!$D:$D,MATCH(N352,'Tournament List'!$A:$A,0)),""))</f>
        <v/>
      </c>
    </row>
    <row r="353" spans="1:15" x14ac:dyDescent="0.3">
      <c r="A353" s="79">
        <v>361</v>
      </c>
      <c r="B353" s="73" t="str">
        <f t="shared" si="5"/>
        <v>-Novice 1-Trap</v>
      </c>
      <c r="C353" s="73"/>
      <c r="D353" s="73" t="s">
        <v>339</v>
      </c>
      <c r="E353" s="73" t="s">
        <v>147</v>
      </c>
      <c r="F353" s="98" t="str">
        <f>IF(E353="Skeet",IFERROR(INDEX('Shooter-Squad Assignment'!$A:$A,MATCH(C353&amp;"-"&amp;D353&amp;"-"&amp;E353&amp;"-Pos1",'Shooter-Squad Assignment'!#REF!,0)),""),IF(E353="Trap",IFERROR(INDEX('Shooter-Squad Assignment'!$A:$A,MATCH(C353&amp;"-"&amp;D353&amp;"-"&amp;E353&amp;"-Pos1",'Shooter-Squad Assignment'!$V:$V,0)),""),IF(E353="Sporting Clays",IFERROR(INDEX('Shooter-Squad Assignment'!$A:$A,MATCH(C353&amp;"-"&amp;D353&amp;"-"&amp;E353&amp;"-Pos1",'Shooter-Squad Assignment'!$Y:$Y,0)),""),"")))</f>
        <v/>
      </c>
      <c r="G353" s="73" t="str">
        <f>IF(ISBLANK(F353),"",IFERROR(INDEX('Tournament List'!$D:$D,MATCH(F353,'Tournament List'!$A:$A,0)),""))</f>
        <v/>
      </c>
      <c r="H353" s="98" t="str">
        <f>IF(E353="Skeet",IFERROR(INDEX('Shooter-Squad Assignment'!$A:$A,MATCH(C353&amp;"-"&amp;D353&amp;"-"&amp;E353&amp;"-Pos2",'Shooter-Squad Assignment'!#REF!,0)),""),IF(E353="Trap",IFERROR(INDEX('Shooter-Squad Assignment'!$A:$A,MATCH(C353&amp;"-"&amp;D353&amp;"-"&amp;E353&amp;"-Pos2",'Shooter-Squad Assignment'!$V:$V,0)),""),IF(E353="Sporting Clays",IFERROR(INDEX('Shooter-Squad Assignment'!$A:$A,MATCH(C353&amp;"-"&amp;D353&amp;"-"&amp;E353&amp;"-Pos2",'Shooter-Squad Assignment'!$Y:$Y,0)),""),"")))</f>
        <v/>
      </c>
      <c r="I353" s="73" t="str">
        <f>IF(ISBLANK(H353),"",IFERROR(INDEX('Tournament List'!$D:$D,MATCH(H353,'Tournament List'!$A:$A,0)),""))</f>
        <v/>
      </c>
      <c r="J353" s="98" t="str">
        <f>IF(E353="Skeet",IFERROR(INDEX('Shooter-Squad Assignment'!$A:$A,MATCH(C353&amp;"-"&amp;D353&amp;"-"&amp;E353&amp;"-Pos3",'Shooter-Squad Assignment'!#REF!,0)),""),IF(E353="Trap",IFERROR(INDEX('Shooter-Squad Assignment'!$A:$A,MATCH(C353&amp;"-"&amp;D353&amp;"-"&amp;E353&amp;"-Pos3",'Shooter-Squad Assignment'!$V:$V,0)),""),IF(E353="Sporting Clays",IFERROR(INDEX('Shooter-Squad Assignment'!$A:$A,MATCH(C353&amp;"-"&amp;D353&amp;"-"&amp;E353&amp;"-Pos3",'Shooter-Squad Assignment'!$Y:$Y,0)),""),"")))</f>
        <v/>
      </c>
      <c r="K353" s="73" t="str">
        <f>IF(ISBLANK(J353),"",IFERROR(INDEX('Tournament List'!$D:$D,MATCH(J353,'Tournament List'!$A:$A,0)),""))</f>
        <v/>
      </c>
      <c r="L353" s="98" t="str">
        <f>IF(E353="Skeet",IFERROR(INDEX('Shooter-Squad Assignment'!$A:$A,MATCH(C353&amp;"-"&amp;D353&amp;"-"&amp;E353&amp;"-Pos4",'Shooter-Squad Assignment'!#REF!,0)),""),IF(E353="Trap",IFERROR(INDEX('Shooter-Squad Assignment'!$A:$A,MATCH(C353&amp;"-"&amp;D353&amp;"-"&amp;E353&amp;"-Pos4",'Shooter-Squad Assignment'!$V:$V,0)),""),IF(E353="Sporting Clays",IFERROR(INDEX('Shooter-Squad Assignment'!$A:$A,MATCH(C353&amp;"-"&amp;D353&amp;"-"&amp;E353&amp;"-Pos4",'Shooter-Squad Assignment'!$Y:$Y,0)),""),"")))</f>
        <v/>
      </c>
      <c r="M353" s="73" t="str">
        <f>IF(ISBLANK(L353),"",IFERROR(INDEX('Tournament List'!$D:$D,MATCH(L353,'Tournament List'!$A:$A,0)),""))</f>
        <v/>
      </c>
      <c r="N353" s="98" t="str">
        <f>IF(E353="Skeet",IFERROR(INDEX('Shooter-Squad Assignment'!$A:$A,MATCH(C353&amp;"-"&amp;D353&amp;"-"&amp;E353&amp;"-Pos5",'Shooter-Squad Assignment'!#REF!,0)),""),IF(E353="Trap",IFERROR(INDEX('Shooter-Squad Assignment'!$A:$A,MATCH(C353&amp;"-"&amp;D353&amp;"-"&amp;E353&amp;"-Pos5",'Shooter-Squad Assignment'!$V:$V,0)),""),IF(E353="Sporting Clays",IFERROR(INDEX('Shooter-Squad Assignment'!$A:$A,MATCH(C353&amp;"-"&amp;D353&amp;"-"&amp;E353&amp;"-Pos5",'Shooter-Squad Assignment'!$Y:$Y,0)),""),"")))</f>
        <v/>
      </c>
      <c r="O353" s="80" t="str">
        <f>IF(ISBLANK(N353),"",IFERROR(INDEX('Tournament List'!$D:$D,MATCH(N353,'Tournament List'!$A:$A,0)),""))</f>
        <v/>
      </c>
    </row>
    <row r="354" spans="1:15" x14ac:dyDescent="0.3">
      <c r="A354" s="79">
        <v>362</v>
      </c>
      <c r="B354" s="73" t="str">
        <f t="shared" si="5"/>
        <v>-Novice 2-Trap</v>
      </c>
      <c r="C354" s="73"/>
      <c r="D354" s="73" t="s">
        <v>345</v>
      </c>
      <c r="E354" s="73" t="s">
        <v>147</v>
      </c>
      <c r="F354" s="98" t="str">
        <f>IF(E354="Skeet",IFERROR(INDEX('Shooter-Squad Assignment'!$A:$A,MATCH(C354&amp;"-"&amp;D354&amp;"-"&amp;E354&amp;"-Pos1",'Shooter-Squad Assignment'!#REF!,0)),""),IF(E354="Trap",IFERROR(INDEX('Shooter-Squad Assignment'!$A:$A,MATCH(C354&amp;"-"&amp;D354&amp;"-"&amp;E354&amp;"-Pos1",'Shooter-Squad Assignment'!$V:$V,0)),""),IF(E354="Sporting Clays",IFERROR(INDEX('Shooter-Squad Assignment'!$A:$A,MATCH(C354&amp;"-"&amp;D354&amp;"-"&amp;E354&amp;"-Pos1",'Shooter-Squad Assignment'!$Y:$Y,0)),""),"")))</f>
        <v/>
      </c>
      <c r="G354" s="73" t="str">
        <f>IF(ISBLANK(F354),"",IFERROR(INDEX('Tournament List'!$D:$D,MATCH(F354,'Tournament List'!$A:$A,0)),""))</f>
        <v/>
      </c>
      <c r="H354" s="98" t="str">
        <f>IF(E354="Skeet",IFERROR(INDEX('Shooter-Squad Assignment'!$A:$A,MATCH(C354&amp;"-"&amp;D354&amp;"-"&amp;E354&amp;"-Pos2",'Shooter-Squad Assignment'!#REF!,0)),""),IF(E354="Trap",IFERROR(INDEX('Shooter-Squad Assignment'!$A:$A,MATCH(C354&amp;"-"&amp;D354&amp;"-"&amp;E354&amp;"-Pos2",'Shooter-Squad Assignment'!$V:$V,0)),""),IF(E354="Sporting Clays",IFERROR(INDEX('Shooter-Squad Assignment'!$A:$A,MATCH(C354&amp;"-"&amp;D354&amp;"-"&amp;E354&amp;"-Pos2",'Shooter-Squad Assignment'!$Y:$Y,0)),""),"")))</f>
        <v/>
      </c>
      <c r="I354" s="73" t="str">
        <f>IF(ISBLANK(H354),"",IFERROR(INDEX('Tournament List'!$D:$D,MATCH(H354,'Tournament List'!$A:$A,0)),""))</f>
        <v/>
      </c>
      <c r="J354" s="98" t="str">
        <f>IF(E354="Skeet",IFERROR(INDEX('Shooter-Squad Assignment'!$A:$A,MATCH(C354&amp;"-"&amp;D354&amp;"-"&amp;E354&amp;"-Pos3",'Shooter-Squad Assignment'!#REF!,0)),""),IF(E354="Trap",IFERROR(INDEX('Shooter-Squad Assignment'!$A:$A,MATCH(C354&amp;"-"&amp;D354&amp;"-"&amp;E354&amp;"-Pos3",'Shooter-Squad Assignment'!$V:$V,0)),""),IF(E354="Sporting Clays",IFERROR(INDEX('Shooter-Squad Assignment'!$A:$A,MATCH(C354&amp;"-"&amp;D354&amp;"-"&amp;E354&amp;"-Pos3",'Shooter-Squad Assignment'!$Y:$Y,0)),""),"")))</f>
        <v/>
      </c>
      <c r="K354" s="73" t="str">
        <f>IF(ISBLANK(J354),"",IFERROR(INDEX('Tournament List'!$D:$D,MATCH(J354,'Tournament List'!$A:$A,0)),""))</f>
        <v/>
      </c>
      <c r="L354" s="98" t="str">
        <f>IF(E354="Skeet",IFERROR(INDEX('Shooter-Squad Assignment'!$A:$A,MATCH(C354&amp;"-"&amp;D354&amp;"-"&amp;E354&amp;"-Pos4",'Shooter-Squad Assignment'!#REF!,0)),""),IF(E354="Trap",IFERROR(INDEX('Shooter-Squad Assignment'!$A:$A,MATCH(C354&amp;"-"&amp;D354&amp;"-"&amp;E354&amp;"-Pos4",'Shooter-Squad Assignment'!$V:$V,0)),""),IF(E354="Sporting Clays",IFERROR(INDEX('Shooter-Squad Assignment'!$A:$A,MATCH(C354&amp;"-"&amp;D354&amp;"-"&amp;E354&amp;"-Pos4",'Shooter-Squad Assignment'!$Y:$Y,0)),""),"")))</f>
        <v/>
      </c>
      <c r="M354" s="73" t="str">
        <f>IF(ISBLANK(L354),"",IFERROR(INDEX('Tournament List'!$D:$D,MATCH(L354,'Tournament List'!$A:$A,0)),""))</f>
        <v/>
      </c>
      <c r="N354" s="98" t="str">
        <f>IF(E354="Skeet",IFERROR(INDEX('Shooter-Squad Assignment'!$A:$A,MATCH(C354&amp;"-"&amp;D354&amp;"-"&amp;E354&amp;"-Pos5",'Shooter-Squad Assignment'!#REF!,0)),""),IF(E354="Trap",IFERROR(INDEX('Shooter-Squad Assignment'!$A:$A,MATCH(C354&amp;"-"&amp;D354&amp;"-"&amp;E354&amp;"-Pos5",'Shooter-Squad Assignment'!$V:$V,0)),""),IF(E354="Sporting Clays",IFERROR(INDEX('Shooter-Squad Assignment'!$A:$A,MATCH(C354&amp;"-"&amp;D354&amp;"-"&amp;E354&amp;"-Pos5",'Shooter-Squad Assignment'!$Y:$Y,0)),""),"")))</f>
        <v/>
      </c>
      <c r="O354" s="80" t="str">
        <f>IF(ISBLANK(N354),"",IFERROR(INDEX('Tournament List'!$D:$D,MATCH(N354,'Tournament List'!$A:$A,0)),""))</f>
        <v/>
      </c>
    </row>
    <row r="355" spans="1:15" x14ac:dyDescent="0.3">
      <c r="A355" s="79">
        <v>363</v>
      </c>
      <c r="B355" s="73" t="str">
        <f t="shared" si="5"/>
        <v>-Novice 3-Trap</v>
      </c>
      <c r="C355" s="73"/>
      <c r="D355" s="73" t="s">
        <v>351</v>
      </c>
      <c r="E355" s="73" t="s">
        <v>147</v>
      </c>
      <c r="F355" s="98" t="str">
        <f>IF(E355="Skeet",IFERROR(INDEX('Shooter-Squad Assignment'!$A:$A,MATCH(C355&amp;"-"&amp;D355&amp;"-"&amp;E355&amp;"-Pos1",'Shooter-Squad Assignment'!#REF!,0)),""),IF(E355="Trap",IFERROR(INDEX('Shooter-Squad Assignment'!$A:$A,MATCH(C355&amp;"-"&amp;D355&amp;"-"&amp;E355&amp;"-Pos1",'Shooter-Squad Assignment'!$V:$V,0)),""),IF(E355="Sporting Clays",IFERROR(INDEX('Shooter-Squad Assignment'!$A:$A,MATCH(C355&amp;"-"&amp;D355&amp;"-"&amp;E355&amp;"-Pos1",'Shooter-Squad Assignment'!$Y:$Y,0)),""),"")))</f>
        <v/>
      </c>
      <c r="G355" s="73" t="str">
        <f>IF(ISBLANK(F355),"",IFERROR(INDEX('Tournament List'!$D:$D,MATCH(F355,'Tournament List'!$A:$A,0)),""))</f>
        <v/>
      </c>
      <c r="H355" s="98" t="str">
        <f>IF(E355="Skeet",IFERROR(INDEX('Shooter-Squad Assignment'!$A:$A,MATCH(C355&amp;"-"&amp;D355&amp;"-"&amp;E355&amp;"-Pos2",'Shooter-Squad Assignment'!#REF!,0)),""),IF(E355="Trap",IFERROR(INDEX('Shooter-Squad Assignment'!$A:$A,MATCH(C355&amp;"-"&amp;D355&amp;"-"&amp;E355&amp;"-Pos2",'Shooter-Squad Assignment'!$V:$V,0)),""),IF(E355="Sporting Clays",IFERROR(INDEX('Shooter-Squad Assignment'!$A:$A,MATCH(C355&amp;"-"&amp;D355&amp;"-"&amp;E355&amp;"-Pos2",'Shooter-Squad Assignment'!$Y:$Y,0)),""),"")))</f>
        <v/>
      </c>
      <c r="I355" s="73" t="str">
        <f>IF(ISBLANK(H355),"",IFERROR(INDEX('Tournament List'!$D:$D,MATCH(H355,'Tournament List'!$A:$A,0)),""))</f>
        <v/>
      </c>
      <c r="J355" s="98" t="str">
        <f>IF(E355="Skeet",IFERROR(INDEX('Shooter-Squad Assignment'!$A:$A,MATCH(C355&amp;"-"&amp;D355&amp;"-"&amp;E355&amp;"-Pos3",'Shooter-Squad Assignment'!#REF!,0)),""),IF(E355="Trap",IFERROR(INDEX('Shooter-Squad Assignment'!$A:$A,MATCH(C355&amp;"-"&amp;D355&amp;"-"&amp;E355&amp;"-Pos3",'Shooter-Squad Assignment'!$V:$V,0)),""),IF(E355="Sporting Clays",IFERROR(INDEX('Shooter-Squad Assignment'!$A:$A,MATCH(C355&amp;"-"&amp;D355&amp;"-"&amp;E355&amp;"-Pos3",'Shooter-Squad Assignment'!$Y:$Y,0)),""),"")))</f>
        <v/>
      </c>
      <c r="K355" s="73" t="str">
        <f>IF(ISBLANK(J355),"",IFERROR(INDEX('Tournament List'!$D:$D,MATCH(J355,'Tournament List'!$A:$A,0)),""))</f>
        <v/>
      </c>
      <c r="L355" s="98" t="str">
        <f>IF(E355="Skeet",IFERROR(INDEX('Shooter-Squad Assignment'!$A:$A,MATCH(C355&amp;"-"&amp;D355&amp;"-"&amp;E355&amp;"-Pos4",'Shooter-Squad Assignment'!#REF!,0)),""),IF(E355="Trap",IFERROR(INDEX('Shooter-Squad Assignment'!$A:$A,MATCH(C355&amp;"-"&amp;D355&amp;"-"&amp;E355&amp;"-Pos4",'Shooter-Squad Assignment'!$V:$V,0)),""),IF(E355="Sporting Clays",IFERROR(INDEX('Shooter-Squad Assignment'!$A:$A,MATCH(C355&amp;"-"&amp;D355&amp;"-"&amp;E355&amp;"-Pos4",'Shooter-Squad Assignment'!$Y:$Y,0)),""),"")))</f>
        <v/>
      </c>
      <c r="M355" s="73" t="str">
        <f>IF(ISBLANK(L355),"",IFERROR(INDEX('Tournament List'!$D:$D,MATCH(L355,'Tournament List'!$A:$A,0)),""))</f>
        <v/>
      </c>
      <c r="N355" s="98" t="str">
        <f>IF(E355="Skeet",IFERROR(INDEX('Shooter-Squad Assignment'!$A:$A,MATCH(C355&amp;"-"&amp;D355&amp;"-"&amp;E355&amp;"-Pos5",'Shooter-Squad Assignment'!#REF!,0)),""),IF(E355="Trap",IFERROR(INDEX('Shooter-Squad Assignment'!$A:$A,MATCH(C355&amp;"-"&amp;D355&amp;"-"&amp;E355&amp;"-Pos5",'Shooter-Squad Assignment'!$V:$V,0)),""),IF(E355="Sporting Clays",IFERROR(INDEX('Shooter-Squad Assignment'!$A:$A,MATCH(C355&amp;"-"&amp;D355&amp;"-"&amp;E355&amp;"-Pos5",'Shooter-Squad Assignment'!$Y:$Y,0)),""),"")))</f>
        <v/>
      </c>
      <c r="O355" s="80" t="str">
        <f>IF(ISBLANK(N355),"",IFERROR(INDEX('Tournament List'!$D:$D,MATCH(N355,'Tournament List'!$A:$A,0)),""))</f>
        <v/>
      </c>
    </row>
    <row r="356" spans="1:15" x14ac:dyDescent="0.3">
      <c r="A356" s="79">
        <v>364</v>
      </c>
      <c r="B356" s="73" t="str">
        <f t="shared" si="5"/>
        <v>-Open 1-Trap</v>
      </c>
      <c r="C356" s="73"/>
      <c r="D356" s="73" t="s">
        <v>343</v>
      </c>
      <c r="E356" s="73" t="s">
        <v>147</v>
      </c>
      <c r="F356" s="98" t="str">
        <f>IF(E356="Skeet",IFERROR(INDEX('Shooter-Squad Assignment'!$A:$A,MATCH(C356&amp;"-"&amp;D356&amp;"-"&amp;E356&amp;"-Pos1",'Shooter-Squad Assignment'!#REF!,0)),""),IF(E356="Trap",IFERROR(INDEX('Shooter-Squad Assignment'!$A:$A,MATCH(C356&amp;"-"&amp;D356&amp;"-"&amp;E356&amp;"-Pos1",'Shooter-Squad Assignment'!$V:$V,0)),""),IF(E356="Sporting Clays",IFERROR(INDEX('Shooter-Squad Assignment'!$A:$A,MATCH(C356&amp;"-"&amp;D356&amp;"-"&amp;E356&amp;"-Pos1",'Shooter-Squad Assignment'!$Y:$Y,0)),""),"")))</f>
        <v/>
      </c>
      <c r="G356" s="73" t="str">
        <f>IF(ISBLANK(F356),"",IFERROR(INDEX('Tournament List'!$D:$D,MATCH(F356,'Tournament List'!$A:$A,0)),""))</f>
        <v/>
      </c>
      <c r="H356" s="98" t="str">
        <f>IF(E356="Skeet",IFERROR(INDEX('Shooter-Squad Assignment'!$A:$A,MATCH(C356&amp;"-"&amp;D356&amp;"-"&amp;E356&amp;"-Pos2",'Shooter-Squad Assignment'!#REF!,0)),""),IF(E356="Trap",IFERROR(INDEX('Shooter-Squad Assignment'!$A:$A,MATCH(C356&amp;"-"&amp;D356&amp;"-"&amp;E356&amp;"-Pos2",'Shooter-Squad Assignment'!$V:$V,0)),""),IF(E356="Sporting Clays",IFERROR(INDEX('Shooter-Squad Assignment'!$A:$A,MATCH(C356&amp;"-"&amp;D356&amp;"-"&amp;E356&amp;"-Pos2",'Shooter-Squad Assignment'!$Y:$Y,0)),""),"")))</f>
        <v/>
      </c>
      <c r="I356" s="73" t="str">
        <f>IF(ISBLANK(H356),"",IFERROR(INDEX('Tournament List'!$D:$D,MATCH(H356,'Tournament List'!$A:$A,0)),""))</f>
        <v/>
      </c>
      <c r="J356" s="98" t="str">
        <f>IF(E356="Skeet",IFERROR(INDEX('Shooter-Squad Assignment'!$A:$A,MATCH(C356&amp;"-"&amp;D356&amp;"-"&amp;E356&amp;"-Pos3",'Shooter-Squad Assignment'!#REF!,0)),""),IF(E356="Trap",IFERROR(INDEX('Shooter-Squad Assignment'!$A:$A,MATCH(C356&amp;"-"&amp;D356&amp;"-"&amp;E356&amp;"-Pos3",'Shooter-Squad Assignment'!$V:$V,0)),""),IF(E356="Sporting Clays",IFERROR(INDEX('Shooter-Squad Assignment'!$A:$A,MATCH(C356&amp;"-"&amp;D356&amp;"-"&amp;E356&amp;"-Pos3",'Shooter-Squad Assignment'!$Y:$Y,0)),""),"")))</f>
        <v/>
      </c>
      <c r="K356" s="73" t="str">
        <f>IF(ISBLANK(J356),"",IFERROR(INDEX('Tournament List'!$D:$D,MATCH(J356,'Tournament List'!$A:$A,0)),""))</f>
        <v/>
      </c>
      <c r="L356" s="98" t="str">
        <f>IF(E356="Skeet",IFERROR(INDEX('Shooter-Squad Assignment'!$A:$A,MATCH(C356&amp;"-"&amp;D356&amp;"-"&amp;E356&amp;"-Pos4",'Shooter-Squad Assignment'!#REF!,0)),""),IF(E356="Trap",IFERROR(INDEX('Shooter-Squad Assignment'!$A:$A,MATCH(C356&amp;"-"&amp;D356&amp;"-"&amp;E356&amp;"-Pos4",'Shooter-Squad Assignment'!$V:$V,0)),""),IF(E356="Sporting Clays",IFERROR(INDEX('Shooter-Squad Assignment'!$A:$A,MATCH(C356&amp;"-"&amp;D356&amp;"-"&amp;E356&amp;"-Pos4",'Shooter-Squad Assignment'!$Y:$Y,0)),""),"")))</f>
        <v/>
      </c>
      <c r="M356" s="73" t="str">
        <f>IF(ISBLANK(L356),"",IFERROR(INDEX('Tournament List'!$D:$D,MATCH(L356,'Tournament List'!$A:$A,0)),""))</f>
        <v/>
      </c>
      <c r="N356" s="98" t="str">
        <f>IF(E356="Skeet",IFERROR(INDEX('Shooter-Squad Assignment'!$A:$A,MATCH(C356&amp;"-"&amp;D356&amp;"-"&amp;E356&amp;"-Pos5",'Shooter-Squad Assignment'!#REF!,0)),""),IF(E356="Trap",IFERROR(INDEX('Shooter-Squad Assignment'!$A:$A,MATCH(C356&amp;"-"&amp;D356&amp;"-"&amp;E356&amp;"-Pos5",'Shooter-Squad Assignment'!$V:$V,0)),""),IF(E356="Sporting Clays",IFERROR(INDEX('Shooter-Squad Assignment'!$A:$A,MATCH(C356&amp;"-"&amp;D356&amp;"-"&amp;E356&amp;"-Pos5",'Shooter-Squad Assignment'!$Y:$Y,0)),""),"")))</f>
        <v/>
      </c>
      <c r="O356" s="80" t="str">
        <f>IF(ISBLANK(N356),"",IFERROR(INDEX('Tournament List'!$D:$D,MATCH(N356,'Tournament List'!$A:$A,0)),""))</f>
        <v/>
      </c>
    </row>
    <row r="357" spans="1:15" x14ac:dyDescent="0.3">
      <c r="A357" s="79">
        <v>365</v>
      </c>
      <c r="B357" s="73" t="str">
        <f t="shared" si="5"/>
        <v>-Open 2-Trap</v>
      </c>
      <c r="C357" s="73"/>
      <c r="D357" s="73" t="s">
        <v>349</v>
      </c>
      <c r="E357" s="73" t="s">
        <v>147</v>
      </c>
      <c r="F357" s="98" t="str">
        <f>IF(E357="Skeet",IFERROR(INDEX('Shooter-Squad Assignment'!$A:$A,MATCH(C357&amp;"-"&amp;D357&amp;"-"&amp;E357&amp;"-Pos1",'Shooter-Squad Assignment'!#REF!,0)),""),IF(E357="Trap",IFERROR(INDEX('Shooter-Squad Assignment'!$A:$A,MATCH(C357&amp;"-"&amp;D357&amp;"-"&amp;E357&amp;"-Pos1",'Shooter-Squad Assignment'!$V:$V,0)),""),IF(E357="Sporting Clays",IFERROR(INDEX('Shooter-Squad Assignment'!$A:$A,MATCH(C357&amp;"-"&amp;D357&amp;"-"&amp;E357&amp;"-Pos1",'Shooter-Squad Assignment'!$Y:$Y,0)),""),"")))</f>
        <v/>
      </c>
      <c r="G357" s="73" t="str">
        <f>IF(ISBLANK(F357),"",IFERROR(INDEX('Tournament List'!$D:$D,MATCH(F357,'Tournament List'!$A:$A,0)),""))</f>
        <v/>
      </c>
      <c r="H357" s="98" t="str">
        <f>IF(E357="Skeet",IFERROR(INDEX('Shooter-Squad Assignment'!$A:$A,MATCH(C357&amp;"-"&amp;D357&amp;"-"&amp;E357&amp;"-Pos2",'Shooter-Squad Assignment'!#REF!,0)),""),IF(E357="Trap",IFERROR(INDEX('Shooter-Squad Assignment'!$A:$A,MATCH(C357&amp;"-"&amp;D357&amp;"-"&amp;E357&amp;"-Pos2",'Shooter-Squad Assignment'!$V:$V,0)),""),IF(E357="Sporting Clays",IFERROR(INDEX('Shooter-Squad Assignment'!$A:$A,MATCH(C357&amp;"-"&amp;D357&amp;"-"&amp;E357&amp;"-Pos2",'Shooter-Squad Assignment'!$Y:$Y,0)),""),"")))</f>
        <v/>
      </c>
      <c r="I357" s="73" t="str">
        <f>IF(ISBLANK(H357),"",IFERROR(INDEX('Tournament List'!$D:$D,MATCH(H357,'Tournament List'!$A:$A,0)),""))</f>
        <v/>
      </c>
      <c r="J357" s="98" t="str">
        <f>IF(E357="Skeet",IFERROR(INDEX('Shooter-Squad Assignment'!$A:$A,MATCH(C357&amp;"-"&amp;D357&amp;"-"&amp;E357&amp;"-Pos3",'Shooter-Squad Assignment'!#REF!,0)),""),IF(E357="Trap",IFERROR(INDEX('Shooter-Squad Assignment'!$A:$A,MATCH(C357&amp;"-"&amp;D357&amp;"-"&amp;E357&amp;"-Pos3",'Shooter-Squad Assignment'!$V:$V,0)),""),IF(E357="Sporting Clays",IFERROR(INDEX('Shooter-Squad Assignment'!$A:$A,MATCH(C357&amp;"-"&amp;D357&amp;"-"&amp;E357&amp;"-Pos3",'Shooter-Squad Assignment'!$Y:$Y,0)),""),"")))</f>
        <v/>
      </c>
      <c r="K357" s="73" t="str">
        <f>IF(ISBLANK(J357),"",IFERROR(INDEX('Tournament List'!$D:$D,MATCH(J357,'Tournament List'!$A:$A,0)),""))</f>
        <v/>
      </c>
      <c r="L357" s="98" t="str">
        <f>IF(E357="Skeet",IFERROR(INDEX('Shooter-Squad Assignment'!$A:$A,MATCH(C357&amp;"-"&amp;D357&amp;"-"&amp;E357&amp;"-Pos4",'Shooter-Squad Assignment'!#REF!,0)),""),IF(E357="Trap",IFERROR(INDEX('Shooter-Squad Assignment'!$A:$A,MATCH(C357&amp;"-"&amp;D357&amp;"-"&amp;E357&amp;"-Pos4",'Shooter-Squad Assignment'!$V:$V,0)),""),IF(E357="Sporting Clays",IFERROR(INDEX('Shooter-Squad Assignment'!$A:$A,MATCH(C357&amp;"-"&amp;D357&amp;"-"&amp;E357&amp;"-Pos4",'Shooter-Squad Assignment'!$Y:$Y,0)),""),"")))</f>
        <v/>
      </c>
      <c r="M357" s="73" t="str">
        <f>IF(ISBLANK(L357),"",IFERROR(INDEX('Tournament List'!$D:$D,MATCH(L357,'Tournament List'!$A:$A,0)),""))</f>
        <v/>
      </c>
      <c r="N357" s="98" t="str">
        <f>IF(E357="Skeet",IFERROR(INDEX('Shooter-Squad Assignment'!$A:$A,MATCH(C357&amp;"-"&amp;D357&amp;"-"&amp;E357&amp;"-Pos5",'Shooter-Squad Assignment'!#REF!,0)),""),IF(E357="Trap",IFERROR(INDEX('Shooter-Squad Assignment'!$A:$A,MATCH(C357&amp;"-"&amp;D357&amp;"-"&amp;E357&amp;"-Pos5",'Shooter-Squad Assignment'!$V:$V,0)),""),IF(E357="Sporting Clays",IFERROR(INDEX('Shooter-Squad Assignment'!$A:$A,MATCH(C357&amp;"-"&amp;D357&amp;"-"&amp;E357&amp;"-Pos5",'Shooter-Squad Assignment'!$Y:$Y,0)),""),"")))</f>
        <v/>
      </c>
      <c r="O357" s="80" t="str">
        <f>IF(ISBLANK(N357),"",IFERROR(INDEX('Tournament List'!$D:$D,MATCH(N357,'Tournament List'!$A:$A,0)),""))</f>
        <v/>
      </c>
    </row>
    <row r="358" spans="1:15" x14ac:dyDescent="0.3">
      <c r="A358" s="79">
        <v>366</v>
      </c>
      <c r="B358" s="73" t="str">
        <f t="shared" si="5"/>
        <v>-Open 3-Trap</v>
      </c>
      <c r="C358" s="73"/>
      <c r="D358" s="73" t="s">
        <v>355</v>
      </c>
      <c r="E358" s="73" t="s">
        <v>147</v>
      </c>
      <c r="F358" s="98" t="str">
        <f>IF(E358="Skeet",IFERROR(INDEX('Shooter-Squad Assignment'!$A:$A,MATCH(C358&amp;"-"&amp;D358&amp;"-"&amp;E358&amp;"-Pos1",'Shooter-Squad Assignment'!#REF!,0)),""),IF(E358="Trap",IFERROR(INDEX('Shooter-Squad Assignment'!$A:$A,MATCH(C358&amp;"-"&amp;D358&amp;"-"&amp;E358&amp;"-Pos1",'Shooter-Squad Assignment'!$V:$V,0)),""),IF(E358="Sporting Clays",IFERROR(INDEX('Shooter-Squad Assignment'!$A:$A,MATCH(C358&amp;"-"&amp;D358&amp;"-"&amp;E358&amp;"-Pos1",'Shooter-Squad Assignment'!$Y:$Y,0)),""),"")))</f>
        <v/>
      </c>
      <c r="G358" s="73" t="str">
        <f>IF(ISBLANK(F358),"",IFERROR(INDEX('Tournament List'!$D:$D,MATCH(F358,'Tournament List'!$A:$A,0)),""))</f>
        <v/>
      </c>
      <c r="H358" s="98" t="str">
        <f>IF(E358="Skeet",IFERROR(INDEX('Shooter-Squad Assignment'!$A:$A,MATCH(C358&amp;"-"&amp;D358&amp;"-"&amp;E358&amp;"-Pos2",'Shooter-Squad Assignment'!#REF!,0)),""),IF(E358="Trap",IFERROR(INDEX('Shooter-Squad Assignment'!$A:$A,MATCH(C358&amp;"-"&amp;D358&amp;"-"&amp;E358&amp;"-Pos2",'Shooter-Squad Assignment'!$V:$V,0)),""),IF(E358="Sporting Clays",IFERROR(INDEX('Shooter-Squad Assignment'!$A:$A,MATCH(C358&amp;"-"&amp;D358&amp;"-"&amp;E358&amp;"-Pos2",'Shooter-Squad Assignment'!$Y:$Y,0)),""),"")))</f>
        <v/>
      </c>
      <c r="I358" s="73" t="str">
        <f>IF(ISBLANK(H358),"",IFERROR(INDEX('Tournament List'!$D:$D,MATCH(H358,'Tournament List'!$A:$A,0)),""))</f>
        <v/>
      </c>
      <c r="J358" s="98" t="str">
        <f>IF(E358="Skeet",IFERROR(INDEX('Shooter-Squad Assignment'!$A:$A,MATCH(C358&amp;"-"&amp;D358&amp;"-"&amp;E358&amp;"-Pos3",'Shooter-Squad Assignment'!#REF!,0)),""),IF(E358="Trap",IFERROR(INDEX('Shooter-Squad Assignment'!$A:$A,MATCH(C358&amp;"-"&amp;D358&amp;"-"&amp;E358&amp;"-Pos3",'Shooter-Squad Assignment'!$V:$V,0)),""),IF(E358="Sporting Clays",IFERROR(INDEX('Shooter-Squad Assignment'!$A:$A,MATCH(C358&amp;"-"&amp;D358&amp;"-"&amp;E358&amp;"-Pos3",'Shooter-Squad Assignment'!$Y:$Y,0)),""),"")))</f>
        <v/>
      </c>
      <c r="K358" s="73" t="str">
        <f>IF(ISBLANK(J358),"",IFERROR(INDEX('Tournament List'!$D:$D,MATCH(J358,'Tournament List'!$A:$A,0)),""))</f>
        <v/>
      </c>
      <c r="L358" s="98" t="str">
        <f>IF(E358="Skeet",IFERROR(INDEX('Shooter-Squad Assignment'!$A:$A,MATCH(C358&amp;"-"&amp;D358&amp;"-"&amp;E358&amp;"-Pos4",'Shooter-Squad Assignment'!#REF!,0)),""),IF(E358="Trap",IFERROR(INDEX('Shooter-Squad Assignment'!$A:$A,MATCH(C358&amp;"-"&amp;D358&amp;"-"&amp;E358&amp;"-Pos4",'Shooter-Squad Assignment'!$V:$V,0)),""),IF(E358="Sporting Clays",IFERROR(INDEX('Shooter-Squad Assignment'!$A:$A,MATCH(C358&amp;"-"&amp;D358&amp;"-"&amp;E358&amp;"-Pos4",'Shooter-Squad Assignment'!$Y:$Y,0)),""),"")))</f>
        <v/>
      </c>
      <c r="M358" s="73" t="str">
        <f>IF(ISBLANK(L358),"",IFERROR(INDEX('Tournament List'!$D:$D,MATCH(L358,'Tournament List'!$A:$A,0)),""))</f>
        <v/>
      </c>
      <c r="N358" s="98" t="str">
        <f>IF(E358="Skeet",IFERROR(INDEX('Shooter-Squad Assignment'!$A:$A,MATCH(C358&amp;"-"&amp;D358&amp;"-"&amp;E358&amp;"-Pos5",'Shooter-Squad Assignment'!#REF!,0)),""),IF(E358="Trap",IFERROR(INDEX('Shooter-Squad Assignment'!$A:$A,MATCH(C358&amp;"-"&amp;D358&amp;"-"&amp;E358&amp;"-Pos5",'Shooter-Squad Assignment'!$V:$V,0)),""),IF(E358="Sporting Clays",IFERROR(INDEX('Shooter-Squad Assignment'!$A:$A,MATCH(C358&amp;"-"&amp;D358&amp;"-"&amp;E358&amp;"-Pos5",'Shooter-Squad Assignment'!$Y:$Y,0)),""),"")))</f>
        <v/>
      </c>
      <c r="O358" s="80" t="str">
        <f>IF(ISBLANK(N358),"",IFERROR(INDEX('Tournament List'!$D:$D,MATCH(N358,'Tournament List'!$A:$A,0)),""))</f>
        <v/>
      </c>
    </row>
    <row r="359" spans="1:15" x14ac:dyDescent="0.3">
      <c r="A359" s="79">
        <v>367</v>
      </c>
      <c r="B359" s="73" t="str">
        <f t="shared" si="5"/>
        <v>-Varsity 1-Trap</v>
      </c>
      <c r="C359" s="73"/>
      <c r="D359" s="73" t="s">
        <v>342</v>
      </c>
      <c r="E359" s="73" t="s">
        <v>147</v>
      </c>
      <c r="F359" s="98" t="str">
        <f>IF(E359="Skeet",IFERROR(INDEX('Shooter-Squad Assignment'!$A:$A,MATCH(C359&amp;"-"&amp;D359&amp;"-"&amp;E359&amp;"-Pos1",'Shooter-Squad Assignment'!#REF!,0)),""),IF(E359="Trap",IFERROR(INDEX('Shooter-Squad Assignment'!$A:$A,MATCH(C359&amp;"-"&amp;D359&amp;"-"&amp;E359&amp;"-Pos1",'Shooter-Squad Assignment'!$V:$V,0)),""),IF(E359="Sporting Clays",IFERROR(INDEX('Shooter-Squad Assignment'!$A:$A,MATCH(C359&amp;"-"&amp;D359&amp;"-"&amp;E359&amp;"-Pos1",'Shooter-Squad Assignment'!$Y:$Y,0)),""),"")))</f>
        <v/>
      </c>
      <c r="G359" s="73" t="str">
        <f>IF(ISBLANK(F359),"",IFERROR(INDEX('Tournament List'!$D:$D,MATCH(F359,'Tournament List'!$A:$A,0)),""))</f>
        <v/>
      </c>
      <c r="H359" s="98" t="str">
        <f>IF(E359="Skeet",IFERROR(INDEX('Shooter-Squad Assignment'!$A:$A,MATCH(C359&amp;"-"&amp;D359&amp;"-"&amp;E359&amp;"-Pos2",'Shooter-Squad Assignment'!#REF!,0)),""),IF(E359="Trap",IFERROR(INDEX('Shooter-Squad Assignment'!$A:$A,MATCH(C359&amp;"-"&amp;D359&amp;"-"&amp;E359&amp;"-Pos2",'Shooter-Squad Assignment'!$V:$V,0)),""),IF(E359="Sporting Clays",IFERROR(INDEX('Shooter-Squad Assignment'!$A:$A,MATCH(C359&amp;"-"&amp;D359&amp;"-"&amp;E359&amp;"-Pos2",'Shooter-Squad Assignment'!$Y:$Y,0)),""),"")))</f>
        <v/>
      </c>
      <c r="I359" s="73" t="str">
        <f>IF(ISBLANK(H359),"",IFERROR(INDEX('Tournament List'!$D:$D,MATCH(H359,'Tournament List'!$A:$A,0)),""))</f>
        <v/>
      </c>
      <c r="J359" s="98" t="str">
        <f>IF(E359="Skeet",IFERROR(INDEX('Shooter-Squad Assignment'!$A:$A,MATCH(C359&amp;"-"&amp;D359&amp;"-"&amp;E359&amp;"-Pos3",'Shooter-Squad Assignment'!#REF!,0)),""),IF(E359="Trap",IFERROR(INDEX('Shooter-Squad Assignment'!$A:$A,MATCH(C359&amp;"-"&amp;D359&amp;"-"&amp;E359&amp;"-Pos3",'Shooter-Squad Assignment'!$V:$V,0)),""),IF(E359="Sporting Clays",IFERROR(INDEX('Shooter-Squad Assignment'!$A:$A,MATCH(C359&amp;"-"&amp;D359&amp;"-"&amp;E359&amp;"-Pos3",'Shooter-Squad Assignment'!$Y:$Y,0)),""),"")))</f>
        <v/>
      </c>
      <c r="K359" s="73" t="str">
        <f>IF(ISBLANK(J359),"",IFERROR(INDEX('Tournament List'!$D:$D,MATCH(J359,'Tournament List'!$A:$A,0)),""))</f>
        <v/>
      </c>
      <c r="L359" s="98" t="str">
        <f>IF(E359="Skeet",IFERROR(INDEX('Shooter-Squad Assignment'!$A:$A,MATCH(C359&amp;"-"&amp;D359&amp;"-"&amp;E359&amp;"-Pos4",'Shooter-Squad Assignment'!#REF!,0)),""),IF(E359="Trap",IFERROR(INDEX('Shooter-Squad Assignment'!$A:$A,MATCH(C359&amp;"-"&amp;D359&amp;"-"&amp;E359&amp;"-Pos4",'Shooter-Squad Assignment'!$V:$V,0)),""),IF(E359="Sporting Clays",IFERROR(INDEX('Shooter-Squad Assignment'!$A:$A,MATCH(C359&amp;"-"&amp;D359&amp;"-"&amp;E359&amp;"-Pos4",'Shooter-Squad Assignment'!$Y:$Y,0)),""),"")))</f>
        <v/>
      </c>
      <c r="M359" s="73" t="str">
        <f>IF(ISBLANK(L359),"",IFERROR(INDEX('Tournament List'!$D:$D,MATCH(L359,'Tournament List'!$A:$A,0)),""))</f>
        <v/>
      </c>
      <c r="N359" s="98" t="str">
        <f>IF(E359="Skeet",IFERROR(INDEX('Shooter-Squad Assignment'!$A:$A,MATCH(C359&amp;"-"&amp;D359&amp;"-"&amp;E359&amp;"-Pos5",'Shooter-Squad Assignment'!#REF!,0)),""),IF(E359="Trap",IFERROR(INDEX('Shooter-Squad Assignment'!$A:$A,MATCH(C359&amp;"-"&amp;D359&amp;"-"&amp;E359&amp;"-Pos5",'Shooter-Squad Assignment'!$V:$V,0)),""),IF(E359="Sporting Clays",IFERROR(INDEX('Shooter-Squad Assignment'!$A:$A,MATCH(C359&amp;"-"&amp;D359&amp;"-"&amp;E359&amp;"-Pos5",'Shooter-Squad Assignment'!$Y:$Y,0)),""),"")))</f>
        <v/>
      </c>
      <c r="O359" s="80" t="str">
        <f>IF(ISBLANK(N359),"",IFERROR(INDEX('Tournament List'!$D:$D,MATCH(N359,'Tournament List'!$A:$A,0)),""))</f>
        <v/>
      </c>
    </row>
    <row r="360" spans="1:15" x14ac:dyDescent="0.3">
      <c r="A360" s="79">
        <v>368</v>
      </c>
      <c r="B360" s="73" t="str">
        <f t="shared" si="5"/>
        <v>-Varsity 2-Trap</v>
      </c>
      <c r="C360" s="73"/>
      <c r="D360" s="73" t="s">
        <v>348</v>
      </c>
      <c r="E360" s="73" t="s">
        <v>147</v>
      </c>
      <c r="F360" s="98" t="str">
        <f>IF(E360="Skeet",IFERROR(INDEX('Shooter-Squad Assignment'!$A:$A,MATCH(C360&amp;"-"&amp;D360&amp;"-"&amp;E360&amp;"-Pos1",'Shooter-Squad Assignment'!#REF!,0)),""),IF(E360="Trap",IFERROR(INDEX('Shooter-Squad Assignment'!$A:$A,MATCH(C360&amp;"-"&amp;D360&amp;"-"&amp;E360&amp;"-Pos1",'Shooter-Squad Assignment'!$V:$V,0)),""),IF(E360="Sporting Clays",IFERROR(INDEX('Shooter-Squad Assignment'!$A:$A,MATCH(C360&amp;"-"&amp;D360&amp;"-"&amp;E360&amp;"-Pos1",'Shooter-Squad Assignment'!$Y:$Y,0)),""),"")))</f>
        <v/>
      </c>
      <c r="G360" s="73" t="str">
        <f>IF(ISBLANK(F360),"",IFERROR(INDEX('Tournament List'!$D:$D,MATCH(F360,'Tournament List'!$A:$A,0)),""))</f>
        <v/>
      </c>
      <c r="H360" s="98" t="str">
        <f>IF(E360="Skeet",IFERROR(INDEX('Shooter-Squad Assignment'!$A:$A,MATCH(C360&amp;"-"&amp;D360&amp;"-"&amp;E360&amp;"-Pos2",'Shooter-Squad Assignment'!#REF!,0)),""),IF(E360="Trap",IFERROR(INDEX('Shooter-Squad Assignment'!$A:$A,MATCH(C360&amp;"-"&amp;D360&amp;"-"&amp;E360&amp;"-Pos2",'Shooter-Squad Assignment'!$V:$V,0)),""),IF(E360="Sporting Clays",IFERROR(INDEX('Shooter-Squad Assignment'!$A:$A,MATCH(C360&amp;"-"&amp;D360&amp;"-"&amp;E360&amp;"-Pos2",'Shooter-Squad Assignment'!$Y:$Y,0)),""),"")))</f>
        <v/>
      </c>
      <c r="I360" s="73" t="str">
        <f>IF(ISBLANK(H360),"",IFERROR(INDEX('Tournament List'!$D:$D,MATCH(H360,'Tournament List'!$A:$A,0)),""))</f>
        <v/>
      </c>
      <c r="J360" s="98" t="str">
        <f>IF(E360="Skeet",IFERROR(INDEX('Shooter-Squad Assignment'!$A:$A,MATCH(C360&amp;"-"&amp;D360&amp;"-"&amp;E360&amp;"-Pos3",'Shooter-Squad Assignment'!#REF!,0)),""),IF(E360="Trap",IFERROR(INDEX('Shooter-Squad Assignment'!$A:$A,MATCH(C360&amp;"-"&amp;D360&amp;"-"&amp;E360&amp;"-Pos3",'Shooter-Squad Assignment'!$V:$V,0)),""),IF(E360="Sporting Clays",IFERROR(INDEX('Shooter-Squad Assignment'!$A:$A,MATCH(C360&amp;"-"&amp;D360&amp;"-"&amp;E360&amp;"-Pos3",'Shooter-Squad Assignment'!$Y:$Y,0)),""),"")))</f>
        <v/>
      </c>
      <c r="K360" s="73" t="str">
        <f>IF(ISBLANK(J360),"",IFERROR(INDEX('Tournament List'!$D:$D,MATCH(J360,'Tournament List'!$A:$A,0)),""))</f>
        <v/>
      </c>
      <c r="L360" s="98" t="str">
        <f>IF(E360="Skeet",IFERROR(INDEX('Shooter-Squad Assignment'!$A:$A,MATCH(C360&amp;"-"&amp;D360&amp;"-"&amp;E360&amp;"-Pos4",'Shooter-Squad Assignment'!#REF!,0)),""),IF(E360="Trap",IFERROR(INDEX('Shooter-Squad Assignment'!$A:$A,MATCH(C360&amp;"-"&amp;D360&amp;"-"&amp;E360&amp;"-Pos4",'Shooter-Squad Assignment'!$V:$V,0)),""),IF(E360="Sporting Clays",IFERROR(INDEX('Shooter-Squad Assignment'!$A:$A,MATCH(C360&amp;"-"&amp;D360&amp;"-"&amp;E360&amp;"-Pos4",'Shooter-Squad Assignment'!$Y:$Y,0)),""),"")))</f>
        <v/>
      </c>
      <c r="M360" s="73" t="str">
        <f>IF(ISBLANK(L360),"",IFERROR(INDEX('Tournament List'!$D:$D,MATCH(L360,'Tournament List'!$A:$A,0)),""))</f>
        <v/>
      </c>
      <c r="N360" s="98" t="str">
        <f>IF(E360="Skeet",IFERROR(INDEX('Shooter-Squad Assignment'!$A:$A,MATCH(C360&amp;"-"&amp;D360&amp;"-"&amp;E360&amp;"-Pos5",'Shooter-Squad Assignment'!#REF!,0)),""),IF(E360="Trap",IFERROR(INDEX('Shooter-Squad Assignment'!$A:$A,MATCH(C360&amp;"-"&amp;D360&amp;"-"&amp;E360&amp;"-Pos5",'Shooter-Squad Assignment'!$V:$V,0)),""),IF(E360="Sporting Clays",IFERROR(INDEX('Shooter-Squad Assignment'!$A:$A,MATCH(C360&amp;"-"&amp;D360&amp;"-"&amp;E360&amp;"-Pos5",'Shooter-Squad Assignment'!$Y:$Y,0)),""),"")))</f>
        <v/>
      </c>
      <c r="O360" s="80" t="str">
        <f>IF(ISBLANK(N360),"",IFERROR(INDEX('Tournament List'!$D:$D,MATCH(N360,'Tournament List'!$A:$A,0)),""))</f>
        <v/>
      </c>
    </row>
    <row r="361" spans="1:15" x14ac:dyDescent="0.3">
      <c r="A361" s="79">
        <v>369</v>
      </c>
      <c r="B361" s="73" t="str">
        <f t="shared" si="5"/>
        <v>-Varsity 3-Trap</v>
      </c>
      <c r="C361" s="73"/>
      <c r="D361" s="73" t="s">
        <v>354</v>
      </c>
      <c r="E361" s="73" t="s">
        <v>147</v>
      </c>
      <c r="F361" s="98" t="str">
        <f>IF(E361="Skeet",IFERROR(INDEX('Shooter-Squad Assignment'!$A:$A,MATCH(C361&amp;"-"&amp;D361&amp;"-"&amp;E361&amp;"-Pos1",'Shooter-Squad Assignment'!#REF!,0)),""),IF(E361="Trap",IFERROR(INDEX('Shooter-Squad Assignment'!$A:$A,MATCH(C361&amp;"-"&amp;D361&amp;"-"&amp;E361&amp;"-Pos1",'Shooter-Squad Assignment'!$V:$V,0)),""),IF(E361="Sporting Clays",IFERROR(INDEX('Shooter-Squad Assignment'!$A:$A,MATCH(C361&amp;"-"&amp;D361&amp;"-"&amp;E361&amp;"-Pos1",'Shooter-Squad Assignment'!$Y:$Y,0)),""),"")))</f>
        <v/>
      </c>
      <c r="G361" s="73" t="str">
        <f>IF(ISBLANK(F361),"",IFERROR(INDEX('Tournament List'!$D:$D,MATCH(F361,'Tournament List'!$A:$A,0)),""))</f>
        <v/>
      </c>
      <c r="H361" s="98" t="str">
        <f>IF(E361="Skeet",IFERROR(INDEX('Shooter-Squad Assignment'!$A:$A,MATCH(C361&amp;"-"&amp;D361&amp;"-"&amp;E361&amp;"-Pos2",'Shooter-Squad Assignment'!#REF!,0)),""),IF(E361="Trap",IFERROR(INDEX('Shooter-Squad Assignment'!$A:$A,MATCH(C361&amp;"-"&amp;D361&amp;"-"&amp;E361&amp;"-Pos2",'Shooter-Squad Assignment'!$V:$V,0)),""),IF(E361="Sporting Clays",IFERROR(INDEX('Shooter-Squad Assignment'!$A:$A,MATCH(C361&amp;"-"&amp;D361&amp;"-"&amp;E361&amp;"-Pos2",'Shooter-Squad Assignment'!$Y:$Y,0)),""),"")))</f>
        <v/>
      </c>
      <c r="I361" s="73" t="str">
        <f>IF(ISBLANK(H361),"",IFERROR(INDEX('Tournament List'!$D:$D,MATCH(H361,'Tournament List'!$A:$A,0)),""))</f>
        <v/>
      </c>
      <c r="J361" s="98" t="str">
        <f>IF(E361="Skeet",IFERROR(INDEX('Shooter-Squad Assignment'!$A:$A,MATCH(C361&amp;"-"&amp;D361&amp;"-"&amp;E361&amp;"-Pos3",'Shooter-Squad Assignment'!#REF!,0)),""),IF(E361="Trap",IFERROR(INDEX('Shooter-Squad Assignment'!$A:$A,MATCH(C361&amp;"-"&amp;D361&amp;"-"&amp;E361&amp;"-Pos3",'Shooter-Squad Assignment'!$V:$V,0)),""),IF(E361="Sporting Clays",IFERROR(INDEX('Shooter-Squad Assignment'!$A:$A,MATCH(C361&amp;"-"&amp;D361&amp;"-"&amp;E361&amp;"-Pos3",'Shooter-Squad Assignment'!$Y:$Y,0)),""),"")))</f>
        <v/>
      </c>
      <c r="K361" s="73" t="str">
        <f>IF(ISBLANK(J361),"",IFERROR(INDEX('Tournament List'!$D:$D,MATCH(J361,'Tournament List'!$A:$A,0)),""))</f>
        <v/>
      </c>
      <c r="L361" s="98" t="str">
        <f>IF(E361="Skeet",IFERROR(INDEX('Shooter-Squad Assignment'!$A:$A,MATCH(C361&amp;"-"&amp;D361&amp;"-"&amp;E361&amp;"-Pos4",'Shooter-Squad Assignment'!#REF!,0)),""),IF(E361="Trap",IFERROR(INDEX('Shooter-Squad Assignment'!$A:$A,MATCH(C361&amp;"-"&amp;D361&amp;"-"&amp;E361&amp;"-Pos4",'Shooter-Squad Assignment'!$V:$V,0)),""),IF(E361="Sporting Clays",IFERROR(INDEX('Shooter-Squad Assignment'!$A:$A,MATCH(C361&amp;"-"&amp;D361&amp;"-"&amp;E361&amp;"-Pos4",'Shooter-Squad Assignment'!$Y:$Y,0)),""),"")))</f>
        <v/>
      </c>
      <c r="M361" s="73" t="str">
        <f>IF(ISBLANK(L361),"",IFERROR(INDEX('Tournament List'!$D:$D,MATCH(L361,'Tournament List'!$A:$A,0)),""))</f>
        <v/>
      </c>
      <c r="N361" s="98" t="str">
        <f>IF(E361="Skeet",IFERROR(INDEX('Shooter-Squad Assignment'!$A:$A,MATCH(C361&amp;"-"&amp;D361&amp;"-"&amp;E361&amp;"-Pos5",'Shooter-Squad Assignment'!#REF!,0)),""),IF(E361="Trap",IFERROR(INDEX('Shooter-Squad Assignment'!$A:$A,MATCH(C361&amp;"-"&amp;D361&amp;"-"&amp;E361&amp;"-Pos5",'Shooter-Squad Assignment'!$V:$V,0)),""),IF(E361="Sporting Clays",IFERROR(INDEX('Shooter-Squad Assignment'!$A:$A,MATCH(C361&amp;"-"&amp;D361&amp;"-"&amp;E361&amp;"-Pos5",'Shooter-Squad Assignment'!$Y:$Y,0)),""),"")))</f>
        <v/>
      </c>
      <c r="O361" s="80" t="str">
        <f>IF(ISBLANK(N361),"",IFERROR(INDEX('Tournament List'!$D:$D,MATCH(N361,'Tournament List'!$A:$A,0)),""))</f>
        <v/>
      </c>
    </row>
    <row r="362" spans="1:15" x14ac:dyDescent="0.3">
      <c r="A362" s="79">
        <v>370</v>
      </c>
      <c r="B362" s="73" t="str">
        <f t="shared" si="5"/>
        <v>-Collegiate 1-Sporting Clays</v>
      </c>
      <c r="C362" s="73"/>
      <c r="D362" s="73" t="s">
        <v>344</v>
      </c>
      <c r="E362" s="73" t="s">
        <v>148</v>
      </c>
      <c r="F362" s="98" t="str">
        <f>IF(E362="Skeet",IFERROR(INDEX('Shooter-Squad Assignment'!$A:$A,MATCH(C362&amp;"-"&amp;D362&amp;"-"&amp;E362&amp;"-Pos1",'Shooter-Squad Assignment'!#REF!,0)),""),IF(E362="Trap",IFERROR(INDEX('Shooter-Squad Assignment'!$A:$A,MATCH(C362&amp;"-"&amp;D362&amp;"-"&amp;E362&amp;"-Pos1",'Shooter-Squad Assignment'!$V:$V,0)),""),IF(E362="Sporting Clays",IFERROR(INDEX('Shooter-Squad Assignment'!$A:$A,MATCH(C362&amp;"-"&amp;D362&amp;"-"&amp;E362&amp;"-Pos1",'Shooter-Squad Assignment'!$Y:$Y,0)),""),"")))</f>
        <v/>
      </c>
      <c r="G362" s="73" t="str">
        <f>IF(ISBLANK(F362),"",IFERROR(INDEX('Tournament List'!$D:$D,MATCH(F362,'Tournament List'!$A:$A,0)),""))</f>
        <v/>
      </c>
      <c r="H362" s="98" t="str">
        <f>IF(E362="Skeet",IFERROR(INDEX('Shooter-Squad Assignment'!$A:$A,MATCH(C362&amp;"-"&amp;D362&amp;"-"&amp;E362&amp;"-Pos2",'Shooter-Squad Assignment'!#REF!,0)),""),IF(E362="Trap",IFERROR(INDEX('Shooter-Squad Assignment'!$A:$A,MATCH(C362&amp;"-"&amp;D362&amp;"-"&amp;E362&amp;"-Pos2",'Shooter-Squad Assignment'!$V:$V,0)),""),IF(E362="Sporting Clays",IFERROR(INDEX('Shooter-Squad Assignment'!$A:$A,MATCH(C362&amp;"-"&amp;D362&amp;"-"&amp;E362&amp;"-Pos2",'Shooter-Squad Assignment'!$Y:$Y,0)),""),"")))</f>
        <v/>
      </c>
      <c r="I362" s="73" t="str">
        <f>IF(ISBLANK(H362),"",IFERROR(INDEX('Tournament List'!$D:$D,MATCH(H362,'Tournament List'!$A:$A,0)),""))</f>
        <v/>
      </c>
      <c r="J362" s="98" t="str">
        <f>IF(E362="Skeet",IFERROR(INDEX('Shooter-Squad Assignment'!$A:$A,MATCH(C362&amp;"-"&amp;D362&amp;"-"&amp;E362&amp;"-Pos3",'Shooter-Squad Assignment'!#REF!,0)),""),IF(E362="Trap",IFERROR(INDEX('Shooter-Squad Assignment'!$A:$A,MATCH(C362&amp;"-"&amp;D362&amp;"-"&amp;E362&amp;"-Pos3",'Shooter-Squad Assignment'!$V:$V,0)),""),IF(E362="Sporting Clays",IFERROR(INDEX('Shooter-Squad Assignment'!$A:$A,MATCH(C362&amp;"-"&amp;D362&amp;"-"&amp;E362&amp;"-Pos3",'Shooter-Squad Assignment'!$Y:$Y,0)),""),"")))</f>
        <v/>
      </c>
      <c r="K362" s="73" t="str">
        <f>IF(ISBLANK(J362),"",IFERROR(INDEX('Tournament List'!$D:$D,MATCH(J362,'Tournament List'!$A:$A,0)),""))</f>
        <v/>
      </c>
      <c r="L362" s="98" t="str">
        <f>IF(E362="Skeet",IFERROR(INDEX('Shooter-Squad Assignment'!$A:$A,MATCH(C362&amp;"-"&amp;D362&amp;"-"&amp;E362&amp;"-Pos4",'Shooter-Squad Assignment'!#REF!,0)),""),IF(E362="Trap",IFERROR(INDEX('Shooter-Squad Assignment'!$A:$A,MATCH(C362&amp;"-"&amp;D362&amp;"-"&amp;E362&amp;"-Pos4",'Shooter-Squad Assignment'!$V:$V,0)),""),IF(E362="Sporting Clays",IFERROR(INDEX('Shooter-Squad Assignment'!$A:$A,MATCH(C362&amp;"-"&amp;D362&amp;"-"&amp;E362&amp;"-Pos4",'Shooter-Squad Assignment'!$Y:$Y,0)),""),"")))</f>
        <v/>
      </c>
      <c r="M362" s="73" t="str">
        <f>IF(ISBLANK(L362),"",IFERROR(INDEX('Tournament List'!$D:$D,MATCH(L362,'Tournament List'!$A:$A,0)),""))</f>
        <v/>
      </c>
      <c r="N362" s="98" t="str">
        <f>IF(E362="Skeet",IFERROR(INDEX('Shooter-Squad Assignment'!$A:$A,MATCH(C362&amp;"-"&amp;D362&amp;"-"&amp;E362&amp;"-Pos5",'Shooter-Squad Assignment'!#REF!,0)),""),IF(E362="Trap",IFERROR(INDEX('Shooter-Squad Assignment'!$A:$A,MATCH(C362&amp;"-"&amp;D362&amp;"-"&amp;E362&amp;"-Pos5",'Shooter-Squad Assignment'!$V:$V,0)),""),IF(E362="Sporting Clays",IFERROR(INDEX('Shooter-Squad Assignment'!$A:$A,MATCH(C362&amp;"-"&amp;D362&amp;"-"&amp;E362&amp;"-Pos5",'Shooter-Squad Assignment'!$Y:$Y,0)),""),"")))</f>
        <v/>
      </c>
      <c r="O362" s="80" t="str">
        <f>IF(ISBLANK(N362),"",IFERROR(INDEX('Tournament List'!$D:$D,MATCH(N362,'Tournament List'!$A:$A,0)),""))</f>
        <v/>
      </c>
    </row>
    <row r="363" spans="1:15" x14ac:dyDescent="0.3">
      <c r="A363" s="79">
        <v>371</v>
      </c>
      <c r="B363" s="73" t="str">
        <f t="shared" si="5"/>
        <v>-Collegiate 2-Sporting Clays</v>
      </c>
      <c r="C363" s="73"/>
      <c r="D363" s="73" t="s">
        <v>350</v>
      </c>
      <c r="E363" s="73" t="s">
        <v>148</v>
      </c>
      <c r="F363" s="98" t="str">
        <f>IF(E363="Skeet",IFERROR(INDEX('Shooter-Squad Assignment'!$A:$A,MATCH(C363&amp;"-"&amp;D363&amp;"-"&amp;E363&amp;"-Pos1",'Shooter-Squad Assignment'!#REF!,0)),""),IF(E363="Trap",IFERROR(INDEX('Shooter-Squad Assignment'!$A:$A,MATCH(C363&amp;"-"&amp;D363&amp;"-"&amp;E363&amp;"-Pos1",'Shooter-Squad Assignment'!$V:$V,0)),""),IF(E363="Sporting Clays",IFERROR(INDEX('Shooter-Squad Assignment'!$A:$A,MATCH(C363&amp;"-"&amp;D363&amp;"-"&amp;E363&amp;"-Pos1",'Shooter-Squad Assignment'!$Y:$Y,0)),""),"")))</f>
        <v/>
      </c>
      <c r="G363" s="73" t="str">
        <f>IF(ISBLANK(F363),"",IFERROR(INDEX('Tournament List'!$D:$D,MATCH(F363,'Tournament List'!$A:$A,0)),""))</f>
        <v/>
      </c>
      <c r="H363" s="98" t="str">
        <f>IF(E363="Skeet",IFERROR(INDEX('Shooter-Squad Assignment'!$A:$A,MATCH(C363&amp;"-"&amp;D363&amp;"-"&amp;E363&amp;"-Pos2",'Shooter-Squad Assignment'!#REF!,0)),""),IF(E363="Trap",IFERROR(INDEX('Shooter-Squad Assignment'!$A:$A,MATCH(C363&amp;"-"&amp;D363&amp;"-"&amp;E363&amp;"-Pos2",'Shooter-Squad Assignment'!$V:$V,0)),""),IF(E363="Sporting Clays",IFERROR(INDEX('Shooter-Squad Assignment'!$A:$A,MATCH(C363&amp;"-"&amp;D363&amp;"-"&amp;E363&amp;"-Pos2",'Shooter-Squad Assignment'!$Y:$Y,0)),""),"")))</f>
        <v/>
      </c>
      <c r="I363" s="73" t="str">
        <f>IF(ISBLANK(H363),"",IFERROR(INDEX('Tournament List'!$D:$D,MATCH(H363,'Tournament List'!$A:$A,0)),""))</f>
        <v/>
      </c>
      <c r="J363" s="98" t="str">
        <f>IF(E363="Skeet",IFERROR(INDEX('Shooter-Squad Assignment'!$A:$A,MATCH(C363&amp;"-"&amp;D363&amp;"-"&amp;E363&amp;"-Pos3",'Shooter-Squad Assignment'!#REF!,0)),""),IF(E363="Trap",IFERROR(INDEX('Shooter-Squad Assignment'!$A:$A,MATCH(C363&amp;"-"&amp;D363&amp;"-"&amp;E363&amp;"-Pos3",'Shooter-Squad Assignment'!$V:$V,0)),""),IF(E363="Sporting Clays",IFERROR(INDEX('Shooter-Squad Assignment'!$A:$A,MATCH(C363&amp;"-"&amp;D363&amp;"-"&amp;E363&amp;"-Pos3",'Shooter-Squad Assignment'!$Y:$Y,0)),""),"")))</f>
        <v/>
      </c>
      <c r="K363" s="73" t="str">
        <f>IF(ISBLANK(J363),"",IFERROR(INDEX('Tournament List'!$D:$D,MATCH(J363,'Tournament List'!$A:$A,0)),""))</f>
        <v/>
      </c>
      <c r="L363" s="98" t="str">
        <f>IF(E363="Skeet",IFERROR(INDEX('Shooter-Squad Assignment'!$A:$A,MATCH(C363&amp;"-"&amp;D363&amp;"-"&amp;E363&amp;"-Pos4",'Shooter-Squad Assignment'!#REF!,0)),""),IF(E363="Trap",IFERROR(INDEX('Shooter-Squad Assignment'!$A:$A,MATCH(C363&amp;"-"&amp;D363&amp;"-"&amp;E363&amp;"-Pos4",'Shooter-Squad Assignment'!$V:$V,0)),""),IF(E363="Sporting Clays",IFERROR(INDEX('Shooter-Squad Assignment'!$A:$A,MATCH(C363&amp;"-"&amp;D363&amp;"-"&amp;E363&amp;"-Pos4",'Shooter-Squad Assignment'!$Y:$Y,0)),""),"")))</f>
        <v/>
      </c>
      <c r="M363" s="73" t="str">
        <f>IF(ISBLANK(L363),"",IFERROR(INDEX('Tournament List'!$D:$D,MATCH(L363,'Tournament List'!$A:$A,0)),""))</f>
        <v/>
      </c>
      <c r="N363" s="98" t="str">
        <f>IF(E363="Skeet",IFERROR(INDEX('Shooter-Squad Assignment'!$A:$A,MATCH(C363&amp;"-"&amp;D363&amp;"-"&amp;E363&amp;"-Pos5",'Shooter-Squad Assignment'!#REF!,0)),""),IF(E363="Trap",IFERROR(INDEX('Shooter-Squad Assignment'!$A:$A,MATCH(C363&amp;"-"&amp;D363&amp;"-"&amp;E363&amp;"-Pos5",'Shooter-Squad Assignment'!$V:$V,0)),""),IF(E363="Sporting Clays",IFERROR(INDEX('Shooter-Squad Assignment'!$A:$A,MATCH(C363&amp;"-"&amp;D363&amp;"-"&amp;E363&amp;"-Pos5",'Shooter-Squad Assignment'!$Y:$Y,0)),""),"")))</f>
        <v/>
      </c>
      <c r="O363" s="80" t="str">
        <f>IF(ISBLANK(N363),"",IFERROR(INDEX('Tournament List'!$D:$D,MATCH(N363,'Tournament List'!$A:$A,0)),""))</f>
        <v/>
      </c>
    </row>
    <row r="364" spans="1:15" x14ac:dyDescent="0.3">
      <c r="A364" s="79">
        <v>372</v>
      </c>
      <c r="B364" s="73" t="str">
        <f t="shared" si="5"/>
        <v>-Collegiate 3-Sporting Clays</v>
      </c>
      <c r="C364" s="73"/>
      <c r="D364" s="73" t="s">
        <v>356</v>
      </c>
      <c r="E364" s="73" t="s">
        <v>148</v>
      </c>
      <c r="F364" s="98" t="str">
        <f>IF(E364="Skeet",IFERROR(INDEX('Shooter-Squad Assignment'!$A:$A,MATCH(C364&amp;"-"&amp;D364&amp;"-"&amp;E364&amp;"-Pos1",'Shooter-Squad Assignment'!#REF!,0)),""),IF(E364="Trap",IFERROR(INDEX('Shooter-Squad Assignment'!$A:$A,MATCH(C364&amp;"-"&amp;D364&amp;"-"&amp;E364&amp;"-Pos1",'Shooter-Squad Assignment'!$V:$V,0)),""),IF(E364="Sporting Clays",IFERROR(INDEX('Shooter-Squad Assignment'!$A:$A,MATCH(C364&amp;"-"&amp;D364&amp;"-"&amp;E364&amp;"-Pos1",'Shooter-Squad Assignment'!$Y:$Y,0)),""),"")))</f>
        <v/>
      </c>
      <c r="G364" s="73" t="str">
        <f>IF(ISBLANK(F364),"",IFERROR(INDEX('Tournament List'!$D:$D,MATCH(F364,'Tournament List'!$A:$A,0)),""))</f>
        <v/>
      </c>
      <c r="H364" s="98" t="str">
        <f>IF(E364="Skeet",IFERROR(INDEX('Shooter-Squad Assignment'!$A:$A,MATCH(C364&amp;"-"&amp;D364&amp;"-"&amp;E364&amp;"-Pos2",'Shooter-Squad Assignment'!#REF!,0)),""),IF(E364="Trap",IFERROR(INDEX('Shooter-Squad Assignment'!$A:$A,MATCH(C364&amp;"-"&amp;D364&amp;"-"&amp;E364&amp;"-Pos2",'Shooter-Squad Assignment'!$V:$V,0)),""),IF(E364="Sporting Clays",IFERROR(INDEX('Shooter-Squad Assignment'!$A:$A,MATCH(C364&amp;"-"&amp;D364&amp;"-"&amp;E364&amp;"-Pos2",'Shooter-Squad Assignment'!$Y:$Y,0)),""),"")))</f>
        <v/>
      </c>
      <c r="I364" s="73" t="str">
        <f>IF(ISBLANK(H364),"",IFERROR(INDEX('Tournament List'!$D:$D,MATCH(H364,'Tournament List'!$A:$A,0)),""))</f>
        <v/>
      </c>
      <c r="J364" s="98" t="str">
        <f>IF(E364="Skeet",IFERROR(INDEX('Shooter-Squad Assignment'!$A:$A,MATCH(C364&amp;"-"&amp;D364&amp;"-"&amp;E364&amp;"-Pos3",'Shooter-Squad Assignment'!#REF!,0)),""),IF(E364="Trap",IFERROR(INDEX('Shooter-Squad Assignment'!$A:$A,MATCH(C364&amp;"-"&amp;D364&amp;"-"&amp;E364&amp;"-Pos3",'Shooter-Squad Assignment'!$V:$V,0)),""),IF(E364="Sporting Clays",IFERROR(INDEX('Shooter-Squad Assignment'!$A:$A,MATCH(C364&amp;"-"&amp;D364&amp;"-"&amp;E364&amp;"-Pos3",'Shooter-Squad Assignment'!$Y:$Y,0)),""),"")))</f>
        <v/>
      </c>
      <c r="K364" s="73" t="str">
        <f>IF(ISBLANK(J364),"",IFERROR(INDEX('Tournament List'!$D:$D,MATCH(J364,'Tournament List'!$A:$A,0)),""))</f>
        <v/>
      </c>
      <c r="L364" s="98" t="str">
        <f>IF(E364="Skeet",IFERROR(INDEX('Shooter-Squad Assignment'!$A:$A,MATCH(C364&amp;"-"&amp;D364&amp;"-"&amp;E364&amp;"-Pos4",'Shooter-Squad Assignment'!#REF!,0)),""),IF(E364="Trap",IFERROR(INDEX('Shooter-Squad Assignment'!$A:$A,MATCH(C364&amp;"-"&amp;D364&amp;"-"&amp;E364&amp;"-Pos4",'Shooter-Squad Assignment'!$V:$V,0)),""),IF(E364="Sporting Clays",IFERROR(INDEX('Shooter-Squad Assignment'!$A:$A,MATCH(C364&amp;"-"&amp;D364&amp;"-"&amp;E364&amp;"-Pos4",'Shooter-Squad Assignment'!$Y:$Y,0)),""),"")))</f>
        <v/>
      </c>
      <c r="M364" s="73" t="str">
        <f>IF(ISBLANK(L364),"",IFERROR(INDEX('Tournament List'!$D:$D,MATCH(L364,'Tournament List'!$A:$A,0)),""))</f>
        <v/>
      </c>
      <c r="N364" s="98" t="str">
        <f>IF(E364="Skeet",IFERROR(INDEX('Shooter-Squad Assignment'!$A:$A,MATCH(C364&amp;"-"&amp;D364&amp;"-"&amp;E364&amp;"-Pos5",'Shooter-Squad Assignment'!#REF!,0)),""),IF(E364="Trap",IFERROR(INDEX('Shooter-Squad Assignment'!$A:$A,MATCH(C364&amp;"-"&amp;D364&amp;"-"&amp;E364&amp;"-Pos5",'Shooter-Squad Assignment'!$V:$V,0)),""),IF(E364="Sporting Clays",IFERROR(INDEX('Shooter-Squad Assignment'!$A:$A,MATCH(C364&amp;"-"&amp;D364&amp;"-"&amp;E364&amp;"-Pos5",'Shooter-Squad Assignment'!$Y:$Y,0)),""),"")))</f>
        <v/>
      </c>
      <c r="O364" s="80" t="str">
        <f>IF(ISBLANK(N364),"",IFERROR(INDEX('Tournament List'!$D:$D,MATCH(N364,'Tournament List'!$A:$A,0)),""))</f>
        <v/>
      </c>
    </row>
    <row r="365" spans="1:15" x14ac:dyDescent="0.3">
      <c r="A365" s="79">
        <v>373</v>
      </c>
      <c r="B365" s="73" t="str">
        <f t="shared" si="5"/>
        <v>-Intermediate 1-Sporting Clays</v>
      </c>
      <c r="C365" s="73"/>
      <c r="D365" s="73" t="s">
        <v>340</v>
      </c>
      <c r="E365" s="73" t="s">
        <v>148</v>
      </c>
      <c r="F365" s="98" t="str">
        <f>IF(E365="Skeet",IFERROR(INDEX('Shooter-Squad Assignment'!$A:$A,MATCH(C365&amp;"-"&amp;D365&amp;"-"&amp;E365&amp;"-Pos1",'Shooter-Squad Assignment'!#REF!,0)),""),IF(E365="Trap",IFERROR(INDEX('Shooter-Squad Assignment'!$A:$A,MATCH(C365&amp;"-"&amp;D365&amp;"-"&amp;E365&amp;"-Pos1",'Shooter-Squad Assignment'!$V:$V,0)),""),IF(E365="Sporting Clays",IFERROR(INDEX('Shooter-Squad Assignment'!$A:$A,MATCH(C365&amp;"-"&amp;D365&amp;"-"&amp;E365&amp;"-Pos1",'Shooter-Squad Assignment'!$Y:$Y,0)),""),"")))</f>
        <v/>
      </c>
      <c r="G365" s="73" t="str">
        <f>IF(ISBLANK(F365),"",IFERROR(INDEX('Tournament List'!$D:$D,MATCH(F365,'Tournament List'!$A:$A,0)),""))</f>
        <v/>
      </c>
      <c r="H365" s="98" t="str">
        <f>IF(E365="Skeet",IFERROR(INDEX('Shooter-Squad Assignment'!$A:$A,MATCH(C365&amp;"-"&amp;D365&amp;"-"&amp;E365&amp;"-Pos2",'Shooter-Squad Assignment'!#REF!,0)),""),IF(E365="Trap",IFERROR(INDEX('Shooter-Squad Assignment'!$A:$A,MATCH(C365&amp;"-"&amp;D365&amp;"-"&amp;E365&amp;"-Pos2",'Shooter-Squad Assignment'!$V:$V,0)),""),IF(E365="Sporting Clays",IFERROR(INDEX('Shooter-Squad Assignment'!$A:$A,MATCH(C365&amp;"-"&amp;D365&amp;"-"&amp;E365&amp;"-Pos2",'Shooter-Squad Assignment'!$Y:$Y,0)),""),"")))</f>
        <v/>
      </c>
      <c r="I365" s="73" t="str">
        <f>IF(ISBLANK(H365),"",IFERROR(INDEX('Tournament List'!$D:$D,MATCH(H365,'Tournament List'!$A:$A,0)),""))</f>
        <v/>
      </c>
      <c r="J365" s="98" t="str">
        <f>IF(E365="Skeet",IFERROR(INDEX('Shooter-Squad Assignment'!$A:$A,MATCH(C365&amp;"-"&amp;D365&amp;"-"&amp;E365&amp;"-Pos3",'Shooter-Squad Assignment'!#REF!,0)),""),IF(E365="Trap",IFERROR(INDEX('Shooter-Squad Assignment'!$A:$A,MATCH(C365&amp;"-"&amp;D365&amp;"-"&amp;E365&amp;"-Pos3",'Shooter-Squad Assignment'!$V:$V,0)),""),IF(E365="Sporting Clays",IFERROR(INDEX('Shooter-Squad Assignment'!$A:$A,MATCH(C365&amp;"-"&amp;D365&amp;"-"&amp;E365&amp;"-Pos3",'Shooter-Squad Assignment'!$Y:$Y,0)),""),"")))</f>
        <v/>
      </c>
      <c r="K365" s="73" t="str">
        <f>IF(ISBLANK(J365),"",IFERROR(INDEX('Tournament List'!$D:$D,MATCH(J365,'Tournament List'!$A:$A,0)),""))</f>
        <v/>
      </c>
      <c r="L365" s="98" t="str">
        <f>IF(E365="Skeet",IFERROR(INDEX('Shooter-Squad Assignment'!$A:$A,MATCH(C365&amp;"-"&amp;D365&amp;"-"&amp;E365&amp;"-Pos4",'Shooter-Squad Assignment'!#REF!,0)),""),IF(E365="Trap",IFERROR(INDEX('Shooter-Squad Assignment'!$A:$A,MATCH(C365&amp;"-"&amp;D365&amp;"-"&amp;E365&amp;"-Pos4",'Shooter-Squad Assignment'!$V:$V,0)),""),IF(E365="Sporting Clays",IFERROR(INDEX('Shooter-Squad Assignment'!$A:$A,MATCH(C365&amp;"-"&amp;D365&amp;"-"&amp;E365&amp;"-Pos4",'Shooter-Squad Assignment'!$Y:$Y,0)),""),"")))</f>
        <v/>
      </c>
      <c r="M365" s="73" t="str">
        <f>IF(ISBLANK(L365),"",IFERROR(INDEX('Tournament List'!$D:$D,MATCH(L365,'Tournament List'!$A:$A,0)),""))</f>
        <v/>
      </c>
      <c r="N365" s="98" t="str">
        <f>IF(E365="Skeet",IFERROR(INDEX('Shooter-Squad Assignment'!$A:$A,MATCH(C365&amp;"-"&amp;D365&amp;"-"&amp;E365&amp;"-Pos5",'Shooter-Squad Assignment'!#REF!,0)),""),IF(E365="Trap",IFERROR(INDEX('Shooter-Squad Assignment'!$A:$A,MATCH(C365&amp;"-"&amp;D365&amp;"-"&amp;E365&amp;"-Pos5",'Shooter-Squad Assignment'!$V:$V,0)),""),IF(E365="Sporting Clays",IFERROR(INDEX('Shooter-Squad Assignment'!$A:$A,MATCH(C365&amp;"-"&amp;D365&amp;"-"&amp;E365&amp;"-Pos5",'Shooter-Squad Assignment'!$Y:$Y,0)),""),"")))</f>
        <v/>
      </c>
      <c r="O365" s="80" t="str">
        <f>IF(ISBLANK(N365),"",IFERROR(INDEX('Tournament List'!$D:$D,MATCH(N365,'Tournament List'!$A:$A,0)),""))</f>
        <v/>
      </c>
    </row>
    <row r="366" spans="1:15" x14ac:dyDescent="0.3">
      <c r="A366" s="79">
        <v>374</v>
      </c>
      <c r="B366" s="73" t="str">
        <f t="shared" si="5"/>
        <v>-Intermediate 2-Sporting Clays</v>
      </c>
      <c r="C366" s="73"/>
      <c r="D366" s="73" t="s">
        <v>346</v>
      </c>
      <c r="E366" s="73" t="s">
        <v>148</v>
      </c>
      <c r="F366" s="98" t="str">
        <f>IF(E366="Skeet",IFERROR(INDEX('Shooter-Squad Assignment'!$A:$A,MATCH(C366&amp;"-"&amp;D366&amp;"-"&amp;E366&amp;"-Pos1",'Shooter-Squad Assignment'!#REF!,0)),""),IF(E366="Trap",IFERROR(INDEX('Shooter-Squad Assignment'!$A:$A,MATCH(C366&amp;"-"&amp;D366&amp;"-"&amp;E366&amp;"-Pos1",'Shooter-Squad Assignment'!$V:$V,0)),""),IF(E366="Sporting Clays",IFERROR(INDEX('Shooter-Squad Assignment'!$A:$A,MATCH(C366&amp;"-"&amp;D366&amp;"-"&amp;E366&amp;"-Pos1",'Shooter-Squad Assignment'!$Y:$Y,0)),""),"")))</f>
        <v/>
      </c>
      <c r="G366" s="73" t="str">
        <f>IF(ISBLANK(F366),"",IFERROR(INDEX('Tournament List'!$D:$D,MATCH(F366,'Tournament List'!$A:$A,0)),""))</f>
        <v/>
      </c>
      <c r="H366" s="98" t="str">
        <f>IF(E366="Skeet",IFERROR(INDEX('Shooter-Squad Assignment'!$A:$A,MATCH(C366&amp;"-"&amp;D366&amp;"-"&amp;E366&amp;"-Pos2",'Shooter-Squad Assignment'!#REF!,0)),""),IF(E366="Trap",IFERROR(INDEX('Shooter-Squad Assignment'!$A:$A,MATCH(C366&amp;"-"&amp;D366&amp;"-"&amp;E366&amp;"-Pos2",'Shooter-Squad Assignment'!$V:$V,0)),""),IF(E366="Sporting Clays",IFERROR(INDEX('Shooter-Squad Assignment'!$A:$A,MATCH(C366&amp;"-"&amp;D366&amp;"-"&amp;E366&amp;"-Pos2",'Shooter-Squad Assignment'!$Y:$Y,0)),""),"")))</f>
        <v/>
      </c>
      <c r="I366" s="73" t="str">
        <f>IF(ISBLANK(H366),"",IFERROR(INDEX('Tournament List'!$D:$D,MATCH(H366,'Tournament List'!$A:$A,0)),""))</f>
        <v/>
      </c>
      <c r="J366" s="98" t="str">
        <f>IF(E366="Skeet",IFERROR(INDEX('Shooter-Squad Assignment'!$A:$A,MATCH(C366&amp;"-"&amp;D366&amp;"-"&amp;E366&amp;"-Pos3",'Shooter-Squad Assignment'!#REF!,0)),""),IF(E366="Trap",IFERROR(INDEX('Shooter-Squad Assignment'!$A:$A,MATCH(C366&amp;"-"&amp;D366&amp;"-"&amp;E366&amp;"-Pos3",'Shooter-Squad Assignment'!$V:$V,0)),""),IF(E366="Sporting Clays",IFERROR(INDEX('Shooter-Squad Assignment'!$A:$A,MATCH(C366&amp;"-"&amp;D366&amp;"-"&amp;E366&amp;"-Pos3",'Shooter-Squad Assignment'!$Y:$Y,0)),""),"")))</f>
        <v/>
      </c>
      <c r="K366" s="73" t="str">
        <f>IF(ISBLANK(J366),"",IFERROR(INDEX('Tournament List'!$D:$D,MATCH(J366,'Tournament List'!$A:$A,0)),""))</f>
        <v/>
      </c>
      <c r="L366" s="98" t="str">
        <f>IF(E366="Skeet",IFERROR(INDEX('Shooter-Squad Assignment'!$A:$A,MATCH(C366&amp;"-"&amp;D366&amp;"-"&amp;E366&amp;"-Pos4",'Shooter-Squad Assignment'!#REF!,0)),""),IF(E366="Trap",IFERROR(INDEX('Shooter-Squad Assignment'!$A:$A,MATCH(C366&amp;"-"&amp;D366&amp;"-"&amp;E366&amp;"-Pos4",'Shooter-Squad Assignment'!$V:$V,0)),""),IF(E366="Sporting Clays",IFERROR(INDEX('Shooter-Squad Assignment'!$A:$A,MATCH(C366&amp;"-"&amp;D366&amp;"-"&amp;E366&amp;"-Pos4",'Shooter-Squad Assignment'!$Y:$Y,0)),""),"")))</f>
        <v/>
      </c>
      <c r="M366" s="73" t="str">
        <f>IF(ISBLANK(L366),"",IFERROR(INDEX('Tournament List'!$D:$D,MATCH(L366,'Tournament List'!$A:$A,0)),""))</f>
        <v/>
      </c>
      <c r="N366" s="98" t="str">
        <f>IF(E366="Skeet",IFERROR(INDEX('Shooter-Squad Assignment'!$A:$A,MATCH(C366&amp;"-"&amp;D366&amp;"-"&amp;E366&amp;"-Pos5",'Shooter-Squad Assignment'!#REF!,0)),""),IF(E366="Trap",IFERROR(INDEX('Shooter-Squad Assignment'!$A:$A,MATCH(C366&amp;"-"&amp;D366&amp;"-"&amp;E366&amp;"-Pos5",'Shooter-Squad Assignment'!$V:$V,0)),""),IF(E366="Sporting Clays",IFERROR(INDEX('Shooter-Squad Assignment'!$A:$A,MATCH(C366&amp;"-"&amp;D366&amp;"-"&amp;E366&amp;"-Pos5",'Shooter-Squad Assignment'!$Y:$Y,0)),""),"")))</f>
        <v/>
      </c>
      <c r="O366" s="80" t="str">
        <f>IF(ISBLANK(N366),"",IFERROR(INDEX('Tournament List'!$D:$D,MATCH(N366,'Tournament List'!$A:$A,0)),""))</f>
        <v/>
      </c>
    </row>
    <row r="367" spans="1:15" x14ac:dyDescent="0.3">
      <c r="A367" s="79">
        <v>375</v>
      </c>
      <c r="B367" s="73" t="str">
        <f t="shared" si="5"/>
        <v>-Intermediate 3-Sporting Clays</v>
      </c>
      <c r="C367" s="73"/>
      <c r="D367" s="73" t="s">
        <v>352</v>
      </c>
      <c r="E367" s="73" t="s">
        <v>148</v>
      </c>
      <c r="F367" s="98" t="str">
        <f>IF(E367="Skeet",IFERROR(INDEX('Shooter-Squad Assignment'!$A:$A,MATCH(C367&amp;"-"&amp;D367&amp;"-"&amp;E367&amp;"-Pos1",'Shooter-Squad Assignment'!#REF!,0)),""),IF(E367="Trap",IFERROR(INDEX('Shooter-Squad Assignment'!$A:$A,MATCH(C367&amp;"-"&amp;D367&amp;"-"&amp;E367&amp;"-Pos1",'Shooter-Squad Assignment'!$V:$V,0)),""),IF(E367="Sporting Clays",IFERROR(INDEX('Shooter-Squad Assignment'!$A:$A,MATCH(C367&amp;"-"&amp;D367&amp;"-"&amp;E367&amp;"-Pos1",'Shooter-Squad Assignment'!$Y:$Y,0)),""),"")))</f>
        <v/>
      </c>
      <c r="G367" s="73" t="str">
        <f>IF(ISBLANK(F367),"",IFERROR(INDEX('Tournament List'!$D:$D,MATCH(F367,'Tournament List'!$A:$A,0)),""))</f>
        <v/>
      </c>
      <c r="H367" s="98" t="str">
        <f>IF(E367="Skeet",IFERROR(INDEX('Shooter-Squad Assignment'!$A:$A,MATCH(C367&amp;"-"&amp;D367&amp;"-"&amp;E367&amp;"-Pos2",'Shooter-Squad Assignment'!#REF!,0)),""),IF(E367="Trap",IFERROR(INDEX('Shooter-Squad Assignment'!$A:$A,MATCH(C367&amp;"-"&amp;D367&amp;"-"&amp;E367&amp;"-Pos2",'Shooter-Squad Assignment'!$V:$V,0)),""),IF(E367="Sporting Clays",IFERROR(INDEX('Shooter-Squad Assignment'!$A:$A,MATCH(C367&amp;"-"&amp;D367&amp;"-"&amp;E367&amp;"-Pos2",'Shooter-Squad Assignment'!$Y:$Y,0)),""),"")))</f>
        <v/>
      </c>
      <c r="I367" s="73" t="str">
        <f>IF(ISBLANK(H367),"",IFERROR(INDEX('Tournament List'!$D:$D,MATCH(H367,'Tournament List'!$A:$A,0)),""))</f>
        <v/>
      </c>
      <c r="J367" s="98" t="str">
        <f>IF(E367="Skeet",IFERROR(INDEX('Shooter-Squad Assignment'!$A:$A,MATCH(C367&amp;"-"&amp;D367&amp;"-"&amp;E367&amp;"-Pos3",'Shooter-Squad Assignment'!#REF!,0)),""),IF(E367="Trap",IFERROR(INDEX('Shooter-Squad Assignment'!$A:$A,MATCH(C367&amp;"-"&amp;D367&amp;"-"&amp;E367&amp;"-Pos3",'Shooter-Squad Assignment'!$V:$V,0)),""),IF(E367="Sporting Clays",IFERROR(INDEX('Shooter-Squad Assignment'!$A:$A,MATCH(C367&amp;"-"&amp;D367&amp;"-"&amp;E367&amp;"-Pos3",'Shooter-Squad Assignment'!$Y:$Y,0)),""),"")))</f>
        <v/>
      </c>
      <c r="K367" s="73" t="str">
        <f>IF(ISBLANK(J367),"",IFERROR(INDEX('Tournament List'!$D:$D,MATCH(J367,'Tournament List'!$A:$A,0)),""))</f>
        <v/>
      </c>
      <c r="L367" s="98" t="str">
        <f>IF(E367="Skeet",IFERROR(INDEX('Shooter-Squad Assignment'!$A:$A,MATCH(C367&amp;"-"&amp;D367&amp;"-"&amp;E367&amp;"-Pos4",'Shooter-Squad Assignment'!#REF!,0)),""),IF(E367="Trap",IFERROR(INDEX('Shooter-Squad Assignment'!$A:$A,MATCH(C367&amp;"-"&amp;D367&amp;"-"&amp;E367&amp;"-Pos4",'Shooter-Squad Assignment'!$V:$V,0)),""),IF(E367="Sporting Clays",IFERROR(INDEX('Shooter-Squad Assignment'!$A:$A,MATCH(C367&amp;"-"&amp;D367&amp;"-"&amp;E367&amp;"-Pos4",'Shooter-Squad Assignment'!$Y:$Y,0)),""),"")))</f>
        <v/>
      </c>
      <c r="M367" s="73" t="str">
        <f>IF(ISBLANK(L367),"",IFERROR(INDEX('Tournament List'!$D:$D,MATCH(L367,'Tournament List'!$A:$A,0)),""))</f>
        <v/>
      </c>
      <c r="N367" s="98" t="str">
        <f>IF(E367="Skeet",IFERROR(INDEX('Shooter-Squad Assignment'!$A:$A,MATCH(C367&amp;"-"&amp;D367&amp;"-"&amp;E367&amp;"-Pos5",'Shooter-Squad Assignment'!#REF!,0)),""),IF(E367="Trap",IFERROR(INDEX('Shooter-Squad Assignment'!$A:$A,MATCH(C367&amp;"-"&amp;D367&amp;"-"&amp;E367&amp;"-Pos5",'Shooter-Squad Assignment'!$V:$V,0)),""),IF(E367="Sporting Clays",IFERROR(INDEX('Shooter-Squad Assignment'!$A:$A,MATCH(C367&amp;"-"&amp;D367&amp;"-"&amp;E367&amp;"-Pos5",'Shooter-Squad Assignment'!$Y:$Y,0)),""),"")))</f>
        <v/>
      </c>
      <c r="O367" s="80" t="str">
        <f>IF(ISBLANK(N367),"",IFERROR(INDEX('Tournament List'!$D:$D,MATCH(N367,'Tournament List'!$A:$A,0)),""))</f>
        <v/>
      </c>
    </row>
    <row r="368" spans="1:15" x14ac:dyDescent="0.3">
      <c r="A368" s="79">
        <v>376</v>
      </c>
      <c r="B368" s="73" t="str">
        <f t="shared" si="5"/>
        <v>-Junior Varsity 1-Sporting Clays</v>
      </c>
      <c r="C368" s="73"/>
      <c r="D368" s="73" t="s">
        <v>341</v>
      </c>
      <c r="E368" s="73" t="s">
        <v>148</v>
      </c>
      <c r="F368" s="98" t="str">
        <f>IF(E368="Skeet",IFERROR(INDEX('Shooter-Squad Assignment'!$A:$A,MATCH(C368&amp;"-"&amp;D368&amp;"-"&amp;E368&amp;"-Pos1",'Shooter-Squad Assignment'!#REF!,0)),""),IF(E368="Trap",IFERROR(INDEX('Shooter-Squad Assignment'!$A:$A,MATCH(C368&amp;"-"&amp;D368&amp;"-"&amp;E368&amp;"-Pos1",'Shooter-Squad Assignment'!$V:$V,0)),""),IF(E368="Sporting Clays",IFERROR(INDEX('Shooter-Squad Assignment'!$A:$A,MATCH(C368&amp;"-"&amp;D368&amp;"-"&amp;E368&amp;"-Pos1",'Shooter-Squad Assignment'!$Y:$Y,0)),""),"")))</f>
        <v/>
      </c>
      <c r="G368" s="73" t="str">
        <f>IF(ISBLANK(F368),"",IFERROR(INDEX('Tournament List'!$D:$D,MATCH(F368,'Tournament List'!$A:$A,0)),""))</f>
        <v/>
      </c>
      <c r="H368" s="98" t="str">
        <f>IF(E368="Skeet",IFERROR(INDEX('Shooter-Squad Assignment'!$A:$A,MATCH(C368&amp;"-"&amp;D368&amp;"-"&amp;E368&amp;"-Pos2",'Shooter-Squad Assignment'!#REF!,0)),""),IF(E368="Trap",IFERROR(INDEX('Shooter-Squad Assignment'!$A:$A,MATCH(C368&amp;"-"&amp;D368&amp;"-"&amp;E368&amp;"-Pos2",'Shooter-Squad Assignment'!$V:$V,0)),""),IF(E368="Sporting Clays",IFERROR(INDEX('Shooter-Squad Assignment'!$A:$A,MATCH(C368&amp;"-"&amp;D368&amp;"-"&amp;E368&amp;"-Pos2",'Shooter-Squad Assignment'!$Y:$Y,0)),""),"")))</f>
        <v/>
      </c>
      <c r="I368" s="73" t="str">
        <f>IF(ISBLANK(H368),"",IFERROR(INDEX('Tournament List'!$D:$D,MATCH(H368,'Tournament List'!$A:$A,0)),""))</f>
        <v/>
      </c>
      <c r="J368" s="98" t="str">
        <f>IF(E368="Skeet",IFERROR(INDEX('Shooter-Squad Assignment'!$A:$A,MATCH(C368&amp;"-"&amp;D368&amp;"-"&amp;E368&amp;"-Pos3",'Shooter-Squad Assignment'!#REF!,0)),""),IF(E368="Trap",IFERROR(INDEX('Shooter-Squad Assignment'!$A:$A,MATCH(C368&amp;"-"&amp;D368&amp;"-"&amp;E368&amp;"-Pos3",'Shooter-Squad Assignment'!$V:$V,0)),""),IF(E368="Sporting Clays",IFERROR(INDEX('Shooter-Squad Assignment'!$A:$A,MATCH(C368&amp;"-"&amp;D368&amp;"-"&amp;E368&amp;"-Pos3",'Shooter-Squad Assignment'!$Y:$Y,0)),""),"")))</f>
        <v/>
      </c>
      <c r="K368" s="73" t="str">
        <f>IF(ISBLANK(J368),"",IFERROR(INDEX('Tournament List'!$D:$D,MATCH(J368,'Tournament List'!$A:$A,0)),""))</f>
        <v/>
      </c>
      <c r="L368" s="98" t="str">
        <f>IF(E368="Skeet",IFERROR(INDEX('Shooter-Squad Assignment'!$A:$A,MATCH(C368&amp;"-"&amp;D368&amp;"-"&amp;E368&amp;"-Pos4",'Shooter-Squad Assignment'!#REF!,0)),""),IF(E368="Trap",IFERROR(INDEX('Shooter-Squad Assignment'!$A:$A,MATCH(C368&amp;"-"&amp;D368&amp;"-"&amp;E368&amp;"-Pos4",'Shooter-Squad Assignment'!$V:$V,0)),""),IF(E368="Sporting Clays",IFERROR(INDEX('Shooter-Squad Assignment'!$A:$A,MATCH(C368&amp;"-"&amp;D368&amp;"-"&amp;E368&amp;"-Pos4",'Shooter-Squad Assignment'!$Y:$Y,0)),""),"")))</f>
        <v/>
      </c>
      <c r="M368" s="73" t="str">
        <f>IF(ISBLANK(L368),"",IFERROR(INDEX('Tournament List'!$D:$D,MATCH(L368,'Tournament List'!$A:$A,0)),""))</f>
        <v/>
      </c>
      <c r="N368" s="98" t="str">
        <f>IF(E368="Skeet",IFERROR(INDEX('Shooter-Squad Assignment'!$A:$A,MATCH(C368&amp;"-"&amp;D368&amp;"-"&amp;E368&amp;"-Pos5",'Shooter-Squad Assignment'!#REF!,0)),""),IF(E368="Trap",IFERROR(INDEX('Shooter-Squad Assignment'!$A:$A,MATCH(C368&amp;"-"&amp;D368&amp;"-"&amp;E368&amp;"-Pos5",'Shooter-Squad Assignment'!$V:$V,0)),""),IF(E368="Sporting Clays",IFERROR(INDEX('Shooter-Squad Assignment'!$A:$A,MATCH(C368&amp;"-"&amp;D368&amp;"-"&amp;E368&amp;"-Pos5",'Shooter-Squad Assignment'!$Y:$Y,0)),""),"")))</f>
        <v/>
      </c>
      <c r="O368" s="80" t="str">
        <f>IF(ISBLANK(N368),"",IFERROR(INDEX('Tournament List'!$D:$D,MATCH(N368,'Tournament List'!$A:$A,0)),""))</f>
        <v/>
      </c>
    </row>
    <row r="369" spans="1:15" x14ac:dyDescent="0.3">
      <c r="A369" s="79">
        <v>377</v>
      </c>
      <c r="B369" s="73" t="str">
        <f t="shared" si="5"/>
        <v>-Junior Varsity 2-Sporting Clays</v>
      </c>
      <c r="C369" s="73"/>
      <c r="D369" s="73" t="s">
        <v>347</v>
      </c>
      <c r="E369" s="73" t="s">
        <v>148</v>
      </c>
      <c r="F369" s="98" t="str">
        <f>IF(E369="Skeet",IFERROR(INDEX('Shooter-Squad Assignment'!$A:$A,MATCH(C369&amp;"-"&amp;D369&amp;"-"&amp;E369&amp;"-Pos1",'Shooter-Squad Assignment'!#REF!,0)),""),IF(E369="Trap",IFERROR(INDEX('Shooter-Squad Assignment'!$A:$A,MATCH(C369&amp;"-"&amp;D369&amp;"-"&amp;E369&amp;"-Pos1",'Shooter-Squad Assignment'!$V:$V,0)),""),IF(E369="Sporting Clays",IFERROR(INDEX('Shooter-Squad Assignment'!$A:$A,MATCH(C369&amp;"-"&amp;D369&amp;"-"&amp;E369&amp;"-Pos1",'Shooter-Squad Assignment'!$Y:$Y,0)),""),"")))</f>
        <v/>
      </c>
      <c r="G369" s="73" t="str">
        <f>IF(ISBLANK(F369),"",IFERROR(INDEX('Tournament List'!$D:$D,MATCH(F369,'Tournament List'!$A:$A,0)),""))</f>
        <v/>
      </c>
      <c r="H369" s="98" t="str">
        <f>IF(E369="Skeet",IFERROR(INDEX('Shooter-Squad Assignment'!$A:$A,MATCH(C369&amp;"-"&amp;D369&amp;"-"&amp;E369&amp;"-Pos2",'Shooter-Squad Assignment'!#REF!,0)),""),IF(E369="Trap",IFERROR(INDEX('Shooter-Squad Assignment'!$A:$A,MATCH(C369&amp;"-"&amp;D369&amp;"-"&amp;E369&amp;"-Pos2",'Shooter-Squad Assignment'!$V:$V,0)),""),IF(E369="Sporting Clays",IFERROR(INDEX('Shooter-Squad Assignment'!$A:$A,MATCH(C369&amp;"-"&amp;D369&amp;"-"&amp;E369&amp;"-Pos2",'Shooter-Squad Assignment'!$Y:$Y,0)),""),"")))</f>
        <v/>
      </c>
      <c r="I369" s="73" t="str">
        <f>IF(ISBLANK(H369),"",IFERROR(INDEX('Tournament List'!$D:$D,MATCH(H369,'Tournament List'!$A:$A,0)),""))</f>
        <v/>
      </c>
      <c r="J369" s="98" t="str">
        <f>IF(E369="Skeet",IFERROR(INDEX('Shooter-Squad Assignment'!$A:$A,MATCH(C369&amp;"-"&amp;D369&amp;"-"&amp;E369&amp;"-Pos3",'Shooter-Squad Assignment'!#REF!,0)),""),IF(E369="Trap",IFERROR(INDEX('Shooter-Squad Assignment'!$A:$A,MATCH(C369&amp;"-"&amp;D369&amp;"-"&amp;E369&amp;"-Pos3",'Shooter-Squad Assignment'!$V:$V,0)),""),IF(E369="Sporting Clays",IFERROR(INDEX('Shooter-Squad Assignment'!$A:$A,MATCH(C369&amp;"-"&amp;D369&amp;"-"&amp;E369&amp;"-Pos3",'Shooter-Squad Assignment'!$Y:$Y,0)),""),"")))</f>
        <v/>
      </c>
      <c r="K369" s="73" t="str">
        <f>IF(ISBLANK(J369),"",IFERROR(INDEX('Tournament List'!$D:$D,MATCH(J369,'Tournament List'!$A:$A,0)),""))</f>
        <v/>
      </c>
      <c r="L369" s="98" t="str">
        <f>IF(E369="Skeet",IFERROR(INDEX('Shooter-Squad Assignment'!$A:$A,MATCH(C369&amp;"-"&amp;D369&amp;"-"&amp;E369&amp;"-Pos4",'Shooter-Squad Assignment'!#REF!,0)),""),IF(E369="Trap",IFERROR(INDEX('Shooter-Squad Assignment'!$A:$A,MATCH(C369&amp;"-"&amp;D369&amp;"-"&amp;E369&amp;"-Pos4",'Shooter-Squad Assignment'!$V:$V,0)),""),IF(E369="Sporting Clays",IFERROR(INDEX('Shooter-Squad Assignment'!$A:$A,MATCH(C369&amp;"-"&amp;D369&amp;"-"&amp;E369&amp;"-Pos4",'Shooter-Squad Assignment'!$Y:$Y,0)),""),"")))</f>
        <v/>
      </c>
      <c r="M369" s="73" t="str">
        <f>IF(ISBLANK(L369),"",IFERROR(INDEX('Tournament List'!$D:$D,MATCH(L369,'Tournament List'!$A:$A,0)),""))</f>
        <v/>
      </c>
      <c r="N369" s="98" t="str">
        <f>IF(E369="Skeet",IFERROR(INDEX('Shooter-Squad Assignment'!$A:$A,MATCH(C369&amp;"-"&amp;D369&amp;"-"&amp;E369&amp;"-Pos5",'Shooter-Squad Assignment'!#REF!,0)),""),IF(E369="Trap",IFERROR(INDEX('Shooter-Squad Assignment'!$A:$A,MATCH(C369&amp;"-"&amp;D369&amp;"-"&amp;E369&amp;"-Pos5",'Shooter-Squad Assignment'!$V:$V,0)),""),IF(E369="Sporting Clays",IFERROR(INDEX('Shooter-Squad Assignment'!$A:$A,MATCH(C369&amp;"-"&amp;D369&amp;"-"&amp;E369&amp;"-Pos5",'Shooter-Squad Assignment'!$Y:$Y,0)),""),"")))</f>
        <v/>
      </c>
      <c r="O369" s="80" t="str">
        <f>IF(ISBLANK(N369),"",IFERROR(INDEX('Tournament List'!$D:$D,MATCH(N369,'Tournament List'!$A:$A,0)),""))</f>
        <v/>
      </c>
    </row>
    <row r="370" spans="1:15" x14ac:dyDescent="0.3">
      <c r="A370" s="79">
        <v>378</v>
      </c>
      <c r="B370" s="73" t="str">
        <f t="shared" si="5"/>
        <v>-Junior Varsity 3-Sporting Clays</v>
      </c>
      <c r="C370" s="73"/>
      <c r="D370" s="73" t="s">
        <v>353</v>
      </c>
      <c r="E370" s="73" t="s">
        <v>148</v>
      </c>
      <c r="F370" s="98" t="str">
        <f>IF(E370="Skeet",IFERROR(INDEX('Shooter-Squad Assignment'!$A:$A,MATCH(C370&amp;"-"&amp;D370&amp;"-"&amp;E370&amp;"-Pos1",'Shooter-Squad Assignment'!#REF!,0)),""),IF(E370="Trap",IFERROR(INDEX('Shooter-Squad Assignment'!$A:$A,MATCH(C370&amp;"-"&amp;D370&amp;"-"&amp;E370&amp;"-Pos1",'Shooter-Squad Assignment'!$V:$V,0)),""),IF(E370="Sporting Clays",IFERROR(INDEX('Shooter-Squad Assignment'!$A:$A,MATCH(C370&amp;"-"&amp;D370&amp;"-"&amp;E370&amp;"-Pos1",'Shooter-Squad Assignment'!$Y:$Y,0)),""),"")))</f>
        <v/>
      </c>
      <c r="G370" s="73" t="str">
        <f>IF(ISBLANK(F370),"",IFERROR(INDEX('Tournament List'!$D:$D,MATCH(F370,'Tournament List'!$A:$A,0)),""))</f>
        <v/>
      </c>
      <c r="H370" s="98" t="str">
        <f>IF(E370="Skeet",IFERROR(INDEX('Shooter-Squad Assignment'!$A:$A,MATCH(C370&amp;"-"&amp;D370&amp;"-"&amp;E370&amp;"-Pos2",'Shooter-Squad Assignment'!#REF!,0)),""),IF(E370="Trap",IFERROR(INDEX('Shooter-Squad Assignment'!$A:$A,MATCH(C370&amp;"-"&amp;D370&amp;"-"&amp;E370&amp;"-Pos2",'Shooter-Squad Assignment'!$V:$V,0)),""),IF(E370="Sporting Clays",IFERROR(INDEX('Shooter-Squad Assignment'!$A:$A,MATCH(C370&amp;"-"&amp;D370&amp;"-"&amp;E370&amp;"-Pos2",'Shooter-Squad Assignment'!$Y:$Y,0)),""),"")))</f>
        <v/>
      </c>
      <c r="I370" s="73" t="str">
        <f>IF(ISBLANK(H370),"",IFERROR(INDEX('Tournament List'!$D:$D,MATCH(H370,'Tournament List'!$A:$A,0)),""))</f>
        <v/>
      </c>
      <c r="J370" s="98" t="str">
        <f>IF(E370="Skeet",IFERROR(INDEX('Shooter-Squad Assignment'!$A:$A,MATCH(C370&amp;"-"&amp;D370&amp;"-"&amp;E370&amp;"-Pos3",'Shooter-Squad Assignment'!#REF!,0)),""),IF(E370="Trap",IFERROR(INDEX('Shooter-Squad Assignment'!$A:$A,MATCH(C370&amp;"-"&amp;D370&amp;"-"&amp;E370&amp;"-Pos3",'Shooter-Squad Assignment'!$V:$V,0)),""),IF(E370="Sporting Clays",IFERROR(INDEX('Shooter-Squad Assignment'!$A:$A,MATCH(C370&amp;"-"&amp;D370&amp;"-"&amp;E370&amp;"-Pos3",'Shooter-Squad Assignment'!$Y:$Y,0)),""),"")))</f>
        <v/>
      </c>
      <c r="K370" s="73" t="str">
        <f>IF(ISBLANK(J370),"",IFERROR(INDEX('Tournament List'!$D:$D,MATCH(J370,'Tournament List'!$A:$A,0)),""))</f>
        <v/>
      </c>
      <c r="L370" s="98" t="str">
        <f>IF(E370="Skeet",IFERROR(INDEX('Shooter-Squad Assignment'!$A:$A,MATCH(C370&amp;"-"&amp;D370&amp;"-"&amp;E370&amp;"-Pos4",'Shooter-Squad Assignment'!#REF!,0)),""),IF(E370="Trap",IFERROR(INDEX('Shooter-Squad Assignment'!$A:$A,MATCH(C370&amp;"-"&amp;D370&amp;"-"&amp;E370&amp;"-Pos4",'Shooter-Squad Assignment'!$V:$V,0)),""),IF(E370="Sporting Clays",IFERROR(INDEX('Shooter-Squad Assignment'!$A:$A,MATCH(C370&amp;"-"&amp;D370&amp;"-"&amp;E370&amp;"-Pos4",'Shooter-Squad Assignment'!$Y:$Y,0)),""),"")))</f>
        <v/>
      </c>
      <c r="M370" s="73" t="str">
        <f>IF(ISBLANK(L370),"",IFERROR(INDEX('Tournament List'!$D:$D,MATCH(L370,'Tournament List'!$A:$A,0)),""))</f>
        <v/>
      </c>
      <c r="N370" s="98" t="str">
        <f>IF(E370="Skeet",IFERROR(INDEX('Shooter-Squad Assignment'!$A:$A,MATCH(C370&amp;"-"&amp;D370&amp;"-"&amp;E370&amp;"-Pos5",'Shooter-Squad Assignment'!#REF!,0)),""),IF(E370="Trap",IFERROR(INDEX('Shooter-Squad Assignment'!$A:$A,MATCH(C370&amp;"-"&amp;D370&amp;"-"&amp;E370&amp;"-Pos5",'Shooter-Squad Assignment'!$V:$V,0)),""),IF(E370="Sporting Clays",IFERROR(INDEX('Shooter-Squad Assignment'!$A:$A,MATCH(C370&amp;"-"&amp;D370&amp;"-"&amp;E370&amp;"-Pos5",'Shooter-Squad Assignment'!$Y:$Y,0)),""),"")))</f>
        <v/>
      </c>
      <c r="O370" s="80" t="str">
        <f>IF(ISBLANK(N370),"",IFERROR(INDEX('Tournament List'!$D:$D,MATCH(N370,'Tournament List'!$A:$A,0)),""))</f>
        <v/>
      </c>
    </row>
    <row r="371" spans="1:15" x14ac:dyDescent="0.3">
      <c r="A371" s="79">
        <v>379</v>
      </c>
      <c r="B371" s="73" t="str">
        <f t="shared" si="5"/>
        <v>-Novice 1-Sporting Clays</v>
      </c>
      <c r="C371" s="73"/>
      <c r="D371" s="73" t="s">
        <v>339</v>
      </c>
      <c r="E371" s="73" t="s">
        <v>148</v>
      </c>
      <c r="F371" s="98" t="str">
        <f>IF(E371="Skeet",IFERROR(INDEX('Shooter-Squad Assignment'!$A:$A,MATCH(C371&amp;"-"&amp;D371&amp;"-"&amp;E371&amp;"-Pos1",'Shooter-Squad Assignment'!#REF!,0)),""),IF(E371="Trap",IFERROR(INDEX('Shooter-Squad Assignment'!$A:$A,MATCH(C371&amp;"-"&amp;D371&amp;"-"&amp;E371&amp;"-Pos1",'Shooter-Squad Assignment'!$V:$V,0)),""),IF(E371="Sporting Clays",IFERROR(INDEX('Shooter-Squad Assignment'!$A:$A,MATCH(C371&amp;"-"&amp;D371&amp;"-"&amp;E371&amp;"-Pos1",'Shooter-Squad Assignment'!$Y:$Y,0)),""),"")))</f>
        <v/>
      </c>
      <c r="G371" s="73" t="str">
        <f>IF(ISBLANK(F371),"",IFERROR(INDEX('Tournament List'!$D:$D,MATCH(F371,'Tournament List'!$A:$A,0)),""))</f>
        <v/>
      </c>
      <c r="H371" s="98" t="str">
        <f>IF(E371="Skeet",IFERROR(INDEX('Shooter-Squad Assignment'!$A:$A,MATCH(C371&amp;"-"&amp;D371&amp;"-"&amp;E371&amp;"-Pos2",'Shooter-Squad Assignment'!#REF!,0)),""),IF(E371="Trap",IFERROR(INDEX('Shooter-Squad Assignment'!$A:$A,MATCH(C371&amp;"-"&amp;D371&amp;"-"&amp;E371&amp;"-Pos2",'Shooter-Squad Assignment'!$V:$V,0)),""),IF(E371="Sporting Clays",IFERROR(INDEX('Shooter-Squad Assignment'!$A:$A,MATCH(C371&amp;"-"&amp;D371&amp;"-"&amp;E371&amp;"-Pos2",'Shooter-Squad Assignment'!$Y:$Y,0)),""),"")))</f>
        <v/>
      </c>
      <c r="I371" s="73" t="str">
        <f>IF(ISBLANK(H371),"",IFERROR(INDEX('Tournament List'!$D:$D,MATCH(H371,'Tournament List'!$A:$A,0)),""))</f>
        <v/>
      </c>
      <c r="J371" s="98" t="str">
        <f>IF(E371="Skeet",IFERROR(INDEX('Shooter-Squad Assignment'!$A:$A,MATCH(C371&amp;"-"&amp;D371&amp;"-"&amp;E371&amp;"-Pos3",'Shooter-Squad Assignment'!#REF!,0)),""),IF(E371="Trap",IFERROR(INDEX('Shooter-Squad Assignment'!$A:$A,MATCH(C371&amp;"-"&amp;D371&amp;"-"&amp;E371&amp;"-Pos3",'Shooter-Squad Assignment'!$V:$V,0)),""),IF(E371="Sporting Clays",IFERROR(INDEX('Shooter-Squad Assignment'!$A:$A,MATCH(C371&amp;"-"&amp;D371&amp;"-"&amp;E371&amp;"-Pos3",'Shooter-Squad Assignment'!$Y:$Y,0)),""),"")))</f>
        <v/>
      </c>
      <c r="K371" s="73" t="str">
        <f>IF(ISBLANK(J371),"",IFERROR(INDEX('Tournament List'!$D:$D,MATCH(J371,'Tournament List'!$A:$A,0)),""))</f>
        <v/>
      </c>
      <c r="L371" s="98" t="str">
        <f>IF(E371="Skeet",IFERROR(INDEX('Shooter-Squad Assignment'!$A:$A,MATCH(C371&amp;"-"&amp;D371&amp;"-"&amp;E371&amp;"-Pos4",'Shooter-Squad Assignment'!#REF!,0)),""),IF(E371="Trap",IFERROR(INDEX('Shooter-Squad Assignment'!$A:$A,MATCH(C371&amp;"-"&amp;D371&amp;"-"&amp;E371&amp;"-Pos4",'Shooter-Squad Assignment'!$V:$V,0)),""),IF(E371="Sporting Clays",IFERROR(INDEX('Shooter-Squad Assignment'!$A:$A,MATCH(C371&amp;"-"&amp;D371&amp;"-"&amp;E371&amp;"-Pos4",'Shooter-Squad Assignment'!$Y:$Y,0)),""),"")))</f>
        <v/>
      </c>
      <c r="M371" s="73" t="str">
        <f>IF(ISBLANK(L371),"",IFERROR(INDEX('Tournament List'!$D:$D,MATCH(L371,'Tournament List'!$A:$A,0)),""))</f>
        <v/>
      </c>
      <c r="N371" s="98" t="str">
        <f>IF(E371="Skeet",IFERROR(INDEX('Shooter-Squad Assignment'!$A:$A,MATCH(C371&amp;"-"&amp;D371&amp;"-"&amp;E371&amp;"-Pos5",'Shooter-Squad Assignment'!#REF!,0)),""),IF(E371="Trap",IFERROR(INDEX('Shooter-Squad Assignment'!$A:$A,MATCH(C371&amp;"-"&amp;D371&amp;"-"&amp;E371&amp;"-Pos5",'Shooter-Squad Assignment'!$V:$V,0)),""),IF(E371="Sporting Clays",IFERROR(INDEX('Shooter-Squad Assignment'!$A:$A,MATCH(C371&amp;"-"&amp;D371&amp;"-"&amp;E371&amp;"-Pos5",'Shooter-Squad Assignment'!$Y:$Y,0)),""),"")))</f>
        <v/>
      </c>
      <c r="O371" s="80" t="str">
        <f>IF(ISBLANK(N371),"",IFERROR(INDEX('Tournament List'!$D:$D,MATCH(N371,'Tournament List'!$A:$A,0)),""))</f>
        <v/>
      </c>
    </row>
    <row r="372" spans="1:15" x14ac:dyDescent="0.3">
      <c r="A372" s="79">
        <v>380</v>
      </c>
      <c r="B372" s="73" t="str">
        <f t="shared" si="5"/>
        <v>-Novice 2-Sporting Clays</v>
      </c>
      <c r="C372" s="73"/>
      <c r="D372" s="73" t="s">
        <v>345</v>
      </c>
      <c r="E372" s="73" t="s">
        <v>148</v>
      </c>
      <c r="F372" s="98" t="str">
        <f>IF(E372="Skeet",IFERROR(INDEX('Shooter-Squad Assignment'!$A:$A,MATCH(C372&amp;"-"&amp;D372&amp;"-"&amp;E372&amp;"-Pos1",'Shooter-Squad Assignment'!#REF!,0)),""),IF(E372="Trap",IFERROR(INDEX('Shooter-Squad Assignment'!$A:$A,MATCH(C372&amp;"-"&amp;D372&amp;"-"&amp;E372&amp;"-Pos1",'Shooter-Squad Assignment'!$V:$V,0)),""),IF(E372="Sporting Clays",IFERROR(INDEX('Shooter-Squad Assignment'!$A:$A,MATCH(C372&amp;"-"&amp;D372&amp;"-"&amp;E372&amp;"-Pos1",'Shooter-Squad Assignment'!$Y:$Y,0)),""),"")))</f>
        <v/>
      </c>
      <c r="G372" s="73" t="str">
        <f>IF(ISBLANK(F372),"",IFERROR(INDEX('Tournament List'!$D:$D,MATCH(F372,'Tournament List'!$A:$A,0)),""))</f>
        <v/>
      </c>
      <c r="H372" s="98" t="str">
        <f>IF(E372="Skeet",IFERROR(INDEX('Shooter-Squad Assignment'!$A:$A,MATCH(C372&amp;"-"&amp;D372&amp;"-"&amp;E372&amp;"-Pos2",'Shooter-Squad Assignment'!#REF!,0)),""),IF(E372="Trap",IFERROR(INDEX('Shooter-Squad Assignment'!$A:$A,MATCH(C372&amp;"-"&amp;D372&amp;"-"&amp;E372&amp;"-Pos2",'Shooter-Squad Assignment'!$V:$V,0)),""),IF(E372="Sporting Clays",IFERROR(INDEX('Shooter-Squad Assignment'!$A:$A,MATCH(C372&amp;"-"&amp;D372&amp;"-"&amp;E372&amp;"-Pos2",'Shooter-Squad Assignment'!$Y:$Y,0)),""),"")))</f>
        <v/>
      </c>
      <c r="I372" s="73" t="str">
        <f>IF(ISBLANK(H372),"",IFERROR(INDEX('Tournament List'!$D:$D,MATCH(H372,'Tournament List'!$A:$A,0)),""))</f>
        <v/>
      </c>
      <c r="J372" s="98" t="str">
        <f>IF(E372="Skeet",IFERROR(INDEX('Shooter-Squad Assignment'!$A:$A,MATCH(C372&amp;"-"&amp;D372&amp;"-"&amp;E372&amp;"-Pos3",'Shooter-Squad Assignment'!#REF!,0)),""),IF(E372="Trap",IFERROR(INDEX('Shooter-Squad Assignment'!$A:$A,MATCH(C372&amp;"-"&amp;D372&amp;"-"&amp;E372&amp;"-Pos3",'Shooter-Squad Assignment'!$V:$V,0)),""),IF(E372="Sporting Clays",IFERROR(INDEX('Shooter-Squad Assignment'!$A:$A,MATCH(C372&amp;"-"&amp;D372&amp;"-"&amp;E372&amp;"-Pos3",'Shooter-Squad Assignment'!$Y:$Y,0)),""),"")))</f>
        <v/>
      </c>
      <c r="K372" s="73" t="str">
        <f>IF(ISBLANK(J372),"",IFERROR(INDEX('Tournament List'!$D:$D,MATCH(J372,'Tournament List'!$A:$A,0)),""))</f>
        <v/>
      </c>
      <c r="L372" s="98" t="str">
        <f>IF(E372="Skeet",IFERROR(INDEX('Shooter-Squad Assignment'!$A:$A,MATCH(C372&amp;"-"&amp;D372&amp;"-"&amp;E372&amp;"-Pos4",'Shooter-Squad Assignment'!#REF!,0)),""),IF(E372="Trap",IFERROR(INDEX('Shooter-Squad Assignment'!$A:$A,MATCH(C372&amp;"-"&amp;D372&amp;"-"&amp;E372&amp;"-Pos4",'Shooter-Squad Assignment'!$V:$V,0)),""),IF(E372="Sporting Clays",IFERROR(INDEX('Shooter-Squad Assignment'!$A:$A,MATCH(C372&amp;"-"&amp;D372&amp;"-"&amp;E372&amp;"-Pos4",'Shooter-Squad Assignment'!$Y:$Y,0)),""),"")))</f>
        <v/>
      </c>
      <c r="M372" s="73" t="str">
        <f>IF(ISBLANK(L372),"",IFERROR(INDEX('Tournament List'!$D:$D,MATCH(L372,'Tournament List'!$A:$A,0)),""))</f>
        <v/>
      </c>
      <c r="N372" s="98" t="str">
        <f>IF(E372="Skeet",IFERROR(INDEX('Shooter-Squad Assignment'!$A:$A,MATCH(C372&amp;"-"&amp;D372&amp;"-"&amp;E372&amp;"-Pos5",'Shooter-Squad Assignment'!#REF!,0)),""),IF(E372="Trap",IFERROR(INDEX('Shooter-Squad Assignment'!$A:$A,MATCH(C372&amp;"-"&amp;D372&amp;"-"&amp;E372&amp;"-Pos5",'Shooter-Squad Assignment'!$V:$V,0)),""),IF(E372="Sporting Clays",IFERROR(INDEX('Shooter-Squad Assignment'!$A:$A,MATCH(C372&amp;"-"&amp;D372&amp;"-"&amp;E372&amp;"-Pos5",'Shooter-Squad Assignment'!$Y:$Y,0)),""),"")))</f>
        <v/>
      </c>
      <c r="O372" s="80" t="str">
        <f>IF(ISBLANK(N372),"",IFERROR(INDEX('Tournament List'!$D:$D,MATCH(N372,'Tournament List'!$A:$A,0)),""))</f>
        <v/>
      </c>
    </row>
    <row r="373" spans="1:15" x14ac:dyDescent="0.3">
      <c r="A373" s="79">
        <v>381</v>
      </c>
      <c r="B373" s="73" t="str">
        <f t="shared" si="5"/>
        <v>-Novice 3-Sporting Clays</v>
      </c>
      <c r="C373" s="73"/>
      <c r="D373" s="73" t="s">
        <v>351</v>
      </c>
      <c r="E373" s="73" t="s">
        <v>148</v>
      </c>
      <c r="F373" s="98" t="str">
        <f>IF(E373="Skeet",IFERROR(INDEX('Shooter-Squad Assignment'!$A:$A,MATCH(C373&amp;"-"&amp;D373&amp;"-"&amp;E373&amp;"-Pos1",'Shooter-Squad Assignment'!#REF!,0)),""),IF(E373="Trap",IFERROR(INDEX('Shooter-Squad Assignment'!$A:$A,MATCH(C373&amp;"-"&amp;D373&amp;"-"&amp;E373&amp;"-Pos1",'Shooter-Squad Assignment'!$V:$V,0)),""),IF(E373="Sporting Clays",IFERROR(INDEX('Shooter-Squad Assignment'!$A:$A,MATCH(C373&amp;"-"&amp;D373&amp;"-"&amp;E373&amp;"-Pos1",'Shooter-Squad Assignment'!$Y:$Y,0)),""),"")))</f>
        <v/>
      </c>
      <c r="G373" s="73" t="str">
        <f>IF(ISBLANK(F373),"",IFERROR(INDEX('Tournament List'!$D:$D,MATCH(F373,'Tournament List'!$A:$A,0)),""))</f>
        <v/>
      </c>
      <c r="H373" s="98" t="str">
        <f>IF(E373="Skeet",IFERROR(INDEX('Shooter-Squad Assignment'!$A:$A,MATCH(C373&amp;"-"&amp;D373&amp;"-"&amp;E373&amp;"-Pos2",'Shooter-Squad Assignment'!#REF!,0)),""),IF(E373="Trap",IFERROR(INDEX('Shooter-Squad Assignment'!$A:$A,MATCH(C373&amp;"-"&amp;D373&amp;"-"&amp;E373&amp;"-Pos2",'Shooter-Squad Assignment'!$V:$V,0)),""),IF(E373="Sporting Clays",IFERROR(INDEX('Shooter-Squad Assignment'!$A:$A,MATCH(C373&amp;"-"&amp;D373&amp;"-"&amp;E373&amp;"-Pos2",'Shooter-Squad Assignment'!$Y:$Y,0)),""),"")))</f>
        <v/>
      </c>
      <c r="I373" s="73" t="str">
        <f>IF(ISBLANK(H373),"",IFERROR(INDEX('Tournament List'!$D:$D,MATCH(H373,'Tournament List'!$A:$A,0)),""))</f>
        <v/>
      </c>
      <c r="J373" s="98" t="str">
        <f>IF(E373="Skeet",IFERROR(INDEX('Shooter-Squad Assignment'!$A:$A,MATCH(C373&amp;"-"&amp;D373&amp;"-"&amp;E373&amp;"-Pos3",'Shooter-Squad Assignment'!#REF!,0)),""),IF(E373="Trap",IFERROR(INDEX('Shooter-Squad Assignment'!$A:$A,MATCH(C373&amp;"-"&amp;D373&amp;"-"&amp;E373&amp;"-Pos3",'Shooter-Squad Assignment'!$V:$V,0)),""),IF(E373="Sporting Clays",IFERROR(INDEX('Shooter-Squad Assignment'!$A:$A,MATCH(C373&amp;"-"&amp;D373&amp;"-"&amp;E373&amp;"-Pos3",'Shooter-Squad Assignment'!$Y:$Y,0)),""),"")))</f>
        <v/>
      </c>
      <c r="K373" s="73" t="str">
        <f>IF(ISBLANK(J373),"",IFERROR(INDEX('Tournament List'!$D:$D,MATCH(J373,'Tournament List'!$A:$A,0)),""))</f>
        <v/>
      </c>
      <c r="L373" s="98" t="str">
        <f>IF(E373="Skeet",IFERROR(INDEX('Shooter-Squad Assignment'!$A:$A,MATCH(C373&amp;"-"&amp;D373&amp;"-"&amp;E373&amp;"-Pos4",'Shooter-Squad Assignment'!#REF!,0)),""),IF(E373="Trap",IFERROR(INDEX('Shooter-Squad Assignment'!$A:$A,MATCH(C373&amp;"-"&amp;D373&amp;"-"&amp;E373&amp;"-Pos4",'Shooter-Squad Assignment'!$V:$V,0)),""),IF(E373="Sporting Clays",IFERROR(INDEX('Shooter-Squad Assignment'!$A:$A,MATCH(C373&amp;"-"&amp;D373&amp;"-"&amp;E373&amp;"-Pos4",'Shooter-Squad Assignment'!$Y:$Y,0)),""),"")))</f>
        <v/>
      </c>
      <c r="M373" s="73" t="str">
        <f>IF(ISBLANK(L373),"",IFERROR(INDEX('Tournament List'!$D:$D,MATCH(L373,'Tournament List'!$A:$A,0)),""))</f>
        <v/>
      </c>
      <c r="N373" s="98" t="str">
        <f>IF(E373="Skeet",IFERROR(INDEX('Shooter-Squad Assignment'!$A:$A,MATCH(C373&amp;"-"&amp;D373&amp;"-"&amp;E373&amp;"-Pos5",'Shooter-Squad Assignment'!#REF!,0)),""),IF(E373="Trap",IFERROR(INDEX('Shooter-Squad Assignment'!$A:$A,MATCH(C373&amp;"-"&amp;D373&amp;"-"&amp;E373&amp;"-Pos5",'Shooter-Squad Assignment'!$V:$V,0)),""),IF(E373="Sporting Clays",IFERROR(INDEX('Shooter-Squad Assignment'!$A:$A,MATCH(C373&amp;"-"&amp;D373&amp;"-"&amp;E373&amp;"-Pos5",'Shooter-Squad Assignment'!$Y:$Y,0)),""),"")))</f>
        <v/>
      </c>
      <c r="O373" s="80" t="str">
        <f>IF(ISBLANK(N373),"",IFERROR(INDEX('Tournament List'!$D:$D,MATCH(N373,'Tournament List'!$A:$A,0)),""))</f>
        <v/>
      </c>
    </row>
    <row r="374" spans="1:15" x14ac:dyDescent="0.3">
      <c r="A374" s="79">
        <v>382</v>
      </c>
      <c r="B374" s="73" t="str">
        <f t="shared" si="5"/>
        <v>-Open 1-Sporting Clays</v>
      </c>
      <c r="C374" s="73"/>
      <c r="D374" s="73" t="s">
        <v>343</v>
      </c>
      <c r="E374" s="73" t="s">
        <v>148</v>
      </c>
      <c r="F374" s="98" t="str">
        <f>IF(E374="Skeet",IFERROR(INDEX('Shooter-Squad Assignment'!$A:$A,MATCH(C374&amp;"-"&amp;D374&amp;"-"&amp;E374&amp;"-Pos1",'Shooter-Squad Assignment'!#REF!,0)),""),IF(E374="Trap",IFERROR(INDEX('Shooter-Squad Assignment'!$A:$A,MATCH(C374&amp;"-"&amp;D374&amp;"-"&amp;E374&amp;"-Pos1",'Shooter-Squad Assignment'!$V:$V,0)),""),IF(E374="Sporting Clays",IFERROR(INDEX('Shooter-Squad Assignment'!$A:$A,MATCH(C374&amp;"-"&amp;D374&amp;"-"&amp;E374&amp;"-Pos1",'Shooter-Squad Assignment'!$Y:$Y,0)),""),"")))</f>
        <v/>
      </c>
      <c r="G374" s="73" t="str">
        <f>IF(ISBLANK(F374),"",IFERROR(INDEX('Tournament List'!$D:$D,MATCH(F374,'Tournament List'!$A:$A,0)),""))</f>
        <v/>
      </c>
      <c r="H374" s="98" t="str">
        <f>IF(E374="Skeet",IFERROR(INDEX('Shooter-Squad Assignment'!$A:$A,MATCH(C374&amp;"-"&amp;D374&amp;"-"&amp;E374&amp;"-Pos2",'Shooter-Squad Assignment'!#REF!,0)),""),IF(E374="Trap",IFERROR(INDEX('Shooter-Squad Assignment'!$A:$A,MATCH(C374&amp;"-"&amp;D374&amp;"-"&amp;E374&amp;"-Pos2",'Shooter-Squad Assignment'!$V:$V,0)),""),IF(E374="Sporting Clays",IFERROR(INDEX('Shooter-Squad Assignment'!$A:$A,MATCH(C374&amp;"-"&amp;D374&amp;"-"&amp;E374&amp;"-Pos2",'Shooter-Squad Assignment'!$Y:$Y,0)),""),"")))</f>
        <v/>
      </c>
      <c r="I374" s="73" t="str">
        <f>IF(ISBLANK(H374),"",IFERROR(INDEX('Tournament List'!$D:$D,MATCH(H374,'Tournament List'!$A:$A,0)),""))</f>
        <v/>
      </c>
      <c r="J374" s="98" t="str">
        <f>IF(E374="Skeet",IFERROR(INDEX('Shooter-Squad Assignment'!$A:$A,MATCH(C374&amp;"-"&amp;D374&amp;"-"&amp;E374&amp;"-Pos3",'Shooter-Squad Assignment'!#REF!,0)),""),IF(E374="Trap",IFERROR(INDEX('Shooter-Squad Assignment'!$A:$A,MATCH(C374&amp;"-"&amp;D374&amp;"-"&amp;E374&amp;"-Pos3",'Shooter-Squad Assignment'!$V:$V,0)),""),IF(E374="Sporting Clays",IFERROR(INDEX('Shooter-Squad Assignment'!$A:$A,MATCH(C374&amp;"-"&amp;D374&amp;"-"&amp;E374&amp;"-Pos3",'Shooter-Squad Assignment'!$Y:$Y,0)),""),"")))</f>
        <v/>
      </c>
      <c r="K374" s="73" t="str">
        <f>IF(ISBLANK(J374),"",IFERROR(INDEX('Tournament List'!$D:$D,MATCH(J374,'Tournament List'!$A:$A,0)),""))</f>
        <v/>
      </c>
      <c r="L374" s="98" t="str">
        <f>IF(E374="Skeet",IFERROR(INDEX('Shooter-Squad Assignment'!$A:$A,MATCH(C374&amp;"-"&amp;D374&amp;"-"&amp;E374&amp;"-Pos4",'Shooter-Squad Assignment'!#REF!,0)),""),IF(E374="Trap",IFERROR(INDEX('Shooter-Squad Assignment'!$A:$A,MATCH(C374&amp;"-"&amp;D374&amp;"-"&amp;E374&amp;"-Pos4",'Shooter-Squad Assignment'!$V:$V,0)),""),IF(E374="Sporting Clays",IFERROR(INDEX('Shooter-Squad Assignment'!$A:$A,MATCH(C374&amp;"-"&amp;D374&amp;"-"&amp;E374&amp;"-Pos4",'Shooter-Squad Assignment'!$Y:$Y,0)),""),"")))</f>
        <v/>
      </c>
      <c r="M374" s="73" t="str">
        <f>IF(ISBLANK(L374),"",IFERROR(INDEX('Tournament List'!$D:$D,MATCH(L374,'Tournament List'!$A:$A,0)),""))</f>
        <v/>
      </c>
      <c r="N374" s="98" t="str">
        <f>IF(E374="Skeet",IFERROR(INDEX('Shooter-Squad Assignment'!$A:$A,MATCH(C374&amp;"-"&amp;D374&amp;"-"&amp;E374&amp;"-Pos5",'Shooter-Squad Assignment'!#REF!,0)),""),IF(E374="Trap",IFERROR(INDEX('Shooter-Squad Assignment'!$A:$A,MATCH(C374&amp;"-"&amp;D374&amp;"-"&amp;E374&amp;"-Pos5",'Shooter-Squad Assignment'!$V:$V,0)),""),IF(E374="Sporting Clays",IFERROR(INDEX('Shooter-Squad Assignment'!$A:$A,MATCH(C374&amp;"-"&amp;D374&amp;"-"&amp;E374&amp;"-Pos5",'Shooter-Squad Assignment'!$Y:$Y,0)),""),"")))</f>
        <v/>
      </c>
      <c r="O374" s="80" t="str">
        <f>IF(ISBLANK(N374),"",IFERROR(INDEX('Tournament List'!$D:$D,MATCH(N374,'Tournament List'!$A:$A,0)),""))</f>
        <v/>
      </c>
    </row>
    <row r="375" spans="1:15" x14ac:dyDescent="0.3">
      <c r="A375" s="79">
        <v>383</v>
      </c>
      <c r="B375" s="73" t="str">
        <f t="shared" si="5"/>
        <v>-Open 2-Sporting Clays</v>
      </c>
      <c r="C375" s="73"/>
      <c r="D375" s="73" t="s">
        <v>349</v>
      </c>
      <c r="E375" s="73" t="s">
        <v>148</v>
      </c>
      <c r="F375" s="98" t="str">
        <f>IF(E375="Skeet",IFERROR(INDEX('Shooter-Squad Assignment'!$A:$A,MATCH(C375&amp;"-"&amp;D375&amp;"-"&amp;E375&amp;"-Pos1",'Shooter-Squad Assignment'!#REF!,0)),""),IF(E375="Trap",IFERROR(INDEX('Shooter-Squad Assignment'!$A:$A,MATCH(C375&amp;"-"&amp;D375&amp;"-"&amp;E375&amp;"-Pos1",'Shooter-Squad Assignment'!$V:$V,0)),""),IF(E375="Sporting Clays",IFERROR(INDEX('Shooter-Squad Assignment'!$A:$A,MATCH(C375&amp;"-"&amp;D375&amp;"-"&amp;E375&amp;"-Pos1",'Shooter-Squad Assignment'!$Y:$Y,0)),""),"")))</f>
        <v/>
      </c>
      <c r="G375" s="73" t="str">
        <f>IF(ISBLANK(F375),"",IFERROR(INDEX('Tournament List'!$D:$D,MATCH(F375,'Tournament List'!$A:$A,0)),""))</f>
        <v/>
      </c>
      <c r="H375" s="98" t="str">
        <f>IF(E375="Skeet",IFERROR(INDEX('Shooter-Squad Assignment'!$A:$A,MATCH(C375&amp;"-"&amp;D375&amp;"-"&amp;E375&amp;"-Pos2",'Shooter-Squad Assignment'!#REF!,0)),""),IF(E375="Trap",IFERROR(INDEX('Shooter-Squad Assignment'!$A:$A,MATCH(C375&amp;"-"&amp;D375&amp;"-"&amp;E375&amp;"-Pos2",'Shooter-Squad Assignment'!$V:$V,0)),""),IF(E375="Sporting Clays",IFERROR(INDEX('Shooter-Squad Assignment'!$A:$A,MATCH(C375&amp;"-"&amp;D375&amp;"-"&amp;E375&amp;"-Pos2",'Shooter-Squad Assignment'!$Y:$Y,0)),""),"")))</f>
        <v/>
      </c>
      <c r="I375" s="73" t="str">
        <f>IF(ISBLANK(H375),"",IFERROR(INDEX('Tournament List'!$D:$D,MATCH(H375,'Tournament List'!$A:$A,0)),""))</f>
        <v/>
      </c>
      <c r="J375" s="98" t="str">
        <f>IF(E375="Skeet",IFERROR(INDEX('Shooter-Squad Assignment'!$A:$A,MATCH(C375&amp;"-"&amp;D375&amp;"-"&amp;E375&amp;"-Pos3",'Shooter-Squad Assignment'!#REF!,0)),""),IF(E375="Trap",IFERROR(INDEX('Shooter-Squad Assignment'!$A:$A,MATCH(C375&amp;"-"&amp;D375&amp;"-"&amp;E375&amp;"-Pos3",'Shooter-Squad Assignment'!$V:$V,0)),""),IF(E375="Sporting Clays",IFERROR(INDEX('Shooter-Squad Assignment'!$A:$A,MATCH(C375&amp;"-"&amp;D375&amp;"-"&amp;E375&amp;"-Pos3",'Shooter-Squad Assignment'!$Y:$Y,0)),""),"")))</f>
        <v/>
      </c>
      <c r="K375" s="73" t="str">
        <f>IF(ISBLANK(J375),"",IFERROR(INDEX('Tournament List'!$D:$D,MATCH(J375,'Tournament List'!$A:$A,0)),""))</f>
        <v/>
      </c>
      <c r="L375" s="98" t="str">
        <f>IF(E375="Skeet",IFERROR(INDEX('Shooter-Squad Assignment'!$A:$A,MATCH(C375&amp;"-"&amp;D375&amp;"-"&amp;E375&amp;"-Pos4",'Shooter-Squad Assignment'!#REF!,0)),""),IF(E375="Trap",IFERROR(INDEX('Shooter-Squad Assignment'!$A:$A,MATCH(C375&amp;"-"&amp;D375&amp;"-"&amp;E375&amp;"-Pos4",'Shooter-Squad Assignment'!$V:$V,0)),""),IF(E375="Sporting Clays",IFERROR(INDEX('Shooter-Squad Assignment'!$A:$A,MATCH(C375&amp;"-"&amp;D375&amp;"-"&amp;E375&amp;"-Pos4",'Shooter-Squad Assignment'!$Y:$Y,0)),""),"")))</f>
        <v/>
      </c>
      <c r="M375" s="73" t="str">
        <f>IF(ISBLANK(L375),"",IFERROR(INDEX('Tournament List'!$D:$D,MATCH(L375,'Tournament List'!$A:$A,0)),""))</f>
        <v/>
      </c>
      <c r="N375" s="98" t="str">
        <f>IF(E375="Skeet",IFERROR(INDEX('Shooter-Squad Assignment'!$A:$A,MATCH(C375&amp;"-"&amp;D375&amp;"-"&amp;E375&amp;"-Pos5",'Shooter-Squad Assignment'!#REF!,0)),""),IF(E375="Trap",IFERROR(INDEX('Shooter-Squad Assignment'!$A:$A,MATCH(C375&amp;"-"&amp;D375&amp;"-"&amp;E375&amp;"-Pos5",'Shooter-Squad Assignment'!$V:$V,0)),""),IF(E375="Sporting Clays",IFERROR(INDEX('Shooter-Squad Assignment'!$A:$A,MATCH(C375&amp;"-"&amp;D375&amp;"-"&amp;E375&amp;"-Pos5",'Shooter-Squad Assignment'!$Y:$Y,0)),""),"")))</f>
        <v/>
      </c>
      <c r="O375" s="80" t="str">
        <f>IF(ISBLANK(N375),"",IFERROR(INDEX('Tournament List'!$D:$D,MATCH(N375,'Tournament List'!$A:$A,0)),""))</f>
        <v/>
      </c>
    </row>
    <row r="376" spans="1:15" x14ac:dyDescent="0.3">
      <c r="A376" s="79">
        <v>384</v>
      </c>
      <c r="B376" s="73" t="str">
        <f t="shared" si="5"/>
        <v>-Open 3-Sporting Clays</v>
      </c>
      <c r="C376" s="73"/>
      <c r="D376" s="73" t="s">
        <v>355</v>
      </c>
      <c r="E376" s="73" t="s">
        <v>148</v>
      </c>
      <c r="F376" s="98" t="str">
        <f>IF(E376="Skeet",IFERROR(INDEX('Shooter-Squad Assignment'!$A:$A,MATCH(C376&amp;"-"&amp;D376&amp;"-"&amp;E376&amp;"-Pos1",'Shooter-Squad Assignment'!#REF!,0)),""),IF(E376="Trap",IFERROR(INDEX('Shooter-Squad Assignment'!$A:$A,MATCH(C376&amp;"-"&amp;D376&amp;"-"&amp;E376&amp;"-Pos1",'Shooter-Squad Assignment'!$V:$V,0)),""),IF(E376="Sporting Clays",IFERROR(INDEX('Shooter-Squad Assignment'!$A:$A,MATCH(C376&amp;"-"&amp;D376&amp;"-"&amp;E376&amp;"-Pos1",'Shooter-Squad Assignment'!$Y:$Y,0)),""),"")))</f>
        <v/>
      </c>
      <c r="G376" s="73" t="str">
        <f>IF(ISBLANK(F376),"",IFERROR(INDEX('Tournament List'!$D:$D,MATCH(F376,'Tournament List'!$A:$A,0)),""))</f>
        <v/>
      </c>
      <c r="H376" s="98" t="str">
        <f>IF(E376="Skeet",IFERROR(INDEX('Shooter-Squad Assignment'!$A:$A,MATCH(C376&amp;"-"&amp;D376&amp;"-"&amp;E376&amp;"-Pos2",'Shooter-Squad Assignment'!#REF!,0)),""),IF(E376="Trap",IFERROR(INDEX('Shooter-Squad Assignment'!$A:$A,MATCH(C376&amp;"-"&amp;D376&amp;"-"&amp;E376&amp;"-Pos2",'Shooter-Squad Assignment'!$V:$V,0)),""),IF(E376="Sporting Clays",IFERROR(INDEX('Shooter-Squad Assignment'!$A:$A,MATCH(C376&amp;"-"&amp;D376&amp;"-"&amp;E376&amp;"-Pos2",'Shooter-Squad Assignment'!$Y:$Y,0)),""),"")))</f>
        <v/>
      </c>
      <c r="I376" s="73" t="str">
        <f>IF(ISBLANK(H376),"",IFERROR(INDEX('Tournament List'!$D:$D,MATCH(H376,'Tournament List'!$A:$A,0)),""))</f>
        <v/>
      </c>
      <c r="J376" s="98" t="str">
        <f>IF(E376="Skeet",IFERROR(INDEX('Shooter-Squad Assignment'!$A:$A,MATCH(C376&amp;"-"&amp;D376&amp;"-"&amp;E376&amp;"-Pos3",'Shooter-Squad Assignment'!#REF!,0)),""),IF(E376="Trap",IFERROR(INDEX('Shooter-Squad Assignment'!$A:$A,MATCH(C376&amp;"-"&amp;D376&amp;"-"&amp;E376&amp;"-Pos3",'Shooter-Squad Assignment'!$V:$V,0)),""),IF(E376="Sporting Clays",IFERROR(INDEX('Shooter-Squad Assignment'!$A:$A,MATCH(C376&amp;"-"&amp;D376&amp;"-"&amp;E376&amp;"-Pos3",'Shooter-Squad Assignment'!$Y:$Y,0)),""),"")))</f>
        <v/>
      </c>
      <c r="K376" s="73" t="str">
        <f>IF(ISBLANK(J376),"",IFERROR(INDEX('Tournament List'!$D:$D,MATCH(J376,'Tournament List'!$A:$A,0)),""))</f>
        <v/>
      </c>
      <c r="L376" s="98" t="str">
        <f>IF(E376="Skeet",IFERROR(INDEX('Shooter-Squad Assignment'!$A:$A,MATCH(C376&amp;"-"&amp;D376&amp;"-"&amp;E376&amp;"-Pos4",'Shooter-Squad Assignment'!#REF!,0)),""),IF(E376="Trap",IFERROR(INDEX('Shooter-Squad Assignment'!$A:$A,MATCH(C376&amp;"-"&amp;D376&amp;"-"&amp;E376&amp;"-Pos4",'Shooter-Squad Assignment'!$V:$V,0)),""),IF(E376="Sporting Clays",IFERROR(INDEX('Shooter-Squad Assignment'!$A:$A,MATCH(C376&amp;"-"&amp;D376&amp;"-"&amp;E376&amp;"-Pos4",'Shooter-Squad Assignment'!$Y:$Y,0)),""),"")))</f>
        <v/>
      </c>
      <c r="M376" s="73" t="str">
        <f>IF(ISBLANK(L376),"",IFERROR(INDEX('Tournament List'!$D:$D,MATCH(L376,'Tournament List'!$A:$A,0)),""))</f>
        <v/>
      </c>
      <c r="N376" s="98" t="str">
        <f>IF(E376="Skeet",IFERROR(INDEX('Shooter-Squad Assignment'!$A:$A,MATCH(C376&amp;"-"&amp;D376&amp;"-"&amp;E376&amp;"-Pos5",'Shooter-Squad Assignment'!#REF!,0)),""),IF(E376="Trap",IFERROR(INDEX('Shooter-Squad Assignment'!$A:$A,MATCH(C376&amp;"-"&amp;D376&amp;"-"&amp;E376&amp;"-Pos5",'Shooter-Squad Assignment'!$V:$V,0)),""),IF(E376="Sporting Clays",IFERROR(INDEX('Shooter-Squad Assignment'!$A:$A,MATCH(C376&amp;"-"&amp;D376&amp;"-"&amp;E376&amp;"-Pos5",'Shooter-Squad Assignment'!$Y:$Y,0)),""),"")))</f>
        <v/>
      </c>
      <c r="O376" s="80" t="str">
        <f>IF(ISBLANK(N376),"",IFERROR(INDEX('Tournament List'!$D:$D,MATCH(N376,'Tournament List'!$A:$A,0)),""))</f>
        <v/>
      </c>
    </row>
    <row r="377" spans="1:15" x14ac:dyDescent="0.3">
      <c r="A377" s="79">
        <v>385</v>
      </c>
      <c r="B377" s="73" t="str">
        <f t="shared" si="5"/>
        <v>-Varsity 1-Sporting Clays</v>
      </c>
      <c r="C377" s="73"/>
      <c r="D377" s="73" t="s">
        <v>342</v>
      </c>
      <c r="E377" s="73" t="s">
        <v>148</v>
      </c>
      <c r="F377" s="98" t="str">
        <f>IF(E377="Skeet",IFERROR(INDEX('Shooter-Squad Assignment'!$A:$A,MATCH(C377&amp;"-"&amp;D377&amp;"-"&amp;E377&amp;"-Pos1",'Shooter-Squad Assignment'!#REF!,0)),""),IF(E377="Trap",IFERROR(INDEX('Shooter-Squad Assignment'!$A:$A,MATCH(C377&amp;"-"&amp;D377&amp;"-"&amp;E377&amp;"-Pos1",'Shooter-Squad Assignment'!$V:$V,0)),""),IF(E377="Sporting Clays",IFERROR(INDEX('Shooter-Squad Assignment'!$A:$A,MATCH(C377&amp;"-"&amp;D377&amp;"-"&amp;E377&amp;"-Pos1",'Shooter-Squad Assignment'!$Y:$Y,0)),""),"")))</f>
        <v/>
      </c>
      <c r="G377" s="73" t="str">
        <f>IF(ISBLANK(F377),"",IFERROR(INDEX('Tournament List'!$D:$D,MATCH(F377,'Tournament List'!$A:$A,0)),""))</f>
        <v/>
      </c>
      <c r="H377" s="98" t="str">
        <f>IF(E377="Skeet",IFERROR(INDEX('Shooter-Squad Assignment'!$A:$A,MATCH(C377&amp;"-"&amp;D377&amp;"-"&amp;E377&amp;"-Pos2",'Shooter-Squad Assignment'!#REF!,0)),""),IF(E377="Trap",IFERROR(INDEX('Shooter-Squad Assignment'!$A:$A,MATCH(C377&amp;"-"&amp;D377&amp;"-"&amp;E377&amp;"-Pos2",'Shooter-Squad Assignment'!$V:$V,0)),""),IF(E377="Sporting Clays",IFERROR(INDEX('Shooter-Squad Assignment'!$A:$A,MATCH(C377&amp;"-"&amp;D377&amp;"-"&amp;E377&amp;"-Pos2",'Shooter-Squad Assignment'!$Y:$Y,0)),""),"")))</f>
        <v/>
      </c>
      <c r="I377" s="73" t="str">
        <f>IF(ISBLANK(H377),"",IFERROR(INDEX('Tournament List'!$D:$D,MATCH(H377,'Tournament List'!$A:$A,0)),""))</f>
        <v/>
      </c>
      <c r="J377" s="98" t="str">
        <f>IF(E377="Skeet",IFERROR(INDEX('Shooter-Squad Assignment'!$A:$A,MATCH(C377&amp;"-"&amp;D377&amp;"-"&amp;E377&amp;"-Pos3",'Shooter-Squad Assignment'!#REF!,0)),""),IF(E377="Trap",IFERROR(INDEX('Shooter-Squad Assignment'!$A:$A,MATCH(C377&amp;"-"&amp;D377&amp;"-"&amp;E377&amp;"-Pos3",'Shooter-Squad Assignment'!$V:$V,0)),""),IF(E377="Sporting Clays",IFERROR(INDEX('Shooter-Squad Assignment'!$A:$A,MATCH(C377&amp;"-"&amp;D377&amp;"-"&amp;E377&amp;"-Pos3",'Shooter-Squad Assignment'!$Y:$Y,0)),""),"")))</f>
        <v/>
      </c>
      <c r="K377" s="73" t="str">
        <f>IF(ISBLANK(J377),"",IFERROR(INDEX('Tournament List'!$D:$D,MATCH(J377,'Tournament List'!$A:$A,0)),""))</f>
        <v/>
      </c>
      <c r="L377" s="98" t="str">
        <f>IF(E377="Skeet",IFERROR(INDEX('Shooter-Squad Assignment'!$A:$A,MATCH(C377&amp;"-"&amp;D377&amp;"-"&amp;E377&amp;"-Pos4",'Shooter-Squad Assignment'!#REF!,0)),""),IF(E377="Trap",IFERROR(INDEX('Shooter-Squad Assignment'!$A:$A,MATCH(C377&amp;"-"&amp;D377&amp;"-"&amp;E377&amp;"-Pos4",'Shooter-Squad Assignment'!$V:$V,0)),""),IF(E377="Sporting Clays",IFERROR(INDEX('Shooter-Squad Assignment'!$A:$A,MATCH(C377&amp;"-"&amp;D377&amp;"-"&amp;E377&amp;"-Pos4",'Shooter-Squad Assignment'!$Y:$Y,0)),""),"")))</f>
        <v/>
      </c>
      <c r="M377" s="73" t="str">
        <f>IF(ISBLANK(L377),"",IFERROR(INDEX('Tournament List'!$D:$D,MATCH(L377,'Tournament List'!$A:$A,0)),""))</f>
        <v/>
      </c>
      <c r="N377" s="98" t="str">
        <f>IF(E377="Skeet",IFERROR(INDEX('Shooter-Squad Assignment'!$A:$A,MATCH(C377&amp;"-"&amp;D377&amp;"-"&amp;E377&amp;"-Pos5",'Shooter-Squad Assignment'!#REF!,0)),""),IF(E377="Trap",IFERROR(INDEX('Shooter-Squad Assignment'!$A:$A,MATCH(C377&amp;"-"&amp;D377&amp;"-"&amp;E377&amp;"-Pos5",'Shooter-Squad Assignment'!$V:$V,0)),""),IF(E377="Sporting Clays",IFERROR(INDEX('Shooter-Squad Assignment'!$A:$A,MATCH(C377&amp;"-"&amp;D377&amp;"-"&amp;E377&amp;"-Pos5",'Shooter-Squad Assignment'!$Y:$Y,0)),""),"")))</f>
        <v/>
      </c>
      <c r="O377" s="80" t="str">
        <f>IF(ISBLANK(N377),"",IFERROR(INDEX('Tournament List'!$D:$D,MATCH(N377,'Tournament List'!$A:$A,0)),""))</f>
        <v/>
      </c>
    </row>
    <row r="378" spans="1:15" x14ac:dyDescent="0.3">
      <c r="A378" s="79">
        <v>386</v>
      </c>
      <c r="B378" s="73" t="str">
        <f t="shared" si="5"/>
        <v>-Varsity 2-Sporting Clays</v>
      </c>
      <c r="C378" s="73"/>
      <c r="D378" s="73" t="s">
        <v>348</v>
      </c>
      <c r="E378" s="73" t="s">
        <v>148</v>
      </c>
      <c r="F378" s="98" t="str">
        <f>IF(E378="Skeet",IFERROR(INDEX('Shooter-Squad Assignment'!$A:$A,MATCH(C378&amp;"-"&amp;D378&amp;"-"&amp;E378&amp;"-Pos1",'Shooter-Squad Assignment'!#REF!,0)),""),IF(E378="Trap",IFERROR(INDEX('Shooter-Squad Assignment'!$A:$A,MATCH(C378&amp;"-"&amp;D378&amp;"-"&amp;E378&amp;"-Pos1",'Shooter-Squad Assignment'!$V:$V,0)),""),IF(E378="Sporting Clays",IFERROR(INDEX('Shooter-Squad Assignment'!$A:$A,MATCH(C378&amp;"-"&amp;D378&amp;"-"&amp;E378&amp;"-Pos1",'Shooter-Squad Assignment'!$Y:$Y,0)),""),"")))</f>
        <v/>
      </c>
      <c r="G378" s="73" t="str">
        <f>IF(ISBLANK(F378),"",IFERROR(INDEX('Tournament List'!$D:$D,MATCH(F378,'Tournament List'!$A:$A,0)),""))</f>
        <v/>
      </c>
      <c r="H378" s="98" t="str">
        <f>IF(E378="Skeet",IFERROR(INDEX('Shooter-Squad Assignment'!$A:$A,MATCH(C378&amp;"-"&amp;D378&amp;"-"&amp;E378&amp;"-Pos2",'Shooter-Squad Assignment'!#REF!,0)),""),IF(E378="Trap",IFERROR(INDEX('Shooter-Squad Assignment'!$A:$A,MATCH(C378&amp;"-"&amp;D378&amp;"-"&amp;E378&amp;"-Pos2",'Shooter-Squad Assignment'!$V:$V,0)),""),IF(E378="Sporting Clays",IFERROR(INDEX('Shooter-Squad Assignment'!$A:$A,MATCH(C378&amp;"-"&amp;D378&amp;"-"&amp;E378&amp;"-Pos2",'Shooter-Squad Assignment'!$Y:$Y,0)),""),"")))</f>
        <v/>
      </c>
      <c r="I378" s="73" t="str">
        <f>IF(ISBLANK(H378),"",IFERROR(INDEX('Tournament List'!$D:$D,MATCH(H378,'Tournament List'!$A:$A,0)),""))</f>
        <v/>
      </c>
      <c r="J378" s="98" t="str">
        <f>IF(E378="Skeet",IFERROR(INDEX('Shooter-Squad Assignment'!$A:$A,MATCH(C378&amp;"-"&amp;D378&amp;"-"&amp;E378&amp;"-Pos3",'Shooter-Squad Assignment'!#REF!,0)),""),IF(E378="Trap",IFERROR(INDEX('Shooter-Squad Assignment'!$A:$A,MATCH(C378&amp;"-"&amp;D378&amp;"-"&amp;E378&amp;"-Pos3",'Shooter-Squad Assignment'!$V:$V,0)),""),IF(E378="Sporting Clays",IFERROR(INDEX('Shooter-Squad Assignment'!$A:$A,MATCH(C378&amp;"-"&amp;D378&amp;"-"&amp;E378&amp;"-Pos3",'Shooter-Squad Assignment'!$Y:$Y,0)),""),"")))</f>
        <v/>
      </c>
      <c r="K378" s="73" t="str">
        <f>IF(ISBLANK(J378),"",IFERROR(INDEX('Tournament List'!$D:$D,MATCH(J378,'Tournament List'!$A:$A,0)),""))</f>
        <v/>
      </c>
      <c r="L378" s="98" t="str">
        <f>IF(E378="Skeet",IFERROR(INDEX('Shooter-Squad Assignment'!$A:$A,MATCH(C378&amp;"-"&amp;D378&amp;"-"&amp;E378&amp;"-Pos4",'Shooter-Squad Assignment'!#REF!,0)),""),IF(E378="Trap",IFERROR(INDEX('Shooter-Squad Assignment'!$A:$A,MATCH(C378&amp;"-"&amp;D378&amp;"-"&amp;E378&amp;"-Pos4",'Shooter-Squad Assignment'!$V:$V,0)),""),IF(E378="Sporting Clays",IFERROR(INDEX('Shooter-Squad Assignment'!$A:$A,MATCH(C378&amp;"-"&amp;D378&amp;"-"&amp;E378&amp;"-Pos4",'Shooter-Squad Assignment'!$Y:$Y,0)),""),"")))</f>
        <v/>
      </c>
      <c r="M378" s="73" t="str">
        <f>IF(ISBLANK(L378),"",IFERROR(INDEX('Tournament List'!$D:$D,MATCH(L378,'Tournament List'!$A:$A,0)),""))</f>
        <v/>
      </c>
      <c r="N378" s="98" t="str">
        <f>IF(E378="Skeet",IFERROR(INDEX('Shooter-Squad Assignment'!$A:$A,MATCH(C378&amp;"-"&amp;D378&amp;"-"&amp;E378&amp;"-Pos5",'Shooter-Squad Assignment'!#REF!,0)),""),IF(E378="Trap",IFERROR(INDEX('Shooter-Squad Assignment'!$A:$A,MATCH(C378&amp;"-"&amp;D378&amp;"-"&amp;E378&amp;"-Pos5",'Shooter-Squad Assignment'!$V:$V,0)),""),IF(E378="Sporting Clays",IFERROR(INDEX('Shooter-Squad Assignment'!$A:$A,MATCH(C378&amp;"-"&amp;D378&amp;"-"&amp;E378&amp;"-Pos5",'Shooter-Squad Assignment'!$Y:$Y,0)),""),"")))</f>
        <v/>
      </c>
      <c r="O378" s="80" t="str">
        <f>IF(ISBLANK(N378),"",IFERROR(INDEX('Tournament List'!$D:$D,MATCH(N378,'Tournament List'!$A:$A,0)),""))</f>
        <v/>
      </c>
    </row>
    <row r="379" spans="1:15" ht="15" thickBot="1" x14ac:dyDescent="0.35">
      <c r="A379" s="81">
        <v>387</v>
      </c>
      <c r="B379" s="82" t="str">
        <f t="shared" si="5"/>
        <v>-Varsity 3-Sporting Clays</v>
      </c>
      <c r="C379" s="82"/>
      <c r="D379" s="82" t="s">
        <v>354</v>
      </c>
      <c r="E379" s="82" t="s">
        <v>148</v>
      </c>
      <c r="F379" s="99" t="str">
        <f>IF(E379="Skeet",IFERROR(INDEX('Shooter-Squad Assignment'!$A:$A,MATCH(C379&amp;"-"&amp;D379&amp;"-"&amp;E379&amp;"-Pos1",'Shooter-Squad Assignment'!#REF!,0)),""),IF(E379="Trap",IFERROR(INDEX('Shooter-Squad Assignment'!$A:$A,MATCH(C379&amp;"-"&amp;D379&amp;"-"&amp;E379&amp;"-Pos1",'Shooter-Squad Assignment'!$V:$V,0)),""),IF(E379="Sporting Clays",IFERROR(INDEX('Shooter-Squad Assignment'!$A:$A,MATCH(C379&amp;"-"&amp;D379&amp;"-"&amp;E379&amp;"-Pos1",'Shooter-Squad Assignment'!$Y:$Y,0)),""),"")))</f>
        <v/>
      </c>
      <c r="G379" s="82" t="str">
        <f>IF(ISBLANK(F379),"",IFERROR(INDEX('Tournament List'!$D:$D,MATCH(F379,'Tournament List'!$A:$A,0)),""))</f>
        <v/>
      </c>
      <c r="H379" s="99" t="str">
        <f>IF(E379="Skeet",IFERROR(INDEX('Shooter-Squad Assignment'!$A:$A,MATCH(C379&amp;"-"&amp;D379&amp;"-"&amp;E379&amp;"-Pos2",'Shooter-Squad Assignment'!#REF!,0)),""),IF(E379="Trap",IFERROR(INDEX('Shooter-Squad Assignment'!$A:$A,MATCH(C379&amp;"-"&amp;D379&amp;"-"&amp;E379&amp;"-Pos2",'Shooter-Squad Assignment'!$V:$V,0)),""),IF(E379="Sporting Clays",IFERROR(INDEX('Shooter-Squad Assignment'!$A:$A,MATCH(C379&amp;"-"&amp;D379&amp;"-"&amp;E379&amp;"-Pos2",'Shooter-Squad Assignment'!$Y:$Y,0)),""),"")))</f>
        <v/>
      </c>
      <c r="I379" s="82" t="str">
        <f>IF(ISBLANK(H379),"",IFERROR(INDEX('Tournament List'!$D:$D,MATCH(H379,'Tournament List'!$A:$A,0)),""))</f>
        <v/>
      </c>
      <c r="J379" s="99" t="str">
        <f>IF(E379="Skeet",IFERROR(INDEX('Shooter-Squad Assignment'!$A:$A,MATCH(C379&amp;"-"&amp;D379&amp;"-"&amp;E379&amp;"-Pos3",'Shooter-Squad Assignment'!#REF!,0)),""),IF(E379="Trap",IFERROR(INDEX('Shooter-Squad Assignment'!$A:$A,MATCH(C379&amp;"-"&amp;D379&amp;"-"&amp;E379&amp;"-Pos3",'Shooter-Squad Assignment'!$V:$V,0)),""),IF(E379="Sporting Clays",IFERROR(INDEX('Shooter-Squad Assignment'!$A:$A,MATCH(C379&amp;"-"&amp;D379&amp;"-"&amp;E379&amp;"-Pos3",'Shooter-Squad Assignment'!$Y:$Y,0)),""),"")))</f>
        <v/>
      </c>
      <c r="K379" s="82" t="str">
        <f>IF(ISBLANK(J379),"",IFERROR(INDEX('Tournament List'!$D:$D,MATCH(J379,'Tournament List'!$A:$A,0)),""))</f>
        <v/>
      </c>
      <c r="L379" s="99" t="str">
        <f>IF(E379="Skeet",IFERROR(INDEX('Shooter-Squad Assignment'!$A:$A,MATCH(C379&amp;"-"&amp;D379&amp;"-"&amp;E379&amp;"-Pos4",'Shooter-Squad Assignment'!#REF!,0)),""),IF(E379="Trap",IFERROR(INDEX('Shooter-Squad Assignment'!$A:$A,MATCH(C379&amp;"-"&amp;D379&amp;"-"&amp;E379&amp;"-Pos4",'Shooter-Squad Assignment'!$V:$V,0)),""),IF(E379="Sporting Clays",IFERROR(INDEX('Shooter-Squad Assignment'!$A:$A,MATCH(C379&amp;"-"&amp;D379&amp;"-"&amp;E379&amp;"-Pos4",'Shooter-Squad Assignment'!$Y:$Y,0)),""),"")))</f>
        <v/>
      </c>
      <c r="M379" s="82" t="str">
        <f>IF(ISBLANK(L379),"",IFERROR(INDEX('Tournament List'!$D:$D,MATCH(L379,'Tournament List'!$A:$A,0)),""))</f>
        <v/>
      </c>
      <c r="N379" s="99" t="str">
        <f>IF(E379="Skeet",IFERROR(INDEX('Shooter-Squad Assignment'!$A:$A,MATCH(C379&amp;"-"&amp;D379&amp;"-"&amp;E379&amp;"-Pos5",'Shooter-Squad Assignment'!#REF!,0)),""),IF(E379="Trap",IFERROR(INDEX('Shooter-Squad Assignment'!$A:$A,MATCH(C379&amp;"-"&amp;D379&amp;"-"&amp;E379&amp;"-Pos5",'Shooter-Squad Assignment'!$V:$V,0)),""),IF(E379="Sporting Clays",IFERROR(INDEX('Shooter-Squad Assignment'!$A:$A,MATCH(C379&amp;"-"&amp;D379&amp;"-"&amp;E379&amp;"-Pos5",'Shooter-Squad Assignment'!$Y:$Y,0)),""),"")))</f>
        <v/>
      </c>
      <c r="O379" s="83" t="str">
        <f>IF(ISBLANK(N379),"",IFERROR(INDEX('Tournament List'!$D:$D,MATCH(N379,'Tournament List'!$A:$A,0)),""))</f>
        <v/>
      </c>
    </row>
    <row r="380" spans="1:15" x14ac:dyDescent="0.3">
      <c r="A380" s="88">
        <v>388</v>
      </c>
      <c r="B380" s="89" t="str">
        <f t="shared" si="5"/>
        <v>-Collegiate 1-Skeet</v>
      </c>
      <c r="C380" s="89"/>
      <c r="D380" s="89" t="s">
        <v>344</v>
      </c>
      <c r="E380" s="89" t="s">
        <v>143</v>
      </c>
      <c r="F380" s="100" t="str">
        <f>IF(E380="Skeet",IFERROR(INDEX('Shooter-Squad Assignment'!$A:$A,MATCH(C380&amp;"-"&amp;D380&amp;"-"&amp;E380&amp;"-Pos1",'Shooter-Squad Assignment'!#REF!,0)),""),IF(E380="Trap",IFERROR(INDEX('Shooter-Squad Assignment'!$A:$A,MATCH(C380&amp;"-"&amp;D380&amp;"-"&amp;E380&amp;"-Pos1",'Shooter-Squad Assignment'!$V:$V,0)),""),IF(E380="Sporting Clays",IFERROR(INDEX('Shooter-Squad Assignment'!$A:$A,MATCH(C380&amp;"-"&amp;D380&amp;"-"&amp;E380&amp;"-Pos1",'Shooter-Squad Assignment'!$Y:$Y,0)),""),"")))</f>
        <v/>
      </c>
      <c r="G380" s="89" t="str">
        <f>IF(ISBLANK(F380),"",IFERROR(INDEX('Tournament List'!$D:$D,MATCH(F380,'Tournament List'!$A:$A,0)),""))</f>
        <v/>
      </c>
      <c r="H380" s="100" t="str">
        <f>IF(E380="Skeet",IFERROR(INDEX('Shooter-Squad Assignment'!$A:$A,MATCH(C380&amp;"-"&amp;D380&amp;"-"&amp;E380&amp;"-Pos2",'Shooter-Squad Assignment'!#REF!,0)),""),IF(E380="Trap",IFERROR(INDEX('Shooter-Squad Assignment'!$A:$A,MATCH(C380&amp;"-"&amp;D380&amp;"-"&amp;E380&amp;"-Pos2",'Shooter-Squad Assignment'!$V:$V,0)),""),IF(E380="Sporting Clays",IFERROR(INDEX('Shooter-Squad Assignment'!$A:$A,MATCH(C380&amp;"-"&amp;D380&amp;"-"&amp;E380&amp;"-Pos2",'Shooter-Squad Assignment'!$Y:$Y,0)),""),"")))</f>
        <v/>
      </c>
      <c r="I380" s="89" t="str">
        <f>IF(ISBLANK(H380),"",IFERROR(INDEX('Tournament List'!$D:$D,MATCH(H380,'Tournament List'!$A:$A,0)),""))</f>
        <v/>
      </c>
      <c r="J380" s="100" t="str">
        <f>IF(E380="Skeet",IFERROR(INDEX('Shooter-Squad Assignment'!$A:$A,MATCH(C380&amp;"-"&amp;D380&amp;"-"&amp;E380&amp;"-Pos3",'Shooter-Squad Assignment'!#REF!,0)),""),IF(E380="Trap",IFERROR(INDEX('Shooter-Squad Assignment'!$A:$A,MATCH(C380&amp;"-"&amp;D380&amp;"-"&amp;E380&amp;"-Pos3",'Shooter-Squad Assignment'!$V:$V,0)),""),IF(E380="Sporting Clays",IFERROR(INDEX('Shooter-Squad Assignment'!$A:$A,MATCH(C380&amp;"-"&amp;D380&amp;"-"&amp;E380&amp;"-Pos3",'Shooter-Squad Assignment'!$Y:$Y,0)),""),"")))</f>
        <v/>
      </c>
      <c r="K380" s="89" t="str">
        <f>IF(ISBLANK(J380),"",IFERROR(INDEX('Tournament List'!$D:$D,MATCH(J380,'Tournament List'!$A:$A,0)),""))</f>
        <v/>
      </c>
      <c r="L380" s="100" t="str">
        <f>IF(E380="Skeet",IFERROR(INDEX('Shooter-Squad Assignment'!$A:$A,MATCH(C380&amp;"-"&amp;D380&amp;"-"&amp;E380&amp;"-Pos4",'Shooter-Squad Assignment'!#REF!,0)),""),IF(E380="Trap",IFERROR(INDEX('Shooter-Squad Assignment'!$A:$A,MATCH(C380&amp;"-"&amp;D380&amp;"-"&amp;E380&amp;"-Pos4",'Shooter-Squad Assignment'!$V:$V,0)),""),IF(E380="Sporting Clays",IFERROR(INDEX('Shooter-Squad Assignment'!$A:$A,MATCH(C380&amp;"-"&amp;D380&amp;"-"&amp;E380&amp;"-Pos4",'Shooter-Squad Assignment'!$Y:$Y,0)),""),"")))</f>
        <v/>
      </c>
      <c r="M380" s="89" t="str">
        <f>IF(ISBLANK(L380),"",IFERROR(INDEX('Tournament List'!$D:$D,MATCH(L380,'Tournament List'!$A:$A,0)),""))</f>
        <v/>
      </c>
      <c r="N380" s="100" t="str">
        <f>IF(E380="Skeet",IFERROR(INDEX('Shooter-Squad Assignment'!$A:$A,MATCH(C380&amp;"-"&amp;D380&amp;"-"&amp;E380&amp;"-Pos5",'Shooter-Squad Assignment'!#REF!,0)),""),IF(E380="Trap",IFERROR(INDEX('Shooter-Squad Assignment'!$A:$A,MATCH(C380&amp;"-"&amp;D380&amp;"-"&amp;E380&amp;"-Pos5",'Shooter-Squad Assignment'!$V:$V,0)),""),IF(E380="Sporting Clays",IFERROR(INDEX('Shooter-Squad Assignment'!$A:$A,MATCH(C380&amp;"-"&amp;D380&amp;"-"&amp;E380&amp;"-Pos5",'Shooter-Squad Assignment'!$Y:$Y,0)),""),"")))</f>
        <v/>
      </c>
      <c r="O380" s="90" t="str">
        <f>IF(ISBLANK(N380),"",IFERROR(INDEX('Tournament List'!$D:$D,MATCH(N380,'Tournament List'!$A:$A,0)),""))</f>
        <v/>
      </c>
    </row>
    <row r="381" spans="1:15" x14ac:dyDescent="0.3">
      <c r="A381" s="91">
        <v>389</v>
      </c>
      <c r="B381" s="92" t="str">
        <f t="shared" si="5"/>
        <v>-Collegiate 2-Skeet</v>
      </c>
      <c r="C381" s="92"/>
      <c r="D381" s="92" t="s">
        <v>350</v>
      </c>
      <c r="E381" s="92" t="s">
        <v>143</v>
      </c>
      <c r="F381" s="101" t="str">
        <f>IF(E381="Skeet",IFERROR(INDEX('Shooter-Squad Assignment'!$A:$A,MATCH(C381&amp;"-"&amp;D381&amp;"-"&amp;E381&amp;"-Pos1",'Shooter-Squad Assignment'!#REF!,0)),""),IF(E381="Trap",IFERROR(INDEX('Shooter-Squad Assignment'!$A:$A,MATCH(C381&amp;"-"&amp;D381&amp;"-"&amp;E381&amp;"-Pos1",'Shooter-Squad Assignment'!$V:$V,0)),""),IF(E381="Sporting Clays",IFERROR(INDEX('Shooter-Squad Assignment'!$A:$A,MATCH(C381&amp;"-"&amp;D381&amp;"-"&amp;E381&amp;"-Pos1",'Shooter-Squad Assignment'!$Y:$Y,0)),""),"")))</f>
        <v/>
      </c>
      <c r="G381" s="92" t="str">
        <f>IF(ISBLANK(F381),"",IFERROR(INDEX('Tournament List'!$D:$D,MATCH(F381,'Tournament List'!$A:$A,0)),""))</f>
        <v/>
      </c>
      <c r="H381" s="101" t="str">
        <f>IF(E381="Skeet",IFERROR(INDEX('Shooter-Squad Assignment'!$A:$A,MATCH(C381&amp;"-"&amp;D381&amp;"-"&amp;E381&amp;"-Pos2",'Shooter-Squad Assignment'!#REF!,0)),""),IF(E381="Trap",IFERROR(INDEX('Shooter-Squad Assignment'!$A:$A,MATCH(C381&amp;"-"&amp;D381&amp;"-"&amp;E381&amp;"-Pos2",'Shooter-Squad Assignment'!$V:$V,0)),""),IF(E381="Sporting Clays",IFERROR(INDEX('Shooter-Squad Assignment'!$A:$A,MATCH(C381&amp;"-"&amp;D381&amp;"-"&amp;E381&amp;"-Pos2",'Shooter-Squad Assignment'!$Y:$Y,0)),""),"")))</f>
        <v/>
      </c>
      <c r="I381" s="92" t="str">
        <f>IF(ISBLANK(H381),"",IFERROR(INDEX('Tournament List'!$D:$D,MATCH(H381,'Tournament List'!$A:$A,0)),""))</f>
        <v/>
      </c>
      <c r="J381" s="101" t="str">
        <f>IF(E381="Skeet",IFERROR(INDEX('Shooter-Squad Assignment'!$A:$A,MATCH(C381&amp;"-"&amp;D381&amp;"-"&amp;E381&amp;"-Pos3",'Shooter-Squad Assignment'!#REF!,0)),""),IF(E381="Trap",IFERROR(INDEX('Shooter-Squad Assignment'!$A:$A,MATCH(C381&amp;"-"&amp;D381&amp;"-"&amp;E381&amp;"-Pos3",'Shooter-Squad Assignment'!$V:$V,0)),""),IF(E381="Sporting Clays",IFERROR(INDEX('Shooter-Squad Assignment'!$A:$A,MATCH(C381&amp;"-"&amp;D381&amp;"-"&amp;E381&amp;"-Pos3",'Shooter-Squad Assignment'!$Y:$Y,0)),""),"")))</f>
        <v/>
      </c>
      <c r="K381" s="92" t="str">
        <f>IF(ISBLANK(J381),"",IFERROR(INDEX('Tournament List'!$D:$D,MATCH(J381,'Tournament List'!$A:$A,0)),""))</f>
        <v/>
      </c>
      <c r="L381" s="101" t="str">
        <f>IF(E381="Skeet",IFERROR(INDEX('Shooter-Squad Assignment'!$A:$A,MATCH(C381&amp;"-"&amp;D381&amp;"-"&amp;E381&amp;"-Pos4",'Shooter-Squad Assignment'!#REF!,0)),""),IF(E381="Trap",IFERROR(INDEX('Shooter-Squad Assignment'!$A:$A,MATCH(C381&amp;"-"&amp;D381&amp;"-"&amp;E381&amp;"-Pos4",'Shooter-Squad Assignment'!$V:$V,0)),""),IF(E381="Sporting Clays",IFERROR(INDEX('Shooter-Squad Assignment'!$A:$A,MATCH(C381&amp;"-"&amp;D381&amp;"-"&amp;E381&amp;"-Pos4",'Shooter-Squad Assignment'!$Y:$Y,0)),""),"")))</f>
        <v/>
      </c>
      <c r="M381" s="92" t="str">
        <f>IF(ISBLANK(L381),"",IFERROR(INDEX('Tournament List'!$D:$D,MATCH(L381,'Tournament List'!$A:$A,0)),""))</f>
        <v/>
      </c>
      <c r="N381" s="101" t="str">
        <f>IF(E381="Skeet",IFERROR(INDEX('Shooter-Squad Assignment'!$A:$A,MATCH(C381&amp;"-"&amp;D381&amp;"-"&amp;E381&amp;"-Pos5",'Shooter-Squad Assignment'!#REF!,0)),""),IF(E381="Trap",IFERROR(INDEX('Shooter-Squad Assignment'!$A:$A,MATCH(C381&amp;"-"&amp;D381&amp;"-"&amp;E381&amp;"-Pos5",'Shooter-Squad Assignment'!$V:$V,0)),""),IF(E381="Sporting Clays",IFERROR(INDEX('Shooter-Squad Assignment'!$A:$A,MATCH(C381&amp;"-"&amp;D381&amp;"-"&amp;E381&amp;"-Pos5",'Shooter-Squad Assignment'!$Y:$Y,0)),""),"")))</f>
        <v/>
      </c>
      <c r="O381" s="93" t="str">
        <f>IF(ISBLANK(N381),"",IFERROR(INDEX('Tournament List'!$D:$D,MATCH(N381,'Tournament List'!$A:$A,0)),""))</f>
        <v/>
      </c>
    </row>
    <row r="382" spans="1:15" x14ac:dyDescent="0.3">
      <c r="A382" s="91">
        <v>390</v>
      </c>
      <c r="B382" s="92" t="str">
        <f t="shared" si="5"/>
        <v>-Collegiate 3-Skeet</v>
      </c>
      <c r="C382" s="92"/>
      <c r="D382" s="92" t="s">
        <v>356</v>
      </c>
      <c r="E382" s="92" t="s">
        <v>143</v>
      </c>
      <c r="F382" s="101" t="str">
        <f>IF(E382="Skeet",IFERROR(INDEX('Shooter-Squad Assignment'!$A:$A,MATCH(C382&amp;"-"&amp;D382&amp;"-"&amp;E382&amp;"-Pos1",'Shooter-Squad Assignment'!#REF!,0)),""),IF(E382="Trap",IFERROR(INDEX('Shooter-Squad Assignment'!$A:$A,MATCH(C382&amp;"-"&amp;D382&amp;"-"&amp;E382&amp;"-Pos1",'Shooter-Squad Assignment'!$V:$V,0)),""),IF(E382="Sporting Clays",IFERROR(INDEX('Shooter-Squad Assignment'!$A:$A,MATCH(C382&amp;"-"&amp;D382&amp;"-"&amp;E382&amp;"-Pos1",'Shooter-Squad Assignment'!$Y:$Y,0)),""),"")))</f>
        <v/>
      </c>
      <c r="G382" s="92" t="str">
        <f>IF(ISBLANK(F382),"",IFERROR(INDEX('Tournament List'!$D:$D,MATCH(F382,'Tournament List'!$A:$A,0)),""))</f>
        <v/>
      </c>
      <c r="H382" s="101" t="str">
        <f>IF(E382="Skeet",IFERROR(INDEX('Shooter-Squad Assignment'!$A:$A,MATCH(C382&amp;"-"&amp;D382&amp;"-"&amp;E382&amp;"-Pos2",'Shooter-Squad Assignment'!#REF!,0)),""),IF(E382="Trap",IFERROR(INDEX('Shooter-Squad Assignment'!$A:$A,MATCH(C382&amp;"-"&amp;D382&amp;"-"&amp;E382&amp;"-Pos2",'Shooter-Squad Assignment'!$V:$V,0)),""),IF(E382="Sporting Clays",IFERROR(INDEX('Shooter-Squad Assignment'!$A:$A,MATCH(C382&amp;"-"&amp;D382&amp;"-"&amp;E382&amp;"-Pos2",'Shooter-Squad Assignment'!$Y:$Y,0)),""),"")))</f>
        <v/>
      </c>
      <c r="I382" s="92" t="str">
        <f>IF(ISBLANK(H382),"",IFERROR(INDEX('Tournament List'!$D:$D,MATCH(H382,'Tournament List'!$A:$A,0)),""))</f>
        <v/>
      </c>
      <c r="J382" s="101" t="str">
        <f>IF(E382="Skeet",IFERROR(INDEX('Shooter-Squad Assignment'!$A:$A,MATCH(C382&amp;"-"&amp;D382&amp;"-"&amp;E382&amp;"-Pos3",'Shooter-Squad Assignment'!#REF!,0)),""),IF(E382="Trap",IFERROR(INDEX('Shooter-Squad Assignment'!$A:$A,MATCH(C382&amp;"-"&amp;D382&amp;"-"&amp;E382&amp;"-Pos3",'Shooter-Squad Assignment'!$V:$V,0)),""),IF(E382="Sporting Clays",IFERROR(INDEX('Shooter-Squad Assignment'!$A:$A,MATCH(C382&amp;"-"&amp;D382&amp;"-"&amp;E382&amp;"-Pos3",'Shooter-Squad Assignment'!$Y:$Y,0)),""),"")))</f>
        <v/>
      </c>
      <c r="K382" s="92" t="str">
        <f>IF(ISBLANK(J382),"",IFERROR(INDEX('Tournament List'!$D:$D,MATCH(J382,'Tournament List'!$A:$A,0)),""))</f>
        <v/>
      </c>
      <c r="L382" s="101" t="str">
        <f>IF(E382="Skeet",IFERROR(INDEX('Shooter-Squad Assignment'!$A:$A,MATCH(C382&amp;"-"&amp;D382&amp;"-"&amp;E382&amp;"-Pos4",'Shooter-Squad Assignment'!#REF!,0)),""),IF(E382="Trap",IFERROR(INDEX('Shooter-Squad Assignment'!$A:$A,MATCH(C382&amp;"-"&amp;D382&amp;"-"&amp;E382&amp;"-Pos4",'Shooter-Squad Assignment'!$V:$V,0)),""),IF(E382="Sporting Clays",IFERROR(INDEX('Shooter-Squad Assignment'!$A:$A,MATCH(C382&amp;"-"&amp;D382&amp;"-"&amp;E382&amp;"-Pos4",'Shooter-Squad Assignment'!$Y:$Y,0)),""),"")))</f>
        <v/>
      </c>
      <c r="M382" s="92" t="str">
        <f>IF(ISBLANK(L382),"",IFERROR(INDEX('Tournament List'!$D:$D,MATCH(L382,'Tournament List'!$A:$A,0)),""))</f>
        <v/>
      </c>
      <c r="N382" s="101" t="str">
        <f>IF(E382="Skeet",IFERROR(INDEX('Shooter-Squad Assignment'!$A:$A,MATCH(C382&amp;"-"&amp;D382&amp;"-"&amp;E382&amp;"-Pos5",'Shooter-Squad Assignment'!#REF!,0)),""),IF(E382="Trap",IFERROR(INDEX('Shooter-Squad Assignment'!$A:$A,MATCH(C382&amp;"-"&amp;D382&amp;"-"&amp;E382&amp;"-Pos5",'Shooter-Squad Assignment'!$V:$V,0)),""),IF(E382="Sporting Clays",IFERROR(INDEX('Shooter-Squad Assignment'!$A:$A,MATCH(C382&amp;"-"&amp;D382&amp;"-"&amp;E382&amp;"-Pos5",'Shooter-Squad Assignment'!$Y:$Y,0)),""),"")))</f>
        <v/>
      </c>
      <c r="O382" s="93" t="str">
        <f>IF(ISBLANK(N382),"",IFERROR(INDEX('Tournament List'!$D:$D,MATCH(N382,'Tournament List'!$A:$A,0)),""))</f>
        <v/>
      </c>
    </row>
    <row r="383" spans="1:15" x14ac:dyDescent="0.3">
      <c r="A383" s="91">
        <v>391</v>
      </c>
      <c r="B383" s="92" t="str">
        <f t="shared" si="5"/>
        <v>-Intermediate 1-Skeet</v>
      </c>
      <c r="C383" s="92"/>
      <c r="D383" s="92" t="s">
        <v>340</v>
      </c>
      <c r="E383" s="92" t="s">
        <v>143</v>
      </c>
      <c r="F383" s="101" t="str">
        <f>IF(E383="Skeet",IFERROR(INDEX('Shooter-Squad Assignment'!$A:$A,MATCH(C383&amp;"-"&amp;D383&amp;"-"&amp;E383&amp;"-Pos1",'Shooter-Squad Assignment'!#REF!,0)),""),IF(E383="Trap",IFERROR(INDEX('Shooter-Squad Assignment'!$A:$A,MATCH(C383&amp;"-"&amp;D383&amp;"-"&amp;E383&amp;"-Pos1",'Shooter-Squad Assignment'!$V:$V,0)),""),IF(E383="Sporting Clays",IFERROR(INDEX('Shooter-Squad Assignment'!$A:$A,MATCH(C383&amp;"-"&amp;D383&amp;"-"&amp;E383&amp;"-Pos1",'Shooter-Squad Assignment'!$Y:$Y,0)),""),"")))</f>
        <v/>
      </c>
      <c r="G383" s="92" t="str">
        <f>IF(ISBLANK(F383),"",IFERROR(INDEX('Tournament List'!$D:$D,MATCH(F383,'Tournament List'!$A:$A,0)),""))</f>
        <v/>
      </c>
      <c r="H383" s="101" t="str">
        <f>IF(E383="Skeet",IFERROR(INDEX('Shooter-Squad Assignment'!$A:$A,MATCH(C383&amp;"-"&amp;D383&amp;"-"&amp;E383&amp;"-Pos2",'Shooter-Squad Assignment'!#REF!,0)),""),IF(E383="Trap",IFERROR(INDEX('Shooter-Squad Assignment'!$A:$A,MATCH(C383&amp;"-"&amp;D383&amp;"-"&amp;E383&amp;"-Pos2",'Shooter-Squad Assignment'!$V:$V,0)),""),IF(E383="Sporting Clays",IFERROR(INDEX('Shooter-Squad Assignment'!$A:$A,MATCH(C383&amp;"-"&amp;D383&amp;"-"&amp;E383&amp;"-Pos2",'Shooter-Squad Assignment'!$Y:$Y,0)),""),"")))</f>
        <v/>
      </c>
      <c r="I383" s="92" t="str">
        <f>IF(ISBLANK(H383),"",IFERROR(INDEX('Tournament List'!$D:$D,MATCH(H383,'Tournament List'!$A:$A,0)),""))</f>
        <v/>
      </c>
      <c r="J383" s="101" t="str">
        <f>IF(E383="Skeet",IFERROR(INDEX('Shooter-Squad Assignment'!$A:$A,MATCH(C383&amp;"-"&amp;D383&amp;"-"&amp;E383&amp;"-Pos3",'Shooter-Squad Assignment'!#REF!,0)),""),IF(E383="Trap",IFERROR(INDEX('Shooter-Squad Assignment'!$A:$A,MATCH(C383&amp;"-"&amp;D383&amp;"-"&amp;E383&amp;"-Pos3",'Shooter-Squad Assignment'!$V:$V,0)),""),IF(E383="Sporting Clays",IFERROR(INDEX('Shooter-Squad Assignment'!$A:$A,MATCH(C383&amp;"-"&amp;D383&amp;"-"&amp;E383&amp;"-Pos3",'Shooter-Squad Assignment'!$Y:$Y,0)),""),"")))</f>
        <v/>
      </c>
      <c r="K383" s="92" t="str">
        <f>IF(ISBLANK(J383),"",IFERROR(INDEX('Tournament List'!$D:$D,MATCH(J383,'Tournament List'!$A:$A,0)),""))</f>
        <v/>
      </c>
      <c r="L383" s="101" t="str">
        <f>IF(E383="Skeet",IFERROR(INDEX('Shooter-Squad Assignment'!$A:$A,MATCH(C383&amp;"-"&amp;D383&amp;"-"&amp;E383&amp;"-Pos4",'Shooter-Squad Assignment'!#REF!,0)),""),IF(E383="Trap",IFERROR(INDEX('Shooter-Squad Assignment'!$A:$A,MATCH(C383&amp;"-"&amp;D383&amp;"-"&amp;E383&amp;"-Pos4",'Shooter-Squad Assignment'!$V:$V,0)),""),IF(E383="Sporting Clays",IFERROR(INDEX('Shooter-Squad Assignment'!$A:$A,MATCH(C383&amp;"-"&amp;D383&amp;"-"&amp;E383&amp;"-Pos4",'Shooter-Squad Assignment'!$Y:$Y,0)),""),"")))</f>
        <v/>
      </c>
      <c r="M383" s="92" t="str">
        <f>IF(ISBLANK(L383),"",IFERROR(INDEX('Tournament List'!$D:$D,MATCH(L383,'Tournament List'!$A:$A,0)),""))</f>
        <v/>
      </c>
      <c r="N383" s="101" t="str">
        <f>IF(E383="Skeet",IFERROR(INDEX('Shooter-Squad Assignment'!$A:$A,MATCH(C383&amp;"-"&amp;D383&amp;"-"&amp;E383&amp;"-Pos5",'Shooter-Squad Assignment'!#REF!,0)),""),IF(E383="Trap",IFERROR(INDEX('Shooter-Squad Assignment'!$A:$A,MATCH(C383&amp;"-"&amp;D383&amp;"-"&amp;E383&amp;"-Pos5",'Shooter-Squad Assignment'!$V:$V,0)),""),IF(E383="Sporting Clays",IFERROR(INDEX('Shooter-Squad Assignment'!$A:$A,MATCH(C383&amp;"-"&amp;D383&amp;"-"&amp;E383&amp;"-Pos5",'Shooter-Squad Assignment'!$Y:$Y,0)),""),"")))</f>
        <v/>
      </c>
      <c r="O383" s="93" t="str">
        <f>IF(ISBLANK(N383),"",IFERROR(INDEX('Tournament List'!$D:$D,MATCH(N383,'Tournament List'!$A:$A,0)),""))</f>
        <v/>
      </c>
    </row>
    <row r="384" spans="1:15" x14ac:dyDescent="0.3">
      <c r="A384" s="91">
        <v>392</v>
      </c>
      <c r="B384" s="92" t="str">
        <f t="shared" si="5"/>
        <v>-Intermediate 2-Skeet</v>
      </c>
      <c r="C384" s="92"/>
      <c r="D384" s="92" t="s">
        <v>346</v>
      </c>
      <c r="E384" s="92" t="s">
        <v>143</v>
      </c>
      <c r="F384" s="101" t="str">
        <f>IF(E384="Skeet",IFERROR(INDEX('Shooter-Squad Assignment'!$A:$A,MATCH(C384&amp;"-"&amp;D384&amp;"-"&amp;E384&amp;"-Pos1",'Shooter-Squad Assignment'!#REF!,0)),""),IF(E384="Trap",IFERROR(INDEX('Shooter-Squad Assignment'!$A:$A,MATCH(C384&amp;"-"&amp;D384&amp;"-"&amp;E384&amp;"-Pos1",'Shooter-Squad Assignment'!$V:$V,0)),""),IF(E384="Sporting Clays",IFERROR(INDEX('Shooter-Squad Assignment'!$A:$A,MATCH(C384&amp;"-"&amp;D384&amp;"-"&amp;E384&amp;"-Pos1",'Shooter-Squad Assignment'!$Y:$Y,0)),""),"")))</f>
        <v/>
      </c>
      <c r="G384" s="92" t="str">
        <f>IF(ISBLANK(F384),"",IFERROR(INDEX('Tournament List'!$D:$D,MATCH(F384,'Tournament List'!$A:$A,0)),""))</f>
        <v/>
      </c>
      <c r="H384" s="101" t="str">
        <f>IF(E384="Skeet",IFERROR(INDEX('Shooter-Squad Assignment'!$A:$A,MATCH(C384&amp;"-"&amp;D384&amp;"-"&amp;E384&amp;"-Pos2",'Shooter-Squad Assignment'!#REF!,0)),""),IF(E384="Trap",IFERROR(INDEX('Shooter-Squad Assignment'!$A:$A,MATCH(C384&amp;"-"&amp;D384&amp;"-"&amp;E384&amp;"-Pos2",'Shooter-Squad Assignment'!$V:$V,0)),""),IF(E384="Sporting Clays",IFERROR(INDEX('Shooter-Squad Assignment'!$A:$A,MATCH(C384&amp;"-"&amp;D384&amp;"-"&amp;E384&amp;"-Pos2",'Shooter-Squad Assignment'!$Y:$Y,0)),""),"")))</f>
        <v/>
      </c>
      <c r="I384" s="92" t="str">
        <f>IF(ISBLANK(H384),"",IFERROR(INDEX('Tournament List'!$D:$D,MATCH(H384,'Tournament List'!$A:$A,0)),""))</f>
        <v/>
      </c>
      <c r="J384" s="101" t="str">
        <f>IF(E384="Skeet",IFERROR(INDEX('Shooter-Squad Assignment'!$A:$A,MATCH(C384&amp;"-"&amp;D384&amp;"-"&amp;E384&amp;"-Pos3",'Shooter-Squad Assignment'!#REF!,0)),""),IF(E384="Trap",IFERROR(INDEX('Shooter-Squad Assignment'!$A:$A,MATCH(C384&amp;"-"&amp;D384&amp;"-"&amp;E384&amp;"-Pos3",'Shooter-Squad Assignment'!$V:$V,0)),""),IF(E384="Sporting Clays",IFERROR(INDEX('Shooter-Squad Assignment'!$A:$A,MATCH(C384&amp;"-"&amp;D384&amp;"-"&amp;E384&amp;"-Pos3",'Shooter-Squad Assignment'!$Y:$Y,0)),""),"")))</f>
        <v/>
      </c>
      <c r="K384" s="92" t="str">
        <f>IF(ISBLANK(J384),"",IFERROR(INDEX('Tournament List'!$D:$D,MATCH(J384,'Tournament List'!$A:$A,0)),""))</f>
        <v/>
      </c>
      <c r="L384" s="101" t="str">
        <f>IF(E384="Skeet",IFERROR(INDEX('Shooter-Squad Assignment'!$A:$A,MATCH(C384&amp;"-"&amp;D384&amp;"-"&amp;E384&amp;"-Pos4",'Shooter-Squad Assignment'!#REF!,0)),""),IF(E384="Trap",IFERROR(INDEX('Shooter-Squad Assignment'!$A:$A,MATCH(C384&amp;"-"&amp;D384&amp;"-"&amp;E384&amp;"-Pos4",'Shooter-Squad Assignment'!$V:$V,0)),""),IF(E384="Sporting Clays",IFERROR(INDEX('Shooter-Squad Assignment'!$A:$A,MATCH(C384&amp;"-"&amp;D384&amp;"-"&amp;E384&amp;"-Pos4",'Shooter-Squad Assignment'!$Y:$Y,0)),""),"")))</f>
        <v/>
      </c>
      <c r="M384" s="92" t="str">
        <f>IF(ISBLANK(L384),"",IFERROR(INDEX('Tournament List'!$D:$D,MATCH(L384,'Tournament List'!$A:$A,0)),""))</f>
        <v/>
      </c>
      <c r="N384" s="101" t="str">
        <f>IF(E384="Skeet",IFERROR(INDEX('Shooter-Squad Assignment'!$A:$A,MATCH(C384&amp;"-"&amp;D384&amp;"-"&amp;E384&amp;"-Pos5",'Shooter-Squad Assignment'!#REF!,0)),""),IF(E384="Trap",IFERROR(INDEX('Shooter-Squad Assignment'!$A:$A,MATCH(C384&amp;"-"&amp;D384&amp;"-"&amp;E384&amp;"-Pos5",'Shooter-Squad Assignment'!$V:$V,0)),""),IF(E384="Sporting Clays",IFERROR(INDEX('Shooter-Squad Assignment'!$A:$A,MATCH(C384&amp;"-"&amp;D384&amp;"-"&amp;E384&amp;"-Pos5",'Shooter-Squad Assignment'!$Y:$Y,0)),""),"")))</f>
        <v/>
      </c>
      <c r="O384" s="93" t="str">
        <f>IF(ISBLANK(N384),"",IFERROR(INDEX('Tournament List'!$D:$D,MATCH(N384,'Tournament List'!$A:$A,0)),""))</f>
        <v/>
      </c>
    </row>
    <row r="385" spans="1:15" x14ac:dyDescent="0.3">
      <c r="A385" s="91">
        <v>393</v>
      </c>
      <c r="B385" s="92" t="str">
        <f t="shared" si="5"/>
        <v>-Intermediate 3-Skeet</v>
      </c>
      <c r="C385" s="92"/>
      <c r="D385" s="92" t="s">
        <v>352</v>
      </c>
      <c r="E385" s="92" t="s">
        <v>143</v>
      </c>
      <c r="F385" s="101" t="str">
        <f>IF(E385="Skeet",IFERROR(INDEX('Shooter-Squad Assignment'!$A:$A,MATCH(C385&amp;"-"&amp;D385&amp;"-"&amp;E385&amp;"-Pos1",'Shooter-Squad Assignment'!#REF!,0)),""),IF(E385="Trap",IFERROR(INDEX('Shooter-Squad Assignment'!$A:$A,MATCH(C385&amp;"-"&amp;D385&amp;"-"&amp;E385&amp;"-Pos1",'Shooter-Squad Assignment'!$V:$V,0)),""),IF(E385="Sporting Clays",IFERROR(INDEX('Shooter-Squad Assignment'!$A:$A,MATCH(C385&amp;"-"&amp;D385&amp;"-"&amp;E385&amp;"-Pos1",'Shooter-Squad Assignment'!$Y:$Y,0)),""),"")))</f>
        <v/>
      </c>
      <c r="G385" s="92" t="str">
        <f>IF(ISBLANK(F385),"",IFERROR(INDEX('Tournament List'!$D:$D,MATCH(F385,'Tournament List'!$A:$A,0)),""))</f>
        <v/>
      </c>
      <c r="H385" s="101" t="str">
        <f>IF(E385="Skeet",IFERROR(INDEX('Shooter-Squad Assignment'!$A:$A,MATCH(C385&amp;"-"&amp;D385&amp;"-"&amp;E385&amp;"-Pos2",'Shooter-Squad Assignment'!#REF!,0)),""),IF(E385="Trap",IFERROR(INDEX('Shooter-Squad Assignment'!$A:$A,MATCH(C385&amp;"-"&amp;D385&amp;"-"&amp;E385&amp;"-Pos2",'Shooter-Squad Assignment'!$V:$V,0)),""),IF(E385="Sporting Clays",IFERROR(INDEX('Shooter-Squad Assignment'!$A:$A,MATCH(C385&amp;"-"&amp;D385&amp;"-"&amp;E385&amp;"-Pos2",'Shooter-Squad Assignment'!$Y:$Y,0)),""),"")))</f>
        <v/>
      </c>
      <c r="I385" s="92" t="str">
        <f>IF(ISBLANK(H385),"",IFERROR(INDEX('Tournament List'!$D:$D,MATCH(H385,'Tournament List'!$A:$A,0)),""))</f>
        <v/>
      </c>
      <c r="J385" s="101" t="str">
        <f>IF(E385="Skeet",IFERROR(INDEX('Shooter-Squad Assignment'!$A:$A,MATCH(C385&amp;"-"&amp;D385&amp;"-"&amp;E385&amp;"-Pos3",'Shooter-Squad Assignment'!#REF!,0)),""),IF(E385="Trap",IFERROR(INDEX('Shooter-Squad Assignment'!$A:$A,MATCH(C385&amp;"-"&amp;D385&amp;"-"&amp;E385&amp;"-Pos3",'Shooter-Squad Assignment'!$V:$V,0)),""),IF(E385="Sporting Clays",IFERROR(INDEX('Shooter-Squad Assignment'!$A:$A,MATCH(C385&amp;"-"&amp;D385&amp;"-"&amp;E385&amp;"-Pos3",'Shooter-Squad Assignment'!$Y:$Y,0)),""),"")))</f>
        <v/>
      </c>
      <c r="K385" s="92" t="str">
        <f>IF(ISBLANK(J385),"",IFERROR(INDEX('Tournament List'!$D:$D,MATCH(J385,'Tournament List'!$A:$A,0)),""))</f>
        <v/>
      </c>
      <c r="L385" s="101" t="str">
        <f>IF(E385="Skeet",IFERROR(INDEX('Shooter-Squad Assignment'!$A:$A,MATCH(C385&amp;"-"&amp;D385&amp;"-"&amp;E385&amp;"-Pos4",'Shooter-Squad Assignment'!#REF!,0)),""),IF(E385="Trap",IFERROR(INDEX('Shooter-Squad Assignment'!$A:$A,MATCH(C385&amp;"-"&amp;D385&amp;"-"&amp;E385&amp;"-Pos4",'Shooter-Squad Assignment'!$V:$V,0)),""),IF(E385="Sporting Clays",IFERROR(INDEX('Shooter-Squad Assignment'!$A:$A,MATCH(C385&amp;"-"&amp;D385&amp;"-"&amp;E385&amp;"-Pos4",'Shooter-Squad Assignment'!$Y:$Y,0)),""),"")))</f>
        <v/>
      </c>
      <c r="M385" s="92" t="str">
        <f>IF(ISBLANK(L385),"",IFERROR(INDEX('Tournament List'!$D:$D,MATCH(L385,'Tournament List'!$A:$A,0)),""))</f>
        <v/>
      </c>
      <c r="N385" s="101" t="str">
        <f>IF(E385="Skeet",IFERROR(INDEX('Shooter-Squad Assignment'!$A:$A,MATCH(C385&amp;"-"&amp;D385&amp;"-"&amp;E385&amp;"-Pos5",'Shooter-Squad Assignment'!#REF!,0)),""),IF(E385="Trap",IFERROR(INDEX('Shooter-Squad Assignment'!$A:$A,MATCH(C385&amp;"-"&amp;D385&amp;"-"&amp;E385&amp;"-Pos5",'Shooter-Squad Assignment'!$V:$V,0)),""),IF(E385="Sporting Clays",IFERROR(INDEX('Shooter-Squad Assignment'!$A:$A,MATCH(C385&amp;"-"&amp;D385&amp;"-"&amp;E385&amp;"-Pos5",'Shooter-Squad Assignment'!$Y:$Y,0)),""),"")))</f>
        <v/>
      </c>
      <c r="O385" s="93" t="str">
        <f>IF(ISBLANK(N385),"",IFERROR(INDEX('Tournament List'!$D:$D,MATCH(N385,'Tournament List'!$A:$A,0)),""))</f>
        <v/>
      </c>
    </row>
    <row r="386" spans="1:15" x14ac:dyDescent="0.3">
      <c r="A386" s="91">
        <v>394</v>
      </c>
      <c r="B386" s="92" t="str">
        <f t="shared" si="5"/>
        <v>-Junior Varsity 1-Skeet</v>
      </c>
      <c r="C386" s="92"/>
      <c r="D386" s="92" t="s">
        <v>341</v>
      </c>
      <c r="E386" s="92" t="s">
        <v>143</v>
      </c>
      <c r="F386" s="101" t="str">
        <f>IF(E386="Skeet",IFERROR(INDEX('Shooter-Squad Assignment'!$A:$A,MATCH(C386&amp;"-"&amp;D386&amp;"-"&amp;E386&amp;"-Pos1",'Shooter-Squad Assignment'!#REF!,0)),""),IF(E386="Trap",IFERROR(INDEX('Shooter-Squad Assignment'!$A:$A,MATCH(C386&amp;"-"&amp;D386&amp;"-"&amp;E386&amp;"-Pos1",'Shooter-Squad Assignment'!$V:$V,0)),""),IF(E386="Sporting Clays",IFERROR(INDEX('Shooter-Squad Assignment'!$A:$A,MATCH(C386&amp;"-"&amp;D386&amp;"-"&amp;E386&amp;"-Pos1",'Shooter-Squad Assignment'!$Y:$Y,0)),""),"")))</f>
        <v/>
      </c>
      <c r="G386" s="92" t="str">
        <f>IF(ISBLANK(F386),"",IFERROR(INDEX('Tournament List'!$D:$D,MATCH(F386,'Tournament List'!$A:$A,0)),""))</f>
        <v/>
      </c>
      <c r="H386" s="101" t="str">
        <f>IF(E386="Skeet",IFERROR(INDEX('Shooter-Squad Assignment'!$A:$A,MATCH(C386&amp;"-"&amp;D386&amp;"-"&amp;E386&amp;"-Pos2",'Shooter-Squad Assignment'!#REF!,0)),""),IF(E386="Trap",IFERROR(INDEX('Shooter-Squad Assignment'!$A:$A,MATCH(C386&amp;"-"&amp;D386&amp;"-"&amp;E386&amp;"-Pos2",'Shooter-Squad Assignment'!$V:$V,0)),""),IF(E386="Sporting Clays",IFERROR(INDEX('Shooter-Squad Assignment'!$A:$A,MATCH(C386&amp;"-"&amp;D386&amp;"-"&amp;E386&amp;"-Pos2",'Shooter-Squad Assignment'!$Y:$Y,0)),""),"")))</f>
        <v/>
      </c>
      <c r="I386" s="92" t="str">
        <f>IF(ISBLANK(H386),"",IFERROR(INDEX('Tournament List'!$D:$D,MATCH(H386,'Tournament List'!$A:$A,0)),""))</f>
        <v/>
      </c>
      <c r="J386" s="101" t="str">
        <f>IF(E386="Skeet",IFERROR(INDEX('Shooter-Squad Assignment'!$A:$A,MATCH(C386&amp;"-"&amp;D386&amp;"-"&amp;E386&amp;"-Pos3",'Shooter-Squad Assignment'!#REF!,0)),""),IF(E386="Trap",IFERROR(INDEX('Shooter-Squad Assignment'!$A:$A,MATCH(C386&amp;"-"&amp;D386&amp;"-"&amp;E386&amp;"-Pos3",'Shooter-Squad Assignment'!$V:$V,0)),""),IF(E386="Sporting Clays",IFERROR(INDEX('Shooter-Squad Assignment'!$A:$A,MATCH(C386&amp;"-"&amp;D386&amp;"-"&amp;E386&amp;"-Pos3",'Shooter-Squad Assignment'!$Y:$Y,0)),""),"")))</f>
        <v/>
      </c>
      <c r="K386" s="92" t="str">
        <f>IF(ISBLANK(J386),"",IFERROR(INDEX('Tournament List'!$D:$D,MATCH(J386,'Tournament List'!$A:$A,0)),""))</f>
        <v/>
      </c>
      <c r="L386" s="101" t="str">
        <f>IF(E386="Skeet",IFERROR(INDEX('Shooter-Squad Assignment'!$A:$A,MATCH(C386&amp;"-"&amp;D386&amp;"-"&amp;E386&amp;"-Pos4",'Shooter-Squad Assignment'!#REF!,0)),""),IF(E386="Trap",IFERROR(INDEX('Shooter-Squad Assignment'!$A:$A,MATCH(C386&amp;"-"&amp;D386&amp;"-"&amp;E386&amp;"-Pos4",'Shooter-Squad Assignment'!$V:$V,0)),""),IF(E386="Sporting Clays",IFERROR(INDEX('Shooter-Squad Assignment'!$A:$A,MATCH(C386&amp;"-"&amp;D386&amp;"-"&amp;E386&amp;"-Pos4",'Shooter-Squad Assignment'!$Y:$Y,0)),""),"")))</f>
        <v/>
      </c>
      <c r="M386" s="92" t="str">
        <f>IF(ISBLANK(L386),"",IFERROR(INDEX('Tournament List'!$D:$D,MATCH(L386,'Tournament List'!$A:$A,0)),""))</f>
        <v/>
      </c>
      <c r="N386" s="101" t="str">
        <f>IF(E386="Skeet",IFERROR(INDEX('Shooter-Squad Assignment'!$A:$A,MATCH(C386&amp;"-"&amp;D386&amp;"-"&amp;E386&amp;"-Pos5",'Shooter-Squad Assignment'!#REF!,0)),""),IF(E386="Trap",IFERROR(INDEX('Shooter-Squad Assignment'!$A:$A,MATCH(C386&amp;"-"&amp;D386&amp;"-"&amp;E386&amp;"-Pos5",'Shooter-Squad Assignment'!$V:$V,0)),""),IF(E386="Sporting Clays",IFERROR(INDEX('Shooter-Squad Assignment'!$A:$A,MATCH(C386&amp;"-"&amp;D386&amp;"-"&amp;E386&amp;"-Pos5",'Shooter-Squad Assignment'!$Y:$Y,0)),""),"")))</f>
        <v/>
      </c>
      <c r="O386" s="93" t="str">
        <f>IF(ISBLANK(N386),"",IFERROR(INDEX('Tournament List'!$D:$D,MATCH(N386,'Tournament List'!$A:$A,0)),""))</f>
        <v/>
      </c>
    </row>
    <row r="387" spans="1:15" x14ac:dyDescent="0.3">
      <c r="A387" s="91">
        <v>395</v>
      </c>
      <c r="B387" s="92" t="str">
        <f t="shared" ref="B387:B450" si="6">C387&amp;"-"&amp;D387&amp;"-"&amp;E387</f>
        <v>-Junior Varsity 2-Skeet</v>
      </c>
      <c r="C387" s="92"/>
      <c r="D387" s="92" t="s">
        <v>347</v>
      </c>
      <c r="E387" s="92" t="s">
        <v>143</v>
      </c>
      <c r="F387" s="101" t="str">
        <f>IF(E387="Skeet",IFERROR(INDEX('Shooter-Squad Assignment'!$A:$A,MATCH(C387&amp;"-"&amp;D387&amp;"-"&amp;E387&amp;"-Pos1",'Shooter-Squad Assignment'!#REF!,0)),""),IF(E387="Trap",IFERROR(INDEX('Shooter-Squad Assignment'!$A:$A,MATCH(C387&amp;"-"&amp;D387&amp;"-"&amp;E387&amp;"-Pos1",'Shooter-Squad Assignment'!$V:$V,0)),""),IF(E387="Sporting Clays",IFERROR(INDEX('Shooter-Squad Assignment'!$A:$A,MATCH(C387&amp;"-"&amp;D387&amp;"-"&amp;E387&amp;"-Pos1",'Shooter-Squad Assignment'!$Y:$Y,0)),""),"")))</f>
        <v/>
      </c>
      <c r="G387" s="92" t="str">
        <f>IF(ISBLANK(F387),"",IFERROR(INDEX('Tournament List'!$D:$D,MATCH(F387,'Tournament List'!$A:$A,0)),""))</f>
        <v/>
      </c>
      <c r="H387" s="101" t="str">
        <f>IF(E387="Skeet",IFERROR(INDEX('Shooter-Squad Assignment'!$A:$A,MATCH(C387&amp;"-"&amp;D387&amp;"-"&amp;E387&amp;"-Pos2",'Shooter-Squad Assignment'!#REF!,0)),""),IF(E387="Trap",IFERROR(INDEX('Shooter-Squad Assignment'!$A:$A,MATCH(C387&amp;"-"&amp;D387&amp;"-"&amp;E387&amp;"-Pos2",'Shooter-Squad Assignment'!$V:$V,0)),""),IF(E387="Sporting Clays",IFERROR(INDEX('Shooter-Squad Assignment'!$A:$A,MATCH(C387&amp;"-"&amp;D387&amp;"-"&amp;E387&amp;"-Pos2",'Shooter-Squad Assignment'!$Y:$Y,0)),""),"")))</f>
        <v/>
      </c>
      <c r="I387" s="92" t="str">
        <f>IF(ISBLANK(H387),"",IFERROR(INDEX('Tournament List'!$D:$D,MATCH(H387,'Tournament List'!$A:$A,0)),""))</f>
        <v/>
      </c>
      <c r="J387" s="101" t="str">
        <f>IF(E387="Skeet",IFERROR(INDEX('Shooter-Squad Assignment'!$A:$A,MATCH(C387&amp;"-"&amp;D387&amp;"-"&amp;E387&amp;"-Pos3",'Shooter-Squad Assignment'!#REF!,0)),""),IF(E387="Trap",IFERROR(INDEX('Shooter-Squad Assignment'!$A:$A,MATCH(C387&amp;"-"&amp;D387&amp;"-"&amp;E387&amp;"-Pos3",'Shooter-Squad Assignment'!$V:$V,0)),""),IF(E387="Sporting Clays",IFERROR(INDEX('Shooter-Squad Assignment'!$A:$A,MATCH(C387&amp;"-"&amp;D387&amp;"-"&amp;E387&amp;"-Pos3",'Shooter-Squad Assignment'!$Y:$Y,0)),""),"")))</f>
        <v/>
      </c>
      <c r="K387" s="92" t="str">
        <f>IF(ISBLANK(J387),"",IFERROR(INDEX('Tournament List'!$D:$D,MATCH(J387,'Tournament List'!$A:$A,0)),""))</f>
        <v/>
      </c>
      <c r="L387" s="101" t="str">
        <f>IF(E387="Skeet",IFERROR(INDEX('Shooter-Squad Assignment'!$A:$A,MATCH(C387&amp;"-"&amp;D387&amp;"-"&amp;E387&amp;"-Pos4",'Shooter-Squad Assignment'!#REF!,0)),""),IF(E387="Trap",IFERROR(INDEX('Shooter-Squad Assignment'!$A:$A,MATCH(C387&amp;"-"&amp;D387&amp;"-"&amp;E387&amp;"-Pos4",'Shooter-Squad Assignment'!$V:$V,0)),""),IF(E387="Sporting Clays",IFERROR(INDEX('Shooter-Squad Assignment'!$A:$A,MATCH(C387&amp;"-"&amp;D387&amp;"-"&amp;E387&amp;"-Pos4",'Shooter-Squad Assignment'!$Y:$Y,0)),""),"")))</f>
        <v/>
      </c>
      <c r="M387" s="92" t="str">
        <f>IF(ISBLANK(L387),"",IFERROR(INDEX('Tournament List'!$D:$D,MATCH(L387,'Tournament List'!$A:$A,0)),""))</f>
        <v/>
      </c>
      <c r="N387" s="101" t="str">
        <f>IF(E387="Skeet",IFERROR(INDEX('Shooter-Squad Assignment'!$A:$A,MATCH(C387&amp;"-"&amp;D387&amp;"-"&amp;E387&amp;"-Pos5",'Shooter-Squad Assignment'!#REF!,0)),""),IF(E387="Trap",IFERROR(INDEX('Shooter-Squad Assignment'!$A:$A,MATCH(C387&amp;"-"&amp;D387&amp;"-"&amp;E387&amp;"-Pos5",'Shooter-Squad Assignment'!$V:$V,0)),""),IF(E387="Sporting Clays",IFERROR(INDEX('Shooter-Squad Assignment'!$A:$A,MATCH(C387&amp;"-"&amp;D387&amp;"-"&amp;E387&amp;"-Pos5",'Shooter-Squad Assignment'!$Y:$Y,0)),""),"")))</f>
        <v/>
      </c>
      <c r="O387" s="93" t="str">
        <f>IF(ISBLANK(N387),"",IFERROR(INDEX('Tournament List'!$D:$D,MATCH(N387,'Tournament List'!$A:$A,0)),""))</f>
        <v/>
      </c>
    </row>
    <row r="388" spans="1:15" x14ac:dyDescent="0.3">
      <c r="A388" s="91">
        <v>396</v>
      </c>
      <c r="B388" s="92" t="str">
        <f t="shared" si="6"/>
        <v>-Junior Varsity 3-Skeet</v>
      </c>
      <c r="C388" s="92"/>
      <c r="D388" s="92" t="s">
        <v>353</v>
      </c>
      <c r="E388" s="92" t="s">
        <v>143</v>
      </c>
      <c r="F388" s="101" t="str">
        <f>IF(E388="Skeet",IFERROR(INDEX('Shooter-Squad Assignment'!$A:$A,MATCH(C388&amp;"-"&amp;D388&amp;"-"&amp;E388&amp;"-Pos1",'Shooter-Squad Assignment'!#REF!,0)),""),IF(E388="Trap",IFERROR(INDEX('Shooter-Squad Assignment'!$A:$A,MATCH(C388&amp;"-"&amp;D388&amp;"-"&amp;E388&amp;"-Pos1",'Shooter-Squad Assignment'!$V:$V,0)),""),IF(E388="Sporting Clays",IFERROR(INDEX('Shooter-Squad Assignment'!$A:$A,MATCH(C388&amp;"-"&amp;D388&amp;"-"&amp;E388&amp;"-Pos1",'Shooter-Squad Assignment'!$Y:$Y,0)),""),"")))</f>
        <v/>
      </c>
      <c r="G388" s="92" t="str">
        <f>IF(ISBLANK(F388),"",IFERROR(INDEX('Tournament List'!$D:$D,MATCH(F388,'Tournament List'!$A:$A,0)),""))</f>
        <v/>
      </c>
      <c r="H388" s="101" t="str">
        <f>IF(E388="Skeet",IFERROR(INDEX('Shooter-Squad Assignment'!$A:$A,MATCH(C388&amp;"-"&amp;D388&amp;"-"&amp;E388&amp;"-Pos2",'Shooter-Squad Assignment'!#REF!,0)),""),IF(E388="Trap",IFERROR(INDEX('Shooter-Squad Assignment'!$A:$A,MATCH(C388&amp;"-"&amp;D388&amp;"-"&amp;E388&amp;"-Pos2",'Shooter-Squad Assignment'!$V:$V,0)),""),IF(E388="Sporting Clays",IFERROR(INDEX('Shooter-Squad Assignment'!$A:$A,MATCH(C388&amp;"-"&amp;D388&amp;"-"&amp;E388&amp;"-Pos2",'Shooter-Squad Assignment'!$Y:$Y,0)),""),"")))</f>
        <v/>
      </c>
      <c r="I388" s="92" t="str">
        <f>IF(ISBLANK(H388),"",IFERROR(INDEX('Tournament List'!$D:$D,MATCH(H388,'Tournament List'!$A:$A,0)),""))</f>
        <v/>
      </c>
      <c r="J388" s="101" t="str">
        <f>IF(E388="Skeet",IFERROR(INDEX('Shooter-Squad Assignment'!$A:$A,MATCH(C388&amp;"-"&amp;D388&amp;"-"&amp;E388&amp;"-Pos3",'Shooter-Squad Assignment'!#REF!,0)),""),IF(E388="Trap",IFERROR(INDEX('Shooter-Squad Assignment'!$A:$A,MATCH(C388&amp;"-"&amp;D388&amp;"-"&amp;E388&amp;"-Pos3",'Shooter-Squad Assignment'!$V:$V,0)),""),IF(E388="Sporting Clays",IFERROR(INDEX('Shooter-Squad Assignment'!$A:$A,MATCH(C388&amp;"-"&amp;D388&amp;"-"&amp;E388&amp;"-Pos3",'Shooter-Squad Assignment'!$Y:$Y,0)),""),"")))</f>
        <v/>
      </c>
      <c r="K388" s="92" t="str">
        <f>IF(ISBLANK(J388),"",IFERROR(INDEX('Tournament List'!$D:$D,MATCH(J388,'Tournament List'!$A:$A,0)),""))</f>
        <v/>
      </c>
      <c r="L388" s="101" t="str">
        <f>IF(E388="Skeet",IFERROR(INDEX('Shooter-Squad Assignment'!$A:$A,MATCH(C388&amp;"-"&amp;D388&amp;"-"&amp;E388&amp;"-Pos4",'Shooter-Squad Assignment'!#REF!,0)),""),IF(E388="Trap",IFERROR(INDEX('Shooter-Squad Assignment'!$A:$A,MATCH(C388&amp;"-"&amp;D388&amp;"-"&amp;E388&amp;"-Pos4",'Shooter-Squad Assignment'!$V:$V,0)),""),IF(E388="Sporting Clays",IFERROR(INDEX('Shooter-Squad Assignment'!$A:$A,MATCH(C388&amp;"-"&amp;D388&amp;"-"&amp;E388&amp;"-Pos4",'Shooter-Squad Assignment'!$Y:$Y,0)),""),"")))</f>
        <v/>
      </c>
      <c r="M388" s="92" t="str">
        <f>IF(ISBLANK(L388),"",IFERROR(INDEX('Tournament List'!$D:$D,MATCH(L388,'Tournament List'!$A:$A,0)),""))</f>
        <v/>
      </c>
      <c r="N388" s="101" t="str">
        <f>IF(E388="Skeet",IFERROR(INDEX('Shooter-Squad Assignment'!$A:$A,MATCH(C388&amp;"-"&amp;D388&amp;"-"&amp;E388&amp;"-Pos5",'Shooter-Squad Assignment'!#REF!,0)),""),IF(E388="Trap",IFERROR(INDEX('Shooter-Squad Assignment'!$A:$A,MATCH(C388&amp;"-"&amp;D388&amp;"-"&amp;E388&amp;"-Pos5",'Shooter-Squad Assignment'!$V:$V,0)),""),IF(E388="Sporting Clays",IFERROR(INDEX('Shooter-Squad Assignment'!$A:$A,MATCH(C388&amp;"-"&amp;D388&amp;"-"&amp;E388&amp;"-Pos5",'Shooter-Squad Assignment'!$Y:$Y,0)),""),"")))</f>
        <v/>
      </c>
      <c r="O388" s="93" t="str">
        <f>IF(ISBLANK(N388),"",IFERROR(INDEX('Tournament List'!$D:$D,MATCH(N388,'Tournament List'!$A:$A,0)),""))</f>
        <v/>
      </c>
    </row>
    <row r="389" spans="1:15" x14ac:dyDescent="0.3">
      <c r="A389" s="91">
        <v>397</v>
      </c>
      <c r="B389" s="92" t="str">
        <f t="shared" si="6"/>
        <v>-Novice 1-Skeet</v>
      </c>
      <c r="C389" s="92"/>
      <c r="D389" s="92" t="s">
        <v>339</v>
      </c>
      <c r="E389" s="92" t="s">
        <v>143</v>
      </c>
      <c r="F389" s="101" t="str">
        <f>IF(E389="Skeet",IFERROR(INDEX('Shooter-Squad Assignment'!$A:$A,MATCH(C389&amp;"-"&amp;D389&amp;"-"&amp;E389&amp;"-Pos1",'Shooter-Squad Assignment'!#REF!,0)),""),IF(E389="Trap",IFERROR(INDEX('Shooter-Squad Assignment'!$A:$A,MATCH(C389&amp;"-"&amp;D389&amp;"-"&amp;E389&amp;"-Pos1",'Shooter-Squad Assignment'!$V:$V,0)),""),IF(E389="Sporting Clays",IFERROR(INDEX('Shooter-Squad Assignment'!$A:$A,MATCH(C389&amp;"-"&amp;D389&amp;"-"&amp;E389&amp;"-Pos1",'Shooter-Squad Assignment'!$Y:$Y,0)),""),"")))</f>
        <v/>
      </c>
      <c r="G389" s="92" t="str">
        <f>IF(ISBLANK(F389),"",IFERROR(INDEX('Tournament List'!$D:$D,MATCH(F389,'Tournament List'!$A:$A,0)),""))</f>
        <v/>
      </c>
      <c r="H389" s="101" t="str">
        <f>IF(E389="Skeet",IFERROR(INDEX('Shooter-Squad Assignment'!$A:$A,MATCH(C389&amp;"-"&amp;D389&amp;"-"&amp;E389&amp;"-Pos2",'Shooter-Squad Assignment'!#REF!,0)),""),IF(E389="Trap",IFERROR(INDEX('Shooter-Squad Assignment'!$A:$A,MATCH(C389&amp;"-"&amp;D389&amp;"-"&amp;E389&amp;"-Pos2",'Shooter-Squad Assignment'!$V:$V,0)),""),IF(E389="Sporting Clays",IFERROR(INDEX('Shooter-Squad Assignment'!$A:$A,MATCH(C389&amp;"-"&amp;D389&amp;"-"&amp;E389&amp;"-Pos2",'Shooter-Squad Assignment'!$Y:$Y,0)),""),"")))</f>
        <v/>
      </c>
      <c r="I389" s="92" t="str">
        <f>IF(ISBLANK(H389),"",IFERROR(INDEX('Tournament List'!$D:$D,MATCH(H389,'Tournament List'!$A:$A,0)),""))</f>
        <v/>
      </c>
      <c r="J389" s="101" t="str">
        <f>IF(E389="Skeet",IFERROR(INDEX('Shooter-Squad Assignment'!$A:$A,MATCH(C389&amp;"-"&amp;D389&amp;"-"&amp;E389&amp;"-Pos3",'Shooter-Squad Assignment'!#REF!,0)),""),IF(E389="Trap",IFERROR(INDEX('Shooter-Squad Assignment'!$A:$A,MATCH(C389&amp;"-"&amp;D389&amp;"-"&amp;E389&amp;"-Pos3",'Shooter-Squad Assignment'!$V:$V,0)),""),IF(E389="Sporting Clays",IFERROR(INDEX('Shooter-Squad Assignment'!$A:$A,MATCH(C389&amp;"-"&amp;D389&amp;"-"&amp;E389&amp;"-Pos3",'Shooter-Squad Assignment'!$Y:$Y,0)),""),"")))</f>
        <v/>
      </c>
      <c r="K389" s="92" t="str">
        <f>IF(ISBLANK(J389),"",IFERROR(INDEX('Tournament List'!$D:$D,MATCH(J389,'Tournament List'!$A:$A,0)),""))</f>
        <v/>
      </c>
      <c r="L389" s="101" t="str">
        <f>IF(E389="Skeet",IFERROR(INDEX('Shooter-Squad Assignment'!$A:$A,MATCH(C389&amp;"-"&amp;D389&amp;"-"&amp;E389&amp;"-Pos4",'Shooter-Squad Assignment'!#REF!,0)),""),IF(E389="Trap",IFERROR(INDEX('Shooter-Squad Assignment'!$A:$A,MATCH(C389&amp;"-"&amp;D389&amp;"-"&amp;E389&amp;"-Pos4",'Shooter-Squad Assignment'!$V:$V,0)),""),IF(E389="Sporting Clays",IFERROR(INDEX('Shooter-Squad Assignment'!$A:$A,MATCH(C389&amp;"-"&amp;D389&amp;"-"&amp;E389&amp;"-Pos4",'Shooter-Squad Assignment'!$Y:$Y,0)),""),"")))</f>
        <v/>
      </c>
      <c r="M389" s="92" t="str">
        <f>IF(ISBLANK(L389),"",IFERROR(INDEX('Tournament List'!$D:$D,MATCH(L389,'Tournament List'!$A:$A,0)),""))</f>
        <v/>
      </c>
      <c r="N389" s="101" t="str">
        <f>IF(E389="Skeet",IFERROR(INDEX('Shooter-Squad Assignment'!$A:$A,MATCH(C389&amp;"-"&amp;D389&amp;"-"&amp;E389&amp;"-Pos5",'Shooter-Squad Assignment'!#REF!,0)),""),IF(E389="Trap",IFERROR(INDEX('Shooter-Squad Assignment'!$A:$A,MATCH(C389&amp;"-"&amp;D389&amp;"-"&amp;E389&amp;"-Pos5",'Shooter-Squad Assignment'!$V:$V,0)),""),IF(E389="Sporting Clays",IFERROR(INDEX('Shooter-Squad Assignment'!$A:$A,MATCH(C389&amp;"-"&amp;D389&amp;"-"&amp;E389&amp;"-Pos5",'Shooter-Squad Assignment'!$Y:$Y,0)),""),"")))</f>
        <v/>
      </c>
      <c r="O389" s="93" t="str">
        <f>IF(ISBLANK(N389),"",IFERROR(INDEX('Tournament List'!$D:$D,MATCH(N389,'Tournament List'!$A:$A,0)),""))</f>
        <v/>
      </c>
    </row>
    <row r="390" spans="1:15" x14ac:dyDescent="0.3">
      <c r="A390" s="91">
        <v>398</v>
      </c>
      <c r="B390" s="92" t="str">
        <f t="shared" si="6"/>
        <v>-Novice 2-Skeet</v>
      </c>
      <c r="C390" s="92"/>
      <c r="D390" s="92" t="s">
        <v>345</v>
      </c>
      <c r="E390" s="92" t="s">
        <v>143</v>
      </c>
      <c r="F390" s="101" t="str">
        <f>IF(E390="Skeet",IFERROR(INDEX('Shooter-Squad Assignment'!$A:$A,MATCH(C390&amp;"-"&amp;D390&amp;"-"&amp;E390&amp;"-Pos1",'Shooter-Squad Assignment'!#REF!,0)),""),IF(E390="Trap",IFERROR(INDEX('Shooter-Squad Assignment'!$A:$A,MATCH(C390&amp;"-"&amp;D390&amp;"-"&amp;E390&amp;"-Pos1",'Shooter-Squad Assignment'!$V:$V,0)),""),IF(E390="Sporting Clays",IFERROR(INDEX('Shooter-Squad Assignment'!$A:$A,MATCH(C390&amp;"-"&amp;D390&amp;"-"&amp;E390&amp;"-Pos1",'Shooter-Squad Assignment'!$Y:$Y,0)),""),"")))</f>
        <v/>
      </c>
      <c r="G390" s="92" t="str">
        <f>IF(ISBLANK(F390),"",IFERROR(INDEX('Tournament List'!$D:$D,MATCH(F390,'Tournament List'!$A:$A,0)),""))</f>
        <v/>
      </c>
      <c r="H390" s="101" t="str">
        <f>IF(E390="Skeet",IFERROR(INDEX('Shooter-Squad Assignment'!$A:$A,MATCH(C390&amp;"-"&amp;D390&amp;"-"&amp;E390&amp;"-Pos2",'Shooter-Squad Assignment'!#REF!,0)),""),IF(E390="Trap",IFERROR(INDEX('Shooter-Squad Assignment'!$A:$A,MATCH(C390&amp;"-"&amp;D390&amp;"-"&amp;E390&amp;"-Pos2",'Shooter-Squad Assignment'!$V:$V,0)),""),IF(E390="Sporting Clays",IFERROR(INDEX('Shooter-Squad Assignment'!$A:$A,MATCH(C390&amp;"-"&amp;D390&amp;"-"&amp;E390&amp;"-Pos2",'Shooter-Squad Assignment'!$Y:$Y,0)),""),"")))</f>
        <v/>
      </c>
      <c r="I390" s="92" t="str">
        <f>IF(ISBLANK(H390),"",IFERROR(INDEX('Tournament List'!$D:$D,MATCH(H390,'Tournament List'!$A:$A,0)),""))</f>
        <v/>
      </c>
      <c r="J390" s="101" t="str">
        <f>IF(E390="Skeet",IFERROR(INDEX('Shooter-Squad Assignment'!$A:$A,MATCH(C390&amp;"-"&amp;D390&amp;"-"&amp;E390&amp;"-Pos3",'Shooter-Squad Assignment'!#REF!,0)),""),IF(E390="Trap",IFERROR(INDEX('Shooter-Squad Assignment'!$A:$A,MATCH(C390&amp;"-"&amp;D390&amp;"-"&amp;E390&amp;"-Pos3",'Shooter-Squad Assignment'!$V:$V,0)),""),IF(E390="Sporting Clays",IFERROR(INDEX('Shooter-Squad Assignment'!$A:$A,MATCH(C390&amp;"-"&amp;D390&amp;"-"&amp;E390&amp;"-Pos3",'Shooter-Squad Assignment'!$Y:$Y,0)),""),"")))</f>
        <v/>
      </c>
      <c r="K390" s="92" t="str">
        <f>IF(ISBLANK(J390),"",IFERROR(INDEX('Tournament List'!$D:$D,MATCH(J390,'Tournament List'!$A:$A,0)),""))</f>
        <v/>
      </c>
      <c r="L390" s="101" t="str">
        <f>IF(E390="Skeet",IFERROR(INDEX('Shooter-Squad Assignment'!$A:$A,MATCH(C390&amp;"-"&amp;D390&amp;"-"&amp;E390&amp;"-Pos4",'Shooter-Squad Assignment'!#REF!,0)),""),IF(E390="Trap",IFERROR(INDEX('Shooter-Squad Assignment'!$A:$A,MATCH(C390&amp;"-"&amp;D390&amp;"-"&amp;E390&amp;"-Pos4",'Shooter-Squad Assignment'!$V:$V,0)),""),IF(E390="Sporting Clays",IFERROR(INDEX('Shooter-Squad Assignment'!$A:$A,MATCH(C390&amp;"-"&amp;D390&amp;"-"&amp;E390&amp;"-Pos4",'Shooter-Squad Assignment'!$Y:$Y,0)),""),"")))</f>
        <v/>
      </c>
      <c r="M390" s="92" t="str">
        <f>IF(ISBLANK(L390),"",IFERROR(INDEX('Tournament List'!$D:$D,MATCH(L390,'Tournament List'!$A:$A,0)),""))</f>
        <v/>
      </c>
      <c r="N390" s="101" t="str">
        <f>IF(E390="Skeet",IFERROR(INDEX('Shooter-Squad Assignment'!$A:$A,MATCH(C390&amp;"-"&amp;D390&amp;"-"&amp;E390&amp;"-Pos5",'Shooter-Squad Assignment'!#REF!,0)),""),IF(E390="Trap",IFERROR(INDEX('Shooter-Squad Assignment'!$A:$A,MATCH(C390&amp;"-"&amp;D390&amp;"-"&amp;E390&amp;"-Pos5",'Shooter-Squad Assignment'!$V:$V,0)),""),IF(E390="Sporting Clays",IFERROR(INDEX('Shooter-Squad Assignment'!$A:$A,MATCH(C390&amp;"-"&amp;D390&amp;"-"&amp;E390&amp;"-Pos5",'Shooter-Squad Assignment'!$Y:$Y,0)),""),"")))</f>
        <v/>
      </c>
      <c r="O390" s="93" t="str">
        <f>IF(ISBLANK(N390),"",IFERROR(INDEX('Tournament List'!$D:$D,MATCH(N390,'Tournament List'!$A:$A,0)),""))</f>
        <v/>
      </c>
    </row>
    <row r="391" spans="1:15" x14ac:dyDescent="0.3">
      <c r="A391" s="91">
        <v>399</v>
      </c>
      <c r="B391" s="92" t="str">
        <f t="shared" si="6"/>
        <v>-Novice 3-Skeet</v>
      </c>
      <c r="C391" s="92"/>
      <c r="D391" s="92" t="s">
        <v>351</v>
      </c>
      <c r="E391" s="92" t="s">
        <v>143</v>
      </c>
      <c r="F391" s="101" t="str">
        <f>IF(E391="Skeet",IFERROR(INDEX('Shooter-Squad Assignment'!$A:$A,MATCH(C391&amp;"-"&amp;D391&amp;"-"&amp;E391&amp;"-Pos1",'Shooter-Squad Assignment'!#REF!,0)),""),IF(E391="Trap",IFERROR(INDEX('Shooter-Squad Assignment'!$A:$A,MATCH(C391&amp;"-"&amp;D391&amp;"-"&amp;E391&amp;"-Pos1",'Shooter-Squad Assignment'!$V:$V,0)),""),IF(E391="Sporting Clays",IFERROR(INDEX('Shooter-Squad Assignment'!$A:$A,MATCH(C391&amp;"-"&amp;D391&amp;"-"&amp;E391&amp;"-Pos1",'Shooter-Squad Assignment'!$Y:$Y,0)),""),"")))</f>
        <v/>
      </c>
      <c r="G391" s="92" t="str">
        <f>IF(ISBLANK(F391),"",IFERROR(INDEX('Tournament List'!$D:$D,MATCH(F391,'Tournament List'!$A:$A,0)),""))</f>
        <v/>
      </c>
      <c r="H391" s="101" t="str">
        <f>IF(E391="Skeet",IFERROR(INDEX('Shooter-Squad Assignment'!$A:$A,MATCH(C391&amp;"-"&amp;D391&amp;"-"&amp;E391&amp;"-Pos2",'Shooter-Squad Assignment'!#REF!,0)),""),IF(E391="Trap",IFERROR(INDEX('Shooter-Squad Assignment'!$A:$A,MATCH(C391&amp;"-"&amp;D391&amp;"-"&amp;E391&amp;"-Pos2",'Shooter-Squad Assignment'!$V:$V,0)),""),IF(E391="Sporting Clays",IFERROR(INDEX('Shooter-Squad Assignment'!$A:$A,MATCH(C391&amp;"-"&amp;D391&amp;"-"&amp;E391&amp;"-Pos2",'Shooter-Squad Assignment'!$Y:$Y,0)),""),"")))</f>
        <v/>
      </c>
      <c r="I391" s="92" t="str">
        <f>IF(ISBLANK(H391),"",IFERROR(INDEX('Tournament List'!$D:$D,MATCH(H391,'Tournament List'!$A:$A,0)),""))</f>
        <v/>
      </c>
      <c r="J391" s="101" t="str">
        <f>IF(E391="Skeet",IFERROR(INDEX('Shooter-Squad Assignment'!$A:$A,MATCH(C391&amp;"-"&amp;D391&amp;"-"&amp;E391&amp;"-Pos3",'Shooter-Squad Assignment'!#REF!,0)),""),IF(E391="Trap",IFERROR(INDEX('Shooter-Squad Assignment'!$A:$A,MATCH(C391&amp;"-"&amp;D391&amp;"-"&amp;E391&amp;"-Pos3",'Shooter-Squad Assignment'!$V:$V,0)),""),IF(E391="Sporting Clays",IFERROR(INDEX('Shooter-Squad Assignment'!$A:$A,MATCH(C391&amp;"-"&amp;D391&amp;"-"&amp;E391&amp;"-Pos3",'Shooter-Squad Assignment'!$Y:$Y,0)),""),"")))</f>
        <v/>
      </c>
      <c r="K391" s="92" t="str">
        <f>IF(ISBLANK(J391),"",IFERROR(INDEX('Tournament List'!$D:$D,MATCH(J391,'Tournament List'!$A:$A,0)),""))</f>
        <v/>
      </c>
      <c r="L391" s="101" t="str">
        <f>IF(E391="Skeet",IFERROR(INDEX('Shooter-Squad Assignment'!$A:$A,MATCH(C391&amp;"-"&amp;D391&amp;"-"&amp;E391&amp;"-Pos4",'Shooter-Squad Assignment'!#REF!,0)),""),IF(E391="Trap",IFERROR(INDEX('Shooter-Squad Assignment'!$A:$A,MATCH(C391&amp;"-"&amp;D391&amp;"-"&amp;E391&amp;"-Pos4",'Shooter-Squad Assignment'!$V:$V,0)),""),IF(E391="Sporting Clays",IFERROR(INDEX('Shooter-Squad Assignment'!$A:$A,MATCH(C391&amp;"-"&amp;D391&amp;"-"&amp;E391&amp;"-Pos4",'Shooter-Squad Assignment'!$Y:$Y,0)),""),"")))</f>
        <v/>
      </c>
      <c r="M391" s="92" t="str">
        <f>IF(ISBLANK(L391),"",IFERROR(INDEX('Tournament List'!$D:$D,MATCH(L391,'Tournament List'!$A:$A,0)),""))</f>
        <v/>
      </c>
      <c r="N391" s="101" t="str">
        <f>IF(E391="Skeet",IFERROR(INDEX('Shooter-Squad Assignment'!$A:$A,MATCH(C391&amp;"-"&amp;D391&amp;"-"&amp;E391&amp;"-Pos5",'Shooter-Squad Assignment'!#REF!,0)),""),IF(E391="Trap",IFERROR(INDEX('Shooter-Squad Assignment'!$A:$A,MATCH(C391&amp;"-"&amp;D391&amp;"-"&amp;E391&amp;"-Pos5",'Shooter-Squad Assignment'!$V:$V,0)),""),IF(E391="Sporting Clays",IFERROR(INDEX('Shooter-Squad Assignment'!$A:$A,MATCH(C391&amp;"-"&amp;D391&amp;"-"&amp;E391&amp;"-Pos5",'Shooter-Squad Assignment'!$Y:$Y,0)),""),"")))</f>
        <v/>
      </c>
      <c r="O391" s="93" t="str">
        <f>IF(ISBLANK(N391),"",IFERROR(INDEX('Tournament List'!$D:$D,MATCH(N391,'Tournament List'!$A:$A,0)),""))</f>
        <v/>
      </c>
    </row>
    <row r="392" spans="1:15" x14ac:dyDescent="0.3">
      <c r="A392" s="91">
        <v>400</v>
      </c>
      <c r="B392" s="92" t="str">
        <f t="shared" si="6"/>
        <v>-Open 1-Skeet</v>
      </c>
      <c r="C392" s="92"/>
      <c r="D392" s="92" t="s">
        <v>343</v>
      </c>
      <c r="E392" s="92" t="s">
        <v>143</v>
      </c>
      <c r="F392" s="101" t="str">
        <f>IF(E392="Skeet",IFERROR(INDEX('Shooter-Squad Assignment'!$A:$A,MATCH(C392&amp;"-"&amp;D392&amp;"-"&amp;E392&amp;"-Pos1",'Shooter-Squad Assignment'!#REF!,0)),""),IF(E392="Trap",IFERROR(INDEX('Shooter-Squad Assignment'!$A:$A,MATCH(C392&amp;"-"&amp;D392&amp;"-"&amp;E392&amp;"-Pos1",'Shooter-Squad Assignment'!$V:$V,0)),""),IF(E392="Sporting Clays",IFERROR(INDEX('Shooter-Squad Assignment'!$A:$A,MATCH(C392&amp;"-"&amp;D392&amp;"-"&amp;E392&amp;"-Pos1",'Shooter-Squad Assignment'!$Y:$Y,0)),""),"")))</f>
        <v/>
      </c>
      <c r="G392" s="92" t="str">
        <f>IF(ISBLANK(F392),"",IFERROR(INDEX('Tournament List'!$D:$D,MATCH(F392,'Tournament List'!$A:$A,0)),""))</f>
        <v/>
      </c>
      <c r="H392" s="101" t="str">
        <f>IF(E392="Skeet",IFERROR(INDEX('Shooter-Squad Assignment'!$A:$A,MATCH(C392&amp;"-"&amp;D392&amp;"-"&amp;E392&amp;"-Pos2",'Shooter-Squad Assignment'!#REF!,0)),""),IF(E392="Trap",IFERROR(INDEX('Shooter-Squad Assignment'!$A:$A,MATCH(C392&amp;"-"&amp;D392&amp;"-"&amp;E392&amp;"-Pos2",'Shooter-Squad Assignment'!$V:$V,0)),""),IF(E392="Sporting Clays",IFERROR(INDEX('Shooter-Squad Assignment'!$A:$A,MATCH(C392&amp;"-"&amp;D392&amp;"-"&amp;E392&amp;"-Pos2",'Shooter-Squad Assignment'!$Y:$Y,0)),""),"")))</f>
        <v/>
      </c>
      <c r="I392" s="92" t="str">
        <f>IF(ISBLANK(H392),"",IFERROR(INDEX('Tournament List'!$D:$D,MATCH(H392,'Tournament List'!$A:$A,0)),""))</f>
        <v/>
      </c>
      <c r="J392" s="101" t="str">
        <f>IF(E392="Skeet",IFERROR(INDEX('Shooter-Squad Assignment'!$A:$A,MATCH(C392&amp;"-"&amp;D392&amp;"-"&amp;E392&amp;"-Pos3",'Shooter-Squad Assignment'!#REF!,0)),""),IF(E392="Trap",IFERROR(INDEX('Shooter-Squad Assignment'!$A:$A,MATCH(C392&amp;"-"&amp;D392&amp;"-"&amp;E392&amp;"-Pos3",'Shooter-Squad Assignment'!$V:$V,0)),""),IF(E392="Sporting Clays",IFERROR(INDEX('Shooter-Squad Assignment'!$A:$A,MATCH(C392&amp;"-"&amp;D392&amp;"-"&amp;E392&amp;"-Pos3",'Shooter-Squad Assignment'!$Y:$Y,0)),""),"")))</f>
        <v/>
      </c>
      <c r="K392" s="92" t="str">
        <f>IF(ISBLANK(J392),"",IFERROR(INDEX('Tournament List'!$D:$D,MATCH(J392,'Tournament List'!$A:$A,0)),""))</f>
        <v/>
      </c>
      <c r="L392" s="101" t="str">
        <f>IF(E392="Skeet",IFERROR(INDEX('Shooter-Squad Assignment'!$A:$A,MATCH(C392&amp;"-"&amp;D392&amp;"-"&amp;E392&amp;"-Pos4",'Shooter-Squad Assignment'!#REF!,0)),""),IF(E392="Trap",IFERROR(INDEX('Shooter-Squad Assignment'!$A:$A,MATCH(C392&amp;"-"&amp;D392&amp;"-"&amp;E392&amp;"-Pos4",'Shooter-Squad Assignment'!$V:$V,0)),""),IF(E392="Sporting Clays",IFERROR(INDEX('Shooter-Squad Assignment'!$A:$A,MATCH(C392&amp;"-"&amp;D392&amp;"-"&amp;E392&amp;"-Pos4",'Shooter-Squad Assignment'!$Y:$Y,0)),""),"")))</f>
        <v/>
      </c>
      <c r="M392" s="92" t="str">
        <f>IF(ISBLANK(L392),"",IFERROR(INDEX('Tournament List'!$D:$D,MATCH(L392,'Tournament List'!$A:$A,0)),""))</f>
        <v/>
      </c>
      <c r="N392" s="101" t="str">
        <f>IF(E392="Skeet",IFERROR(INDEX('Shooter-Squad Assignment'!$A:$A,MATCH(C392&amp;"-"&amp;D392&amp;"-"&amp;E392&amp;"-Pos5",'Shooter-Squad Assignment'!#REF!,0)),""),IF(E392="Trap",IFERROR(INDEX('Shooter-Squad Assignment'!$A:$A,MATCH(C392&amp;"-"&amp;D392&amp;"-"&amp;E392&amp;"-Pos5",'Shooter-Squad Assignment'!$V:$V,0)),""),IF(E392="Sporting Clays",IFERROR(INDEX('Shooter-Squad Assignment'!$A:$A,MATCH(C392&amp;"-"&amp;D392&amp;"-"&amp;E392&amp;"-Pos5",'Shooter-Squad Assignment'!$Y:$Y,0)),""),"")))</f>
        <v/>
      </c>
      <c r="O392" s="93" t="str">
        <f>IF(ISBLANK(N392),"",IFERROR(INDEX('Tournament List'!$D:$D,MATCH(N392,'Tournament List'!$A:$A,0)),""))</f>
        <v/>
      </c>
    </row>
    <row r="393" spans="1:15" x14ac:dyDescent="0.3">
      <c r="A393" s="91">
        <v>401</v>
      </c>
      <c r="B393" s="92" t="str">
        <f t="shared" si="6"/>
        <v>-Open 2-Skeet</v>
      </c>
      <c r="C393" s="92"/>
      <c r="D393" s="92" t="s">
        <v>349</v>
      </c>
      <c r="E393" s="92" t="s">
        <v>143</v>
      </c>
      <c r="F393" s="101" t="str">
        <f>IF(E393="Skeet",IFERROR(INDEX('Shooter-Squad Assignment'!$A:$A,MATCH(C393&amp;"-"&amp;D393&amp;"-"&amp;E393&amp;"-Pos1",'Shooter-Squad Assignment'!#REF!,0)),""),IF(E393="Trap",IFERROR(INDEX('Shooter-Squad Assignment'!$A:$A,MATCH(C393&amp;"-"&amp;D393&amp;"-"&amp;E393&amp;"-Pos1",'Shooter-Squad Assignment'!$V:$V,0)),""),IF(E393="Sporting Clays",IFERROR(INDEX('Shooter-Squad Assignment'!$A:$A,MATCH(C393&amp;"-"&amp;D393&amp;"-"&amp;E393&amp;"-Pos1",'Shooter-Squad Assignment'!$Y:$Y,0)),""),"")))</f>
        <v/>
      </c>
      <c r="G393" s="92" t="str">
        <f>IF(ISBLANK(F393),"",IFERROR(INDEX('Tournament List'!$D:$D,MATCH(F393,'Tournament List'!$A:$A,0)),""))</f>
        <v/>
      </c>
      <c r="H393" s="101" t="str">
        <f>IF(E393="Skeet",IFERROR(INDEX('Shooter-Squad Assignment'!$A:$A,MATCH(C393&amp;"-"&amp;D393&amp;"-"&amp;E393&amp;"-Pos2",'Shooter-Squad Assignment'!#REF!,0)),""),IF(E393="Trap",IFERROR(INDEX('Shooter-Squad Assignment'!$A:$A,MATCH(C393&amp;"-"&amp;D393&amp;"-"&amp;E393&amp;"-Pos2",'Shooter-Squad Assignment'!$V:$V,0)),""),IF(E393="Sporting Clays",IFERROR(INDEX('Shooter-Squad Assignment'!$A:$A,MATCH(C393&amp;"-"&amp;D393&amp;"-"&amp;E393&amp;"-Pos2",'Shooter-Squad Assignment'!$Y:$Y,0)),""),"")))</f>
        <v/>
      </c>
      <c r="I393" s="92" t="str">
        <f>IF(ISBLANK(H393),"",IFERROR(INDEX('Tournament List'!$D:$D,MATCH(H393,'Tournament List'!$A:$A,0)),""))</f>
        <v/>
      </c>
      <c r="J393" s="101" t="str">
        <f>IF(E393="Skeet",IFERROR(INDEX('Shooter-Squad Assignment'!$A:$A,MATCH(C393&amp;"-"&amp;D393&amp;"-"&amp;E393&amp;"-Pos3",'Shooter-Squad Assignment'!#REF!,0)),""),IF(E393="Trap",IFERROR(INDEX('Shooter-Squad Assignment'!$A:$A,MATCH(C393&amp;"-"&amp;D393&amp;"-"&amp;E393&amp;"-Pos3",'Shooter-Squad Assignment'!$V:$V,0)),""),IF(E393="Sporting Clays",IFERROR(INDEX('Shooter-Squad Assignment'!$A:$A,MATCH(C393&amp;"-"&amp;D393&amp;"-"&amp;E393&amp;"-Pos3",'Shooter-Squad Assignment'!$Y:$Y,0)),""),"")))</f>
        <v/>
      </c>
      <c r="K393" s="92" t="str">
        <f>IF(ISBLANK(J393),"",IFERROR(INDEX('Tournament List'!$D:$D,MATCH(J393,'Tournament List'!$A:$A,0)),""))</f>
        <v/>
      </c>
      <c r="L393" s="101" t="str">
        <f>IF(E393="Skeet",IFERROR(INDEX('Shooter-Squad Assignment'!$A:$A,MATCH(C393&amp;"-"&amp;D393&amp;"-"&amp;E393&amp;"-Pos4",'Shooter-Squad Assignment'!#REF!,0)),""),IF(E393="Trap",IFERROR(INDEX('Shooter-Squad Assignment'!$A:$A,MATCH(C393&amp;"-"&amp;D393&amp;"-"&amp;E393&amp;"-Pos4",'Shooter-Squad Assignment'!$V:$V,0)),""),IF(E393="Sporting Clays",IFERROR(INDEX('Shooter-Squad Assignment'!$A:$A,MATCH(C393&amp;"-"&amp;D393&amp;"-"&amp;E393&amp;"-Pos4",'Shooter-Squad Assignment'!$Y:$Y,0)),""),"")))</f>
        <v/>
      </c>
      <c r="M393" s="92" t="str">
        <f>IF(ISBLANK(L393),"",IFERROR(INDEX('Tournament List'!$D:$D,MATCH(L393,'Tournament List'!$A:$A,0)),""))</f>
        <v/>
      </c>
      <c r="N393" s="101" t="str">
        <f>IF(E393="Skeet",IFERROR(INDEX('Shooter-Squad Assignment'!$A:$A,MATCH(C393&amp;"-"&amp;D393&amp;"-"&amp;E393&amp;"-Pos5",'Shooter-Squad Assignment'!#REF!,0)),""),IF(E393="Trap",IFERROR(INDEX('Shooter-Squad Assignment'!$A:$A,MATCH(C393&amp;"-"&amp;D393&amp;"-"&amp;E393&amp;"-Pos5",'Shooter-Squad Assignment'!$V:$V,0)),""),IF(E393="Sporting Clays",IFERROR(INDEX('Shooter-Squad Assignment'!$A:$A,MATCH(C393&amp;"-"&amp;D393&amp;"-"&amp;E393&amp;"-Pos5",'Shooter-Squad Assignment'!$Y:$Y,0)),""),"")))</f>
        <v/>
      </c>
      <c r="O393" s="93" t="str">
        <f>IF(ISBLANK(N393),"",IFERROR(INDEX('Tournament List'!$D:$D,MATCH(N393,'Tournament List'!$A:$A,0)),""))</f>
        <v/>
      </c>
    </row>
    <row r="394" spans="1:15" x14ac:dyDescent="0.3">
      <c r="A394" s="91">
        <v>402</v>
      </c>
      <c r="B394" s="92" t="str">
        <f t="shared" si="6"/>
        <v>-Open 3-Skeet</v>
      </c>
      <c r="C394" s="92"/>
      <c r="D394" s="92" t="s">
        <v>355</v>
      </c>
      <c r="E394" s="92" t="s">
        <v>143</v>
      </c>
      <c r="F394" s="101" t="str">
        <f>IF(E394="Skeet",IFERROR(INDEX('Shooter-Squad Assignment'!$A:$A,MATCH(C394&amp;"-"&amp;D394&amp;"-"&amp;E394&amp;"-Pos1",'Shooter-Squad Assignment'!#REF!,0)),""),IF(E394="Trap",IFERROR(INDEX('Shooter-Squad Assignment'!$A:$A,MATCH(C394&amp;"-"&amp;D394&amp;"-"&amp;E394&amp;"-Pos1",'Shooter-Squad Assignment'!$V:$V,0)),""),IF(E394="Sporting Clays",IFERROR(INDEX('Shooter-Squad Assignment'!$A:$A,MATCH(C394&amp;"-"&amp;D394&amp;"-"&amp;E394&amp;"-Pos1",'Shooter-Squad Assignment'!$Y:$Y,0)),""),"")))</f>
        <v/>
      </c>
      <c r="G394" s="92" t="str">
        <f>IF(ISBLANK(F394),"",IFERROR(INDEX('Tournament List'!$D:$D,MATCH(F394,'Tournament List'!$A:$A,0)),""))</f>
        <v/>
      </c>
      <c r="H394" s="101" t="str">
        <f>IF(E394="Skeet",IFERROR(INDEX('Shooter-Squad Assignment'!$A:$A,MATCH(C394&amp;"-"&amp;D394&amp;"-"&amp;E394&amp;"-Pos2",'Shooter-Squad Assignment'!#REF!,0)),""),IF(E394="Trap",IFERROR(INDEX('Shooter-Squad Assignment'!$A:$A,MATCH(C394&amp;"-"&amp;D394&amp;"-"&amp;E394&amp;"-Pos2",'Shooter-Squad Assignment'!$V:$V,0)),""),IF(E394="Sporting Clays",IFERROR(INDEX('Shooter-Squad Assignment'!$A:$A,MATCH(C394&amp;"-"&amp;D394&amp;"-"&amp;E394&amp;"-Pos2",'Shooter-Squad Assignment'!$Y:$Y,0)),""),"")))</f>
        <v/>
      </c>
      <c r="I394" s="92" t="str">
        <f>IF(ISBLANK(H394),"",IFERROR(INDEX('Tournament List'!$D:$D,MATCH(H394,'Tournament List'!$A:$A,0)),""))</f>
        <v/>
      </c>
      <c r="J394" s="101" t="str">
        <f>IF(E394="Skeet",IFERROR(INDEX('Shooter-Squad Assignment'!$A:$A,MATCH(C394&amp;"-"&amp;D394&amp;"-"&amp;E394&amp;"-Pos3",'Shooter-Squad Assignment'!#REF!,0)),""),IF(E394="Trap",IFERROR(INDEX('Shooter-Squad Assignment'!$A:$A,MATCH(C394&amp;"-"&amp;D394&amp;"-"&amp;E394&amp;"-Pos3",'Shooter-Squad Assignment'!$V:$V,0)),""),IF(E394="Sporting Clays",IFERROR(INDEX('Shooter-Squad Assignment'!$A:$A,MATCH(C394&amp;"-"&amp;D394&amp;"-"&amp;E394&amp;"-Pos3",'Shooter-Squad Assignment'!$Y:$Y,0)),""),"")))</f>
        <v/>
      </c>
      <c r="K394" s="92" t="str">
        <f>IF(ISBLANK(J394),"",IFERROR(INDEX('Tournament List'!$D:$D,MATCH(J394,'Tournament List'!$A:$A,0)),""))</f>
        <v/>
      </c>
      <c r="L394" s="101" t="str">
        <f>IF(E394="Skeet",IFERROR(INDEX('Shooter-Squad Assignment'!$A:$A,MATCH(C394&amp;"-"&amp;D394&amp;"-"&amp;E394&amp;"-Pos4",'Shooter-Squad Assignment'!#REF!,0)),""),IF(E394="Trap",IFERROR(INDEX('Shooter-Squad Assignment'!$A:$A,MATCH(C394&amp;"-"&amp;D394&amp;"-"&amp;E394&amp;"-Pos4",'Shooter-Squad Assignment'!$V:$V,0)),""),IF(E394="Sporting Clays",IFERROR(INDEX('Shooter-Squad Assignment'!$A:$A,MATCH(C394&amp;"-"&amp;D394&amp;"-"&amp;E394&amp;"-Pos4",'Shooter-Squad Assignment'!$Y:$Y,0)),""),"")))</f>
        <v/>
      </c>
      <c r="M394" s="92" t="str">
        <f>IF(ISBLANK(L394),"",IFERROR(INDEX('Tournament List'!$D:$D,MATCH(L394,'Tournament List'!$A:$A,0)),""))</f>
        <v/>
      </c>
      <c r="N394" s="101" t="str">
        <f>IF(E394="Skeet",IFERROR(INDEX('Shooter-Squad Assignment'!$A:$A,MATCH(C394&amp;"-"&amp;D394&amp;"-"&amp;E394&amp;"-Pos5",'Shooter-Squad Assignment'!#REF!,0)),""),IF(E394="Trap",IFERROR(INDEX('Shooter-Squad Assignment'!$A:$A,MATCH(C394&amp;"-"&amp;D394&amp;"-"&amp;E394&amp;"-Pos5",'Shooter-Squad Assignment'!$V:$V,0)),""),IF(E394="Sporting Clays",IFERROR(INDEX('Shooter-Squad Assignment'!$A:$A,MATCH(C394&amp;"-"&amp;D394&amp;"-"&amp;E394&amp;"-Pos5",'Shooter-Squad Assignment'!$Y:$Y,0)),""),"")))</f>
        <v/>
      </c>
      <c r="O394" s="93" t="str">
        <f>IF(ISBLANK(N394),"",IFERROR(INDEX('Tournament List'!$D:$D,MATCH(N394,'Tournament List'!$A:$A,0)),""))</f>
        <v/>
      </c>
    </row>
    <row r="395" spans="1:15" x14ac:dyDescent="0.3">
      <c r="A395" s="91">
        <v>403</v>
      </c>
      <c r="B395" s="92" t="str">
        <f t="shared" si="6"/>
        <v>-Varsity 1-Skeet</v>
      </c>
      <c r="C395" s="92"/>
      <c r="D395" s="92" t="s">
        <v>342</v>
      </c>
      <c r="E395" s="92" t="s">
        <v>143</v>
      </c>
      <c r="F395" s="101" t="str">
        <f>IF(E395="Skeet",IFERROR(INDEX('Shooter-Squad Assignment'!$A:$A,MATCH(C395&amp;"-"&amp;D395&amp;"-"&amp;E395&amp;"-Pos1",'Shooter-Squad Assignment'!#REF!,0)),""),IF(E395="Trap",IFERROR(INDEX('Shooter-Squad Assignment'!$A:$A,MATCH(C395&amp;"-"&amp;D395&amp;"-"&amp;E395&amp;"-Pos1",'Shooter-Squad Assignment'!$V:$V,0)),""),IF(E395="Sporting Clays",IFERROR(INDEX('Shooter-Squad Assignment'!$A:$A,MATCH(C395&amp;"-"&amp;D395&amp;"-"&amp;E395&amp;"-Pos1",'Shooter-Squad Assignment'!$Y:$Y,0)),""),"")))</f>
        <v/>
      </c>
      <c r="G395" s="92" t="str">
        <f>IF(ISBLANK(F395),"",IFERROR(INDEX('Tournament List'!$D:$D,MATCH(F395,'Tournament List'!$A:$A,0)),""))</f>
        <v/>
      </c>
      <c r="H395" s="101" t="str">
        <f>IF(E395="Skeet",IFERROR(INDEX('Shooter-Squad Assignment'!$A:$A,MATCH(C395&amp;"-"&amp;D395&amp;"-"&amp;E395&amp;"-Pos2",'Shooter-Squad Assignment'!#REF!,0)),""),IF(E395="Trap",IFERROR(INDEX('Shooter-Squad Assignment'!$A:$A,MATCH(C395&amp;"-"&amp;D395&amp;"-"&amp;E395&amp;"-Pos2",'Shooter-Squad Assignment'!$V:$V,0)),""),IF(E395="Sporting Clays",IFERROR(INDEX('Shooter-Squad Assignment'!$A:$A,MATCH(C395&amp;"-"&amp;D395&amp;"-"&amp;E395&amp;"-Pos2",'Shooter-Squad Assignment'!$Y:$Y,0)),""),"")))</f>
        <v/>
      </c>
      <c r="I395" s="92" t="str">
        <f>IF(ISBLANK(H395),"",IFERROR(INDEX('Tournament List'!$D:$D,MATCH(H395,'Tournament List'!$A:$A,0)),""))</f>
        <v/>
      </c>
      <c r="J395" s="101" t="str">
        <f>IF(E395="Skeet",IFERROR(INDEX('Shooter-Squad Assignment'!$A:$A,MATCH(C395&amp;"-"&amp;D395&amp;"-"&amp;E395&amp;"-Pos3",'Shooter-Squad Assignment'!#REF!,0)),""),IF(E395="Trap",IFERROR(INDEX('Shooter-Squad Assignment'!$A:$A,MATCH(C395&amp;"-"&amp;D395&amp;"-"&amp;E395&amp;"-Pos3",'Shooter-Squad Assignment'!$V:$V,0)),""),IF(E395="Sporting Clays",IFERROR(INDEX('Shooter-Squad Assignment'!$A:$A,MATCH(C395&amp;"-"&amp;D395&amp;"-"&amp;E395&amp;"-Pos3",'Shooter-Squad Assignment'!$Y:$Y,0)),""),"")))</f>
        <v/>
      </c>
      <c r="K395" s="92" t="str">
        <f>IF(ISBLANK(J395),"",IFERROR(INDEX('Tournament List'!$D:$D,MATCH(J395,'Tournament List'!$A:$A,0)),""))</f>
        <v/>
      </c>
      <c r="L395" s="101" t="str">
        <f>IF(E395="Skeet",IFERROR(INDEX('Shooter-Squad Assignment'!$A:$A,MATCH(C395&amp;"-"&amp;D395&amp;"-"&amp;E395&amp;"-Pos4",'Shooter-Squad Assignment'!#REF!,0)),""),IF(E395="Trap",IFERROR(INDEX('Shooter-Squad Assignment'!$A:$A,MATCH(C395&amp;"-"&amp;D395&amp;"-"&amp;E395&amp;"-Pos4",'Shooter-Squad Assignment'!$V:$V,0)),""),IF(E395="Sporting Clays",IFERROR(INDEX('Shooter-Squad Assignment'!$A:$A,MATCH(C395&amp;"-"&amp;D395&amp;"-"&amp;E395&amp;"-Pos4",'Shooter-Squad Assignment'!$Y:$Y,0)),""),"")))</f>
        <v/>
      </c>
      <c r="M395" s="92" t="str">
        <f>IF(ISBLANK(L395),"",IFERROR(INDEX('Tournament List'!$D:$D,MATCH(L395,'Tournament List'!$A:$A,0)),""))</f>
        <v/>
      </c>
      <c r="N395" s="101" t="str">
        <f>IF(E395="Skeet",IFERROR(INDEX('Shooter-Squad Assignment'!$A:$A,MATCH(C395&amp;"-"&amp;D395&amp;"-"&amp;E395&amp;"-Pos5",'Shooter-Squad Assignment'!#REF!,0)),""),IF(E395="Trap",IFERROR(INDEX('Shooter-Squad Assignment'!$A:$A,MATCH(C395&amp;"-"&amp;D395&amp;"-"&amp;E395&amp;"-Pos5",'Shooter-Squad Assignment'!$V:$V,0)),""),IF(E395="Sporting Clays",IFERROR(INDEX('Shooter-Squad Assignment'!$A:$A,MATCH(C395&amp;"-"&amp;D395&amp;"-"&amp;E395&amp;"-Pos5",'Shooter-Squad Assignment'!$Y:$Y,0)),""),"")))</f>
        <v/>
      </c>
      <c r="O395" s="93" t="str">
        <f>IF(ISBLANK(N395),"",IFERROR(INDEX('Tournament List'!$D:$D,MATCH(N395,'Tournament List'!$A:$A,0)),""))</f>
        <v/>
      </c>
    </row>
    <row r="396" spans="1:15" x14ac:dyDescent="0.3">
      <c r="A396" s="91">
        <v>404</v>
      </c>
      <c r="B396" s="92" t="str">
        <f t="shared" si="6"/>
        <v>-Varsity 2-Skeet</v>
      </c>
      <c r="C396" s="92"/>
      <c r="D396" s="92" t="s">
        <v>348</v>
      </c>
      <c r="E396" s="92" t="s">
        <v>143</v>
      </c>
      <c r="F396" s="101" t="str">
        <f>IF(E396="Skeet",IFERROR(INDEX('Shooter-Squad Assignment'!$A:$A,MATCH(C396&amp;"-"&amp;D396&amp;"-"&amp;E396&amp;"-Pos1",'Shooter-Squad Assignment'!#REF!,0)),""),IF(E396="Trap",IFERROR(INDEX('Shooter-Squad Assignment'!$A:$A,MATCH(C396&amp;"-"&amp;D396&amp;"-"&amp;E396&amp;"-Pos1",'Shooter-Squad Assignment'!$V:$V,0)),""),IF(E396="Sporting Clays",IFERROR(INDEX('Shooter-Squad Assignment'!$A:$A,MATCH(C396&amp;"-"&amp;D396&amp;"-"&amp;E396&amp;"-Pos1",'Shooter-Squad Assignment'!$Y:$Y,0)),""),"")))</f>
        <v/>
      </c>
      <c r="G396" s="92" t="str">
        <f>IF(ISBLANK(F396),"",IFERROR(INDEX('Tournament List'!$D:$D,MATCH(F396,'Tournament List'!$A:$A,0)),""))</f>
        <v/>
      </c>
      <c r="H396" s="101" t="str">
        <f>IF(E396="Skeet",IFERROR(INDEX('Shooter-Squad Assignment'!$A:$A,MATCH(C396&amp;"-"&amp;D396&amp;"-"&amp;E396&amp;"-Pos2",'Shooter-Squad Assignment'!#REF!,0)),""),IF(E396="Trap",IFERROR(INDEX('Shooter-Squad Assignment'!$A:$A,MATCH(C396&amp;"-"&amp;D396&amp;"-"&amp;E396&amp;"-Pos2",'Shooter-Squad Assignment'!$V:$V,0)),""),IF(E396="Sporting Clays",IFERROR(INDEX('Shooter-Squad Assignment'!$A:$A,MATCH(C396&amp;"-"&amp;D396&amp;"-"&amp;E396&amp;"-Pos2",'Shooter-Squad Assignment'!$Y:$Y,0)),""),"")))</f>
        <v/>
      </c>
      <c r="I396" s="92" t="str">
        <f>IF(ISBLANK(H396),"",IFERROR(INDEX('Tournament List'!$D:$D,MATCH(H396,'Tournament List'!$A:$A,0)),""))</f>
        <v/>
      </c>
      <c r="J396" s="101" t="str">
        <f>IF(E396="Skeet",IFERROR(INDEX('Shooter-Squad Assignment'!$A:$A,MATCH(C396&amp;"-"&amp;D396&amp;"-"&amp;E396&amp;"-Pos3",'Shooter-Squad Assignment'!#REF!,0)),""),IF(E396="Trap",IFERROR(INDEX('Shooter-Squad Assignment'!$A:$A,MATCH(C396&amp;"-"&amp;D396&amp;"-"&amp;E396&amp;"-Pos3",'Shooter-Squad Assignment'!$V:$V,0)),""),IF(E396="Sporting Clays",IFERROR(INDEX('Shooter-Squad Assignment'!$A:$A,MATCH(C396&amp;"-"&amp;D396&amp;"-"&amp;E396&amp;"-Pos3",'Shooter-Squad Assignment'!$Y:$Y,0)),""),"")))</f>
        <v/>
      </c>
      <c r="K396" s="92" t="str">
        <f>IF(ISBLANK(J396),"",IFERROR(INDEX('Tournament List'!$D:$D,MATCH(J396,'Tournament List'!$A:$A,0)),""))</f>
        <v/>
      </c>
      <c r="L396" s="101" t="str">
        <f>IF(E396="Skeet",IFERROR(INDEX('Shooter-Squad Assignment'!$A:$A,MATCH(C396&amp;"-"&amp;D396&amp;"-"&amp;E396&amp;"-Pos4",'Shooter-Squad Assignment'!#REF!,0)),""),IF(E396="Trap",IFERROR(INDEX('Shooter-Squad Assignment'!$A:$A,MATCH(C396&amp;"-"&amp;D396&amp;"-"&amp;E396&amp;"-Pos4",'Shooter-Squad Assignment'!$V:$V,0)),""),IF(E396="Sporting Clays",IFERROR(INDEX('Shooter-Squad Assignment'!$A:$A,MATCH(C396&amp;"-"&amp;D396&amp;"-"&amp;E396&amp;"-Pos4",'Shooter-Squad Assignment'!$Y:$Y,0)),""),"")))</f>
        <v/>
      </c>
      <c r="M396" s="92" t="str">
        <f>IF(ISBLANK(L396),"",IFERROR(INDEX('Tournament List'!$D:$D,MATCH(L396,'Tournament List'!$A:$A,0)),""))</f>
        <v/>
      </c>
      <c r="N396" s="101" t="str">
        <f>IF(E396="Skeet",IFERROR(INDEX('Shooter-Squad Assignment'!$A:$A,MATCH(C396&amp;"-"&amp;D396&amp;"-"&amp;E396&amp;"-Pos5",'Shooter-Squad Assignment'!#REF!,0)),""),IF(E396="Trap",IFERROR(INDEX('Shooter-Squad Assignment'!$A:$A,MATCH(C396&amp;"-"&amp;D396&amp;"-"&amp;E396&amp;"-Pos5",'Shooter-Squad Assignment'!$V:$V,0)),""),IF(E396="Sporting Clays",IFERROR(INDEX('Shooter-Squad Assignment'!$A:$A,MATCH(C396&amp;"-"&amp;D396&amp;"-"&amp;E396&amp;"-Pos5",'Shooter-Squad Assignment'!$Y:$Y,0)),""),"")))</f>
        <v/>
      </c>
      <c r="O396" s="93" t="str">
        <f>IF(ISBLANK(N396),"",IFERROR(INDEX('Tournament List'!$D:$D,MATCH(N396,'Tournament List'!$A:$A,0)),""))</f>
        <v/>
      </c>
    </row>
    <row r="397" spans="1:15" x14ac:dyDescent="0.3">
      <c r="A397" s="91">
        <v>405</v>
      </c>
      <c r="B397" s="92" t="str">
        <f t="shared" si="6"/>
        <v>-Varsity 3-Skeet</v>
      </c>
      <c r="C397" s="92"/>
      <c r="D397" s="92" t="s">
        <v>354</v>
      </c>
      <c r="E397" s="92" t="s">
        <v>143</v>
      </c>
      <c r="F397" s="101" t="str">
        <f>IF(E397="Skeet",IFERROR(INDEX('Shooter-Squad Assignment'!$A:$A,MATCH(C397&amp;"-"&amp;D397&amp;"-"&amp;E397&amp;"-Pos1",'Shooter-Squad Assignment'!#REF!,0)),""),IF(E397="Trap",IFERROR(INDEX('Shooter-Squad Assignment'!$A:$A,MATCH(C397&amp;"-"&amp;D397&amp;"-"&amp;E397&amp;"-Pos1",'Shooter-Squad Assignment'!$V:$V,0)),""),IF(E397="Sporting Clays",IFERROR(INDEX('Shooter-Squad Assignment'!$A:$A,MATCH(C397&amp;"-"&amp;D397&amp;"-"&amp;E397&amp;"-Pos1",'Shooter-Squad Assignment'!$Y:$Y,0)),""),"")))</f>
        <v/>
      </c>
      <c r="G397" s="92" t="str">
        <f>IF(ISBLANK(F397),"",IFERROR(INDEX('Tournament List'!$D:$D,MATCH(F397,'Tournament List'!$A:$A,0)),""))</f>
        <v/>
      </c>
      <c r="H397" s="101" t="str">
        <f>IF(E397="Skeet",IFERROR(INDEX('Shooter-Squad Assignment'!$A:$A,MATCH(C397&amp;"-"&amp;D397&amp;"-"&amp;E397&amp;"-Pos2",'Shooter-Squad Assignment'!#REF!,0)),""),IF(E397="Trap",IFERROR(INDEX('Shooter-Squad Assignment'!$A:$A,MATCH(C397&amp;"-"&amp;D397&amp;"-"&amp;E397&amp;"-Pos2",'Shooter-Squad Assignment'!$V:$V,0)),""),IF(E397="Sporting Clays",IFERROR(INDEX('Shooter-Squad Assignment'!$A:$A,MATCH(C397&amp;"-"&amp;D397&amp;"-"&amp;E397&amp;"-Pos2",'Shooter-Squad Assignment'!$Y:$Y,0)),""),"")))</f>
        <v/>
      </c>
      <c r="I397" s="92" t="str">
        <f>IF(ISBLANK(H397),"",IFERROR(INDEX('Tournament List'!$D:$D,MATCH(H397,'Tournament List'!$A:$A,0)),""))</f>
        <v/>
      </c>
      <c r="J397" s="101" t="str">
        <f>IF(E397="Skeet",IFERROR(INDEX('Shooter-Squad Assignment'!$A:$A,MATCH(C397&amp;"-"&amp;D397&amp;"-"&amp;E397&amp;"-Pos3",'Shooter-Squad Assignment'!#REF!,0)),""),IF(E397="Trap",IFERROR(INDEX('Shooter-Squad Assignment'!$A:$A,MATCH(C397&amp;"-"&amp;D397&amp;"-"&amp;E397&amp;"-Pos3",'Shooter-Squad Assignment'!$V:$V,0)),""),IF(E397="Sporting Clays",IFERROR(INDEX('Shooter-Squad Assignment'!$A:$A,MATCH(C397&amp;"-"&amp;D397&amp;"-"&amp;E397&amp;"-Pos3",'Shooter-Squad Assignment'!$Y:$Y,0)),""),"")))</f>
        <v/>
      </c>
      <c r="K397" s="92" t="str">
        <f>IF(ISBLANK(J397),"",IFERROR(INDEX('Tournament List'!$D:$D,MATCH(J397,'Tournament List'!$A:$A,0)),""))</f>
        <v/>
      </c>
      <c r="L397" s="101" t="str">
        <f>IF(E397="Skeet",IFERROR(INDEX('Shooter-Squad Assignment'!$A:$A,MATCH(C397&amp;"-"&amp;D397&amp;"-"&amp;E397&amp;"-Pos4",'Shooter-Squad Assignment'!#REF!,0)),""),IF(E397="Trap",IFERROR(INDEX('Shooter-Squad Assignment'!$A:$A,MATCH(C397&amp;"-"&amp;D397&amp;"-"&amp;E397&amp;"-Pos4",'Shooter-Squad Assignment'!$V:$V,0)),""),IF(E397="Sporting Clays",IFERROR(INDEX('Shooter-Squad Assignment'!$A:$A,MATCH(C397&amp;"-"&amp;D397&amp;"-"&amp;E397&amp;"-Pos4",'Shooter-Squad Assignment'!$Y:$Y,0)),""),"")))</f>
        <v/>
      </c>
      <c r="M397" s="92" t="str">
        <f>IF(ISBLANK(L397),"",IFERROR(INDEX('Tournament List'!$D:$D,MATCH(L397,'Tournament List'!$A:$A,0)),""))</f>
        <v/>
      </c>
      <c r="N397" s="101" t="str">
        <f>IF(E397="Skeet",IFERROR(INDEX('Shooter-Squad Assignment'!$A:$A,MATCH(C397&amp;"-"&amp;D397&amp;"-"&amp;E397&amp;"-Pos5",'Shooter-Squad Assignment'!#REF!,0)),""),IF(E397="Trap",IFERROR(INDEX('Shooter-Squad Assignment'!$A:$A,MATCH(C397&amp;"-"&amp;D397&amp;"-"&amp;E397&amp;"-Pos5",'Shooter-Squad Assignment'!$V:$V,0)),""),IF(E397="Sporting Clays",IFERROR(INDEX('Shooter-Squad Assignment'!$A:$A,MATCH(C397&amp;"-"&amp;D397&amp;"-"&amp;E397&amp;"-Pos5",'Shooter-Squad Assignment'!$Y:$Y,0)),""),"")))</f>
        <v/>
      </c>
      <c r="O397" s="93" t="str">
        <f>IF(ISBLANK(N397),"",IFERROR(INDEX('Tournament List'!$D:$D,MATCH(N397,'Tournament List'!$A:$A,0)),""))</f>
        <v/>
      </c>
    </row>
    <row r="398" spans="1:15" x14ac:dyDescent="0.3">
      <c r="A398" s="91">
        <v>406</v>
      </c>
      <c r="B398" s="92" t="str">
        <f t="shared" si="6"/>
        <v>-Collegiate 1-Trap</v>
      </c>
      <c r="C398" s="92"/>
      <c r="D398" s="92" t="s">
        <v>344</v>
      </c>
      <c r="E398" s="92" t="s">
        <v>147</v>
      </c>
      <c r="F398" s="101" t="str">
        <f>IF(E398="Skeet",IFERROR(INDEX('Shooter-Squad Assignment'!$A:$A,MATCH(C398&amp;"-"&amp;D398&amp;"-"&amp;E398&amp;"-Pos1",'Shooter-Squad Assignment'!#REF!,0)),""),IF(E398="Trap",IFERROR(INDEX('Shooter-Squad Assignment'!$A:$A,MATCH(C398&amp;"-"&amp;D398&amp;"-"&amp;E398&amp;"-Pos1",'Shooter-Squad Assignment'!$V:$V,0)),""),IF(E398="Sporting Clays",IFERROR(INDEX('Shooter-Squad Assignment'!$A:$A,MATCH(C398&amp;"-"&amp;D398&amp;"-"&amp;E398&amp;"-Pos1",'Shooter-Squad Assignment'!$Y:$Y,0)),""),"")))</f>
        <v/>
      </c>
      <c r="G398" s="92" t="str">
        <f>IF(ISBLANK(F398),"",IFERROR(INDEX('Tournament List'!$D:$D,MATCH(F398,'Tournament List'!$A:$A,0)),""))</f>
        <v/>
      </c>
      <c r="H398" s="101" t="str">
        <f>IF(E398="Skeet",IFERROR(INDEX('Shooter-Squad Assignment'!$A:$A,MATCH(C398&amp;"-"&amp;D398&amp;"-"&amp;E398&amp;"-Pos2",'Shooter-Squad Assignment'!#REF!,0)),""),IF(E398="Trap",IFERROR(INDEX('Shooter-Squad Assignment'!$A:$A,MATCH(C398&amp;"-"&amp;D398&amp;"-"&amp;E398&amp;"-Pos2",'Shooter-Squad Assignment'!$V:$V,0)),""),IF(E398="Sporting Clays",IFERROR(INDEX('Shooter-Squad Assignment'!$A:$A,MATCH(C398&amp;"-"&amp;D398&amp;"-"&amp;E398&amp;"-Pos2",'Shooter-Squad Assignment'!$Y:$Y,0)),""),"")))</f>
        <v/>
      </c>
      <c r="I398" s="92" t="str">
        <f>IF(ISBLANK(H398),"",IFERROR(INDEX('Tournament List'!$D:$D,MATCH(H398,'Tournament List'!$A:$A,0)),""))</f>
        <v/>
      </c>
      <c r="J398" s="101" t="str">
        <f>IF(E398="Skeet",IFERROR(INDEX('Shooter-Squad Assignment'!$A:$A,MATCH(C398&amp;"-"&amp;D398&amp;"-"&amp;E398&amp;"-Pos3",'Shooter-Squad Assignment'!#REF!,0)),""),IF(E398="Trap",IFERROR(INDEX('Shooter-Squad Assignment'!$A:$A,MATCH(C398&amp;"-"&amp;D398&amp;"-"&amp;E398&amp;"-Pos3",'Shooter-Squad Assignment'!$V:$V,0)),""),IF(E398="Sporting Clays",IFERROR(INDEX('Shooter-Squad Assignment'!$A:$A,MATCH(C398&amp;"-"&amp;D398&amp;"-"&amp;E398&amp;"-Pos3",'Shooter-Squad Assignment'!$Y:$Y,0)),""),"")))</f>
        <v/>
      </c>
      <c r="K398" s="92" t="str">
        <f>IF(ISBLANK(J398),"",IFERROR(INDEX('Tournament List'!$D:$D,MATCH(J398,'Tournament List'!$A:$A,0)),""))</f>
        <v/>
      </c>
      <c r="L398" s="101" t="str">
        <f>IF(E398="Skeet",IFERROR(INDEX('Shooter-Squad Assignment'!$A:$A,MATCH(C398&amp;"-"&amp;D398&amp;"-"&amp;E398&amp;"-Pos4",'Shooter-Squad Assignment'!#REF!,0)),""),IF(E398="Trap",IFERROR(INDEX('Shooter-Squad Assignment'!$A:$A,MATCH(C398&amp;"-"&amp;D398&amp;"-"&amp;E398&amp;"-Pos4",'Shooter-Squad Assignment'!$V:$V,0)),""),IF(E398="Sporting Clays",IFERROR(INDEX('Shooter-Squad Assignment'!$A:$A,MATCH(C398&amp;"-"&amp;D398&amp;"-"&amp;E398&amp;"-Pos4",'Shooter-Squad Assignment'!$Y:$Y,0)),""),"")))</f>
        <v/>
      </c>
      <c r="M398" s="92" t="str">
        <f>IF(ISBLANK(L398),"",IFERROR(INDEX('Tournament List'!$D:$D,MATCH(L398,'Tournament List'!$A:$A,0)),""))</f>
        <v/>
      </c>
      <c r="N398" s="101" t="str">
        <f>IF(E398="Skeet",IFERROR(INDEX('Shooter-Squad Assignment'!$A:$A,MATCH(C398&amp;"-"&amp;D398&amp;"-"&amp;E398&amp;"-Pos5",'Shooter-Squad Assignment'!#REF!,0)),""),IF(E398="Trap",IFERROR(INDEX('Shooter-Squad Assignment'!$A:$A,MATCH(C398&amp;"-"&amp;D398&amp;"-"&amp;E398&amp;"-Pos5",'Shooter-Squad Assignment'!$V:$V,0)),""),IF(E398="Sporting Clays",IFERROR(INDEX('Shooter-Squad Assignment'!$A:$A,MATCH(C398&amp;"-"&amp;D398&amp;"-"&amp;E398&amp;"-Pos5",'Shooter-Squad Assignment'!$Y:$Y,0)),""),"")))</f>
        <v/>
      </c>
      <c r="O398" s="93" t="str">
        <f>IF(ISBLANK(N398),"",IFERROR(INDEX('Tournament List'!$D:$D,MATCH(N398,'Tournament List'!$A:$A,0)),""))</f>
        <v/>
      </c>
    </row>
    <row r="399" spans="1:15" x14ac:dyDescent="0.3">
      <c r="A399" s="91">
        <v>407</v>
      </c>
      <c r="B399" s="92" t="str">
        <f t="shared" si="6"/>
        <v>-Collegiate 2-Trap</v>
      </c>
      <c r="C399" s="92"/>
      <c r="D399" s="92" t="s">
        <v>350</v>
      </c>
      <c r="E399" s="92" t="s">
        <v>147</v>
      </c>
      <c r="F399" s="101" t="str">
        <f>IF(E399="Skeet",IFERROR(INDEX('Shooter-Squad Assignment'!$A:$A,MATCH(C399&amp;"-"&amp;D399&amp;"-"&amp;E399&amp;"-Pos1",'Shooter-Squad Assignment'!#REF!,0)),""),IF(E399="Trap",IFERROR(INDEX('Shooter-Squad Assignment'!$A:$A,MATCH(C399&amp;"-"&amp;D399&amp;"-"&amp;E399&amp;"-Pos1",'Shooter-Squad Assignment'!$V:$V,0)),""),IF(E399="Sporting Clays",IFERROR(INDEX('Shooter-Squad Assignment'!$A:$A,MATCH(C399&amp;"-"&amp;D399&amp;"-"&amp;E399&amp;"-Pos1",'Shooter-Squad Assignment'!$Y:$Y,0)),""),"")))</f>
        <v/>
      </c>
      <c r="G399" s="92" t="str">
        <f>IF(ISBLANK(F399),"",IFERROR(INDEX('Tournament List'!$D:$D,MATCH(F399,'Tournament List'!$A:$A,0)),""))</f>
        <v/>
      </c>
      <c r="H399" s="101" t="str">
        <f>IF(E399="Skeet",IFERROR(INDEX('Shooter-Squad Assignment'!$A:$A,MATCH(C399&amp;"-"&amp;D399&amp;"-"&amp;E399&amp;"-Pos2",'Shooter-Squad Assignment'!#REF!,0)),""),IF(E399="Trap",IFERROR(INDEX('Shooter-Squad Assignment'!$A:$A,MATCH(C399&amp;"-"&amp;D399&amp;"-"&amp;E399&amp;"-Pos2",'Shooter-Squad Assignment'!$V:$V,0)),""),IF(E399="Sporting Clays",IFERROR(INDEX('Shooter-Squad Assignment'!$A:$A,MATCH(C399&amp;"-"&amp;D399&amp;"-"&amp;E399&amp;"-Pos2",'Shooter-Squad Assignment'!$Y:$Y,0)),""),"")))</f>
        <v/>
      </c>
      <c r="I399" s="92" t="str">
        <f>IF(ISBLANK(H399),"",IFERROR(INDEX('Tournament List'!$D:$D,MATCH(H399,'Tournament List'!$A:$A,0)),""))</f>
        <v/>
      </c>
      <c r="J399" s="101" t="str">
        <f>IF(E399="Skeet",IFERROR(INDEX('Shooter-Squad Assignment'!$A:$A,MATCH(C399&amp;"-"&amp;D399&amp;"-"&amp;E399&amp;"-Pos3",'Shooter-Squad Assignment'!#REF!,0)),""),IF(E399="Trap",IFERROR(INDEX('Shooter-Squad Assignment'!$A:$A,MATCH(C399&amp;"-"&amp;D399&amp;"-"&amp;E399&amp;"-Pos3",'Shooter-Squad Assignment'!$V:$V,0)),""),IF(E399="Sporting Clays",IFERROR(INDEX('Shooter-Squad Assignment'!$A:$A,MATCH(C399&amp;"-"&amp;D399&amp;"-"&amp;E399&amp;"-Pos3",'Shooter-Squad Assignment'!$Y:$Y,0)),""),"")))</f>
        <v/>
      </c>
      <c r="K399" s="92" t="str">
        <f>IF(ISBLANK(J399),"",IFERROR(INDEX('Tournament List'!$D:$D,MATCH(J399,'Tournament List'!$A:$A,0)),""))</f>
        <v/>
      </c>
      <c r="L399" s="101" t="str">
        <f>IF(E399="Skeet",IFERROR(INDEX('Shooter-Squad Assignment'!$A:$A,MATCH(C399&amp;"-"&amp;D399&amp;"-"&amp;E399&amp;"-Pos4",'Shooter-Squad Assignment'!#REF!,0)),""),IF(E399="Trap",IFERROR(INDEX('Shooter-Squad Assignment'!$A:$A,MATCH(C399&amp;"-"&amp;D399&amp;"-"&amp;E399&amp;"-Pos4",'Shooter-Squad Assignment'!$V:$V,0)),""),IF(E399="Sporting Clays",IFERROR(INDEX('Shooter-Squad Assignment'!$A:$A,MATCH(C399&amp;"-"&amp;D399&amp;"-"&amp;E399&amp;"-Pos4",'Shooter-Squad Assignment'!$Y:$Y,0)),""),"")))</f>
        <v/>
      </c>
      <c r="M399" s="92" t="str">
        <f>IF(ISBLANK(L399),"",IFERROR(INDEX('Tournament List'!$D:$D,MATCH(L399,'Tournament List'!$A:$A,0)),""))</f>
        <v/>
      </c>
      <c r="N399" s="101" t="str">
        <f>IF(E399="Skeet",IFERROR(INDEX('Shooter-Squad Assignment'!$A:$A,MATCH(C399&amp;"-"&amp;D399&amp;"-"&amp;E399&amp;"-Pos5",'Shooter-Squad Assignment'!#REF!,0)),""),IF(E399="Trap",IFERROR(INDEX('Shooter-Squad Assignment'!$A:$A,MATCH(C399&amp;"-"&amp;D399&amp;"-"&amp;E399&amp;"-Pos5",'Shooter-Squad Assignment'!$V:$V,0)),""),IF(E399="Sporting Clays",IFERROR(INDEX('Shooter-Squad Assignment'!$A:$A,MATCH(C399&amp;"-"&amp;D399&amp;"-"&amp;E399&amp;"-Pos5",'Shooter-Squad Assignment'!$Y:$Y,0)),""),"")))</f>
        <v/>
      </c>
      <c r="O399" s="93" t="str">
        <f>IF(ISBLANK(N399),"",IFERROR(INDEX('Tournament List'!$D:$D,MATCH(N399,'Tournament List'!$A:$A,0)),""))</f>
        <v/>
      </c>
    </row>
    <row r="400" spans="1:15" x14ac:dyDescent="0.3">
      <c r="A400" s="91">
        <v>408</v>
      </c>
      <c r="B400" s="92" t="str">
        <f t="shared" si="6"/>
        <v>-Collegiate 3-Trap</v>
      </c>
      <c r="C400" s="92"/>
      <c r="D400" s="92" t="s">
        <v>356</v>
      </c>
      <c r="E400" s="92" t="s">
        <v>147</v>
      </c>
      <c r="F400" s="101" t="str">
        <f>IF(E400="Skeet",IFERROR(INDEX('Shooter-Squad Assignment'!$A:$A,MATCH(C400&amp;"-"&amp;D400&amp;"-"&amp;E400&amp;"-Pos1",'Shooter-Squad Assignment'!#REF!,0)),""),IF(E400="Trap",IFERROR(INDEX('Shooter-Squad Assignment'!$A:$A,MATCH(C400&amp;"-"&amp;D400&amp;"-"&amp;E400&amp;"-Pos1",'Shooter-Squad Assignment'!$V:$V,0)),""),IF(E400="Sporting Clays",IFERROR(INDEX('Shooter-Squad Assignment'!$A:$A,MATCH(C400&amp;"-"&amp;D400&amp;"-"&amp;E400&amp;"-Pos1",'Shooter-Squad Assignment'!$Y:$Y,0)),""),"")))</f>
        <v/>
      </c>
      <c r="G400" s="92" t="str">
        <f>IF(ISBLANK(F400),"",IFERROR(INDEX('Tournament List'!$D:$D,MATCH(F400,'Tournament List'!$A:$A,0)),""))</f>
        <v/>
      </c>
      <c r="H400" s="101" t="str">
        <f>IF(E400="Skeet",IFERROR(INDEX('Shooter-Squad Assignment'!$A:$A,MATCH(C400&amp;"-"&amp;D400&amp;"-"&amp;E400&amp;"-Pos2",'Shooter-Squad Assignment'!#REF!,0)),""),IF(E400="Trap",IFERROR(INDEX('Shooter-Squad Assignment'!$A:$A,MATCH(C400&amp;"-"&amp;D400&amp;"-"&amp;E400&amp;"-Pos2",'Shooter-Squad Assignment'!$V:$V,0)),""),IF(E400="Sporting Clays",IFERROR(INDEX('Shooter-Squad Assignment'!$A:$A,MATCH(C400&amp;"-"&amp;D400&amp;"-"&amp;E400&amp;"-Pos2",'Shooter-Squad Assignment'!$Y:$Y,0)),""),"")))</f>
        <v/>
      </c>
      <c r="I400" s="92" t="str">
        <f>IF(ISBLANK(H400),"",IFERROR(INDEX('Tournament List'!$D:$D,MATCH(H400,'Tournament List'!$A:$A,0)),""))</f>
        <v/>
      </c>
      <c r="J400" s="101" t="str">
        <f>IF(E400="Skeet",IFERROR(INDEX('Shooter-Squad Assignment'!$A:$A,MATCH(C400&amp;"-"&amp;D400&amp;"-"&amp;E400&amp;"-Pos3",'Shooter-Squad Assignment'!#REF!,0)),""),IF(E400="Trap",IFERROR(INDEX('Shooter-Squad Assignment'!$A:$A,MATCH(C400&amp;"-"&amp;D400&amp;"-"&amp;E400&amp;"-Pos3",'Shooter-Squad Assignment'!$V:$V,0)),""),IF(E400="Sporting Clays",IFERROR(INDEX('Shooter-Squad Assignment'!$A:$A,MATCH(C400&amp;"-"&amp;D400&amp;"-"&amp;E400&amp;"-Pos3",'Shooter-Squad Assignment'!$Y:$Y,0)),""),"")))</f>
        <v/>
      </c>
      <c r="K400" s="92" t="str">
        <f>IF(ISBLANK(J400),"",IFERROR(INDEX('Tournament List'!$D:$D,MATCH(J400,'Tournament List'!$A:$A,0)),""))</f>
        <v/>
      </c>
      <c r="L400" s="101" t="str">
        <f>IF(E400="Skeet",IFERROR(INDEX('Shooter-Squad Assignment'!$A:$A,MATCH(C400&amp;"-"&amp;D400&amp;"-"&amp;E400&amp;"-Pos4",'Shooter-Squad Assignment'!#REF!,0)),""),IF(E400="Trap",IFERROR(INDEX('Shooter-Squad Assignment'!$A:$A,MATCH(C400&amp;"-"&amp;D400&amp;"-"&amp;E400&amp;"-Pos4",'Shooter-Squad Assignment'!$V:$V,0)),""),IF(E400="Sporting Clays",IFERROR(INDEX('Shooter-Squad Assignment'!$A:$A,MATCH(C400&amp;"-"&amp;D400&amp;"-"&amp;E400&amp;"-Pos4",'Shooter-Squad Assignment'!$Y:$Y,0)),""),"")))</f>
        <v/>
      </c>
      <c r="M400" s="92" t="str">
        <f>IF(ISBLANK(L400),"",IFERROR(INDEX('Tournament List'!$D:$D,MATCH(L400,'Tournament List'!$A:$A,0)),""))</f>
        <v/>
      </c>
      <c r="N400" s="101" t="str">
        <f>IF(E400="Skeet",IFERROR(INDEX('Shooter-Squad Assignment'!$A:$A,MATCH(C400&amp;"-"&amp;D400&amp;"-"&amp;E400&amp;"-Pos5",'Shooter-Squad Assignment'!#REF!,0)),""),IF(E400="Trap",IFERROR(INDEX('Shooter-Squad Assignment'!$A:$A,MATCH(C400&amp;"-"&amp;D400&amp;"-"&amp;E400&amp;"-Pos5",'Shooter-Squad Assignment'!$V:$V,0)),""),IF(E400="Sporting Clays",IFERROR(INDEX('Shooter-Squad Assignment'!$A:$A,MATCH(C400&amp;"-"&amp;D400&amp;"-"&amp;E400&amp;"-Pos5",'Shooter-Squad Assignment'!$Y:$Y,0)),""),"")))</f>
        <v/>
      </c>
      <c r="O400" s="93" t="str">
        <f>IF(ISBLANK(N400),"",IFERROR(INDEX('Tournament List'!$D:$D,MATCH(N400,'Tournament List'!$A:$A,0)),""))</f>
        <v/>
      </c>
    </row>
    <row r="401" spans="1:15" x14ac:dyDescent="0.3">
      <c r="A401" s="91">
        <v>409</v>
      </c>
      <c r="B401" s="92" t="str">
        <f t="shared" si="6"/>
        <v>-Intermediate 1-Trap</v>
      </c>
      <c r="C401" s="92"/>
      <c r="D401" s="92" t="s">
        <v>340</v>
      </c>
      <c r="E401" s="92" t="s">
        <v>147</v>
      </c>
      <c r="F401" s="101" t="str">
        <f>IF(E401="Skeet",IFERROR(INDEX('Shooter-Squad Assignment'!$A:$A,MATCH(C401&amp;"-"&amp;D401&amp;"-"&amp;E401&amp;"-Pos1",'Shooter-Squad Assignment'!#REF!,0)),""),IF(E401="Trap",IFERROR(INDEX('Shooter-Squad Assignment'!$A:$A,MATCH(C401&amp;"-"&amp;D401&amp;"-"&amp;E401&amp;"-Pos1",'Shooter-Squad Assignment'!$V:$V,0)),""),IF(E401="Sporting Clays",IFERROR(INDEX('Shooter-Squad Assignment'!$A:$A,MATCH(C401&amp;"-"&amp;D401&amp;"-"&amp;E401&amp;"-Pos1",'Shooter-Squad Assignment'!$Y:$Y,0)),""),"")))</f>
        <v/>
      </c>
      <c r="G401" s="92" t="str">
        <f>IF(ISBLANK(F401),"",IFERROR(INDEX('Tournament List'!$D:$D,MATCH(F401,'Tournament List'!$A:$A,0)),""))</f>
        <v/>
      </c>
      <c r="H401" s="101" t="str">
        <f>IF(E401="Skeet",IFERROR(INDEX('Shooter-Squad Assignment'!$A:$A,MATCH(C401&amp;"-"&amp;D401&amp;"-"&amp;E401&amp;"-Pos2",'Shooter-Squad Assignment'!#REF!,0)),""),IF(E401="Trap",IFERROR(INDEX('Shooter-Squad Assignment'!$A:$A,MATCH(C401&amp;"-"&amp;D401&amp;"-"&amp;E401&amp;"-Pos2",'Shooter-Squad Assignment'!$V:$V,0)),""),IF(E401="Sporting Clays",IFERROR(INDEX('Shooter-Squad Assignment'!$A:$A,MATCH(C401&amp;"-"&amp;D401&amp;"-"&amp;E401&amp;"-Pos2",'Shooter-Squad Assignment'!$Y:$Y,0)),""),"")))</f>
        <v/>
      </c>
      <c r="I401" s="92" t="str">
        <f>IF(ISBLANK(H401),"",IFERROR(INDEX('Tournament List'!$D:$D,MATCH(H401,'Tournament List'!$A:$A,0)),""))</f>
        <v/>
      </c>
      <c r="J401" s="101" t="str">
        <f>IF(E401="Skeet",IFERROR(INDEX('Shooter-Squad Assignment'!$A:$A,MATCH(C401&amp;"-"&amp;D401&amp;"-"&amp;E401&amp;"-Pos3",'Shooter-Squad Assignment'!#REF!,0)),""),IF(E401="Trap",IFERROR(INDEX('Shooter-Squad Assignment'!$A:$A,MATCH(C401&amp;"-"&amp;D401&amp;"-"&amp;E401&amp;"-Pos3",'Shooter-Squad Assignment'!$V:$V,0)),""),IF(E401="Sporting Clays",IFERROR(INDEX('Shooter-Squad Assignment'!$A:$A,MATCH(C401&amp;"-"&amp;D401&amp;"-"&amp;E401&amp;"-Pos3",'Shooter-Squad Assignment'!$Y:$Y,0)),""),"")))</f>
        <v/>
      </c>
      <c r="K401" s="92" t="str">
        <f>IF(ISBLANK(J401),"",IFERROR(INDEX('Tournament List'!$D:$D,MATCH(J401,'Tournament List'!$A:$A,0)),""))</f>
        <v/>
      </c>
      <c r="L401" s="101" t="str">
        <f>IF(E401="Skeet",IFERROR(INDEX('Shooter-Squad Assignment'!$A:$A,MATCH(C401&amp;"-"&amp;D401&amp;"-"&amp;E401&amp;"-Pos4",'Shooter-Squad Assignment'!#REF!,0)),""),IF(E401="Trap",IFERROR(INDEX('Shooter-Squad Assignment'!$A:$A,MATCH(C401&amp;"-"&amp;D401&amp;"-"&amp;E401&amp;"-Pos4",'Shooter-Squad Assignment'!$V:$V,0)),""),IF(E401="Sporting Clays",IFERROR(INDEX('Shooter-Squad Assignment'!$A:$A,MATCH(C401&amp;"-"&amp;D401&amp;"-"&amp;E401&amp;"-Pos4",'Shooter-Squad Assignment'!$Y:$Y,0)),""),"")))</f>
        <v/>
      </c>
      <c r="M401" s="92" t="str">
        <f>IF(ISBLANK(L401),"",IFERROR(INDEX('Tournament List'!$D:$D,MATCH(L401,'Tournament List'!$A:$A,0)),""))</f>
        <v/>
      </c>
      <c r="N401" s="101" t="str">
        <f>IF(E401="Skeet",IFERROR(INDEX('Shooter-Squad Assignment'!$A:$A,MATCH(C401&amp;"-"&amp;D401&amp;"-"&amp;E401&amp;"-Pos5",'Shooter-Squad Assignment'!#REF!,0)),""),IF(E401="Trap",IFERROR(INDEX('Shooter-Squad Assignment'!$A:$A,MATCH(C401&amp;"-"&amp;D401&amp;"-"&amp;E401&amp;"-Pos5",'Shooter-Squad Assignment'!$V:$V,0)),""),IF(E401="Sporting Clays",IFERROR(INDEX('Shooter-Squad Assignment'!$A:$A,MATCH(C401&amp;"-"&amp;D401&amp;"-"&amp;E401&amp;"-Pos5",'Shooter-Squad Assignment'!$Y:$Y,0)),""),"")))</f>
        <v/>
      </c>
      <c r="O401" s="93" t="str">
        <f>IF(ISBLANK(N401),"",IFERROR(INDEX('Tournament List'!$D:$D,MATCH(N401,'Tournament List'!$A:$A,0)),""))</f>
        <v/>
      </c>
    </row>
    <row r="402" spans="1:15" x14ac:dyDescent="0.3">
      <c r="A402" s="91">
        <v>410</v>
      </c>
      <c r="B402" s="92" t="str">
        <f t="shared" si="6"/>
        <v>-Intermediate 2-Trap</v>
      </c>
      <c r="C402" s="92"/>
      <c r="D402" s="92" t="s">
        <v>346</v>
      </c>
      <c r="E402" s="92" t="s">
        <v>147</v>
      </c>
      <c r="F402" s="101" t="str">
        <f>IF(E402="Skeet",IFERROR(INDEX('Shooter-Squad Assignment'!$A:$A,MATCH(C402&amp;"-"&amp;D402&amp;"-"&amp;E402&amp;"-Pos1",'Shooter-Squad Assignment'!#REF!,0)),""),IF(E402="Trap",IFERROR(INDEX('Shooter-Squad Assignment'!$A:$A,MATCH(C402&amp;"-"&amp;D402&amp;"-"&amp;E402&amp;"-Pos1",'Shooter-Squad Assignment'!$V:$V,0)),""),IF(E402="Sporting Clays",IFERROR(INDEX('Shooter-Squad Assignment'!$A:$A,MATCH(C402&amp;"-"&amp;D402&amp;"-"&amp;E402&amp;"-Pos1",'Shooter-Squad Assignment'!$Y:$Y,0)),""),"")))</f>
        <v/>
      </c>
      <c r="G402" s="92" t="str">
        <f>IF(ISBLANK(F402),"",IFERROR(INDEX('Tournament List'!$D:$D,MATCH(F402,'Tournament List'!$A:$A,0)),""))</f>
        <v/>
      </c>
      <c r="H402" s="101" t="str">
        <f>IF(E402="Skeet",IFERROR(INDEX('Shooter-Squad Assignment'!$A:$A,MATCH(C402&amp;"-"&amp;D402&amp;"-"&amp;E402&amp;"-Pos2",'Shooter-Squad Assignment'!#REF!,0)),""),IF(E402="Trap",IFERROR(INDEX('Shooter-Squad Assignment'!$A:$A,MATCH(C402&amp;"-"&amp;D402&amp;"-"&amp;E402&amp;"-Pos2",'Shooter-Squad Assignment'!$V:$V,0)),""),IF(E402="Sporting Clays",IFERROR(INDEX('Shooter-Squad Assignment'!$A:$A,MATCH(C402&amp;"-"&amp;D402&amp;"-"&amp;E402&amp;"-Pos2",'Shooter-Squad Assignment'!$Y:$Y,0)),""),"")))</f>
        <v/>
      </c>
      <c r="I402" s="92" t="str">
        <f>IF(ISBLANK(H402),"",IFERROR(INDEX('Tournament List'!$D:$D,MATCH(H402,'Tournament List'!$A:$A,0)),""))</f>
        <v/>
      </c>
      <c r="J402" s="101" t="str">
        <f>IF(E402="Skeet",IFERROR(INDEX('Shooter-Squad Assignment'!$A:$A,MATCH(C402&amp;"-"&amp;D402&amp;"-"&amp;E402&amp;"-Pos3",'Shooter-Squad Assignment'!#REF!,0)),""),IF(E402="Trap",IFERROR(INDEX('Shooter-Squad Assignment'!$A:$A,MATCH(C402&amp;"-"&amp;D402&amp;"-"&amp;E402&amp;"-Pos3",'Shooter-Squad Assignment'!$V:$V,0)),""),IF(E402="Sporting Clays",IFERROR(INDEX('Shooter-Squad Assignment'!$A:$A,MATCH(C402&amp;"-"&amp;D402&amp;"-"&amp;E402&amp;"-Pos3",'Shooter-Squad Assignment'!$Y:$Y,0)),""),"")))</f>
        <v/>
      </c>
      <c r="K402" s="92" t="str">
        <f>IF(ISBLANK(J402),"",IFERROR(INDEX('Tournament List'!$D:$D,MATCH(J402,'Tournament List'!$A:$A,0)),""))</f>
        <v/>
      </c>
      <c r="L402" s="101" t="str">
        <f>IF(E402="Skeet",IFERROR(INDEX('Shooter-Squad Assignment'!$A:$A,MATCH(C402&amp;"-"&amp;D402&amp;"-"&amp;E402&amp;"-Pos4",'Shooter-Squad Assignment'!#REF!,0)),""),IF(E402="Trap",IFERROR(INDEX('Shooter-Squad Assignment'!$A:$A,MATCH(C402&amp;"-"&amp;D402&amp;"-"&amp;E402&amp;"-Pos4",'Shooter-Squad Assignment'!$V:$V,0)),""),IF(E402="Sporting Clays",IFERROR(INDEX('Shooter-Squad Assignment'!$A:$A,MATCH(C402&amp;"-"&amp;D402&amp;"-"&amp;E402&amp;"-Pos4",'Shooter-Squad Assignment'!$Y:$Y,0)),""),"")))</f>
        <v/>
      </c>
      <c r="M402" s="92" t="str">
        <f>IF(ISBLANK(L402),"",IFERROR(INDEX('Tournament List'!$D:$D,MATCH(L402,'Tournament List'!$A:$A,0)),""))</f>
        <v/>
      </c>
      <c r="N402" s="101" t="str">
        <f>IF(E402="Skeet",IFERROR(INDEX('Shooter-Squad Assignment'!$A:$A,MATCH(C402&amp;"-"&amp;D402&amp;"-"&amp;E402&amp;"-Pos5",'Shooter-Squad Assignment'!#REF!,0)),""),IF(E402="Trap",IFERROR(INDEX('Shooter-Squad Assignment'!$A:$A,MATCH(C402&amp;"-"&amp;D402&amp;"-"&amp;E402&amp;"-Pos5",'Shooter-Squad Assignment'!$V:$V,0)),""),IF(E402="Sporting Clays",IFERROR(INDEX('Shooter-Squad Assignment'!$A:$A,MATCH(C402&amp;"-"&amp;D402&amp;"-"&amp;E402&amp;"-Pos5",'Shooter-Squad Assignment'!$Y:$Y,0)),""),"")))</f>
        <v/>
      </c>
      <c r="O402" s="93" t="str">
        <f>IF(ISBLANK(N402),"",IFERROR(INDEX('Tournament List'!$D:$D,MATCH(N402,'Tournament List'!$A:$A,0)),""))</f>
        <v/>
      </c>
    </row>
    <row r="403" spans="1:15" x14ac:dyDescent="0.3">
      <c r="A403" s="91">
        <v>411</v>
      </c>
      <c r="B403" s="92" t="str">
        <f t="shared" si="6"/>
        <v>-Intermediate 3-Trap</v>
      </c>
      <c r="C403" s="92"/>
      <c r="D403" s="92" t="s">
        <v>352</v>
      </c>
      <c r="E403" s="92" t="s">
        <v>147</v>
      </c>
      <c r="F403" s="101" t="str">
        <f>IF(E403="Skeet",IFERROR(INDEX('Shooter-Squad Assignment'!$A:$A,MATCH(C403&amp;"-"&amp;D403&amp;"-"&amp;E403&amp;"-Pos1",'Shooter-Squad Assignment'!#REF!,0)),""),IF(E403="Trap",IFERROR(INDEX('Shooter-Squad Assignment'!$A:$A,MATCH(C403&amp;"-"&amp;D403&amp;"-"&amp;E403&amp;"-Pos1",'Shooter-Squad Assignment'!$V:$V,0)),""),IF(E403="Sporting Clays",IFERROR(INDEX('Shooter-Squad Assignment'!$A:$A,MATCH(C403&amp;"-"&amp;D403&amp;"-"&amp;E403&amp;"-Pos1",'Shooter-Squad Assignment'!$Y:$Y,0)),""),"")))</f>
        <v/>
      </c>
      <c r="G403" s="92" t="str">
        <f>IF(ISBLANK(F403),"",IFERROR(INDEX('Tournament List'!$D:$D,MATCH(F403,'Tournament List'!$A:$A,0)),""))</f>
        <v/>
      </c>
      <c r="H403" s="101" t="str">
        <f>IF(E403="Skeet",IFERROR(INDEX('Shooter-Squad Assignment'!$A:$A,MATCH(C403&amp;"-"&amp;D403&amp;"-"&amp;E403&amp;"-Pos2",'Shooter-Squad Assignment'!#REF!,0)),""),IF(E403="Trap",IFERROR(INDEX('Shooter-Squad Assignment'!$A:$A,MATCH(C403&amp;"-"&amp;D403&amp;"-"&amp;E403&amp;"-Pos2",'Shooter-Squad Assignment'!$V:$V,0)),""),IF(E403="Sporting Clays",IFERROR(INDEX('Shooter-Squad Assignment'!$A:$A,MATCH(C403&amp;"-"&amp;D403&amp;"-"&amp;E403&amp;"-Pos2",'Shooter-Squad Assignment'!$Y:$Y,0)),""),"")))</f>
        <v/>
      </c>
      <c r="I403" s="92" t="str">
        <f>IF(ISBLANK(H403),"",IFERROR(INDEX('Tournament List'!$D:$D,MATCH(H403,'Tournament List'!$A:$A,0)),""))</f>
        <v/>
      </c>
      <c r="J403" s="101" t="str">
        <f>IF(E403="Skeet",IFERROR(INDEX('Shooter-Squad Assignment'!$A:$A,MATCH(C403&amp;"-"&amp;D403&amp;"-"&amp;E403&amp;"-Pos3",'Shooter-Squad Assignment'!#REF!,0)),""),IF(E403="Trap",IFERROR(INDEX('Shooter-Squad Assignment'!$A:$A,MATCH(C403&amp;"-"&amp;D403&amp;"-"&amp;E403&amp;"-Pos3",'Shooter-Squad Assignment'!$V:$V,0)),""),IF(E403="Sporting Clays",IFERROR(INDEX('Shooter-Squad Assignment'!$A:$A,MATCH(C403&amp;"-"&amp;D403&amp;"-"&amp;E403&amp;"-Pos3",'Shooter-Squad Assignment'!$Y:$Y,0)),""),"")))</f>
        <v/>
      </c>
      <c r="K403" s="92" t="str">
        <f>IF(ISBLANK(J403),"",IFERROR(INDEX('Tournament List'!$D:$D,MATCH(J403,'Tournament List'!$A:$A,0)),""))</f>
        <v/>
      </c>
      <c r="L403" s="101" t="str">
        <f>IF(E403="Skeet",IFERROR(INDEX('Shooter-Squad Assignment'!$A:$A,MATCH(C403&amp;"-"&amp;D403&amp;"-"&amp;E403&amp;"-Pos4",'Shooter-Squad Assignment'!#REF!,0)),""),IF(E403="Trap",IFERROR(INDEX('Shooter-Squad Assignment'!$A:$A,MATCH(C403&amp;"-"&amp;D403&amp;"-"&amp;E403&amp;"-Pos4",'Shooter-Squad Assignment'!$V:$V,0)),""),IF(E403="Sporting Clays",IFERROR(INDEX('Shooter-Squad Assignment'!$A:$A,MATCH(C403&amp;"-"&amp;D403&amp;"-"&amp;E403&amp;"-Pos4",'Shooter-Squad Assignment'!$Y:$Y,0)),""),"")))</f>
        <v/>
      </c>
      <c r="M403" s="92" t="str">
        <f>IF(ISBLANK(L403),"",IFERROR(INDEX('Tournament List'!$D:$D,MATCH(L403,'Tournament List'!$A:$A,0)),""))</f>
        <v/>
      </c>
      <c r="N403" s="101" t="str">
        <f>IF(E403="Skeet",IFERROR(INDEX('Shooter-Squad Assignment'!$A:$A,MATCH(C403&amp;"-"&amp;D403&amp;"-"&amp;E403&amp;"-Pos5",'Shooter-Squad Assignment'!#REF!,0)),""),IF(E403="Trap",IFERROR(INDEX('Shooter-Squad Assignment'!$A:$A,MATCH(C403&amp;"-"&amp;D403&amp;"-"&amp;E403&amp;"-Pos5",'Shooter-Squad Assignment'!$V:$V,0)),""),IF(E403="Sporting Clays",IFERROR(INDEX('Shooter-Squad Assignment'!$A:$A,MATCH(C403&amp;"-"&amp;D403&amp;"-"&amp;E403&amp;"-Pos5",'Shooter-Squad Assignment'!$Y:$Y,0)),""),"")))</f>
        <v/>
      </c>
      <c r="O403" s="93" t="str">
        <f>IF(ISBLANK(N403),"",IFERROR(INDEX('Tournament List'!$D:$D,MATCH(N403,'Tournament List'!$A:$A,0)),""))</f>
        <v/>
      </c>
    </row>
    <row r="404" spans="1:15" x14ac:dyDescent="0.3">
      <c r="A404" s="91">
        <v>412</v>
      </c>
      <c r="B404" s="92" t="str">
        <f t="shared" si="6"/>
        <v>-Junior Varsity 1-Trap</v>
      </c>
      <c r="C404" s="92"/>
      <c r="D404" s="92" t="s">
        <v>341</v>
      </c>
      <c r="E404" s="92" t="s">
        <v>147</v>
      </c>
      <c r="F404" s="101" t="str">
        <f>IF(E404="Skeet",IFERROR(INDEX('Shooter-Squad Assignment'!$A:$A,MATCH(C404&amp;"-"&amp;D404&amp;"-"&amp;E404&amp;"-Pos1",'Shooter-Squad Assignment'!#REF!,0)),""),IF(E404="Trap",IFERROR(INDEX('Shooter-Squad Assignment'!$A:$A,MATCH(C404&amp;"-"&amp;D404&amp;"-"&amp;E404&amp;"-Pos1",'Shooter-Squad Assignment'!$V:$V,0)),""),IF(E404="Sporting Clays",IFERROR(INDEX('Shooter-Squad Assignment'!$A:$A,MATCH(C404&amp;"-"&amp;D404&amp;"-"&amp;E404&amp;"-Pos1",'Shooter-Squad Assignment'!$Y:$Y,0)),""),"")))</f>
        <v/>
      </c>
      <c r="G404" s="92" t="str">
        <f>IF(ISBLANK(F404),"",IFERROR(INDEX('Tournament List'!$D:$D,MATCH(F404,'Tournament List'!$A:$A,0)),""))</f>
        <v/>
      </c>
      <c r="H404" s="101" t="str">
        <f>IF(E404="Skeet",IFERROR(INDEX('Shooter-Squad Assignment'!$A:$A,MATCH(C404&amp;"-"&amp;D404&amp;"-"&amp;E404&amp;"-Pos2",'Shooter-Squad Assignment'!#REF!,0)),""),IF(E404="Trap",IFERROR(INDEX('Shooter-Squad Assignment'!$A:$A,MATCH(C404&amp;"-"&amp;D404&amp;"-"&amp;E404&amp;"-Pos2",'Shooter-Squad Assignment'!$V:$V,0)),""),IF(E404="Sporting Clays",IFERROR(INDEX('Shooter-Squad Assignment'!$A:$A,MATCH(C404&amp;"-"&amp;D404&amp;"-"&amp;E404&amp;"-Pos2",'Shooter-Squad Assignment'!$Y:$Y,0)),""),"")))</f>
        <v/>
      </c>
      <c r="I404" s="92" t="str">
        <f>IF(ISBLANK(H404),"",IFERROR(INDEX('Tournament List'!$D:$D,MATCH(H404,'Tournament List'!$A:$A,0)),""))</f>
        <v/>
      </c>
      <c r="J404" s="101" t="str">
        <f>IF(E404="Skeet",IFERROR(INDEX('Shooter-Squad Assignment'!$A:$A,MATCH(C404&amp;"-"&amp;D404&amp;"-"&amp;E404&amp;"-Pos3",'Shooter-Squad Assignment'!#REF!,0)),""),IF(E404="Trap",IFERROR(INDEX('Shooter-Squad Assignment'!$A:$A,MATCH(C404&amp;"-"&amp;D404&amp;"-"&amp;E404&amp;"-Pos3",'Shooter-Squad Assignment'!$V:$V,0)),""),IF(E404="Sporting Clays",IFERROR(INDEX('Shooter-Squad Assignment'!$A:$A,MATCH(C404&amp;"-"&amp;D404&amp;"-"&amp;E404&amp;"-Pos3",'Shooter-Squad Assignment'!$Y:$Y,0)),""),"")))</f>
        <v/>
      </c>
      <c r="K404" s="92" t="str">
        <f>IF(ISBLANK(J404),"",IFERROR(INDEX('Tournament List'!$D:$D,MATCH(J404,'Tournament List'!$A:$A,0)),""))</f>
        <v/>
      </c>
      <c r="L404" s="101" t="str">
        <f>IF(E404="Skeet",IFERROR(INDEX('Shooter-Squad Assignment'!$A:$A,MATCH(C404&amp;"-"&amp;D404&amp;"-"&amp;E404&amp;"-Pos4",'Shooter-Squad Assignment'!#REF!,0)),""),IF(E404="Trap",IFERROR(INDEX('Shooter-Squad Assignment'!$A:$A,MATCH(C404&amp;"-"&amp;D404&amp;"-"&amp;E404&amp;"-Pos4",'Shooter-Squad Assignment'!$V:$V,0)),""),IF(E404="Sporting Clays",IFERROR(INDEX('Shooter-Squad Assignment'!$A:$A,MATCH(C404&amp;"-"&amp;D404&amp;"-"&amp;E404&amp;"-Pos4",'Shooter-Squad Assignment'!$Y:$Y,0)),""),"")))</f>
        <v/>
      </c>
      <c r="M404" s="92" t="str">
        <f>IF(ISBLANK(L404),"",IFERROR(INDEX('Tournament List'!$D:$D,MATCH(L404,'Tournament List'!$A:$A,0)),""))</f>
        <v/>
      </c>
      <c r="N404" s="101" t="str">
        <f>IF(E404="Skeet",IFERROR(INDEX('Shooter-Squad Assignment'!$A:$A,MATCH(C404&amp;"-"&amp;D404&amp;"-"&amp;E404&amp;"-Pos5",'Shooter-Squad Assignment'!#REF!,0)),""),IF(E404="Trap",IFERROR(INDEX('Shooter-Squad Assignment'!$A:$A,MATCH(C404&amp;"-"&amp;D404&amp;"-"&amp;E404&amp;"-Pos5",'Shooter-Squad Assignment'!$V:$V,0)),""),IF(E404="Sporting Clays",IFERROR(INDEX('Shooter-Squad Assignment'!$A:$A,MATCH(C404&amp;"-"&amp;D404&amp;"-"&amp;E404&amp;"-Pos5",'Shooter-Squad Assignment'!$Y:$Y,0)),""),"")))</f>
        <v/>
      </c>
      <c r="O404" s="93" t="str">
        <f>IF(ISBLANK(N404),"",IFERROR(INDEX('Tournament List'!$D:$D,MATCH(N404,'Tournament List'!$A:$A,0)),""))</f>
        <v/>
      </c>
    </row>
    <row r="405" spans="1:15" x14ac:dyDescent="0.3">
      <c r="A405" s="91">
        <v>413</v>
      </c>
      <c r="B405" s="92" t="str">
        <f t="shared" si="6"/>
        <v>-Junior Varsity 2-Trap</v>
      </c>
      <c r="C405" s="92"/>
      <c r="D405" s="92" t="s">
        <v>347</v>
      </c>
      <c r="E405" s="92" t="s">
        <v>147</v>
      </c>
      <c r="F405" s="101" t="str">
        <f>IF(E405="Skeet",IFERROR(INDEX('Shooter-Squad Assignment'!$A:$A,MATCH(C405&amp;"-"&amp;D405&amp;"-"&amp;E405&amp;"-Pos1",'Shooter-Squad Assignment'!#REF!,0)),""),IF(E405="Trap",IFERROR(INDEX('Shooter-Squad Assignment'!$A:$A,MATCH(C405&amp;"-"&amp;D405&amp;"-"&amp;E405&amp;"-Pos1",'Shooter-Squad Assignment'!$V:$V,0)),""),IF(E405="Sporting Clays",IFERROR(INDEX('Shooter-Squad Assignment'!$A:$A,MATCH(C405&amp;"-"&amp;D405&amp;"-"&amp;E405&amp;"-Pos1",'Shooter-Squad Assignment'!$Y:$Y,0)),""),"")))</f>
        <v/>
      </c>
      <c r="G405" s="92" t="str">
        <f>IF(ISBLANK(F405),"",IFERROR(INDEX('Tournament List'!$D:$D,MATCH(F405,'Tournament List'!$A:$A,0)),""))</f>
        <v/>
      </c>
      <c r="H405" s="101" t="str">
        <f>IF(E405="Skeet",IFERROR(INDEX('Shooter-Squad Assignment'!$A:$A,MATCH(C405&amp;"-"&amp;D405&amp;"-"&amp;E405&amp;"-Pos2",'Shooter-Squad Assignment'!#REF!,0)),""),IF(E405="Trap",IFERROR(INDEX('Shooter-Squad Assignment'!$A:$A,MATCH(C405&amp;"-"&amp;D405&amp;"-"&amp;E405&amp;"-Pos2",'Shooter-Squad Assignment'!$V:$V,0)),""),IF(E405="Sporting Clays",IFERROR(INDEX('Shooter-Squad Assignment'!$A:$A,MATCH(C405&amp;"-"&amp;D405&amp;"-"&amp;E405&amp;"-Pos2",'Shooter-Squad Assignment'!$Y:$Y,0)),""),"")))</f>
        <v/>
      </c>
      <c r="I405" s="92" t="str">
        <f>IF(ISBLANK(H405),"",IFERROR(INDEX('Tournament List'!$D:$D,MATCH(H405,'Tournament List'!$A:$A,0)),""))</f>
        <v/>
      </c>
      <c r="J405" s="101" t="str">
        <f>IF(E405="Skeet",IFERROR(INDEX('Shooter-Squad Assignment'!$A:$A,MATCH(C405&amp;"-"&amp;D405&amp;"-"&amp;E405&amp;"-Pos3",'Shooter-Squad Assignment'!#REF!,0)),""),IF(E405="Trap",IFERROR(INDEX('Shooter-Squad Assignment'!$A:$A,MATCH(C405&amp;"-"&amp;D405&amp;"-"&amp;E405&amp;"-Pos3",'Shooter-Squad Assignment'!$V:$V,0)),""),IF(E405="Sporting Clays",IFERROR(INDEX('Shooter-Squad Assignment'!$A:$A,MATCH(C405&amp;"-"&amp;D405&amp;"-"&amp;E405&amp;"-Pos3",'Shooter-Squad Assignment'!$Y:$Y,0)),""),"")))</f>
        <v/>
      </c>
      <c r="K405" s="92" t="str">
        <f>IF(ISBLANK(J405),"",IFERROR(INDEX('Tournament List'!$D:$D,MATCH(J405,'Tournament List'!$A:$A,0)),""))</f>
        <v/>
      </c>
      <c r="L405" s="101" t="str">
        <f>IF(E405="Skeet",IFERROR(INDEX('Shooter-Squad Assignment'!$A:$A,MATCH(C405&amp;"-"&amp;D405&amp;"-"&amp;E405&amp;"-Pos4",'Shooter-Squad Assignment'!#REF!,0)),""),IF(E405="Trap",IFERROR(INDEX('Shooter-Squad Assignment'!$A:$A,MATCH(C405&amp;"-"&amp;D405&amp;"-"&amp;E405&amp;"-Pos4",'Shooter-Squad Assignment'!$V:$V,0)),""),IF(E405="Sporting Clays",IFERROR(INDEX('Shooter-Squad Assignment'!$A:$A,MATCH(C405&amp;"-"&amp;D405&amp;"-"&amp;E405&amp;"-Pos4",'Shooter-Squad Assignment'!$Y:$Y,0)),""),"")))</f>
        <v/>
      </c>
      <c r="M405" s="92" t="str">
        <f>IF(ISBLANK(L405),"",IFERROR(INDEX('Tournament List'!$D:$D,MATCH(L405,'Tournament List'!$A:$A,0)),""))</f>
        <v/>
      </c>
      <c r="N405" s="101" t="str">
        <f>IF(E405="Skeet",IFERROR(INDEX('Shooter-Squad Assignment'!$A:$A,MATCH(C405&amp;"-"&amp;D405&amp;"-"&amp;E405&amp;"-Pos5",'Shooter-Squad Assignment'!#REF!,0)),""),IF(E405="Trap",IFERROR(INDEX('Shooter-Squad Assignment'!$A:$A,MATCH(C405&amp;"-"&amp;D405&amp;"-"&amp;E405&amp;"-Pos5",'Shooter-Squad Assignment'!$V:$V,0)),""),IF(E405="Sporting Clays",IFERROR(INDEX('Shooter-Squad Assignment'!$A:$A,MATCH(C405&amp;"-"&amp;D405&amp;"-"&amp;E405&amp;"-Pos5",'Shooter-Squad Assignment'!$Y:$Y,0)),""),"")))</f>
        <v/>
      </c>
      <c r="O405" s="93" t="str">
        <f>IF(ISBLANK(N405),"",IFERROR(INDEX('Tournament List'!$D:$D,MATCH(N405,'Tournament List'!$A:$A,0)),""))</f>
        <v/>
      </c>
    </row>
    <row r="406" spans="1:15" x14ac:dyDescent="0.3">
      <c r="A406" s="91">
        <v>414</v>
      </c>
      <c r="B406" s="92" t="str">
        <f t="shared" si="6"/>
        <v>-Junior Varsity 3-Trap</v>
      </c>
      <c r="C406" s="92"/>
      <c r="D406" s="92" t="s">
        <v>353</v>
      </c>
      <c r="E406" s="92" t="s">
        <v>147</v>
      </c>
      <c r="F406" s="101" t="str">
        <f>IF(E406="Skeet",IFERROR(INDEX('Shooter-Squad Assignment'!$A:$A,MATCH(C406&amp;"-"&amp;D406&amp;"-"&amp;E406&amp;"-Pos1",'Shooter-Squad Assignment'!#REF!,0)),""),IF(E406="Trap",IFERROR(INDEX('Shooter-Squad Assignment'!$A:$A,MATCH(C406&amp;"-"&amp;D406&amp;"-"&amp;E406&amp;"-Pos1",'Shooter-Squad Assignment'!$V:$V,0)),""),IF(E406="Sporting Clays",IFERROR(INDEX('Shooter-Squad Assignment'!$A:$A,MATCH(C406&amp;"-"&amp;D406&amp;"-"&amp;E406&amp;"-Pos1",'Shooter-Squad Assignment'!$Y:$Y,0)),""),"")))</f>
        <v/>
      </c>
      <c r="G406" s="92" t="str">
        <f>IF(ISBLANK(F406),"",IFERROR(INDEX('Tournament List'!$D:$D,MATCH(F406,'Tournament List'!$A:$A,0)),""))</f>
        <v/>
      </c>
      <c r="H406" s="101" t="str">
        <f>IF(E406="Skeet",IFERROR(INDEX('Shooter-Squad Assignment'!$A:$A,MATCH(C406&amp;"-"&amp;D406&amp;"-"&amp;E406&amp;"-Pos2",'Shooter-Squad Assignment'!#REF!,0)),""),IF(E406="Trap",IFERROR(INDEX('Shooter-Squad Assignment'!$A:$A,MATCH(C406&amp;"-"&amp;D406&amp;"-"&amp;E406&amp;"-Pos2",'Shooter-Squad Assignment'!$V:$V,0)),""),IF(E406="Sporting Clays",IFERROR(INDEX('Shooter-Squad Assignment'!$A:$A,MATCH(C406&amp;"-"&amp;D406&amp;"-"&amp;E406&amp;"-Pos2",'Shooter-Squad Assignment'!$Y:$Y,0)),""),"")))</f>
        <v/>
      </c>
      <c r="I406" s="92" t="str">
        <f>IF(ISBLANK(H406),"",IFERROR(INDEX('Tournament List'!$D:$D,MATCH(H406,'Tournament List'!$A:$A,0)),""))</f>
        <v/>
      </c>
      <c r="J406" s="101" t="str">
        <f>IF(E406="Skeet",IFERROR(INDEX('Shooter-Squad Assignment'!$A:$A,MATCH(C406&amp;"-"&amp;D406&amp;"-"&amp;E406&amp;"-Pos3",'Shooter-Squad Assignment'!#REF!,0)),""),IF(E406="Trap",IFERROR(INDEX('Shooter-Squad Assignment'!$A:$A,MATCH(C406&amp;"-"&amp;D406&amp;"-"&amp;E406&amp;"-Pos3",'Shooter-Squad Assignment'!$V:$V,0)),""),IF(E406="Sporting Clays",IFERROR(INDEX('Shooter-Squad Assignment'!$A:$A,MATCH(C406&amp;"-"&amp;D406&amp;"-"&amp;E406&amp;"-Pos3",'Shooter-Squad Assignment'!$Y:$Y,0)),""),"")))</f>
        <v/>
      </c>
      <c r="K406" s="92" t="str">
        <f>IF(ISBLANK(J406),"",IFERROR(INDEX('Tournament List'!$D:$D,MATCH(J406,'Tournament List'!$A:$A,0)),""))</f>
        <v/>
      </c>
      <c r="L406" s="101" t="str">
        <f>IF(E406="Skeet",IFERROR(INDEX('Shooter-Squad Assignment'!$A:$A,MATCH(C406&amp;"-"&amp;D406&amp;"-"&amp;E406&amp;"-Pos4",'Shooter-Squad Assignment'!#REF!,0)),""),IF(E406="Trap",IFERROR(INDEX('Shooter-Squad Assignment'!$A:$A,MATCH(C406&amp;"-"&amp;D406&amp;"-"&amp;E406&amp;"-Pos4",'Shooter-Squad Assignment'!$V:$V,0)),""),IF(E406="Sporting Clays",IFERROR(INDEX('Shooter-Squad Assignment'!$A:$A,MATCH(C406&amp;"-"&amp;D406&amp;"-"&amp;E406&amp;"-Pos4",'Shooter-Squad Assignment'!$Y:$Y,0)),""),"")))</f>
        <v/>
      </c>
      <c r="M406" s="92" t="str">
        <f>IF(ISBLANK(L406),"",IFERROR(INDEX('Tournament List'!$D:$D,MATCH(L406,'Tournament List'!$A:$A,0)),""))</f>
        <v/>
      </c>
      <c r="N406" s="101" t="str">
        <f>IF(E406="Skeet",IFERROR(INDEX('Shooter-Squad Assignment'!$A:$A,MATCH(C406&amp;"-"&amp;D406&amp;"-"&amp;E406&amp;"-Pos5",'Shooter-Squad Assignment'!#REF!,0)),""),IF(E406="Trap",IFERROR(INDEX('Shooter-Squad Assignment'!$A:$A,MATCH(C406&amp;"-"&amp;D406&amp;"-"&amp;E406&amp;"-Pos5",'Shooter-Squad Assignment'!$V:$V,0)),""),IF(E406="Sporting Clays",IFERROR(INDEX('Shooter-Squad Assignment'!$A:$A,MATCH(C406&amp;"-"&amp;D406&amp;"-"&amp;E406&amp;"-Pos5",'Shooter-Squad Assignment'!$Y:$Y,0)),""),"")))</f>
        <v/>
      </c>
      <c r="O406" s="93" t="str">
        <f>IF(ISBLANK(N406),"",IFERROR(INDEX('Tournament List'!$D:$D,MATCH(N406,'Tournament List'!$A:$A,0)),""))</f>
        <v/>
      </c>
    </row>
    <row r="407" spans="1:15" x14ac:dyDescent="0.3">
      <c r="A407" s="91">
        <v>415</v>
      </c>
      <c r="B407" s="92" t="str">
        <f t="shared" si="6"/>
        <v>-Novice 1-Trap</v>
      </c>
      <c r="C407" s="92"/>
      <c r="D407" s="92" t="s">
        <v>339</v>
      </c>
      <c r="E407" s="92" t="s">
        <v>147</v>
      </c>
      <c r="F407" s="101" t="str">
        <f>IF(E407="Skeet",IFERROR(INDEX('Shooter-Squad Assignment'!$A:$A,MATCH(C407&amp;"-"&amp;D407&amp;"-"&amp;E407&amp;"-Pos1",'Shooter-Squad Assignment'!#REF!,0)),""),IF(E407="Trap",IFERROR(INDEX('Shooter-Squad Assignment'!$A:$A,MATCH(C407&amp;"-"&amp;D407&amp;"-"&amp;E407&amp;"-Pos1",'Shooter-Squad Assignment'!$V:$V,0)),""),IF(E407="Sporting Clays",IFERROR(INDEX('Shooter-Squad Assignment'!$A:$A,MATCH(C407&amp;"-"&amp;D407&amp;"-"&amp;E407&amp;"-Pos1",'Shooter-Squad Assignment'!$Y:$Y,0)),""),"")))</f>
        <v/>
      </c>
      <c r="G407" s="92" t="str">
        <f>IF(ISBLANK(F407),"",IFERROR(INDEX('Tournament List'!$D:$D,MATCH(F407,'Tournament List'!$A:$A,0)),""))</f>
        <v/>
      </c>
      <c r="H407" s="101" t="str">
        <f>IF(E407="Skeet",IFERROR(INDEX('Shooter-Squad Assignment'!$A:$A,MATCH(C407&amp;"-"&amp;D407&amp;"-"&amp;E407&amp;"-Pos2",'Shooter-Squad Assignment'!#REF!,0)),""),IF(E407="Trap",IFERROR(INDEX('Shooter-Squad Assignment'!$A:$A,MATCH(C407&amp;"-"&amp;D407&amp;"-"&amp;E407&amp;"-Pos2",'Shooter-Squad Assignment'!$V:$V,0)),""),IF(E407="Sporting Clays",IFERROR(INDEX('Shooter-Squad Assignment'!$A:$A,MATCH(C407&amp;"-"&amp;D407&amp;"-"&amp;E407&amp;"-Pos2",'Shooter-Squad Assignment'!$Y:$Y,0)),""),"")))</f>
        <v/>
      </c>
      <c r="I407" s="92" t="str">
        <f>IF(ISBLANK(H407),"",IFERROR(INDEX('Tournament List'!$D:$D,MATCH(H407,'Tournament List'!$A:$A,0)),""))</f>
        <v/>
      </c>
      <c r="J407" s="101" t="str">
        <f>IF(E407="Skeet",IFERROR(INDEX('Shooter-Squad Assignment'!$A:$A,MATCH(C407&amp;"-"&amp;D407&amp;"-"&amp;E407&amp;"-Pos3",'Shooter-Squad Assignment'!#REF!,0)),""),IF(E407="Trap",IFERROR(INDEX('Shooter-Squad Assignment'!$A:$A,MATCH(C407&amp;"-"&amp;D407&amp;"-"&amp;E407&amp;"-Pos3",'Shooter-Squad Assignment'!$V:$V,0)),""),IF(E407="Sporting Clays",IFERROR(INDEX('Shooter-Squad Assignment'!$A:$A,MATCH(C407&amp;"-"&amp;D407&amp;"-"&amp;E407&amp;"-Pos3",'Shooter-Squad Assignment'!$Y:$Y,0)),""),"")))</f>
        <v/>
      </c>
      <c r="K407" s="92" t="str">
        <f>IF(ISBLANK(J407),"",IFERROR(INDEX('Tournament List'!$D:$D,MATCH(J407,'Tournament List'!$A:$A,0)),""))</f>
        <v/>
      </c>
      <c r="L407" s="101" t="str">
        <f>IF(E407="Skeet",IFERROR(INDEX('Shooter-Squad Assignment'!$A:$A,MATCH(C407&amp;"-"&amp;D407&amp;"-"&amp;E407&amp;"-Pos4",'Shooter-Squad Assignment'!#REF!,0)),""),IF(E407="Trap",IFERROR(INDEX('Shooter-Squad Assignment'!$A:$A,MATCH(C407&amp;"-"&amp;D407&amp;"-"&amp;E407&amp;"-Pos4",'Shooter-Squad Assignment'!$V:$V,0)),""),IF(E407="Sporting Clays",IFERROR(INDEX('Shooter-Squad Assignment'!$A:$A,MATCH(C407&amp;"-"&amp;D407&amp;"-"&amp;E407&amp;"-Pos4",'Shooter-Squad Assignment'!$Y:$Y,0)),""),"")))</f>
        <v/>
      </c>
      <c r="M407" s="92" t="str">
        <f>IF(ISBLANK(L407),"",IFERROR(INDEX('Tournament List'!$D:$D,MATCH(L407,'Tournament List'!$A:$A,0)),""))</f>
        <v/>
      </c>
      <c r="N407" s="101" t="str">
        <f>IF(E407="Skeet",IFERROR(INDEX('Shooter-Squad Assignment'!$A:$A,MATCH(C407&amp;"-"&amp;D407&amp;"-"&amp;E407&amp;"-Pos5",'Shooter-Squad Assignment'!#REF!,0)),""),IF(E407="Trap",IFERROR(INDEX('Shooter-Squad Assignment'!$A:$A,MATCH(C407&amp;"-"&amp;D407&amp;"-"&amp;E407&amp;"-Pos5",'Shooter-Squad Assignment'!$V:$V,0)),""),IF(E407="Sporting Clays",IFERROR(INDEX('Shooter-Squad Assignment'!$A:$A,MATCH(C407&amp;"-"&amp;D407&amp;"-"&amp;E407&amp;"-Pos5",'Shooter-Squad Assignment'!$Y:$Y,0)),""),"")))</f>
        <v/>
      </c>
      <c r="O407" s="93" t="str">
        <f>IF(ISBLANK(N407),"",IFERROR(INDEX('Tournament List'!$D:$D,MATCH(N407,'Tournament List'!$A:$A,0)),""))</f>
        <v/>
      </c>
    </row>
    <row r="408" spans="1:15" x14ac:dyDescent="0.3">
      <c r="A408" s="91">
        <v>416</v>
      </c>
      <c r="B408" s="92" t="str">
        <f t="shared" si="6"/>
        <v>-Novice 2-Trap</v>
      </c>
      <c r="C408" s="92"/>
      <c r="D408" s="92" t="s">
        <v>345</v>
      </c>
      <c r="E408" s="92" t="s">
        <v>147</v>
      </c>
      <c r="F408" s="101" t="str">
        <f>IF(E408="Skeet",IFERROR(INDEX('Shooter-Squad Assignment'!$A:$A,MATCH(C408&amp;"-"&amp;D408&amp;"-"&amp;E408&amp;"-Pos1",'Shooter-Squad Assignment'!#REF!,0)),""),IF(E408="Trap",IFERROR(INDEX('Shooter-Squad Assignment'!$A:$A,MATCH(C408&amp;"-"&amp;D408&amp;"-"&amp;E408&amp;"-Pos1",'Shooter-Squad Assignment'!$V:$V,0)),""),IF(E408="Sporting Clays",IFERROR(INDEX('Shooter-Squad Assignment'!$A:$A,MATCH(C408&amp;"-"&amp;D408&amp;"-"&amp;E408&amp;"-Pos1",'Shooter-Squad Assignment'!$Y:$Y,0)),""),"")))</f>
        <v/>
      </c>
      <c r="G408" s="92" t="str">
        <f>IF(ISBLANK(F408),"",IFERROR(INDEX('Tournament List'!$D:$D,MATCH(F408,'Tournament List'!$A:$A,0)),""))</f>
        <v/>
      </c>
      <c r="H408" s="101" t="str">
        <f>IF(E408="Skeet",IFERROR(INDEX('Shooter-Squad Assignment'!$A:$A,MATCH(C408&amp;"-"&amp;D408&amp;"-"&amp;E408&amp;"-Pos2",'Shooter-Squad Assignment'!#REF!,0)),""),IF(E408="Trap",IFERROR(INDEX('Shooter-Squad Assignment'!$A:$A,MATCH(C408&amp;"-"&amp;D408&amp;"-"&amp;E408&amp;"-Pos2",'Shooter-Squad Assignment'!$V:$V,0)),""),IF(E408="Sporting Clays",IFERROR(INDEX('Shooter-Squad Assignment'!$A:$A,MATCH(C408&amp;"-"&amp;D408&amp;"-"&amp;E408&amp;"-Pos2",'Shooter-Squad Assignment'!$Y:$Y,0)),""),"")))</f>
        <v/>
      </c>
      <c r="I408" s="92" t="str">
        <f>IF(ISBLANK(H408),"",IFERROR(INDEX('Tournament List'!$D:$D,MATCH(H408,'Tournament List'!$A:$A,0)),""))</f>
        <v/>
      </c>
      <c r="J408" s="101" t="str">
        <f>IF(E408="Skeet",IFERROR(INDEX('Shooter-Squad Assignment'!$A:$A,MATCH(C408&amp;"-"&amp;D408&amp;"-"&amp;E408&amp;"-Pos3",'Shooter-Squad Assignment'!#REF!,0)),""),IF(E408="Trap",IFERROR(INDEX('Shooter-Squad Assignment'!$A:$A,MATCH(C408&amp;"-"&amp;D408&amp;"-"&amp;E408&amp;"-Pos3",'Shooter-Squad Assignment'!$V:$V,0)),""),IF(E408="Sporting Clays",IFERROR(INDEX('Shooter-Squad Assignment'!$A:$A,MATCH(C408&amp;"-"&amp;D408&amp;"-"&amp;E408&amp;"-Pos3",'Shooter-Squad Assignment'!$Y:$Y,0)),""),"")))</f>
        <v/>
      </c>
      <c r="K408" s="92" t="str">
        <f>IF(ISBLANK(J408),"",IFERROR(INDEX('Tournament List'!$D:$D,MATCH(J408,'Tournament List'!$A:$A,0)),""))</f>
        <v/>
      </c>
      <c r="L408" s="101" t="str">
        <f>IF(E408="Skeet",IFERROR(INDEX('Shooter-Squad Assignment'!$A:$A,MATCH(C408&amp;"-"&amp;D408&amp;"-"&amp;E408&amp;"-Pos4",'Shooter-Squad Assignment'!#REF!,0)),""),IF(E408="Trap",IFERROR(INDEX('Shooter-Squad Assignment'!$A:$A,MATCH(C408&amp;"-"&amp;D408&amp;"-"&amp;E408&amp;"-Pos4",'Shooter-Squad Assignment'!$V:$V,0)),""),IF(E408="Sporting Clays",IFERROR(INDEX('Shooter-Squad Assignment'!$A:$A,MATCH(C408&amp;"-"&amp;D408&amp;"-"&amp;E408&amp;"-Pos4",'Shooter-Squad Assignment'!$Y:$Y,0)),""),"")))</f>
        <v/>
      </c>
      <c r="M408" s="92" t="str">
        <f>IF(ISBLANK(L408),"",IFERROR(INDEX('Tournament List'!$D:$D,MATCH(L408,'Tournament List'!$A:$A,0)),""))</f>
        <v/>
      </c>
      <c r="N408" s="101" t="str">
        <f>IF(E408="Skeet",IFERROR(INDEX('Shooter-Squad Assignment'!$A:$A,MATCH(C408&amp;"-"&amp;D408&amp;"-"&amp;E408&amp;"-Pos5",'Shooter-Squad Assignment'!#REF!,0)),""),IF(E408="Trap",IFERROR(INDEX('Shooter-Squad Assignment'!$A:$A,MATCH(C408&amp;"-"&amp;D408&amp;"-"&amp;E408&amp;"-Pos5",'Shooter-Squad Assignment'!$V:$V,0)),""),IF(E408="Sporting Clays",IFERROR(INDEX('Shooter-Squad Assignment'!$A:$A,MATCH(C408&amp;"-"&amp;D408&amp;"-"&amp;E408&amp;"-Pos5",'Shooter-Squad Assignment'!$Y:$Y,0)),""),"")))</f>
        <v/>
      </c>
      <c r="O408" s="93" t="str">
        <f>IF(ISBLANK(N408),"",IFERROR(INDEX('Tournament List'!$D:$D,MATCH(N408,'Tournament List'!$A:$A,0)),""))</f>
        <v/>
      </c>
    </row>
    <row r="409" spans="1:15" x14ac:dyDescent="0.3">
      <c r="A409" s="91">
        <v>417</v>
      </c>
      <c r="B409" s="92" t="str">
        <f t="shared" si="6"/>
        <v>-Novice 3-Trap</v>
      </c>
      <c r="C409" s="92"/>
      <c r="D409" s="92" t="s">
        <v>351</v>
      </c>
      <c r="E409" s="92" t="s">
        <v>147</v>
      </c>
      <c r="F409" s="101" t="str">
        <f>IF(E409="Skeet",IFERROR(INDEX('Shooter-Squad Assignment'!$A:$A,MATCH(C409&amp;"-"&amp;D409&amp;"-"&amp;E409&amp;"-Pos1",'Shooter-Squad Assignment'!#REF!,0)),""),IF(E409="Trap",IFERROR(INDEX('Shooter-Squad Assignment'!$A:$A,MATCH(C409&amp;"-"&amp;D409&amp;"-"&amp;E409&amp;"-Pos1",'Shooter-Squad Assignment'!$V:$V,0)),""),IF(E409="Sporting Clays",IFERROR(INDEX('Shooter-Squad Assignment'!$A:$A,MATCH(C409&amp;"-"&amp;D409&amp;"-"&amp;E409&amp;"-Pos1",'Shooter-Squad Assignment'!$Y:$Y,0)),""),"")))</f>
        <v/>
      </c>
      <c r="G409" s="92" t="str">
        <f>IF(ISBLANK(F409),"",IFERROR(INDEX('Tournament List'!$D:$D,MATCH(F409,'Tournament List'!$A:$A,0)),""))</f>
        <v/>
      </c>
      <c r="H409" s="101" t="str">
        <f>IF(E409="Skeet",IFERROR(INDEX('Shooter-Squad Assignment'!$A:$A,MATCH(C409&amp;"-"&amp;D409&amp;"-"&amp;E409&amp;"-Pos2",'Shooter-Squad Assignment'!#REF!,0)),""),IF(E409="Trap",IFERROR(INDEX('Shooter-Squad Assignment'!$A:$A,MATCH(C409&amp;"-"&amp;D409&amp;"-"&amp;E409&amp;"-Pos2",'Shooter-Squad Assignment'!$V:$V,0)),""),IF(E409="Sporting Clays",IFERROR(INDEX('Shooter-Squad Assignment'!$A:$A,MATCH(C409&amp;"-"&amp;D409&amp;"-"&amp;E409&amp;"-Pos2",'Shooter-Squad Assignment'!$Y:$Y,0)),""),"")))</f>
        <v/>
      </c>
      <c r="I409" s="92" t="str">
        <f>IF(ISBLANK(H409),"",IFERROR(INDEX('Tournament List'!$D:$D,MATCH(H409,'Tournament List'!$A:$A,0)),""))</f>
        <v/>
      </c>
      <c r="J409" s="101" t="str">
        <f>IF(E409="Skeet",IFERROR(INDEX('Shooter-Squad Assignment'!$A:$A,MATCH(C409&amp;"-"&amp;D409&amp;"-"&amp;E409&amp;"-Pos3",'Shooter-Squad Assignment'!#REF!,0)),""),IF(E409="Trap",IFERROR(INDEX('Shooter-Squad Assignment'!$A:$A,MATCH(C409&amp;"-"&amp;D409&amp;"-"&amp;E409&amp;"-Pos3",'Shooter-Squad Assignment'!$V:$V,0)),""),IF(E409="Sporting Clays",IFERROR(INDEX('Shooter-Squad Assignment'!$A:$A,MATCH(C409&amp;"-"&amp;D409&amp;"-"&amp;E409&amp;"-Pos3",'Shooter-Squad Assignment'!$Y:$Y,0)),""),"")))</f>
        <v/>
      </c>
      <c r="K409" s="92" t="str">
        <f>IF(ISBLANK(J409),"",IFERROR(INDEX('Tournament List'!$D:$D,MATCH(J409,'Tournament List'!$A:$A,0)),""))</f>
        <v/>
      </c>
      <c r="L409" s="101" t="str">
        <f>IF(E409="Skeet",IFERROR(INDEX('Shooter-Squad Assignment'!$A:$A,MATCH(C409&amp;"-"&amp;D409&amp;"-"&amp;E409&amp;"-Pos4",'Shooter-Squad Assignment'!#REF!,0)),""),IF(E409="Trap",IFERROR(INDEX('Shooter-Squad Assignment'!$A:$A,MATCH(C409&amp;"-"&amp;D409&amp;"-"&amp;E409&amp;"-Pos4",'Shooter-Squad Assignment'!$V:$V,0)),""),IF(E409="Sporting Clays",IFERROR(INDEX('Shooter-Squad Assignment'!$A:$A,MATCH(C409&amp;"-"&amp;D409&amp;"-"&amp;E409&amp;"-Pos4",'Shooter-Squad Assignment'!$Y:$Y,0)),""),"")))</f>
        <v/>
      </c>
      <c r="M409" s="92" t="str">
        <f>IF(ISBLANK(L409),"",IFERROR(INDEX('Tournament List'!$D:$D,MATCH(L409,'Tournament List'!$A:$A,0)),""))</f>
        <v/>
      </c>
      <c r="N409" s="101" t="str">
        <f>IF(E409="Skeet",IFERROR(INDEX('Shooter-Squad Assignment'!$A:$A,MATCH(C409&amp;"-"&amp;D409&amp;"-"&amp;E409&amp;"-Pos5",'Shooter-Squad Assignment'!#REF!,0)),""),IF(E409="Trap",IFERROR(INDEX('Shooter-Squad Assignment'!$A:$A,MATCH(C409&amp;"-"&amp;D409&amp;"-"&amp;E409&amp;"-Pos5",'Shooter-Squad Assignment'!$V:$V,0)),""),IF(E409="Sporting Clays",IFERROR(INDEX('Shooter-Squad Assignment'!$A:$A,MATCH(C409&amp;"-"&amp;D409&amp;"-"&amp;E409&amp;"-Pos5",'Shooter-Squad Assignment'!$Y:$Y,0)),""),"")))</f>
        <v/>
      </c>
      <c r="O409" s="93" t="str">
        <f>IF(ISBLANK(N409),"",IFERROR(INDEX('Tournament List'!$D:$D,MATCH(N409,'Tournament List'!$A:$A,0)),""))</f>
        <v/>
      </c>
    </row>
    <row r="410" spans="1:15" x14ac:dyDescent="0.3">
      <c r="A410" s="91">
        <v>418</v>
      </c>
      <c r="B410" s="92" t="str">
        <f t="shared" si="6"/>
        <v>-Open 1-Trap</v>
      </c>
      <c r="C410" s="92"/>
      <c r="D410" s="92" t="s">
        <v>343</v>
      </c>
      <c r="E410" s="92" t="s">
        <v>147</v>
      </c>
      <c r="F410" s="101" t="str">
        <f>IF(E410="Skeet",IFERROR(INDEX('Shooter-Squad Assignment'!$A:$A,MATCH(C410&amp;"-"&amp;D410&amp;"-"&amp;E410&amp;"-Pos1",'Shooter-Squad Assignment'!#REF!,0)),""),IF(E410="Trap",IFERROR(INDEX('Shooter-Squad Assignment'!$A:$A,MATCH(C410&amp;"-"&amp;D410&amp;"-"&amp;E410&amp;"-Pos1",'Shooter-Squad Assignment'!$V:$V,0)),""),IF(E410="Sporting Clays",IFERROR(INDEX('Shooter-Squad Assignment'!$A:$A,MATCH(C410&amp;"-"&amp;D410&amp;"-"&amp;E410&amp;"-Pos1",'Shooter-Squad Assignment'!$Y:$Y,0)),""),"")))</f>
        <v/>
      </c>
      <c r="G410" s="92" t="str">
        <f>IF(ISBLANK(F410),"",IFERROR(INDEX('Tournament List'!$D:$D,MATCH(F410,'Tournament List'!$A:$A,0)),""))</f>
        <v/>
      </c>
      <c r="H410" s="101" t="str">
        <f>IF(E410="Skeet",IFERROR(INDEX('Shooter-Squad Assignment'!$A:$A,MATCH(C410&amp;"-"&amp;D410&amp;"-"&amp;E410&amp;"-Pos2",'Shooter-Squad Assignment'!#REF!,0)),""),IF(E410="Trap",IFERROR(INDEX('Shooter-Squad Assignment'!$A:$A,MATCH(C410&amp;"-"&amp;D410&amp;"-"&amp;E410&amp;"-Pos2",'Shooter-Squad Assignment'!$V:$V,0)),""),IF(E410="Sporting Clays",IFERROR(INDEX('Shooter-Squad Assignment'!$A:$A,MATCH(C410&amp;"-"&amp;D410&amp;"-"&amp;E410&amp;"-Pos2",'Shooter-Squad Assignment'!$Y:$Y,0)),""),"")))</f>
        <v/>
      </c>
      <c r="I410" s="92" t="str">
        <f>IF(ISBLANK(H410),"",IFERROR(INDEX('Tournament List'!$D:$D,MATCH(H410,'Tournament List'!$A:$A,0)),""))</f>
        <v/>
      </c>
      <c r="J410" s="101" t="str">
        <f>IF(E410="Skeet",IFERROR(INDEX('Shooter-Squad Assignment'!$A:$A,MATCH(C410&amp;"-"&amp;D410&amp;"-"&amp;E410&amp;"-Pos3",'Shooter-Squad Assignment'!#REF!,0)),""),IF(E410="Trap",IFERROR(INDEX('Shooter-Squad Assignment'!$A:$A,MATCH(C410&amp;"-"&amp;D410&amp;"-"&amp;E410&amp;"-Pos3",'Shooter-Squad Assignment'!$V:$V,0)),""),IF(E410="Sporting Clays",IFERROR(INDEX('Shooter-Squad Assignment'!$A:$A,MATCH(C410&amp;"-"&amp;D410&amp;"-"&amp;E410&amp;"-Pos3",'Shooter-Squad Assignment'!$Y:$Y,0)),""),"")))</f>
        <v/>
      </c>
      <c r="K410" s="92" t="str">
        <f>IF(ISBLANK(J410),"",IFERROR(INDEX('Tournament List'!$D:$D,MATCH(J410,'Tournament List'!$A:$A,0)),""))</f>
        <v/>
      </c>
      <c r="L410" s="101" t="str">
        <f>IF(E410="Skeet",IFERROR(INDEX('Shooter-Squad Assignment'!$A:$A,MATCH(C410&amp;"-"&amp;D410&amp;"-"&amp;E410&amp;"-Pos4",'Shooter-Squad Assignment'!#REF!,0)),""),IF(E410="Trap",IFERROR(INDEX('Shooter-Squad Assignment'!$A:$A,MATCH(C410&amp;"-"&amp;D410&amp;"-"&amp;E410&amp;"-Pos4",'Shooter-Squad Assignment'!$V:$V,0)),""),IF(E410="Sporting Clays",IFERROR(INDEX('Shooter-Squad Assignment'!$A:$A,MATCH(C410&amp;"-"&amp;D410&amp;"-"&amp;E410&amp;"-Pos4",'Shooter-Squad Assignment'!$Y:$Y,0)),""),"")))</f>
        <v/>
      </c>
      <c r="M410" s="92" t="str">
        <f>IF(ISBLANK(L410),"",IFERROR(INDEX('Tournament List'!$D:$D,MATCH(L410,'Tournament List'!$A:$A,0)),""))</f>
        <v/>
      </c>
      <c r="N410" s="101" t="str">
        <f>IF(E410="Skeet",IFERROR(INDEX('Shooter-Squad Assignment'!$A:$A,MATCH(C410&amp;"-"&amp;D410&amp;"-"&amp;E410&amp;"-Pos5",'Shooter-Squad Assignment'!#REF!,0)),""),IF(E410="Trap",IFERROR(INDEX('Shooter-Squad Assignment'!$A:$A,MATCH(C410&amp;"-"&amp;D410&amp;"-"&amp;E410&amp;"-Pos5",'Shooter-Squad Assignment'!$V:$V,0)),""),IF(E410="Sporting Clays",IFERROR(INDEX('Shooter-Squad Assignment'!$A:$A,MATCH(C410&amp;"-"&amp;D410&amp;"-"&amp;E410&amp;"-Pos5",'Shooter-Squad Assignment'!$Y:$Y,0)),""),"")))</f>
        <v/>
      </c>
      <c r="O410" s="93" t="str">
        <f>IF(ISBLANK(N410),"",IFERROR(INDEX('Tournament List'!$D:$D,MATCH(N410,'Tournament List'!$A:$A,0)),""))</f>
        <v/>
      </c>
    </row>
    <row r="411" spans="1:15" x14ac:dyDescent="0.3">
      <c r="A411" s="91">
        <v>419</v>
      </c>
      <c r="B411" s="92" t="str">
        <f t="shared" si="6"/>
        <v>-Open 2-Trap</v>
      </c>
      <c r="C411" s="92"/>
      <c r="D411" s="92" t="s">
        <v>349</v>
      </c>
      <c r="E411" s="92" t="s">
        <v>147</v>
      </c>
      <c r="F411" s="101" t="str">
        <f>IF(E411="Skeet",IFERROR(INDEX('Shooter-Squad Assignment'!$A:$A,MATCH(C411&amp;"-"&amp;D411&amp;"-"&amp;E411&amp;"-Pos1",'Shooter-Squad Assignment'!#REF!,0)),""),IF(E411="Trap",IFERROR(INDEX('Shooter-Squad Assignment'!$A:$A,MATCH(C411&amp;"-"&amp;D411&amp;"-"&amp;E411&amp;"-Pos1",'Shooter-Squad Assignment'!$V:$V,0)),""),IF(E411="Sporting Clays",IFERROR(INDEX('Shooter-Squad Assignment'!$A:$A,MATCH(C411&amp;"-"&amp;D411&amp;"-"&amp;E411&amp;"-Pos1",'Shooter-Squad Assignment'!$Y:$Y,0)),""),"")))</f>
        <v/>
      </c>
      <c r="G411" s="92" t="str">
        <f>IF(ISBLANK(F411),"",IFERROR(INDEX('Tournament List'!$D:$D,MATCH(F411,'Tournament List'!$A:$A,0)),""))</f>
        <v/>
      </c>
      <c r="H411" s="101" t="str">
        <f>IF(E411="Skeet",IFERROR(INDEX('Shooter-Squad Assignment'!$A:$A,MATCH(C411&amp;"-"&amp;D411&amp;"-"&amp;E411&amp;"-Pos2",'Shooter-Squad Assignment'!#REF!,0)),""),IF(E411="Trap",IFERROR(INDEX('Shooter-Squad Assignment'!$A:$A,MATCH(C411&amp;"-"&amp;D411&amp;"-"&amp;E411&amp;"-Pos2",'Shooter-Squad Assignment'!$V:$V,0)),""),IF(E411="Sporting Clays",IFERROR(INDEX('Shooter-Squad Assignment'!$A:$A,MATCH(C411&amp;"-"&amp;D411&amp;"-"&amp;E411&amp;"-Pos2",'Shooter-Squad Assignment'!$Y:$Y,0)),""),"")))</f>
        <v/>
      </c>
      <c r="I411" s="92" t="str">
        <f>IF(ISBLANK(H411),"",IFERROR(INDEX('Tournament List'!$D:$D,MATCH(H411,'Tournament List'!$A:$A,0)),""))</f>
        <v/>
      </c>
      <c r="J411" s="101" t="str">
        <f>IF(E411="Skeet",IFERROR(INDEX('Shooter-Squad Assignment'!$A:$A,MATCH(C411&amp;"-"&amp;D411&amp;"-"&amp;E411&amp;"-Pos3",'Shooter-Squad Assignment'!#REF!,0)),""),IF(E411="Trap",IFERROR(INDEX('Shooter-Squad Assignment'!$A:$A,MATCH(C411&amp;"-"&amp;D411&amp;"-"&amp;E411&amp;"-Pos3",'Shooter-Squad Assignment'!$V:$V,0)),""),IF(E411="Sporting Clays",IFERROR(INDEX('Shooter-Squad Assignment'!$A:$A,MATCH(C411&amp;"-"&amp;D411&amp;"-"&amp;E411&amp;"-Pos3",'Shooter-Squad Assignment'!$Y:$Y,0)),""),"")))</f>
        <v/>
      </c>
      <c r="K411" s="92" t="str">
        <f>IF(ISBLANK(J411),"",IFERROR(INDEX('Tournament List'!$D:$D,MATCH(J411,'Tournament List'!$A:$A,0)),""))</f>
        <v/>
      </c>
      <c r="L411" s="101" t="str">
        <f>IF(E411="Skeet",IFERROR(INDEX('Shooter-Squad Assignment'!$A:$A,MATCH(C411&amp;"-"&amp;D411&amp;"-"&amp;E411&amp;"-Pos4",'Shooter-Squad Assignment'!#REF!,0)),""),IF(E411="Trap",IFERROR(INDEX('Shooter-Squad Assignment'!$A:$A,MATCH(C411&amp;"-"&amp;D411&amp;"-"&amp;E411&amp;"-Pos4",'Shooter-Squad Assignment'!$V:$V,0)),""),IF(E411="Sporting Clays",IFERROR(INDEX('Shooter-Squad Assignment'!$A:$A,MATCH(C411&amp;"-"&amp;D411&amp;"-"&amp;E411&amp;"-Pos4",'Shooter-Squad Assignment'!$Y:$Y,0)),""),"")))</f>
        <v/>
      </c>
      <c r="M411" s="92" t="str">
        <f>IF(ISBLANK(L411),"",IFERROR(INDEX('Tournament List'!$D:$D,MATCH(L411,'Tournament List'!$A:$A,0)),""))</f>
        <v/>
      </c>
      <c r="N411" s="101" t="str">
        <f>IF(E411="Skeet",IFERROR(INDEX('Shooter-Squad Assignment'!$A:$A,MATCH(C411&amp;"-"&amp;D411&amp;"-"&amp;E411&amp;"-Pos5",'Shooter-Squad Assignment'!#REF!,0)),""),IF(E411="Trap",IFERROR(INDEX('Shooter-Squad Assignment'!$A:$A,MATCH(C411&amp;"-"&amp;D411&amp;"-"&amp;E411&amp;"-Pos5",'Shooter-Squad Assignment'!$V:$V,0)),""),IF(E411="Sporting Clays",IFERROR(INDEX('Shooter-Squad Assignment'!$A:$A,MATCH(C411&amp;"-"&amp;D411&amp;"-"&amp;E411&amp;"-Pos5",'Shooter-Squad Assignment'!$Y:$Y,0)),""),"")))</f>
        <v/>
      </c>
      <c r="O411" s="93" t="str">
        <f>IF(ISBLANK(N411),"",IFERROR(INDEX('Tournament List'!$D:$D,MATCH(N411,'Tournament List'!$A:$A,0)),""))</f>
        <v/>
      </c>
    </row>
    <row r="412" spans="1:15" x14ac:dyDescent="0.3">
      <c r="A412" s="91">
        <v>420</v>
      </c>
      <c r="B412" s="92" t="str">
        <f t="shared" si="6"/>
        <v>-Open 3-Trap</v>
      </c>
      <c r="C412" s="92"/>
      <c r="D412" s="92" t="s">
        <v>355</v>
      </c>
      <c r="E412" s="92" t="s">
        <v>147</v>
      </c>
      <c r="F412" s="101" t="str">
        <f>IF(E412="Skeet",IFERROR(INDEX('Shooter-Squad Assignment'!$A:$A,MATCH(C412&amp;"-"&amp;D412&amp;"-"&amp;E412&amp;"-Pos1",'Shooter-Squad Assignment'!#REF!,0)),""),IF(E412="Trap",IFERROR(INDEX('Shooter-Squad Assignment'!$A:$A,MATCH(C412&amp;"-"&amp;D412&amp;"-"&amp;E412&amp;"-Pos1",'Shooter-Squad Assignment'!$V:$V,0)),""),IF(E412="Sporting Clays",IFERROR(INDEX('Shooter-Squad Assignment'!$A:$A,MATCH(C412&amp;"-"&amp;D412&amp;"-"&amp;E412&amp;"-Pos1",'Shooter-Squad Assignment'!$Y:$Y,0)),""),"")))</f>
        <v/>
      </c>
      <c r="G412" s="92" t="str">
        <f>IF(ISBLANK(F412),"",IFERROR(INDEX('Tournament List'!$D:$D,MATCH(F412,'Tournament List'!$A:$A,0)),""))</f>
        <v/>
      </c>
      <c r="H412" s="101" t="str">
        <f>IF(E412="Skeet",IFERROR(INDEX('Shooter-Squad Assignment'!$A:$A,MATCH(C412&amp;"-"&amp;D412&amp;"-"&amp;E412&amp;"-Pos2",'Shooter-Squad Assignment'!#REF!,0)),""),IF(E412="Trap",IFERROR(INDEX('Shooter-Squad Assignment'!$A:$A,MATCH(C412&amp;"-"&amp;D412&amp;"-"&amp;E412&amp;"-Pos2",'Shooter-Squad Assignment'!$V:$V,0)),""),IF(E412="Sporting Clays",IFERROR(INDEX('Shooter-Squad Assignment'!$A:$A,MATCH(C412&amp;"-"&amp;D412&amp;"-"&amp;E412&amp;"-Pos2",'Shooter-Squad Assignment'!$Y:$Y,0)),""),"")))</f>
        <v/>
      </c>
      <c r="I412" s="92" t="str">
        <f>IF(ISBLANK(H412),"",IFERROR(INDEX('Tournament List'!$D:$D,MATCH(H412,'Tournament List'!$A:$A,0)),""))</f>
        <v/>
      </c>
      <c r="J412" s="101" t="str">
        <f>IF(E412="Skeet",IFERROR(INDEX('Shooter-Squad Assignment'!$A:$A,MATCH(C412&amp;"-"&amp;D412&amp;"-"&amp;E412&amp;"-Pos3",'Shooter-Squad Assignment'!#REF!,0)),""),IF(E412="Trap",IFERROR(INDEX('Shooter-Squad Assignment'!$A:$A,MATCH(C412&amp;"-"&amp;D412&amp;"-"&amp;E412&amp;"-Pos3",'Shooter-Squad Assignment'!$V:$V,0)),""),IF(E412="Sporting Clays",IFERROR(INDEX('Shooter-Squad Assignment'!$A:$A,MATCH(C412&amp;"-"&amp;D412&amp;"-"&amp;E412&amp;"-Pos3",'Shooter-Squad Assignment'!$Y:$Y,0)),""),"")))</f>
        <v/>
      </c>
      <c r="K412" s="92" t="str">
        <f>IF(ISBLANK(J412),"",IFERROR(INDEX('Tournament List'!$D:$D,MATCH(J412,'Tournament List'!$A:$A,0)),""))</f>
        <v/>
      </c>
      <c r="L412" s="101" t="str">
        <f>IF(E412="Skeet",IFERROR(INDEX('Shooter-Squad Assignment'!$A:$A,MATCH(C412&amp;"-"&amp;D412&amp;"-"&amp;E412&amp;"-Pos4",'Shooter-Squad Assignment'!#REF!,0)),""),IF(E412="Trap",IFERROR(INDEX('Shooter-Squad Assignment'!$A:$A,MATCH(C412&amp;"-"&amp;D412&amp;"-"&amp;E412&amp;"-Pos4",'Shooter-Squad Assignment'!$V:$V,0)),""),IF(E412="Sporting Clays",IFERROR(INDEX('Shooter-Squad Assignment'!$A:$A,MATCH(C412&amp;"-"&amp;D412&amp;"-"&amp;E412&amp;"-Pos4",'Shooter-Squad Assignment'!$Y:$Y,0)),""),"")))</f>
        <v/>
      </c>
      <c r="M412" s="92" t="str">
        <f>IF(ISBLANK(L412),"",IFERROR(INDEX('Tournament List'!$D:$D,MATCH(L412,'Tournament List'!$A:$A,0)),""))</f>
        <v/>
      </c>
      <c r="N412" s="101" t="str">
        <f>IF(E412="Skeet",IFERROR(INDEX('Shooter-Squad Assignment'!$A:$A,MATCH(C412&amp;"-"&amp;D412&amp;"-"&amp;E412&amp;"-Pos5",'Shooter-Squad Assignment'!#REF!,0)),""),IF(E412="Trap",IFERROR(INDEX('Shooter-Squad Assignment'!$A:$A,MATCH(C412&amp;"-"&amp;D412&amp;"-"&amp;E412&amp;"-Pos5",'Shooter-Squad Assignment'!$V:$V,0)),""),IF(E412="Sporting Clays",IFERROR(INDEX('Shooter-Squad Assignment'!$A:$A,MATCH(C412&amp;"-"&amp;D412&amp;"-"&amp;E412&amp;"-Pos5",'Shooter-Squad Assignment'!$Y:$Y,0)),""),"")))</f>
        <v/>
      </c>
      <c r="O412" s="93" t="str">
        <f>IF(ISBLANK(N412),"",IFERROR(INDEX('Tournament List'!$D:$D,MATCH(N412,'Tournament List'!$A:$A,0)),""))</f>
        <v/>
      </c>
    </row>
    <row r="413" spans="1:15" x14ac:dyDescent="0.3">
      <c r="A413" s="91">
        <v>421</v>
      </c>
      <c r="B413" s="92" t="str">
        <f t="shared" si="6"/>
        <v>-Varsity 1-Trap</v>
      </c>
      <c r="C413" s="92"/>
      <c r="D413" s="92" t="s">
        <v>342</v>
      </c>
      <c r="E413" s="92" t="s">
        <v>147</v>
      </c>
      <c r="F413" s="101" t="str">
        <f>IF(E413="Skeet",IFERROR(INDEX('Shooter-Squad Assignment'!$A:$A,MATCH(C413&amp;"-"&amp;D413&amp;"-"&amp;E413&amp;"-Pos1",'Shooter-Squad Assignment'!#REF!,0)),""),IF(E413="Trap",IFERROR(INDEX('Shooter-Squad Assignment'!$A:$A,MATCH(C413&amp;"-"&amp;D413&amp;"-"&amp;E413&amp;"-Pos1",'Shooter-Squad Assignment'!$V:$V,0)),""),IF(E413="Sporting Clays",IFERROR(INDEX('Shooter-Squad Assignment'!$A:$A,MATCH(C413&amp;"-"&amp;D413&amp;"-"&amp;E413&amp;"-Pos1",'Shooter-Squad Assignment'!$Y:$Y,0)),""),"")))</f>
        <v/>
      </c>
      <c r="G413" s="92" t="str">
        <f>IF(ISBLANK(F413),"",IFERROR(INDEX('Tournament List'!$D:$D,MATCH(F413,'Tournament List'!$A:$A,0)),""))</f>
        <v/>
      </c>
      <c r="H413" s="101" t="str">
        <f>IF(E413="Skeet",IFERROR(INDEX('Shooter-Squad Assignment'!$A:$A,MATCH(C413&amp;"-"&amp;D413&amp;"-"&amp;E413&amp;"-Pos2",'Shooter-Squad Assignment'!#REF!,0)),""),IF(E413="Trap",IFERROR(INDEX('Shooter-Squad Assignment'!$A:$A,MATCH(C413&amp;"-"&amp;D413&amp;"-"&amp;E413&amp;"-Pos2",'Shooter-Squad Assignment'!$V:$V,0)),""),IF(E413="Sporting Clays",IFERROR(INDEX('Shooter-Squad Assignment'!$A:$A,MATCH(C413&amp;"-"&amp;D413&amp;"-"&amp;E413&amp;"-Pos2",'Shooter-Squad Assignment'!$Y:$Y,0)),""),"")))</f>
        <v/>
      </c>
      <c r="I413" s="92" t="str">
        <f>IF(ISBLANK(H413),"",IFERROR(INDEX('Tournament List'!$D:$D,MATCH(H413,'Tournament List'!$A:$A,0)),""))</f>
        <v/>
      </c>
      <c r="J413" s="101" t="str">
        <f>IF(E413="Skeet",IFERROR(INDEX('Shooter-Squad Assignment'!$A:$A,MATCH(C413&amp;"-"&amp;D413&amp;"-"&amp;E413&amp;"-Pos3",'Shooter-Squad Assignment'!#REF!,0)),""),IF(E413="Trap",IFERROR(INDEX('Shooter-Squad Assignment'!$A:$A,MATCH(C413&amp;"-"&amp;D413&amp;"-"&amp;E413&amp;"-Pos3",'Shooter-Squad Assignment'!$V:$V,0)),""),IF(E413="Sporting Clays",IFERROR(INDEX('Shooter-Squad Assignment'!$A:$A,MATCH(C413&amp;"-"&amp;D413&amp;"-"&amp;E413&amp;"-Pos3",'Shooter-Squad Assignment'!$Y:$Y,0)),""),"")))</f>
        <v/>
      </c>
      <c r="K413" s="92" t="str">
        <f>IF(ISBLANK(J413),"",IFERROR(INDEX('Tournament List'!$D:$D,MATCH(J413,'Tournament List'!$A:$A,0)),""))</f>
        <v/>
      </c>
      <c r="L413" s="101" t="str">
        <f>IF(E413="Skeet",IFERROR(INDEX('Shooter-Squad Assignment'!$A:$A,MATCH(C413&amp;"-"&amp;D413&amp;"-"&amp;E413&amp;"-Pos4",'Shooter-Squad Assignment'!#REF!,0)),""),IF(E413="Trap",IFERROR(INDEX('Shooter-Squad Assignment'!$A:$A,MATCH(C413&amp;"-"&amp;D413&amp;"-"&amp;E413&amp;"-Pos4",'Shooter-Squad Assignment'!$V:$V,0)),""),IF(E413="Sporting Clays",IFERROR(INDEX('Shooter-Squad Assignment'!$A:$A,MATCH(C413&amp;"-"&amp;D413&amp;"-"&amp;E413&amp;"-Pos4",'Shooter-Squad Assignment'!$Y:$Y,0)),""),"")))</f>
        <v/>
      </c>
      <c r="M413" s="92" t="str">
        <f>IF(ISBLANK(L413),"",IFERROR(INDEX('Tournament List'!$D:$D,MATCH(L413,'Tournament List'!$A:$A,0)),""))</f>
        <v/>
      </c>
      <c r="N413" s="101" t="str">
        <f>IF(E413="Skeet",IFERROR(INDEX('Shooter-Squad Assignment'!$A:$A,MATCH(C413&amp;"-"&amp;D413&amp;"-"&amp;E413&amp;"-Pos5",'Shooter-Squad Assignment'!#REF!,0)),""),IF(E413="Trap",IFERROR(INDEX('Shooter-Squad Assignment'!$A:$A,MATCH(C413&amp;"-"&amp;D413&amp;"-"&amp;E413&amp;"-Pos5",'Shooter-Squad Assignment'!$V:$V,0)),""),IF(E413="Sporting Clays",IFERROR(INDEX('Shooter-Squad Assignment'!$A:$A,MATCH(C413&amp;"-"&amp;D413&amp;"-"&amp;E413&amp;"-Pos5",'Shooter-Squad Assignment'!$Y:$Y,0)),""),"")))</f>
        <v/>
      </c>
      <c r="O413" s="93" t="str">
        <f>IF(ISBLANK(N413),"",IFERROR(INDEX('Tournament List'!$D:$D,MATCH(N413,'Tournament List'!$A:$A,0)),""))</f>
        <v/>
      </c>
    </row>
    <row r="414" spans="1:15" x14ac:dyDescent="0.3">
      <c r="A414" s="91">
        <v>422</v>
      </c>
      <c r="B414" s="92" t="str">
        <f t="shared" si="6"/>
        <v>-Varsity 2-Trap</v>
      </c>
      <c r="C414" s="92"/>
      <c r="D414" s="92" t="s">
        <v>348</v>
      </c>
      <c r="E414" s="92" t="s">
        <v>147</v>
      </c>
      <c r="F414" s="101" t="str">
        <f>IF(E414="Skeet",IFERROR(INDEX('Shooter-Squad Assignment'!$A:$A,MATCH(C414&amp;"-"&amp;D414&amp;"-"&amp;E414&amp;"-Pos1",'Shooter-Squad Assignment'!#REF!,0)),""),IF(E414="Trap",IFERROR(INDEX('Shooter-Squad Assignment'!$A:$A,MATCH(C414&amp;"-"&amp;D414&amp;"-"&amp;E414&amp;"-Pos1",'Shooter-Squad Assignment'!$V:$V,0)),""),IF(E414="Sporting Clays",IFERROR(INDEX('Shooter-Squad Assignment'!$A:$A,MATCH(C414&amp;"-"&amp;D414&amp;"-"&amp;E414&amp;"-Pos1",'Shooter-Squad Assignment'!$Y:$Y,0)),""),"")))</f>
        <v/>
      </c>
      <c r="G414" s="92" t="str">
        <f>IF(ISBLANK(F414),"",IFERROR(INDEX('Tournament List'!$D:$D,MATCH(F414,'Tournament List'!$A:$A,0)),""))</f>
        <v/>
      </c>
      <c r="H414" s="101" t="str">
        <f>IF(E414="Skeet",IFERROR(INDEX('Shooter-Squad Assignment'!$A:$A,MATCH(C414&amp;"-"&amp;D414&amp;"-"&amp;E414&amp;"-Pos2",'Shooter-Squad Assignment'!#REF!,0)),""),IF(E414="Trap",IFERROR(INDEX('Shooter-Squad Assignment'!$A:$A,MATCH(C414&amp;"-"&amp;D414&amp;"-"&amp;E414&amp;"-Pos2",'Shooter-Squad Assignment'!$V:$V,0)),""),IF(E414="Sporting Clays",IFERROR(INDEX('Shooter-Squad Assignment'!$A:$A,MATCH(C414&amp;"-"&amp;D414&amp;"-"&amp;E414&amp;"-Pos2",'Shooter-Squad Assignment'!$Y:$Y,0)),""),"")))</f>
        <v/>
      </c>
      <c r="I414" s="92" t="str">
        <f>IF(ISBLANK(H414),"",IFERROR(INDEX('Tournament List'!$D:$D,MATCH(H414,'Tournament List'!$A:$A,0)),""))</f>
        <v/>
      </c>
      <c r="J414" s="101" t="str">
        <f>IF(E414="Skeet",IFERROR(INDEX('Shooter-Squad Assignment'!$A:$A,MATCH(C414&amp;"-"&amp;D414&amp;"-"&amp;E414&amp;"-Pos3",'Shooter-Squad Assignment'!#REF!,0)),""),IF(E414="Trap",IFERROR(INDEX('Shooter-Squad Assignment'!$A:$A,MATCH(C414&amp;"-"&amp;D414&amp;"-"&amp;E414&amp;"-Pos3",'Shooter-Squad Assignment'!$V:$V,0)),""),IF(E414="Sporting Clays",IFERROR(INDEX('Shooter-Squad Assignment'!$A:$A,MATCH(C414&amp;"-"&amp;D414&amp;"-"&amp;E414&amp;"-Pos3",'Shooter-Squad Assignment'!$Y:$Y,0)),""),"")))</f>
        <v/>
      </c>
      <c r="K414" s="92" t="str">
        <f>IF(ISBLANK(J414),"",IFERROR(INDEX('Tournament List'!$D:$D,MATCH(J414,'Tournament List'!$A:$A,0)),""))</f>
        <v/>
      </c>
      <c r="L414" s="101" t="str">
        <f>IF(E414="Skeet",IFERROR(INDEX('Shooter-Squad Assignment'!$A:$A,MATCH(C414&amp;"-"&amp;D414&amp;"-"&amp;E414&amp;"-Pos4",'Shooter-Squad Assignment'!#REF!,0)),""),IF(E414="Trap",IFERROR(INDEX('Shooter-Squad Assignment'!$A:$A,MATCH(C414&amp;"-"&amp;D414&amp;"-"&amp;E414&amp;"-Pos4",'Shooter-Squad Assignment'!$V:$V,0)),""),IF(E414="Sporting Clays",IFERROR(INDEX('Shooter-Squad Assignment'!$A:$A,MATCH(C414&amp;"-"&amp;D414&amp;"-"&amp;E414&amp;"-Pos4",'Shooter-Squad Assignment'!$Y:$Y,0)),""),"")))</f>
        <v/>
      </c>
      <c r="M414" s="92" t="str">
        <f>IF(ISBLANK(L414),"",IFERROR(INDEX('Tournament List'!$D:$D,MATCH(L414,'Tournament List'!$A:$A,0)),""))</f>
        <v/>
      </c>
      <c r="N414" s="101" t="str">
        <f>IF(E414="Skeet",IFERROR(INDEX('Shooter-Squad Assignment'!$A:$A,MATCH(C414&amp;"-"&amp;D414&amp;"-"&amp;E414&amp;"-Pos5",'Shooter-Squad Assignment'!#REF!,0)),""),IF(E414="Trap",IFERROR(INDEX('Shooter-Squad Assignment'!$A:$A,MATCH(C414&amp;"-"&amp;D414&amp;"-"&amp;E414&amp;"-Pos5",'Shooter-Squad Assignment'!$V:$V,0)),""),IF(E414="Sporting Clays",IFERROR(INDEX('Shooter-Squad Assignment'!$A:$A,MATCH(C414&amp;"-"&amp;D414&amp;"-"&amp;E414&amp;"-Pos5",'Shooter-Squad Assignment'!$Y:$Y,0)),""),"")))</f>
        <v/>
      </c>
      <c r="O414" s="93" t="str">
        <f>IF(ISBLANK(N414),"",IFERROR(INDEX('Tournament List'!$D:$D,MATCH(N414,'Tournament List'!$A:$A,0)),""))</f>
        <v/>
      </c>
    </row>
    <row r="415" spans="1:15" x14ac:dyDescent="0.3">
      <c r="A415" s="91">
        <v>423</v>
      </c>
      <c r="B415" s="92" t="str">
        <f t="shared" si="6"/>
        <v>-Varsity 3-Trap</v>
      </c>
      <c r="C415" s="92"/>
      <c r="D415" s="92" t="s">
        <v>354</v>
      </c>
      <c r="E415" s="92" t="s">
        <v>147</v>
      </c>
      <c r="F415" s="101" t="str">
        <f>IF(E415="Skeet",IFERROR(INDEX('Shooter-Squad Assignment'!$A:$A,MATCH(C415&amp;"-"&amp;D415&amp;"-"&amp;E415&amp;"-Pos1",'Shooter-Squad Assignment'!#REF!,0)),""),IF(E415="Trap",IFERROR(INDEX('Shooter-Squad Assignment'!$A:$A,MATCH(C415&amp;"-"&amp;D415&amp;"-"&amp;E415&amp;"-Pos1",'Shooter-Squad Assignment'!$V:$V,0)),""),IF(E415="Sporting Clays",IFERROR(INDEX('Shooter-Squad Assignment'!$A:$A,MATCH(C415&amp;"-"&amp;D415&amp;"-"&amp;E415&amp;"-Pos1",'Shooter-Squad Assignment'!$Y:$Y,0)),""),"")))</f>
        <v/>
      </c>
      <c r="G415" s="92" t="str">
        <f>IF(ISBLANK(F415),"",IFERROR(INDEX('Tournament List'!$D:$D,MATCH(F415,'Tournament List'!$A:$A,0)),""))</f>
        <v/>
      </c>
      <c r="H415" s="101" t="str">
        <f>IF(E415="Skeet",IFERROR(INDEX('Shooter-Squad Assignment'!$A:$A,MATCH(C415&amp;"-"&amp;D415&amp;"-"&amp;E415&amp;"-Pos2",'Shooter-Squad Assignment'!#REF!,0)),""),IF(E415="Trap",IFERROR(INDEX('Shooter-Squad Assignment'!$A:$A,MATCH(C415&amp;"-"&amp;D415&amp;"-"&amp;E415&amp;"-Pos2",'Shooter-Squad Assignment'!$V:$V,0)),""),IF(E415="Sporting Clays",IFERROR(INDEX('Shooter-Squad Assignment'!$A:$A,MATCH(C415&amp;"-"&amp;D415&amp;"-"&amp;E415&amp;"-Pos2",'Shooter-Squad Assignment'!$Y:$Y,0)),""),"")))</f>
        <v/>
      </c>
      <c r="I415" s="92" t="str">
        <f>IF(ISBLANK(H415),"",IFERROR(INDEX('Tournament List'!$D:$D,MATCH(H415,'Tournament List'!$A:$A,0)),""))</f>
        <v/>
      </c>
      <c r="J415" s="101" t="str">
        <f>IF(E415="Skeet",IFERROR(INDEX('Shooter-Squad Assignment'!$A:$A,MATCH(C415&amp;"-"&amp;D415&amp;"-"&amp;E415&amp;"-Pos3",'Shooter-Squad Assignment'!#REF!,0)),""),IF(E415="Trap",IFERROR(INDEX('Shooter-Squad Assignment'!$A:$A,MATCH(C415&amp;"-"&amp;D415&amp;"-"&amp;E415&amp;"-Pos3",'Shooter-Squad Assignment'!$V:$V,0)),""),IF(E415="Sporting Clays",IFERROR(INDEX('Shooter-Squad Assignment'!$A:$A,MATCH(C415&amp;"-"&amp;D415&amp;"-"&amp;E415&amp;"-Pos3",'Shooter-Squad Assignment'!$Y:$Y,0)),""),"")))</f>
        <v/>
      </c>
      <c r="K415" s="92" t="str">
        <f>IF(ISBLANK(J415),"",IFERROR(INDEX('Tournament List'!$D:$D,MATCH(J415,'Tournament List'!$A:$A,0)),""))</f>
        <v/>
      </c>
      <c r="L415" s="101" t="str">
        <f>IF(E415="Skeet",IFERROR(INDEX('Shooter-Squad Assignment'!$A:$A,MATCH(C415&amp;"-"&amp;D415&amp;"-"&amp;E415&amp;"-Pos4",'Shooter-Squad Assignment'!#REF!,0)),""),IF(E415="Trap",IFERROR(INDEX('Shooter-Squad Assignment'!$A:$A,MATCH(C415&amp;"-"&amp;D415&amp;"-"&amp;E415&amp;"-Pos4",'Shooter-Squad Assignment'!$V:$V,0)),""),IF(E415="Sporting Clays",IFERROR(INDEX('Shooter-Squad Assignment'!$A:$A,MATCH(C415&amp;"-"&amp;D415&amp;"-"&amp;E415&amp;"-Pos4",'Shooter-Squad Assignment'!$Y:$Y,0)),""),"")))</f>
        <v/>
      </c>
      <c r="M415" s="92" t="str">
        <f>IF(ISBLANK(L415),"",IFERROR(INDEX('Tournament List'!$D:$D,MATCH(L415,'Tournament List'!$A:$A,0)),""))</f>
        <v/>
      </c>
      <c r="N415" s="101" t="str">
        <f>IF(E415="Skeet",IFERROR(INDEX('Shooter-Squad Assignment'!$A:$A,MATCH(C415&amp;"-"&amp;D415&amp;"-"&amp;E415&amp;"-Pos5",'Shooter-Squad Assignment'!#REF!,0)),""),IF(E415="Trap",IFERROR(INDEX('Shooter-Squad Assignment'!$A:$A,MATCH(C415&amp;"-"&amp;D415&amp;"-"&amp;E415&amp;"-Pos5",'Shooter-Squad Assignment'!$V:$V,0)),""),IF(E415="Sporting Clays",IFERROR(INDEX('Shooter-Squad Assignment'!$A:$A,MATCH(C415&amp;"-"&amp;D415&amp;"-"&amp;E415&amp;"-Pos5",'Shooter-Squad Assignment'!$Y:$Y,0)),""),"")))</f>
        <v/>
      </c>
      <c r="O415" s="93" t="str">
        <f>IF(ISBLANK(N415),"",IFERROR(INDEX('Tournament List'!$D:$D,MATCH(N415,'Tournament List'!$A:$A,0)),""))</f>
        <v/>
      </c>
    </row>
    <row r="416" spans="1:15" x14ac:dyDescent="0.3">
      <c r="A416" s="91">
        <v>424</v>
      </c>
      <c r="B416" s="92" t="str">
        <f t="shared" si="6"/>
        <v>-Collegiate 1-Sporting Clays</v>
      </c>
      <c r="C416" s="92"/>
      <c r="D416" s="92" t="s">
        <v>344</v>
      </c>
      <c r="E416" s="92" t="s">
        <v>148</v>
      </c>
      <c r="F416" s="101" t="str">
        <f>IF(E416="Skeet",IFERROR(INDEX('Shooter-Squad Assignment'!$A:$A,MATCH(C416&amp;"-"&amp;D416&amp;"-"&amp;E416&amp;"-Pos1",'Shooter-Squad Assignment'!#REF!,0)),""),IF(E416="Trap",IFERROR(INDEX('Shooter-Squad Assignment'!$A:$A,MATCH(C416&amp;"-"&amp;D416&amp;"-"&amp;E416&amp;"-Pos1",'Shooter-Squad Assignment'!$V:$V,0)),""),IF(E416="Sporting Clays",IFERROR(INDEX('Shooter-Squad Assignment'!$A:$A,MATCH(C416&amp;"-"&amp;D416&amp;"-"&amp;E416&amp;"-Pos1",'Shooter-Squad Assignment'!$Y:$Y,0)),""),"")))</f>
        <v/>
      </c>
      <c r="G416" s="92" t="str">
        <f>IF(ISBLANK(F416),"",IFERROR(INDEX('Tournament List'!$D:$D,MATCH(F416,'Tournament List'!$A:$A,0)),""))</f>
        <v/>
      </c>
      <c r="H416" s="101" t="str">
        <f>IF(E416="Skeet",IFERROR(INDEX('Shooter-Squad Assignment'!$A:$A,MATCH(C416&amp;"-"&amp;D416&amp;"-"&amp;E416&amp;"-Pos2",'Shooter-Squad Assignment'!#REF!,0)),""),IF(E416="Trap",IFERROR(INDEX('Shooter-Squad Assignment'!$A:$A,MATCH(C416&amp;"-"&amp;D416&amp;"-"&amp;E416&amp;"-Pos2",'Shooter-Squad Assignment'!$V:$V,0)),""),IF(E416="Sporting Clays",IFERROR(INDEX('Shooter-Squad Assignment'!$A:$A,MATCH(C416&amp;"-"&amp;D416&amp;"-"&amp;E416&amp;"-Pos2",'Shooter-Squad Assignment'!$Y:$Y,0)),""),"")))</f>
        <v/>
      </c>
      <c r="I416" s="92" t="str">
        <f>IF(ISBLANK(H416),"",IFERROR(INDEX('Tournament List'!$D:$D,MATCH(H416,'Tournament List'!$A:$A,0)),""))</f>
        <v/>
      </c>
      <c r="J416" s="101" t="str">
        <f>IF(E416="Skeet",IFERROR(INDEX('Shooter-Squad Assignment'!$A:$A,MATCH(C416&amp;"-"&amp;D416&amp;"-"&amp;E416&amp;"-Pos3",'Shooter-Squad Assignment'!#REF!,0)),""),IF(E416="Trap",IFERROR(INDEX('Shooter-Squad Assignment'!$A:$A,MATCH(C416&amp;"-"&amp;D416&amp;"-"&amp;E416&amp;"-Pos3",'Shooter-Squad Assignment'!$V:$V,0)),""),IF(E416="Sporting Clays",IFERROR(INDEX('Shooter-Squad Assignment'!$A:$A,MATCH(C416&amp;"-"&amp;D416&amp;"-"&amp;E416&amp;"-Pos3",'Shooter-Squad Assignment'!$Y:$Y,0)),""),"")))</f>
        <v/>
      </c>
      <c r="K416" s="92" t="str">
        <f>IF(ISBLANK(J416),"",IFERROR(INDEX('Tournament List'!$D:$D,MATCH(J416,'Tournament List'!$A:$A,0)),""))</f>
        <v/>
      </c>
      <c r="L416" s="101" t="str">
        <f>IF(E416="Skeet",IFERROR(INDEX('Shooter-Squad Assignment'!$A:$A,MATCH(C416&amp;"-"&amp;D416&amp;"-"&amp;E416&amp;"-Pos4",'Shooter-Squad Assignment'!#REF!,0)),""),IF(E416="Trap",IFERROR(INDEX('Shooter-Squad Assignment'!$A:$A,MATCH(C416&amp;"-"&amp;D416&amp;"-"&amp;E416&amp;"-Pos4",'Shooter-Squad Assignment'!$V:$V,0)),""),IF(E416="Sporting Clays",IFERROR(INDEX('Shooter-Squad Assignment'!$A:$A,MATCH(C416&amp;"-"&amp;D416&amp;"-"&amp;E416&amp;"-Pos4",'Shooter-Squad Assignment'!$Y:$Y,0)),""),"")))</f>
        <v/>
      </c>
      <c r="M416" s="92" t="str">
        <f>IF(ISBLANK(L416),"",IFERROR(INDEX('Tournament List'!$D:$D,MATCH(L416,'Tournament List'!$A:$A,0)),""))</f>
        <v/>
      </c>
      <c r="N416" s="101" t="str">
        <f>IF(E416="Skeet",IFERROR(INDEX('Shooter-Squad Assignment'!$A:$A,MATCH(C416&amp;"-"&amp;D416&amp;"-"&amp;E416&amp;"-Pos5",'Shooter-Squad Assignment'!#REF!,0)),""),IF(E416="Trap",IFERROR(INDEX('Shooter-Squad Assignment'!$A:$A,MATCH(C416&amp;"-"&amp;D416&amp;"-"&amp;E416&amp;"-Pos5",'Shooter-Squad Assignment'!$V:$V,0)),""),IF(E416="Sporting Clays",IFERROR(INDEX('Shooter-Squad Assignment'!$A:$A,MATCH(C416&amp;"-"&amp;D416&amp;"-"&amp;E416&amp;"-Pos5",'Shooter-Squad Assignment'!$Y:$Y,0)),""),"")))</f>
        <v/>
      </c>
      <c r="O416" s="93" t="str">
        <f>IF(ISBLANK(N416),"",IFERROR(INDEX('Tournament List'!$D:$D,MATCH(N416,'Tournament List'!$A:$A,0)),""))</f>
        <v/>
      </c>
    </row>
    <row r="417" spans="1:15" x14ac:dyDescent="0.3">
      <c r="A417" s="91">
        <v>425</v>
      </c>
      <c r="B417" s="92" t="str">
        <f t="shared" si="6"/>
        <v>-Collegiate 2-Sporting Clays</v>
      </c>
      <c r="C417" s="92"/>
      <c r="D417" s="92" t="s">
        <v>350</v>
      </c>
      <c r="E417" s="92" t="s">
        <v>148</v>
      </c>
      <c r="F417" s="101" t="str">
        <f>IF(E417="Skeet",IFERROR(INDEX('Shooter-Squad Assignment'!$A:$A,MATCH(C417&amp;"-"&amp;D417&amp;"-"&amp;E417&amp;"-Pos1",'Shooter-Squad Assignment'!#REF!,0)),""),IF(E417="Trap",IFERROR(INDEX('Shooter-Squad Assignment'!$A:$A,MATCH(C417&amp;"-"&amp;D417&amp;"-"&amp;E417&amp;"-Pos1",'Shooter-Squad Assignment'!$V:$V,0)),""),IF(E417="Sporting Clays",IFERROR(INDEX('Shooter-Squad Assignment'!$A:$A,MATCH(C417&amp;"-"&amp;D417&amp;"-"&amp;E417&amp;"-Pos1",'Shooter-Squad Assignment'!$Y:$Y,0)),""),"")))</f>
        <v/>
      </c>
      <c r="G417" s="92" t="str">
        <f>IF(ISBLANK(F417),"",IFERROR(INDEX('Tournament List'!$D:$D,MATCH(F417,'Tournament List'!$A:$A,0)),""))</f>
        <v/>
      </c>
      <c r="H417" s="101" t="str">
        <f>IF(E417="Skeet",IFERROR(INDEX('Shooter-Squad Assignment'!$A:$A,MATCH(C417&amp;"-"&amp;D417&amp;"-"&amp;E417&amp;"-Pos2",'Shooter-Squad Assignment'!#REF!,0)),""),IF(E417="Trap",IFERROR(INDEX('Shooter-Squad Assignment'!$A:$A,MATCH(C417&amp;"-"&amp;D417&amp;"-"&amp;E417&amp;"-Pos2",'Shooter-Squad Assignment'!$V:$V,0)),""),IF(E417="Sporting Clays",IFERROR(INDEX('Shooter-Squad Assignment'!$A:$A,MATCH(C417&amp;"-"&amp;D417&amp;"-"&amp;E417&amp;"-Pos2",'Shooter-Squad Assignment'!$Y:$Y,0)),""),"")))</f>
        <v/>
      </c>
      <c r="I417" s="92" t="str">
        <f>IF(ISBLANK(H417),"",IFERROR(INDEX('Tournament List'!$D:$D,MATCH(H417,'Tournament List'!$A:$A,0)),""))</f>
        <v/>
      </c>
      <c r="J417" s="101" t="str">
        <f>IF(E417="Skeet",IFERROR(INDEX('Shooter-Squad Assignment'!$A:$A,MATCH(C417&amp;"-"&amp;D417&amp;"-"&amp;E417&amp;"-Pos3",'Shooter-Squad Assignment'!#REF!,0)),""),IF(E417="Trap",IFERROR(INDEX('Shooter-Squad Assignment'!$A:$A,MATCH(C417&amp;"-"&amp;D417&amp;"-"&amp;E417&amp;"-Pos3",'Shooter-Squad Assignment'!$V:$V,0)),""),IF(E417="Sporting Clays",IFERROR(INDEX('Shooter-Squad Assignment'!$A:$A,MATCH(C417&amp;"-"&amp;D417&amp;"-"&amp;E417&amp;"-Pos3",'Shooter-Squad Assignment'!$Y:$Y,0)),""),"")))</f>
        <v/>
      </c>
      <c r="K417" s="92" t="str">
        <f>IF(ISBLANK(J417),"",IFERROR(INDEX('Tournament List'!$D:$D,MATCH(J417,'Tournament List'!$A:$A,0)),""))</f>
        <v/>
      </c>
      <c r="L417" s="101" t="str">
        <f>IF(E417="Skeet",IFERROR(INDEX('Shooter-Squad Assignment'!$A:$A,MATCH(C417&amp;"-"&amp;D417&amp;"-"&amp;E417&amp;"-Pos4",'Shooter-Squad Assignment'!#REF!,0)),""),IF(E417="Trap",IFERROR(INDEX('Shooter-Squad Assignment'!$A:$A,MATCH(C417&amp;"-"&amp;D417&amp;"-"&amp;E417&amp;"-Pos4",'Shooter-Squad Assignment'!$V:$V,0)),""),IF(E417="Sporting Clays",IFERROR(INDEX('Shooter-Squad Assignment'!$A:$A,MATCH(C417&amp;"-"&amp;D417&amp;"-"&amp;E417&amp;"-Pos4",'Shooter-Squad Assignment'!$Y:$Y,0)),""),"")))</f>
        <v/>
      </c>
      <c r="M417" s="92" t="str">
        <f>IF(ISBLANK(L417),"",IFERROR(INDEX('Tournament List'!$D:$D,MATCH(L417,'Tournament List'!$A:$A,0)),""))</f>
        <v/>
      </c>
      <c r="N417" s="101" t="str">
        <f>IF(E417="Skeet",IFERROR(INDEX('Shooter-Squad Assignment'!$A:$A,MATCH(C417&amp;"-"&amp;D417&amp;"-"&amp;E417&amp;"-Pos5",'Shooter-Squad Assignment'!#REF!,0)),""),IF(E417="Trap",IFERROR(INDEX('Shooter-Squad Assignment'!$A:$A,MATCH(C417&amp;"-"&amp;D417&amp;"-"&amp;E417&amp;"-Pos5",'Shooter-Squad Assignment'!$V:$V,0)),""),IF(E417="Sporting Clays",IFERROR(INDEX('Shooter-Squad Assignment'!$A:$A,MATCH(C417&amp;"-"&amp;D417&amp;"-"&amp;E417&amp;"-Pos5",'Shooter-Squad Assignment'!$Y:$Y,0)),""),"")))</f>
        <v/>
      </c>
      <c r="O417" s="93" t="str">
        <f>IF(ISBLANK(N417),"",IFERROR(INDEX('Tournament List'!$D:$D,MATCH(N417,'Tournament List'!$A:$A,0)),""))</f>
        <v/>
      </c>
    </row>
    <row r="418" spans="1:15" x14ac:dyDescent="0.3">
      <c r="A418" s="91">
        <v>426</v>
      </c>
      <c r="B418" s="92" t="str">
        <f t="shared" si="6"/>
        <v>-Collegiate 3-Sporting Clays</v>
      </c>
      <c r="C418" s="92"/>
      <c r="D418" s="92" t="s">
        <v>356</v>
      </c>
      <c r="E418" s="92" t="s">
        <v>148</v>
      </c>
      <c r="F418" s="101" t="str">
        <f>IF(E418="Skeet",IFERROR(INDEX('Shooter-Squad Assignment'!$A:$A,MATCH(C418&amp;"-"&amp;D418&amp;"-"&amp;E418&amp;"-Pos1",'Shooter-Squad Assignment'!#REF!,0)),""),IF(E418="Trap",IFERROR(INDEX('Shooter-Squad Assignment'!$A:$A,MATCH(C418&amp;"-"&amp;D418&amp;"-"&amp;E418&amp;"-Pos1",'Shooter-Squad Assignment'!$V:$V,0)),""),IF(E418="Sporting Clays",IFERROR(INDEX('Shooter-Squad Assignment'!$A:$A,MATCH(C418&amp;"-"&amp;D418&amp;"-"&amp;E418&amp;"-Pos1",'Shooter-Squad Assignment'!$Y:$Y,0)),""),"")))</f>
        <v/>
      </c>
      <c r="G418" s="92" t="str">
        <f>IF(ISBLANK(F418),"",IFERROR(INDEX('Tournament List'!$D:$D,MATCH(F418,'Tournament List'!$A:$A,0)),""))</f>
        <v/>
      </c>
      <c r="H418" s="101" t="str">
        <f>IF(E418="Skeet",IFERROR(INDEX('Shooter-Squad Assignment'!$A:$A,MATCH(C418&amp;"-"&amp;D418&amp;"-"&amp;E418&amp;"-Pos2",'Shooter-Squad Assignment'!#REF!,0)),""),IF(E418="Trap",IFERROR(INDEX('Shooter-Squad Assignment'!$A:$A,MATCH(C418&amp;"-"&amp;D418&amp;"-"&amp;E418&amp;"-Pos2",'Shooter-Squad Assignment'!$V:$V,0)),""),IF(E418="Sporting Clays",IFERROR(INDEX('Shooter-Squad Assignment'!$A:$A,MATCH(C418&amp;"-"&amp;D418&amp;"-"&amp;E418&amp;"-Pos2",'Shooter-Squad Assignment'!$Y:$Y,0)),""),"")))</f>
        <v/>
      </c>
      <c r="I418" s="92" t="str">
        <f>IF(ISBLANK(H418),"",IFERROR(INDEX('Tournament List'!$D:$D,MATCH(H418,'Tournament List'!$A:$A,0)),""))</f>
        <v/>
      </c>
      <c r="J418" s="101" t="str">
        <f>IF(E418="Skeet",IFERROR(INDEX('Shooter-Squad Assignment'!$A:$A,MATCH(C418&amp;"-"&amp;D418&amp;"-"&amp;E418&amp;"-Pos3",'Shooter-Squad Assignment'!#REF!,0)),""),IF(E418="Trap",IFERROR(INDEX('Shooter-Squad Assignment'!$A:$A,MATCH(C418&amp;"-"&amp;D418&amp;"-"&amp;E418&amp;"-Pos3",'Shooter-Squad Assignment'!$V:$V,0)),""),IF(E418="Sporting Clays",IFERROR(INDEX('Shooter-Squad Assignment'!$A:$A,MATCH(C418&amp;"-"&amp;D418&amp;"-"&amp;E418&amp;"-Pos3",'Shooter-Squad Assignment'!$Y:$Y,0)),""),"")))</f>
        <v/>
      </c>
      <c r="K418" s="92" t="str">
        <f>IF(ISBLANK(J418),"",IFERROR(INDEX('Tournament List'!$D:$D,MATCH(J418,'Tournament List'!$A:$A,0)),""))</f>
        <v/>
      </c>
      <c r="L418" s="101" t="str">
        <f>IF(E418="Skeet",IFERROR(INDEX('Shooter-Squad Assignment'!$A:$A,MATCH(C418&amp;"-"&amp;D418&amp;"-"&amp;E418&amp;"-Pos4",'Shooter-Squad Assignment'!#REF!,0)),""),IF(E418="Trap",IFERROR(INDEX('Shooter-Squad Assignment'!$A:$A,MATCH(C418&amp;"-"&amp;D418&amp;"-"&amp;E418&amp;"-Pos4",'Shooter-Squad Assignment'!$V:$V,0)),""),IF(E418="Sporting Clays",IFERROR(INDEX('Shooter-Squad Assignment'!$A:$A,MATCH(C418&amp;"-"&amp;D418&amp;"-"&amp;E418&amp;"-Pos4",'Shooter-Squad Assignment'!$Y:$Y,0)),""),"")))</f>
        <v/>
      </c>
      <c r="M418" s="92" t="str">
        <f>IF(ISBLANK(L418),"",IFERROR(INDEX('Tournament List'!$D:$D,MATCH(L418,'Tournament List'!$A:$A,0)),""))</f>
        <v/>
      </c>
      <c r="N418" s="101" t="str">
        <f>IF(E418="Skeet",IFERROR(INDEX('Shooter-Squad Assignment'!$A:$A,MATCH(C418&amp;"-"&amp;D418&amp;"-"&amp;E418&amp;"-Pos5",'Shooter-Squad Assignment'!#REF!,0)),""),IF(E418="Trap",IFERROR(INDEX('Shooter-Squad Assignment'!$A:$A,MATCH(C418&amp;"-"&amp;D418&amp;"-"&amp;E418&amp;"-Pos5",'Shooter-Squad Assignment'!$V:$V,0)),""),IF(E418="Sporting Clays",IFERROR(INDEX('Shooter-Squad Assignment'!$A:$A,MATCH(C418&amp;"-"&amp;D418&amp;"-"&amp;E418&amp;"-Pos5",'Shooter-Squad Assignment'!$Y:$Y,0)),""),"")))</f>
        <v/>
      </c>
      <c r="O418" s="93" t="str">
        <f>IF(ISBLANK(N418),"",IFERROR(INDEX('Tournament List'!$D:$D,MATCH(N418,'Tournament List'!$A:$A,0)),""))</f>
        <v/>
      </c>
    </row>
    <row r="419" spans="1:15" x14ac:dyDescent="0.3">
      <c r="A419" s="91">
        <v>427</v>
      </c>
      <c r="B419" s="92" t="str">
        <f t="shared" si="6"/>
        <v>-Intermediate 1-Sporting Clays</v>
      </c>
      <c r="C419" s="92"/>
      <c r="D419" s="92" t="s">
        <v>340</v>
      </c>
      <c r="E419" s="92" t="s">
        <v>148</v>
      </c>
      <c r="F419" s="101" t="str">
        <f>IF(E419="Skeet",IFERROR(INDEX('Shooter-Squad Assignment'!$A:$A,MATCH(C419&amp;"-"&amp;D419&amp;"-"&amp;E419&amp;"-Pos1",'Shooter-Squad Assignment'!#REF!,0)),""),IF(E419="Trap",IFERROR(INDEX('Shooter-Squad Assignment'!$A:$A,MATCH(C419&amp;"-"&amp;D419&amp;"-"&amp;E419&amp;"-Pos1",'Shooter-Squad Assignment'!$V:$V,0)),""),IF(E419="Sporting Clays",IFERROR(INDEX('Shooter-Squad Assignment'!$A:$A,MATCH(C419&amp;"-"&amp;D419&amp;"-"&amp;E419&amp;"-Pos1",'Shooter-Squad Assignment'!$Y:$Y,0)),""),"")))</f>
        <v/>
      </c>
      <c r="G419" s="92" t="str">
        <f>IF(ISBLANK(F419),"",IFERROR(INDEX('Tournament List'!$D:$D,MATCH(F419,'Tournament List'!$A:$A,0)),""))</f>
        <v/>
      </c>
      <c r="H419" s="101" t="str">
        <f>IF(E419="Skeet",IFERROR(INDEX('Shooter-Squad Assignment'!$A:$A,MATCH(C419&amp;"-"&amp;D419&amp;"-"&amp;E419&amp;"-Pos2",'Shooter-Squad Assignment'!#REF!,0)),""),IF(E419="Trap",IFERROR(INDEX('Shooter-Squad Assignment'!$A:$A,MATCH(C419&amp;"-"&amp;D419&amp;"-"&amp;E419&amp;"-Pos2",'Shooter-Squad Assignment'!$V:$V,0)),""),IF(E419="Sporting Clays",IFERROR(INDEX('Shooter-Squad Assignment'!$A:$A,MATCH(C419&amp;"-"&amp;D419&amp;"-"&amp;E419&amp;"-Pos2",'Shooter-Squad Assignment'!$Y:$Y,0)),""),"")))</f>
        <v/>
      </c>
      <c r="I419" s="92" t="str">
        <f>IF(ISBLANK(H419),"",IFERROR(INDEX('Tournament List'!$D:$D,MATCH(H419,'Tournament List'!$A:$A,0)),""))</f>
        <v/>
      </c>
      <c r="J419" s="101" t="str">
        <f>IF(E419="Skeet",IFERROR(INDEX('Shooter-Squad Assignment'!$A:$A,MATCH(C419&amp;"-"&amp;D419&amp;"-"&amp;E419&amp;"-Pos3",'Shooter-Squad Assignment'!#REF!,0)),""),IF(E419="Trap",IFERROR(INDEX('Shooter-Squad Assignment'!$A:$A,MATCH(C419&amp;"-"&amp;D419&amp;"-"&amp;E419&amp;"-Pos3",'Shooter-Squad Assignment'!$V:$V,0)),""),IF(E419="Sporting Clays",IFERROR(INDEX('Shooter-Squad Assignment'!$A:$A,MATCH(C419&amp;"-"&amp;D419&amp;"-"&amp;E419&amp;"-Pos3",'Shooter-Squad Assignment'!$Y:$Y,0)),""),"")))</f>
        <v/>
      </c>
      <c r="K419" s="92" t="str">
        <f>IF(ISBLANK(J419),"",IFERROR(INDEX('Tournament List'!$D:$D,MATCH(J419,'Tournament List'!$A:$A,0)),""))</f>
        <v/>
      </c>
      <c r="L419" s="101" t="str">
        <f>IF(E419="Skeet",IFERROR(INDEX('Shooter-Squad Assignment'!$A:$A,MATCH(C419&amp;"-"&amp;D419&amp;"-"&amp;E419&amp;"-Pos4",'Shooter-Squad Assignment'!#REF!,0)),""),IF(E419="Trap",IFERROR(INDEX('Shooter-Squad Assignment'!$A:$A,MATCH(C419&amp;"-"&amp;D419&amp;"-"&amp;E419&amp;"-Pos4",'Shooter-Squad Assignment'!$V:$V,0)),""),IF(E419="Sporting Clays",IFERROR(INDEX('Shooter-Squad Assignment'!$A:$A,MATCH(C419&amp;"-"&amp;D419&amp;"-"&amp;E419&amp;"-Pos4",'Shooter-Squad Assignment'!$Y:$Y,0)),""),"")))</f>
        <v/>
      </c>
      <c r="M419" s="92" t="str">
        <f>IF(ISBLANK(L419),"",IFERROR(INDEX('Tournament List'!$D:$D,MATCH(L419,'Tournament List'!$A:$A,0)),""))</f>
        <v/>
      </c>
      <c r="N419" s="101" t="str">
        <f>IF(E419="Skeet",IFERROR(INDEX('Shooter-Squad Assignment'!$A:$A,MATCH(C419&amp;"-"&amp;D419&amp;"-"&amp;E419&amp;"-Pos5",'Shooter-Squad Assignment'!#REF!,0)),""),IF(E419="Trap",IFERROR(INDEX('Shooter-Squad Assignment'!$A:$A,MATCH(C419&amp;"-"&amp;D419&amp;"-"&amp;E419&amp;"-Pos5",'Shooter-Squad Assignment'!$V:$V,0)),""),IF(E419="Sporting Clays",IFERROR(INDEX('Shooter-Squad Assignment'!$A:$A,MATCH(C419&amp;"-"&amp;D419&amp;"-"&amp;E419&amp;"-Pos5",'Shooter-Squad Assignment'!$Y:$Y,0)),""),"")))</f>
        <v/>
      </c>
      <c r="O419" s="93" t="str">
        <f>IF(ISBLANK(N419),"",IFERROR(INDEX('Tournament List'!$D:$D,MATCH(N419,'Tournament List'!$A:$A,0)),""))</f>
        <v/>
      </c>
    </row>
    <row r="420" spans="1:15" x14ac:dyDescent="0.3">
      <c r="A420" s="91">
        <v>428</v>
      </c>
      <c r="B420" s="92" t="str">
        <f t="shared" si="6"/>
        <v>-Intermediate 2-Sporting Clays</v>
      </c>
      <c r="C420" s="92"/>
      <c r="D420" s="92" t="s">
        <v>346</v>
      </c>
      <c r="E420" s="92" t="s">
        <v>148</v>
      </c>
      <c r="F420" s="101" t="str">
        <f>IF(E420="Skeet",IFERROR(INDEX('Shooter-Squad Assignment'!$A:$A,MATCH(C420&amp;"-"&amp;D420&amp;"-"&amp;E420&amp;"-Pos1",'Shooter-Squad Assignment'!#REF!,0)),""),IF(E420="Trap",IFERROR(INDEX('Shooter-Squad Assignment'!$A:$A,MATCH(C420&amp;"-"&amp;D420&amp;"-"&amp;E420&amp;"-Pos1",'Shooter-Squad Assignment'!$V:$V,0)),""),IF(E420="Sporting Clays",IFERROR(INDEX('Shooter-Squad Assignment'!$A:$A,MATCH(C420&amp;"-"&amp;D420&amp;"-"&amp;E420&amp;"-Pos1",'Shooter-Squad Assignment'!$Y:$Y,0)),""),"")))</f>
        <v/>
      </c>
      <c r="G420" s="92" t="str">
        <f>IF(ISBLANK(F420),"",IFERROR(INDEX('Tournament List'!$D:$D,MATCH(F420,'Tournament List'!$A:$A,0)),""))</f>
        <v/>
      </c>
      <c r="H420" s="101" t="str">
        <f>IF(E420="Skeet",IFERROR(INDEX('Shooter-Squad Assignment'!$A:$A,MATCH(C420&amp;"-"&amp;D420&amp;"-"&amp;E420&amp;"-Pos2",'Shooter-Squad Assignment'!#REF!,0)),""),IF(E420="Trap",IFERROR(INDEX('Shooter-Squad Assignment'!$A:$A,MATCH(C420&amp;"-"&amp;D420&amp;"-"&amp;E420&amp;"-Pos2",'Shooter-Squad Assignment'!$V:$V,0)),""),IF(E420="Sporting Clays",IFERROR(INDEX('Shooter-Squad Assignment'!$A:$A,MATCH(C420&amp;"-"&amp;D420&amp;"-"&amp;E420&amp;"-Pos2",'Shooter-Squad Assignment'!$Y:$Y,0)),""),"")))</f>
        <v/>
      </c>
      <c r="I420" s="92" t="str">
        <f>IF(ISBLANK(H420),"",IFERROR(INDEX('Tournament List'!$D:$D,MATCH(H420,'Tournament List'!$A:$A,0)),""))</f>
        <v/>
      </c>
      <c r="J420" s="101" t="str">
        <f>IF(E420="Skeet",IFERROR(INDEX('Shooter-Squad Assignment'!$A:$A,MATCH(C420&amp;"-"&amp;D420&amp;"-"&amp;E420&amp;"-Pos3",'Shooter-Squad Assignment'!#REF!,0)),""),IF(E420="Trap",IFERROR(INDEX('Shooter-Squad Assignment'!$A:$A,MATCH(C420&amp;"-"&amp;D420&amp;"-"&amp;E420&amp;"-Pos3",'Shooter-Squad Assignment'!$V:$V,0)),""),IF(E420="Sporting Clays",IFERROR(INDEX('Shooter-Squad Assignment'!$A:$A,MATCH(C420&amp;"-"&amp;D420&amp;"-"&amp;E420&amp;"-Pos3",'Shooter-Squad Assignment'!$Y:$Y,0)),""),"")))</f>
        <v/>
      </c>
      <c r="K420" s="92" t="str">
        <f>IF(ISBLANK(J420),"",IFERROR(INDEX('Tournament List'!$D:$D,MATCH(J420,'Tournament List'!$A:$A,0)),""))</f>
        <v/>
      </c>
      <c r="L420" s="101" t="str">
        <f>IF(E420="Skeet",IFERROR(INDEX('Shooter-Squad Assignment'!$A:$A,MATCH(C420&amp;"-"&amp;D420&amp;"-"&amp;E420&amp;"-Pos4",'Shooter-Squad Assignment'!#REF!,0)),""),IF(E420="Trap",IFERROR(INDEX('Shooter-Squad Assignment'!$A:$A,MATCH(C420&amp;"-"&amp;D420&amp;"-"&amp;E420&amp;"-Pos4",'Shooter-Squad Assignment'!$V:$V,0)),""),IF(E420="Sporting Clays",IFERROR(INDEX('Shooter-Squad Assignment'!$A:$A,MATCH(C420&amp;"-"&amp;D420&amp;"-"&amp;E420&amp;"-Pos4",'Shooter-Squad Assignment'!$Y:$Y,0)),""),"")))</f>
        <v/>
      </c>
      <c r="M420" s="92" t="str">
        <f>IF(ISBLANK(L420),"",IFERROR(INDEX('Tournament List'!$D:$D,MATCH(L420,'Tournament List'!$A:$A,0)),""))</f>
        <v/>
      </c>
      <c r="N420" s="101" t="str">
        <f>IF(E420="Skeet",IFERROR(INDEX('Shooter-Squad Assignment'!$A:$A,MATCH(C420&amp;"-"&amp;D420&amp;"-"&amp;E420&amp;"-Pos5",'Shooter-Squad Assignment'!#REF!,0)),""),IF(E420="Trap",IFERROR(INDEX('Shooter-Squad Assignment'!$A:$A,MATCH(C420&amp;"-"&amp;D420&amp;"-"&amp;E420&amp;"-Pos5",'Shooter-Squad Assignment'!$V:$V,0)),""),IF(E420="Sporting Clays",IFERROR(INDEX('Shooter-Squad Assignment'!$A:$A,MATCH(C420&amp;"-"&amp;D420&amp;"-"&amp;E420&amp;"-Pos5",'Shooter-Squad Assignment'!$Y:$Y,0)),""),"")))</f>
        <v/>
      </c>
      <c r="O420" s="93" t="str">
        <f>IF(ISBLANK(N420),"",IFERROR(INDEX('Tournament List'!$D:$D,MATCH(N420,'Tournament List'!$A:$A,0)),""))</f>
        <v/>
      </c>
    </row>
    <row r="421" spans="1:15" x14ac:dyDescent="0.3">
      <c r="A421" s="91">
        <v>429</v>
      </c>
      <c r="B421" s="92" t="str">
        <f t="shared" si="6"/>
        <v>-Intermediate 3-Sporting Clays</v>
      </c>
      <c r="C421" s="92"/>
      <c r="D421" s="92" t="s">
        <v>352</v>
      </c>
      <c r="E421" s="92" t="s">
        <v>148</v>
      </c>
      <c r="F421" s="101" t="str">
        <f>IF(E421="Skeet",IFERROR(INDEX('Shooter-Squad Assignment'!$A:$A,MATCH(C421&amp;"-"&amp;D421&amp;"-"&amp;E421&amp;"-Pos1",'Shooter-Squad Assignment'!#REF!,0)),""),IF(E421="Trap",IFERROR(INDEX('Shooter-Squad Assignment'!$A:$A,MATCH(C421&amp;"-"&amp;D421&amp;"-"&amp;E421&amp;"-Pos1",'Shooter-Squad Assignment'!$V:$V,0)),""),IF(E421="Sporting Clays",IFERROR(INDEX('Shooter-Squad Assignment'!$A:$A,MATCH(C421&amp;"-"&amp;D421&amp;"-"&amp;E421&amp;"-Pos1",'Shooter-Squad Assignment'!$Y:$Y,0)),""),"")))</f>
        <v/>
      </c>
      <c r="G421" s="92" t="str">
        <f>IF(ISBLANK(F421),"",IFERROR(INDEX('Tournament List'!$D:$D,MATCH(F421,'Tournament List'!$A:$A,0)),""))</f>
        <v/>
      </c>
      <c r="H421" s="101" t="str">
        <f>IF(E421="Skeet",IFERROR(INDEX('Shooter-Squad Assignment'!$A:$A,MATCH(C421&amp;"-"&amp;D421&amp;"-"&amp;E421&amp;"-Pos2",'Shooter-Squad Assignment'!#REF!,0)),""),IF(E421="Trap",IFERROR(INDEX('Shooter-Squad Assignment'!$A:$A,MATCH(C421&amp;"-"&amp;D421&amp;"-"&amp;E421&amp;"-Pos2",'Shooter-Squad Assignment'!$V:$V,0)),""),IF(E421="Sporting Clays",IFERROR(INDEX('Shooter-Squad Assignment'!$A:$A,MATCH(C421&amp;"-"&amp;D421&amp;"-"&amp;E421&amp;"-Pos2",'Shooter-Squad Assignment'!$Y:$Y,0)),""),"")))</f>
        <v/>
      </c>
      <c r="I421" s="92" t="str">
        <f>IF(ISBLANK(H421),"",IFERROR(INDEX('Tournament List'!$D:$D,MATCH(H421,'Tournament List'!$A:$A,0)),""))</f>
        <v/>
      </c>
      <c r="J421" s="101" t="str">
        <f>IF(E421="Skeet",IFERROR(INDEX('Shooter-Squad Assignment'!$A:$A,MATCH(C421&amp;"-"&amp;D421&amp;"-"&amp;E421&amp;"-Pos3",'Shooter-Squad Assignment'!#REF!,0)),""),IF(E421="Trap",IFERROR(INDEX('Shooter-Squad Assignment'!$A:$A,MATCH(C421&amp;"-"&amp;D421&amp;"-"&amp;E421&amp;"-Pos3",'Shooter-Squad Assignment'!$V:$V,0)),""),IF(E421="Sporting Clays",IFERROR(INDEX('Shooter-Squad Assignment'!$A:$A,MATCH(C421&amp;"-"&amp;D421&amp;"-"&amp;E421&amp;"-Pos3",'Shooter-Squad Assignment'!$Y:$Y,0)),""),"")))</f>
        <v/>
      </c>
      <c r="K421" s="92" t="str">
        <f>IF(ISBLANK(J421),"",IFERROR(INDEX('Tournament List'!$D:$D,MATCH(J421,'Tournament List'!$A:$A,0)),""))</f>
        <v/>
      </c>
      <c r="L421" s="101" t="str">
        <f>IF(E421="Skeet",IFERROR(INDEX('Shooter-Squad Assignment'!$A:$A,MATCH(C421&amp;"-"&amp;D421&amp;"-"&amp;E421&amp;"-Pos4",'Shooter-Squad Assignment'!#REF!,0)),""),IF(E421="Trap",IFERROR(INDEX('Shooter-Squad Assignment'!$A:$A,MATCH(C421&amp;"-"&amp;D421&amp;"-"&amp;E421&amp;"-Pos4",'Shooter-Squad Assignment'!$V:$V,0)),""),IF(E421="Sporting Clays",IFERROR(INDEX('Shooter-Squad Assignment'!$A:$A,MATCH(C421&amp;"-"&amp;D421&amp;"-"&amp;E421&amp;"-Pos4",'Shooter-Squad Assignment'!$Y:$Y,0)),""),"")))</f>
        <v/>
      </c>
      <c r="M421" s="92" t="str">
        <f>IF(ISBLANK(L421),"",IFERROR(INDEX('Tournament List'!$D:$D,MATCH(L421,'Tournament List'!$A:$A,0)),""))</f>
        <v/>
      </c>
      <c r="N421" s="101" t="str">
        <f>IF(E421="Skeet",IFERROR(INDEX('Shooter-Squad Assignment'!$A:$A,MATCH(C421&amp;"-"&amp;D421&amp;"-"&amp;E421&amp;"-Pos5",'Shooter-Squad Assignment'!#REF!,0)),""),IF(E421="Trap",IFERROR(INDEX('Shooter-Squad Assignment'!$A:$A,MATCH(C421&amp;"-"&amp;D421&amp;"-"&amp;E421&amp;"-Pos5",'Shooter-Squad Assignment'!$V:$V,0)),""),IF(E421="Sporting Clays",IFERROR(INDEX('Shooter-Squad Assignment'!$A:$A,MATCH(C421&amp;"-"&amp;D421&amp;"-"&amp;E421&amp;"-Pos5",'Shooter-Squad Assignment'!$Y:$Y,0)),""),"")))</f>
        <v/>
      </c>
      <c r="O421" s="93" t="str">
        <f>IF(ISBLANK(N421),"",IFERROR(INDEX('Tournament List'!$D:$D,MATCH(N421,'Tournament List'!$A:$A,0)),""))</f>
        <v/>
      </c>
    </row>
    <row r="422" spans="1:15" x14ac:dyDescent="0.3">
      <c r="A422" s="91">
        <v>430</v>
      </c>
      <c r="B422" s="92" t="str">
        <f t="shared" si="6"/>
        <v>-Junior Varsity 1-Sporting Clays</v>
      </c>
      <c r="C422" s="92"/>
      <c r="D422" s="92" t="s">
        <v>341</v>
      </c>
      <c r="E422" s="92" t="s">
        <v>148</v>
      </c>
      <c r="F422" s="101" t="str">
        <f>IF(E422="Skeet",IFERROR(INDEX('Shooter-Squad Assignment'!$A:$A,MATCH(C422&amp;"-"&amp;D422&amp;"-"&amp;E422&amp;"-Pos1",'Shooter-Squad Assignment'!#REF!,0)),""),IF(E422="Trap",IFERROR(INDEX('Shooter-Squad Assignment'!$A:$A,MATCH(C422&amp;"-"&amp;D422&amp;"-"&amp;E422&amp;"-Pos1",'Shooter-Squad Assignment'!$V:$V,0)),""),IF(E422="Sporting Clays",IFERROR(INDEX('Shooter-Squad Assignment'!$A:$A,MATCH(C422&amp;"-"&amp;D422&amp;"-"&amp;E422&amp;"-Pos1",'Shooter-Squad Assignment'!$Y:$Y,0)),""),"")))</f>
        <v/>
      </c>
      <c r="G422" s="92" t="str">
        <f>IF(ISBLANK(F422),"",IFERROR(INDEX('Tournament List'!$D:$D,MATCH(F422,'Tournament List'!$A:$A,0)),""))</f>
        <v/>
      </c>
      <c r="H422" s="101" t="str">
        <f>IF(E422="Skeet",IFERROR(INDEX('Shooter-Squad Assignment'!$A:$A,MATCH(C422&amp;"-"&amp;D422&amp;"-"&amp;E422&amp;"-Pos2",'Shooter-Squad Assignment'!#REF!,0)),""),IF(E422="Trap",IFERROR(INDEX('Shooter-Squad Assignment'!$A:$A,MATCH(C422&amp;"-"&amp;D422&amp;"-"&amp;E422&amp;"-Pos2",'Shooter-Squad Assignment'!$V:$V,0)),""),IF(E422="Sporting Clays",IFERROR(INDEX('Shooter-Squad Assignment'!$A:$A,MATCH(C422&amp;"-"&amp;D422&amp;"-"&amp;E422&amp;"-Pos2",'Shooter-Squad Assignment'!$Y:$Y,0)),""),"")))</f>
        <v/>
      </c>
      <c r="I422" s="92" t="str">
        <f>IF(ISBLANK(H422),"",IFERROR(INDEX('Tournament List'!$D:$D,MATCH(H422,'Tournament List'!$A:$A,0)),""))</f>
        <v/>
      </c>
      <c r="J422" s="101" t="str">
        <f>IF(E422="Skeet",IFERROR(INDEX('Shooter-Squad Assignment'!$A:$A,MATCH(C422&amp;"-"&amp;D422&amp;"-"&amp;E422&amp;"-Pos3",'Shooter-Squad Assignment'!#REF!,0)),""),IF(E422="Trap",IFERROR(INDEX('Shooter-Squad Assignment'!$A:$A,MATCH(C422&amp;"-"&amp;D422&amp;"-"&amp;E422&amp;"-Pos3",'Shooter-Squad Assignment'!$V:$V,0)),""),IF(E422="Sporting Clays",IFERROR(INDEX('Shooter-Squad Assignment'!$A:$A,MATCH(C422&amp;"-"&amp;D422&amp;"-"&amp;E422&amp;"-Pos3",'Shooter-Squad Assignment'!$Y:$Y,0)),""),"")))</f>
        <v/>
      </c>
      <c r="K422" s="92" t="str">
        <f>IF(ISBLANK(J422),"",IFERROR(INDEX('Tournament List'!$D:$D,MATCH(J422,'Tournament List'!$A:$A,0)),""))</f>
        <v/>
      </c>
      <c r="L422" s="101" t="str">
        <f>IF(E422="Skeet",IFERROR(INDEX('Shooter-Squad Assignment'!$A:$A,MATCH(C422&amp;"-"&amp;D422&amp;"-"&amp;E422&amp;"-Pos4",'Shooter-Squad Assignment'!#REF!,0)),""),IF(E422="Trap",IFERROR(INDEX('Shooter-Squad Assignment'!$A:$A,MATCH(C422&amp;"-"&amp;D422&amp;"-"&amp;E422&amp;"-Pos4",'Shooter-Squad Assignment'!$V:$V,0)),""),IF(E422="Sporting Clays",IFERROR(INDEX('Shooter-Squad Assignment'!$A:$A,MATCH(C422&amp;"-"&amp;D422&amp;"-"&amp;E422&amp;"-Pos4",'Shooter-Squad Assignment'!$Y:$Y,0)),""),"")))</f>
        <v/>
      </c>
      <c r="M422" s="92" t="str">
        <f>IF(ISBLANK(L422),"",IFERROR(INDEX('Tournament List'!$D:$D,MATCH(L422,'Tournament List'!$A:$A,0)),""))</f>
        <v/>
      </c>
      <c r="N422" s="101" t="str">
        <f>IF(E422="Skeet",IFERROR(INDEX('Shooter-Squad Assignment'!$A:$A,MATCH(C422&amp;"-"&amp;D422&amp;"-"&amp;E422&amp;"-Pos5",'Shooter-Squad Assignment'!#REF!,0)),""),IF(E422="Trap",IFERROR(INDEX('Shooter-Squad Assignment'!$A:$A,MATCH(C422&amp;"-"&amp;D422&amp;"-"&amp;E422&amp;"-Pos5",'Shooter-Squad Assignment'!$V:$V,0)),""),IF(E422="Sporting Clays",IFERROR(INDEX('Shooter-Squad Assignment'!$A:$A,MATCH(C422&amp;"-"&amp;D422&amp;"-"&amp;E422&amp;"-Pos5",'Shooter-Squad Assignment'!$Y:$Y,0)),""),"")))</f>
        <v/>
      </c>
      <c r="O422" s="93" t="str">
        <f>IF(ISBLANK(N422),"",IFERROR(INDEX('Tournament List'!$D:$D,MATCH(N422,'Tournament List'!$A:$A,0)),""))</f>
        <v/>
      </c>
    </row>
    <row r="423" spans="1:15" x14ac:dyDescent="0.3">
      <c r="A423" s="91">
        <v>431</v>
      </c>
      <c r="B423" s="92" t="str">
        <f t="shared" si="6"/>
        <v>-Junior Varsity 2-Sporting Clays</v>
      </c>
      <c r="C423" s="92"/>
      <c r="D423" s="92" t="s">
        <v>347</v>
      </c>
      <c r="E423" s="92" t="s">
        <v>148</v>
      </c>
      <c r="F423" s="101" t="str">
        <f>IF(E423="Skeet",IFERROR(INDEX('Shooter-Squad Assignment'!$A:$A,MATCH(C423&amp;"-"&amp;D423&amp;"-"&amp;E423&amp;"-Pos1",'Shooter-Squad Assignment'!#REF!,0)),""),IF(E423="Trap",IFERROR(INDEX('Shooter-Squad Assignment'!$A:$A,MATCH(C423&amp;"-"&amp;D423&amp;"-"&amp;E423&amp;"-Pos1",'Shooter-Squad Assignment'!$V:$V,0)),""),IF(E423="Sporting Clays",IFERROR(INDEX('Shooter-Squad Assignment'!$A:$A,MATCH(C423&amp;"-"&amp;D423&amp;"-"&amp;E423&amp;"-Pos1",'Shooter-Squad Assignment'!$Y:$Y,0)),""),"")))</f>
        <v/>
      </c>
      <c r="G423" s="92" t="str">
        <f>IF(ISBLANK(F423),"",IFERROR(INDEX('Tournament List'!$D:$D,MATCH(F423,'Tournament List'!$A:$A,0)),""))</f>
        <v/>
      </c>
      <c r="H423" s="101" t="str">
        <f>IF(E423="Skeet",IFERROR(INDEX('Shooter-Squad Assignment'!$A:$A,MATCH(C423&amp;"-"&amp;D423&amp;"-"&amp;E423&amp;"-Pos2",'Shooter-Squad Assignment'!#REF!,0)),""),IF(E423="Trap",IFERROR(INDEX('Shooter-Squad Assignment'!$A:$A,MATCH(C423&amp;"-"&amp;D423&amp;"-"&amp;E423&amp;"-Pos2",'Shooter-Squad Assignment'!$V:$V,0)),""),IF(E423="Sporting Clays",IFERROR(INDEX('Shooter-Squad Assignment'!$A:$A,MATCH(C423&amp;"-"&amp;D423&amp;"-"&amp;E423&amp;"-Pos2",'Shooter-Squad Assignment'!$Y:$Y,0)),""),"")))</f>
        <v/>
      </c>
      <c r="I423" s="92" t="str">
        <f>IF(ISBLANK(H423),"",IFERROR(INDEX('Tournament List'!$D:$D,MATCH(H423,'Tournament List'!$A:$A,0)),""))</f>
        <v/>
      </c>
      <c r="J423" s="101" t="str">
        <f>IF(E423="Skeet",IFERROR(INDEX('Shooter-Squad Assignment'!$A:$A,MATCH(C423&amp;"-"&amp;D423&amp;"-"&amp;E423&amp;"-Pos3",'Shooter-Squad Assignment'!#REF!,0)),""),IF(E423="Trap",IFERROR(INDEX('Shooter-Squad Assignment'!$A:$A,MATCH(C423&amp;"-"&amp;D423&amp;"-"&amp;E423&amp;"-Pos3",'Shooter-Squad Assignment'!$V:$V,0)),""),IF(E423="Sporting Clays",IFERROR(INDEX('Shooter-Squad Assignment'!$A:$A,MATCH(C423&amp;"-"&amp;D423&amp;"-"&amp;E423&amp;"-Pos3",'Shooter-Squad Assignment'!$Y:$Y,0)),""),"")))</f>
        <v/>
      </c>
      <c r="K423" s="92" t="str">
        <f>IF(ISBLANK(J423),"",IFERROR(INDEX('Tournament List'!$D:$D,MATCH(J423,'Tournament List'!$A:$A,0)),""))</f>
        <v/>
      </c>
      <c r="L423" s="101" t="str">
        <f>IF(E423="Skeet",IFERROR(INDEX('Shooter-Squad Assignment'!$A:$A,MATCH(C423&amp;"-"&amp;D423&amp;"-"&amp;E423&amp;"-Pos4",'Shooter-Squad Assignment'!#REF!,0)),""),IF(E423="Trap",IFERROR(INDEX('Shooter-Squad Assignment'!$A:$A,MATCH(C423&amp;"-"&amp;D423&amp;"-"&amp;E423&amp;"-Pos4",'Shooter-Squad Assignment'!$V:$V,0)),""),IF(E423="Sporting Clays",IFERROR(INDEX('Shooter-Squad Assignment'!$A:$A,MATCH(C423&amp;"-"&amp;D423&amp;"-"&amp;E423&amp;"-Pos4",'Shooter-Squad Assignment'!$Y:$Y,0)),""),"")))</f>
        <v/>
      </c>
      <c r="M423" s="92" t="str">
        <f>IF(ISBLANK(L423),"",IFERROR(INDEX('Tournament List'!$D:$D,MATCH(L423,'Tournament List'!$A:$A,0)),""))</f>
        <v/>
      </c>
      <c r="N423" s="101" t="str">
        <f>IF(E423="Skeet",IFERROR(INDEX('Shooter-Squad Assignment'!$A:$A,MATCH(C423&amp;"-"&amp;D423&amp;"-"&amp;E423&amp;"-Pos5",'Shooter-Squad Assignment'!#REF!,0)),""),IF(E423="Trap",IFERROR(INDEX('Shooter-Squad Assignment'!$A:$A,MATCH(C423&amp;"-"&amp;D423&amp;"-"&amp;E423&amp;"-Pos5",'Shooter-Squad Assignment'!$V:$V,0)),""),IF(E423="Sporting Clays",IFERROR(INDEX('Shooter-Squad Assignment'!$A:$A,MATCH(C423&amp;"-"&amp;D423&amp;"-"&amp;E423&amp;"-Pos5",'Shooter-Squad Assignment'!$Y:$Y,0)),""),"")))</f>
        <v/>
      </c>
      <c r="O423" s="93" t="str">
        <f>IF(ISBLANK(N423),"",IFERROR(INDEX('Tournament List'!$D:$D,MATCH(N423,'Tournament List'!$A:$A,0)),""))</f>
        <v/>
      </c>
    </row>
    <row r="424" spans="1:15" x14ac:dyDescent="0.3">
      <c r="A424" s="91">
        <v>432</v>
      </c>
      <c r="B424" s="92" t="str">
        <f t="shared" si="6"/>
        <v>-Junior Varsity 3-Sporting Clays</v>
      </c>
      <c r="C424" s="92"/>
      <c r="D424" s="92" t="s">
        <v>353</v>
      </c>
      <c r="E424" s="92" t="s">
        <v>148</v>
      </c>
      <c r="F424" s="101" t="str">
        <f>IF(E424="Skeet",IFERROR(INDEX('Shooter-Squad Assignment'!$A:$A,MATCH(C424&amp;"-"&amp;D424&amp;"-"&amp;E424&amp;"-Pos1",'Shooter-Squad Assignment'!#REF!,0)),""),IF(E424="Trap",IFERROR(INDEX('Shooter-Squad Assignment'!$A:$A,MATCH(C424&amp;"-"&amp;D424&amp;"-"&amp;E424&amp;"-Pos1",'Shooter-Squad Assignment'!$V:$V,0)),""),IF(E424="Sporting Clays",IFERROR(INDEX('Shooter-Squad Assignment'!$A:$A,MATCH(C424&amp;"-"&amp;D424&amp;"-"&amp;E424&amp;"-Pos1",'Shooter-Squad Assignment'!$Y:$Y,0)),""),"")))</f>
        <v/>
      </c>
      <c r="G424" s="92" t="str">
        <f>IF(ISBLANK(F424),"",IFERROR(INDEX('Tournament List'!$D:$D,MATCH(F424,'Tournament List'!$A:$A,0)),""))</f>
        <v/>
      </c>
      <c r="H424" s="101" t="str">
        <f>IF(E424="Skeet",IFERROR(INDEX('Shooter-Squad Assignment'!$A:$A,MATCH(C424&amp;"-"&amp;D424&amp;"-"&amp;E424&amp;"-Pos2",'Shooter-Squad Assignment'!#REF!,0)),""),IF(E424="Trap",IFERROR(INDEX('Shooter-Squad Assignment'!$A:$A,MATCH(C424&amp;"-"&amp;D424&amp;"-"&amp;E424&amp;"-Pos2",'Shooter-Squad Assignment'!$V:$V,0)),""),IF(E424="Sporting Clays",IFERROR(INDEX('Shooter-Squad Assignment'!$A:$A,MATCH(C424&amp;"-"&amp;D424&amp;"-"&amp;E424&amp;"-Pos2",'Shooter-Squad Assignment'!$Y:$Y,0)),""),"")))</f>
        <v/>
      </c>
      <c r="I424" s="92" t="str">
        <f>IF(ISBLANK(H424),"",IFERROR(INDEX('Tournament List'!$D:$D,MATCH(H424,'Tournament List'!$A:$A,0)),""))</f>
        <v/>
      </c>
      <c r="J424" s="101" t="str">
        <f>IF(E424="Skeet",IFERROR(INDEX('Shooter-Squad Assignment'!$A:$A,MATCH(C424&amp;"-"&amp;D424&amp;"-"&amp;E424&amp;"-Pos3",'Shooter-Squad Assignment'!#REF!,0)),""),IF(E424="Trap",IFERROR(INDEX('Shooter-Squad Assignment'!$A:$A,MATCH(C424&amp;"-"&amp;D424&amp;"-"&amp;E424&amp;"-Pos3",'Shooter-Squad Assignment'!$V:$V,0)),""),IF(E424="Sporting Clays",IFERROR(INDEX('Shooter-Squad Assignment'!$A:$A,MATCH(C424&amp;"-"&amp;D424&amp;"-"&amp;E424&amp;"-Pos3",'Shooter-Squad Assignment'!$Y:$Y,0)),""),"")))</f>
        <v/>
      </c>
      <c r="K424" s="92" t="str">
        <f>IF(ISBLANK(J424),"",IFERROR(INDEX('Tournament List'!$D:$D,MATCH(J424,'Tournament List'!$A:$A,0)),""))</f>
        <v/>
      </c>
      <c r="L424" s="101" t="str">
        <f>IF(E424="Skeet",IFERROR(INDEX('Shooter-Squad Assignment'!$A:$A,MATCH(C424&amp;"-"&amp;D424&amp;"-"&amp;E424&amp;"-Pos4",'Shooter-Squad Assignment'!#REF!,0)),""),IF(E424="Trap",IFERROR(INDEX('Shooter-Squad Assignment'!$A:$A,MATCH(C424&amp;"-"&amp;D424&amp;"-"&amp;E424&amp;"-Pos4",'Shooter-Squad Assignment'!$V:$V,0)),""),IF(E424="Sporting Clays",IFERROR(INDEX('Shooter-Squad Assignment'!$A:$A,MATCH(C424&amp;"-"&amp;D424&amp;"-"&amp;E424&amp;"-Pos4",'Shooter-Squad Assignment'!$Y:$Y,0)),""),"")))</f>
        <v/>
      </c>
      <c r="M424" s="92" t="str">
        <f>IF(ISBLANK(L424),"",IFERROR(INDEX('Tournament List'!$D:$D,MATCH(L424,'Tournament List'!$A:$A,0)),""))</f>
        <v/>
      </c>
      <c r="N424" s="101" t="str">
        <f>IF(E424="Skeet",IFERROR(INDEX('Shooter-Squad Assignment'!$A:$A,MATCH(C424&amp;"-"&amp;D424&amp;"-"&amp;E424&amp;"-Pos5",'Shooter-Squad Assignment'!#REF!,0)),""),IF(E424="Trap",IFERROR(INDEX('Shooter-Squad Assignment'!$A:$A,MATCH(C424&amp;"-"&amp;D424&amp;"-"&amp;E424&amp;"-Pos5",'Shooter-Squad Assignment'!$V:$V,0)),""),IF(E424="Sporting Clays",IFERROR(INDEX('Shooter-Squad Assignment'!$A:$A,MATCH(C424&amp;"-"&amp;D424&amp;"-"&amp;E424&amp;"-Pos5",'Shooter-Squad Assignment'!$Y:$Y,0)),""),"")))</f>
        <v/>
      </c>
      <c r="O424" s="93" t="str">
        <f>IF(ISBLANK(N424),"",IFERROR(INDEX('Tournament List'!$D:$D,MATCH(N424,'Tournament List'!$A:$A,0)),""))</f>
        <v/>
      </c>
    </row>
    <row r="425" spans="1:15" x14ac:dyDescent="0.3">
      <c r="A425" s="91">
        <v>433</v>
      </c>
      <c r="B425" s="92" t="str">
        <f t="shared" si="6"/>
        <v>-Novice 1-Sporting Clays</v>
      </c>
      <c r="C425" s="92"/>
      <c r="D425" s="92" t="s">
        <v>339</v>
      </c>
      <c r="E425" s="92" t="s">
        <v>148</v>
      </c>
      <c r="F425" s="101" t="str">
        <f>IF(E425="Skeet",IFERROR(INDEX('Shooter-Squad Assignment'!$A:$A,MATCH(C425&amp;"-"&amp;D425&amp;"-"&amp;E425&amp;"-Pos1",'Shooter-Squad Assignment'!#REF!,0)),""),IF(E425="Trap",IFERROR(INDEX('Shooter-Squad Assignment'!$A:$A,MATCH(C425&amp;"-"&amp;D425&amp;"-"&amp;E425&amp;"-Pos1",'Shooter-Squad Assignment'!$V:$V,0)),""),IF(E425="Sporting Clays",IFERROR(INDEX('Shooter-Squad Assignment'!$A:$A,MATCH(C425&amp;"-"&amp;D425&amp;"-"&amp;E425&amp;"-Pos1",'Shooter-Squad Assignment'!$Y:$Y,0)),""),"")))</f>
        <v/>
      </c>
      <c r="G425" s="92" t="str">
        <f>IF(ISBLANK(F425),"",IFERROR(INDEX('Tournament List'!$D:$D,MATCH(F425,'Tournament List'!$A:$A,0)),""))</f>
        <v/>
      </c>
      <c r="H425" s="101" t="str">
        <f>IF(E425="Skeet",IFERROR(INDEX('Shooter-Squad Assignment'!$A:$A,MATCH(C425&amp;"-"&amp;D425&amp;"-"&amp;E425&amp;"-Pos2",'Shooter-Squad Assignment'!#REF!,0)),""),IF(E425="Trap",IFERROR(INDEX('Shooter-Squad Assignment'!$A:$A,MATCH(C425&amp;"-"&amp;D425&amp;"-"&amp;E425&amp;"-Pos2",'Shooter-Squad Assignment'!$V:$V,0)),""),IF(E425="Sporting Clays",IFERROR(INDEX('Shooter-Squad Assignment'!$A:$A,MATCH(C425&amp;"-"&amp;D425&amp;"-"&amp;E425&amp;"-Pos2",'Shooter-Squad Assignment'!$Y:$Y,0)),""),"")))</f>
        <v/>
      </c>
      <c r="I425" s="92" t="str">
        <f>IF(ISBLANK(H425),"",IFERROR(INDEX('Tournament List'!$D:$D,MATCH(H425,'Tournament List'!$A:$A,0)),""))</f>
        <v/>
      </c>
      <c r="J425" s="101" t="str">
        <f>IF(E425="Skeet",IFERROR(INDEX('Shooter-Squad Assignment'!$A:$A,MATCH(C425&amp;"-"&amp;D425&amp;"-"&amp;E425&amp;"-Pos3",'Shooter-Squad Assignment'!#REF!,0)),""),IF(E425="Trap",IFERROR(INDEX('Shooter-Squad Assignment'!$A:$A,MATCH(C425&amp;"-"&amp;D425&amp;"-"&amp;E425&amp;"-Pos3",'Shooter-Squad Assignment'!$V:$V,0)),""),IF(E425="Sporting Clays",IFERROR(INDEX('Shooter-Squad Assignment'!$A:$A,MATCH(C425&amp;"-"&amp;D425&amp;"-"&amp;E425&amp;"-Pos3",'Shooter-Squad Assignment'!$Y:$Y,0)),""),"")))</f>
        <v/>
      </c>
      <c r="K425" s="92" t="str">
        <f>IF(ISBLANK(J425),"",IFERROR(INDEX('Tournament List'!$D:$D,MATCH(J425,'Tournament List'!$A:$A,0)),""))</f>
        <v/>
      </c>
      <c r="L425" s="101" t="str">
        <f>IF(E425="Skeet",IFERROR(INDEX('Shooter-Squad Assignment'!$A:$A,MATCH(C425&amp;"-"&amp;D425&amp;"-"&amp;E425&amp;"-Pos4",'Shooter-Squad Assignment'!#REF!,0)),""),IF(E425="Trap",IFERROR(INDEX('Shooter-Squad Assignment'!$A:$A,MATCH(C425&amp;"-"&amp;D425&amp;"-"&amp;E425&amp;"-Pos4",'Shooter-Squad Assignment'!$V:$V,0)),""),IF(E425="Sporting Clays",IFERROR(INDEX('Shooter-Squad Assignment'!$A:$A,MATCH(C425&amp;"-"&amp;D425&amp;"-"&amp;E425&amp;"-Pos4",'Shooter-Squad Assignment'!$Y:$Y,0)),""),"")))</f>
        <v/>
      </c>
      <c r="M425" s="92" t="str">
        <f>IF(ISBLANK(L425),"",IFERROR(INDEX('Tournament List'!$D:$D,MATCH(L425,'Tournament List'!$A:$A,0)),""))</f>
        <v/>
      </c>
      <c r="N425" s="101" t="str">
        <f>IF(E425="Skeet",IFERROR(INDEX('Shooter-Squad Assignment'!$A:$A,MATCH(C425&amp;"-"&amp;D425&amp;"-"&amp;E425&amp;"-Pos5",'Shooter-Squad Assignment'!#REF!,0)),""),IF(E425="Trap",IFERROR(INDEX('Shooter-Squad Assignment'!$A:$A,MATCH(C425&amp;"-"&amp;D425&amp;"-"&amp;E425&amp;"-Pos5",'Shooter-Squad Assignment'!$V:$V,0)),""),IF(E425="Sporting Clays",IFERROR(INDEX('Shooter-Squad Assignment'!$A:$A,MATCH(C425&amp;"-"&amp;D425&amp;"-"&amp;E425&amp;"-Pos5",'Shooter-Squad Assignment'!$Y:$Y,0)),""),"")))</f>
        <v/>
      </c>
      <c r="O425" s="93" t="str">
        <f>IF(ISBLANK(N425),"",IFERROR(INDEX('Tournament List'!$D:$D,MATCH(N425,'Tournament List'!$A:$A,0)),""))</f>
        <v/>
      </c>
    </row>
    <row r="426" spans="1:15" x14ac:dyDescent="0.3">
      <c r="A426" s="91">
        <v>434</v>
      </c>
      <c r="B426" s="92" t="str">
        <f t="shared" si="6"/>
        <v>-Novice 2-Sporting Clays</v>
      </c>
      <c r="C426" s="92"/>
      <c r="D426" s="92" t="s">
        <v>345</v>
      </c>
      <c r="E426" s="92" t="s">
        <v>148</v>
      </c>
      <c r="F426" s="101" t="str">
        <f>IF(E426="Skeet",IFERROR(INDEX('Shooter-Squad Assignment'!$A:$A,MATCH(C426&amp;"-"&amp;D426&amp;"-"&amp;E426&amp;"-Pos1",'Shooter-Squad Assignment'!#REF!,0)),""),IF(E426="Trap",IFERROR(INDEX('Shooter-Squad Assignment'!$A:$A,MATCH(C426&amp;"-"&amp;D426&amp;"-"&amp;E426&amp;"-Pos1",'Shooter-Squad Assignment'!$V:$V,0)),""),IF(E426="Sporting Clays",IFERROR(INDEX('Shooter-Squad Assignment'!$A:$A,MATCH(C426&amp;"-"&amp;D426&amp;"-"&amp;E426&amp;"-Pos1",'Shooter-Squad Assignment'!$Y:$Y,0)),""),"")))</f>
        <v/>
      </c>
      <c r="G426" s="92" t="str">
        <f>IF(ISBLANK(F426),"",IFERROR(INDEX('Tournament List'!$D:$D,MATCH(F426,'Tournament List'!$A:$A,0)),""))</f>
        <v/>
      </c>
      <c r="H426" s="101" t="str">
        <f>IF(E426="Skeet",IFERROR(INDEX('Shooter-Squad Assignment'!$A:$A,MATCH(C426&amp;"-"&amp;D426&amp;"-"&amp;E426&amp;"-Pos2",'Shooter-Squad Assignment'!#REF!,0)),""),IF(E426="Trap",IFERROR(INDEX('Shooter-Squad Assignment'!$A:$A,MATCH(C426&amp;"-"&amp;D426&amp;"-"&amp;E426&amp;"-Pos2",'Shooter-Squad Assignment'!$V:$V,0)),""),IF(E426="Sporting Clays",IFERROR(INDEX('Shooter-Squad Assignment'!$A:$A,MATCH(C426&amp;"-"&amp;D426&amp;"-"&amp;E426&amp;"-Pos2",'Shooter-Squad Assignment'!$Y:$Y,0)),""),"")))</f>
        <v/>
      </c>
      <c r="I426" s="92" t="str">
        <f>IF(ISBLANK(H426),"",IFERROR(INDEX('Tournament List'!$D:$D,MATCH(H426,'Tournament List'!$A:$A,0)),""))</f>
        <v/>
      </c>
      <c r="J426" s="101" t="str">
        <f>IF(E426="Skeet",IFERROR(INDEX('Shooter-Squad Assignment'!$A:$A,MATCH(C426&amp;"-"&amp;D426&amp;"-"&amp;E426&amp;"-Pos3",'Shooter-Squad Assignment'!#REF!,0)),""),IF(E426="Trap",IFERROR(INDEX('Shooter-Squad Assignment'!$A:$A,MATCH(C426&amp;"-"&amp;D426&amp;"-"&amp;E426&amp;"-Pos3",'Shooter-Squad Assignment'!$V:$V,0)),""),IF(E426="Sporting Clays",IFERROR(INDEX('Shooter-Squad Assignment'!$A:$A,MATCH(C426&amp;"-"&amp;D426&amp;"-"&amp;E426&amp;"-Pos3",'Shooter-Squad Assignment'!$Y:$Y,0)),""),"")))</f>
        <v/>
      </c>
      <c r="K426" s="92" t="str">
        <f>IF(ISBLANK(J426),"",IFERROR(INDEX('Tournament List'!$D:$D,MATCH(J426,'Tournament List'!$A:$A,0)),""))</f>
        <v/>
      </c>
      <c r="L426" s="101" t="str">
        <f>IF(E426="Skeet",IFERROR(INDEX('Shooter-Squad Assignment'!$A:$A,MATCH(C426&amp;"-"&amp;D426&amp;"-"&amp;E426&amp;"-Pos4",'Shooter-Squad Assignment'!#REF!,0)),""),IF(E426="Trap",IFERROR(INDEX('Shooter-Squad Assignment'!$A:$A,MATCH(C426&amp;"-"&amp;D426&amp;"-"&amp;E426&amp;"-Pos4",'Shooter-Squad Assignment'!$V:$V,0)),""),IF(E426="Sporting Clays",IFERROR(INDEX('Shooter-Squad Assignment'!$A:$A,MATCH(C426&amp;"-"&amp;D426&amp;"-"&amp;E426&amp;"-Pos4",'Shooter-Squad Assignment'!$Y:$Y,0)),""),"")))</f>
        <v/>
      </c>
      <c r="M426" s="92" t="str">
        <f>IF(ISBLANK(L426),"",IFERROR(INDEX('Tournament List'!$D:$D,MATCH(L426,'Tournament List'!$A:$A,0)),""))</f>
        <v/>
      </c>
      <c r="N426" s="101" t="str">
        <f>IF(E426="Skeet",IFERROR(INDEX('Shooter-Squad Assignment'!$A:$A,MATCH(C426&amp;"-"&amp;D426&amp;"-"&amp;E426&amp;"-Pos5",'Shooter-Squad Assignment'!#REF!,0)),""),IF(E426="Trap",IFERROR(INDEX('Shooter-Squad Assignment'!$A:$A,MATCH(C426&amp;"-"&amp;D426&amp;"-"&amp;E426&amp;"-Pos5",'Shooter-Squad Assignment'!$V:$V,0)),""),IF(E426="Sporting Clays",IFERROR(INDEX('Shooter-Squad Assignment'!$A:$A,MATCH(C426&amp;"-"&amp;D426&amp;"-"&amp;E426&amp;"-Pos5",'Shooter-Squad Assignment'!$Y:$Y,0)),""),"")))</f>
        <v/>
      </c>
      <c r="O426" s="93" t="str">
        <f>IF(ISBLANK(N426),"",IFERROR(INDEX('Tournament List'!$D:$D,MATCH(N426,'Tournament List'!$A:$A,0)),""))</f>
        <v/>
      </c>
    </row>
    <row r="427" spans="1:15" x14ac:dyDescent="0.3">
      <c r="A427" s="91">
        <v>435</v>
      </c>
      <c r="B427" s="92" t="str">
        <f t="shared" si="6"/>
        <v>-Novice 3-Sporting Clays</v>
      </c>
      <c r="C427" s="92"/>
      <c r="D427" s="92" t="s">
        <v>351</v>
      </c>
      <c r="E427" s="92" t="s">
        <v>148</v>
      </c>
      <c r="F427" s="101" t="str">
        <f>IF(E427="Skeet",IFERROR(INDEX('Shooter-Squad Assignment'!$A:$A,MATCH(C427&amp;"-"&amp;D427&amp;"-"&amp;E427&amp;"-Pos1",'Shooter-Squad Assignment'!#REF!,0)),""),IF(E427="Trap",IFERROR(INDEX('Shooter-Squad Assignment'!$A:$A,MATCH(C427&amp;"-"&amp;D427&amp;"-"&amp;E427&amp;"-Pos1",'Shooter-Squad Assignment'!$V:$V,0)),""),IF(E427="Sporting Clays",IFERROR(INDEX('Shooter-Squad Assignment'!$A:$A,MATCH(C427&amp;"-"&amp;D427&amp;"-"&amp;E427&amp;"-Pos1",'Shooter-Squad Assignment'!$Y:$Y,0)),""),"")))</f>
        <v/>
      </c>
      <c r="G427" s="92" t="str">
        <f>IF(ISBLANK(F427),"",IFERROR(INDEX('Tournament List'!$D:$D,MATCH(F427,'Tournament List'!$A:$A,0)),""))</f>
        <v/>
      </c>
      <c r="H427" s="101" t="str">
        <f>IF(E427="Skeet",IFERROR(INDEX('Shooter-Squad Assignment'!$A:$A,MATCH(C427&amp;"-"&amp;D427&amp;"-"&amp;E427&amp;"-Pos2",'Shooter-Squad Assignment'!#REF!,0)),""),IF(E427="Trap",IFERROR(INDEX('Shooter-Squad Assignment'!$A:$A,MATCH(C427&amp;"-"&amp;D427&amp;"-"&amp;E427&amp;"-Pos2",'Shooter-Squad Assignment'!$V:$V,0)),""),IF(E427="Sporting Clays",IFERROR(INDEX('Shooter-Squad Assignment'!$A:$A,MATCH(C427&amp;"-"&amp;D427&amp;"-"&amp;E427&amp;"-Pos2",'Shooter-Squad Assignment'!$Y:$Y,0)),""),"")))</f>
        <v/>
      </c>
      <c r="I427" s="92" t="str">
        <f>IF(ISBLANK(H427),"",IFERROR(INDEX('Tournament List'!$D:$D,MATCH(H427,'Tournament List'!$A:$A,0)),""))</f>
        <v/>
      </c>
      <c r="J427" s="101" t="str">
        <f>IF(E427="Skeet",IFERROR(INDEX('Shooter-Squad Assignment'!$A:$A,MATCH(C427&amp;"-"&amp;D427&amp;"-"&amp;E427&amp;"-Pos3",'Shooter-Squad Assignment'!#REF!,0)),""),IF(E427="Trap",IFERROR(INDEX('Shooter-Squad Assignment'!$A:$A,MATCH(C427&amp;"-"&amp;D427&amp;"-"&amp;E427&amp;"-Pos3",'Shooter-Squad Assignment'!$V:$V,0)),""),IF(E427="Sporting Clays",IFERROR(INDEX('Shooter-Squad Assignment'!$A:$A,MATCH(C427&amp;"-"&amp;D427&amp;"-"&amp;E427&amp;"-Pos3",'Shooter-Squad Assignment'!$Y:$Y,0)),""),"")))</f>
        <v/>
      </c>
      <c r="K427" s="92" t="str">
        <f>IF(ISBLANK(J427),"",IFERROR(INDEX('Tournament List'!$D:$D,MATCH(J427,'Tournament List'!$A:$A,0)),""))</f>
        <v/>
      </c>
      <c r="L427" s="101" t="str">
        <f>IF(E427="Skeet",IFERROR(INDEX('Shooter-Squad Assignment'!$A:$A,MATCH(C427&amp;"-"&amp;D427&amp;"-"&amp;E427&amp;"-Pos4",'Shooter-Squad Assignment'!#REF!,0)),""),IF(E427="Trap",IFERROR(INDEX('Shooter-Squad Assignment'!$A:$A,MATCH(C427&amp;"-"&amp;D427&amp;"-"&amp;E427&amp;"-Pos4",'Shooter-Squad Assignment'!$V:$V,0)),""),IF(E427="Sporting Clays",IFERROR(INDEX('Shooter-Squad Assignment'!$A:$A,MATCH(C427&amp;"-"&amp;D427&amp;"-"&amp;E427&amp;"-Pos4",'Shooter-Squad Assignment'!$Y:$Y,0)),""),"")))</f>
        <v/>
      </c>
      <c r="M427" s="92" t="str">
        <f>IF(ISBLANK(L427),"",IFERROR(INDEX('Tournament List'!$D:$D,MATCH(L427,'Tournament List'!$A:$A,0)),""))</f>
        <v/>
      </c>
      <c r="N427" s="101" t="str">
        <f>IF(E427="Skeet",IFERROR(INDEX('Shooter-Squad Assignment'!$A:$A,MATCH(C427&amp;"-"&amp;D427&amp;"-"&amp;E427&amp;"-Pos5",'Shooter-Squad Assignment'!#REF!,0)),""),IF(E427="Trap",IFERROR(INDEX('Shooter-Squad Assignment'!$A:$A,MATCH(C427&amp;"-"&amp;D427&amp;"-"&amp;E427&amp;"-Pos5",'Shooter-Squad Assignment'!$V:$V,0)),""),IF(E427="Sporting Clays",IFERROR(INDEX('Shooter-Squad Assignment'!$A:$A,MATCH(C427&amp;"-"&amp;D427&amp;"-"&amp;E427&amp;"-Pos5",'Shooter-Squad Assignment'!$Y:$Y,0)),""),"")))</f>
        <v/>
      </c>
      <c r="O427" s="93" t="str">
        <f>IF(ISBLANK(N427),"",IFERROR(INDEX('Tournament List'!$D:$D,MATCH(N427,'Tournament List'!$A:$A,0)),""))</f>
        <v/>
      </c>
    </row>
    <row r="428" spans="1:15" x14ac:dyDescent="0.3">
      <c r="A428" s="91">
        <v>436</v>
      </c>
      <c r="B428" s="92" t="str">
        <f t="shared" si="6"/>
        <v>-Open 1-Sporting Clays</v>
      </c>
      <c r="C428" s="92"/>
      <c r="D428" s="92" t="s">
        <v>343</v>
      </c>
      <c r="E428" s="92" t="s">
        <v>148</v>
      </c>
      <c r="F428" s="101" t="str">
        <f>IF(E428="Skeet",IFERROR(INDEX('Shooter-Squad Assignment'!$A:$A,MATCH(C428&amp;"-"&amp;D428&amp;"-"&amp;E428&amp;"-Pos1",'Shooter-Squad Assignment'!#REF!,0)),""),IF(E428="Trap",IFERROR(INDEX('Shooter-Squad Assignment'!$A:$A,MATCH(C428&amp;"-"&amp;D428&amp;"-"&amp;E428&amp;"-Pos1",'Shooter-Squad Assignment'!$V:$V,0)),""),IF(E428="Sporting Clays",IFERROR(INDEX('Shooter-Squad Assignment'!$A:$A,MATCH(C428&amp;"-"&amp;D428&amp;"-"&amp;E428&amp;"-Pos1",'Shooter-Squad Assignment'!$Y:$Y,0)),""),"")))</f>
        <v/>
      </c>
      <c r="G428" s="92" t="str">
        <f>IF(ISBLANK(F428),"",IFERROR(INDEX('Tournament List'!$D:$D,MATCH(F428,'Tournament List'!$A:$A,0)),""))</f>
        <v/>
      </c>
      <c r="H428" s="101" t="str">
        <f>IF(E428="Skeet",IFERROR(INDEX('Shooter-Squad Assignment'!$A:$A,MATCH(C428&amp;"-"&amp;D428&amp;"-"&amp;E428&amp;"-Pos2",'Shooter-Squad Assignment'!#REF!,0)),""),IF(E428="Trap",IFERROR(INDEX('Shooter-Squad Assignment'!$A:$A,MATCH(C428&amp;"-"&amp;D428&amp;"-"&amp;E428&amp;"-Pos2",'Shooter-Squad Assignment'!$V:$V,0)),""),IF(E428="Sporting Clays",IFERROR(INDEX('Shooter-Squad Assignment'!$A:$A,MATCH(C428&amp;"-"&amp;D428&amp;"-"&amp;E428&amp;"-Pos2",'Shooter-Squad Assignment'!$Y:$Y,0)),""),"")))</f>
        <v/>
      </c>
      <c r="I428" s="92" t="str">
        <f>IF(ISBLANK(H428),"",IFERROR(INDEX('Tournament List'!$D:$D,MATCH(H428,'Tournament List'!$A:$A,0)),""))</f>
        <v/>
      </c>
      <c r="J428" s="101" t="str">
        <f>IF(E428="Skeet",IFERROR(INDEX('Shooter-Squad Assignment'!$A:$A,MATCH(C428&amp;"-"&amp;D428&amp;"-"&amp;E428&amp;"-Pos3",'Shooter-Squad Assignment'!#REF!,0)),""),IF(E428="Trap",IFERROR(INDEX('Shooter-Squad Assignment'!$A:$A,MATCH(C428&amp;"-"&amp;D428&amp;"-"&amp;E428&amp;"-Pos3",'Shooter-Squad Assignment'!$V:$V,0)),""),IF(E428="Sporting Clays",IFERROR(INDEX('Shooter-Squad Assignment'!$A:$A,MATCH(C428&amp;"-"&amp;D428&amp;"-"&amp;E428&amp;"-Pos3",'Shooter-Squad Assignment'!$Y:$Y,0)),""),"")))</f>
        <v/>
      </c>
      <c r="K428" s="92" t="str">
        <f>IF(ISBLANK(J428),"",IFERROR(INDEX('Tournament List'!$D:$D,MATCH(J428,'Tournament List'!$A:$A,0)),""))</f>
        <v/>
      </c>
      <c r="L428" s="101" t="str">
        <f>IF(E428="Skeet",IFERROR(INDEX('Shooter-Squad Assignment'!$A:$A,MATCH(C428&amp;"-"&amp;D428&amp;"-"&amp;E428&amp;"-Pos4",'Shooter-Squad Assignment'!#REF!,0)),""),IF(E428="Trap",IFERROR(INDEX('Shooter-Squad Assignment'!$A:$A,MATCH(C428&amp;"-"&amp;D428&amp;"-"&amp;E428&amp;"-Pos4",'Shooter-Squad Assignment'!$V:$V,0)),""),IF(E428="Sporting Clays",IFERROR(INDEX('Shooter-Squad Assignment'!$A:$A,MATCH(C428&amp;"-"&amp;D428&amp;"-"&amp;E428&amp;"-Pos4",'Shooter-Squad Assignment'!$Y:$Y,0)),""),"")))</f>
        <v/>
      </c>
      <c r="M428" s="92" t="str">
        <f>IF(ISBLANK(L428),"",IFERROR(INDEX('Tournament List'!$D:$D,MATCH(L428,'Tournament List'!$A:$A,0)),""))</f>
        <v/>
      </c>
      <c r="N428" s="101" t="str">
        <f>IF(E428="Skeet",IFERROR(INDEX('Shooter-Squad Assignment'!$A:$A,MATCH(C428&amp;"-"&amp;D428&amp;"-"&amp;E428&amp;"-Pos5",'Shooter-Squad Assignment'!#REF!,0)),""),IF(E428="Trap",IFERROR(INDEX('Shooter-Squad Assignment'!$A:$A,MATCH(C428&amp;"-"&amp;D428&amp;"-"&amp;E428&amp;"-Pos5",'Shooter-Squad Assignment'!$V:$V,0)),""),IF(E428="Sporting Clays",IFERROR(INDEX('Shooter-Squad Assignment'!$A:$A,MATCH(C428&amp;"-"&amp;D428&amp;"-"&amp;E428&amp;"-Pos5",'Shooter-Squad Assignment'!$Y:$Y,0)),""),"")))</f>
        <v/>
      </c>
      <c r="O428" s="93" t="str">
        <f>IF(ISBLANK(N428),"",IFERROR(INDEX('Tournament List'!$D:$D,MATCH(N428,'Tournament List'!$A:$A,0)),""))</f>
        <v/>
      </c>
    </row>
    <row r="429" spans="1:15" x14ac:dyDescent="0.3">
      <c r="A429" s="91">
        <v>437</v>
      </c>
      <c r="B429" s="92" t="str">
        <f t="shared" si="6"/>
        <v>-Open 2-Sporting Clays</v>
      </c>
      <c r="C429" s="92"/>
      <c r="D429" s="92" t="s">
        <v>349</v>
      </c>
      <c r="E429" s="92" t="s">
        <v>148</v>
      </c>
      <c r="F429" s="101" t="str">
        <f>IF(E429="Skeet",IFERROR(INDEX('Shooter-Squad Assignment'!$A:$A,MATCH(C429&amp;"-"&amp;D429&amp;"-"&amp;E429&amp;"-Pos1",'Shooter-Squad Assignment'!#REF!,0)),""),IF(E429="Trap",IFERROR(INDEX('Shooter-Squad Assignment'!$A:$A,MATCH(C429&amp;"-"&amp;D429&amp;"-"&amp;E429&amp;"-Pos1",'Shooter-Squad Assignment'!$V:$V,0)),""),IF(E429="Sporting Clays",IFERROR(INDEX('Shooter-Squad Assignment'!$A:$A,MATCH(C429&amp;"-"&amp;D429&amp;"-"&amp;E429&amp;"-Pos1",'Shooter-Squad Assignment'!$Y:$Y,0)),""),"")))</f>
        <v/>
      </c>
      <c r="G429" s="92" t="str">
        <f>IF(ISBLANK(F429),"",IFERROR(INDEX('Tournament List'!$D:$D,MATCH(F429,'Tournament List'!$A:$A,0)),""))</f>
        <v/>
      </c>
      <c r="H429" s="101" t="str">
        <f>IF(E429="Skeet",IFERROR(INDEX('Shooter-Squad Assignment'!$A:$A,MATCH(C429&amp;"-"&amp;D429&amp;"-"&amp;E429&amp;"-Pos2",'Shooter-Squad Assignment'!#REF!,0)),""),IF(E429="Trap",IFERROR(INDEX('Shooter-Squad Assignment'!$A:$A,MATCH(C429&amp;"-"&amp;D429&amp;"-"&amp;E429&amp;"-Pos2",'Shooter-Squad Assignment'!$V:$V,0)),""),IF(E429="Sporting Clays",IFERROR(INDEX('Shooter-Squad Assignment'!$A:$A,MATCH(C429&amp;"-"&amp;D429&amp;"-"&amp;E429&amp;"-Pos2",'Shooter-Squad Assignment'!$Y:$Y,0)),""),"")))</f>
        <v/>
      </c>
      <c r="I429" s="92" t="str">
        <f>IF(ISBLANK(H429),"",IFERROR(INDEX('Tournament List'!$D:$D,MATCH(H429,'Tournament List'!$A:$A,0)),""))</f>
        <v/>
      </c>
      <c r="J429" s="101" t="str">
        <f>IF(E429="Skeet",IFERROR(INDEX('Shooter-Squad Assignment'!$A:$A,MATCH(C429&amp;"-"&amp;D429&amp;"-"&amp;E429&amp;"-Pos3",'Shooter-Squad Assignment'!#REF!,0)),""),IF(E429="Trap",IFERROR(INDEX('Shooter-Squad Assignment'!$A:$A,MATCH(C429&amp;"-"&amp;D429&amp;"-"&amp;E429&amp;"-Pos3",'Shooter-Squad Assignment'!$V:$V,0)),""),IF(E429="Sporting Clays",IFERROR(INDEX('Shooter-Squad Assignment'!$A:$A,MATCH(C429&amp;"-"&amp;D429&amp;"-"&amp;E429&amp;"-Pos3",'Shooter-Squad Assignment'!$Y:$Y,0)),""),"")))</f>
        <v/>
      </c>
      <c r="K429" s="92" t="str">
        <f>IF(ISBLANK(J429),"",IFERROR(INDEX('Tournament List'!$D:$D,MATCH(J429,'Tournament List'!$A:$A,0)),""))</f>
        <v/>
      </c>
      <c r="L429" s="101" t="str">
        <f>IF(E429="Skeet",IFERROR(INDEX('Shooter-Squad Assignment'!$A:$A,MATCH(C429&amp;"-"&amp;D429&amp;"-"&amp;E429&amp;"-Pos4",'Shooter-Squad Assignment'!#REF!,0)),""),IF(E429="Trap",IFERROR(INDEX('Shooter-Squad Assignment'!$A:$A,MATCH(C429&amp;"-"&amp;D429&amp;"-"&amp;E429&amp;"-Pos4",'Shooter-Squad Assignment'!$V:$V,0)),""),IF(E429="Sporting Clays",IFERROR(INDEX('Shooter-Squad Assignment'!$A:$A,MATCH(C429&amp;"-"&amp;D429&amp;"-"&amp;E429&amp;"-Pos4",'Shooter-Squad Assignment'!$Y:$Y,0)),""),"")))</f>
        <v/>
      </c>
      <c r="M429" s="92" t="str">
        <f>IF(ISBLANK(L429),"",IFERROR(INDEX('Tournament List'!$D:$D,MATCH(L429,'Tournament List'!$A:$A,0)),""))</f>
        <v/>
      </c>
      <c r="N429" s="101" t="str">
        <f>IF(E429="Skeet",IFERROR(INDEX('Shooter-Squad Assignment'!$A:$A,MATCH(C429&amp;"-"&amp;D429&amp;"-"&amp;E429&amp;"-Pos5",'Shooter-Squad Assignment'!#REF!,0)),""),IF(E429="Trap",IFERROR(INDEX('Shooter-Squad Assignment'!$A:$A,MATCH(C429&amp;"-"&amp;D429&amp;"-"&amp;E429&amp;"-Pos5",'Shooter-Squad Assignment'!$V:$V,0)),""),IF(E429="Sporting Clays",IFERROR(INDEX('Shooter-Squad Assignment'!$A:$A,MATCH(C429&amp;"-"&amp;D429&amp;"-"&amp;E429&amp;"-Pos5",'Shooter-Squad Assignment'!$Y:$Y,0)),""),"")))</f>
        <v/>
      </c>
      <c r="O429" s="93" t="str">
        <f>IF(ISBLANK(N429),"",IFERROR(INDEX('Tournament List'!$D:$D,MATCH(N429,'Tournament List'!$A:$A,0)),""))</f>
        <v/>
      </c>
    </row>
    <row r="430" spans="1:15" x14ac:dyDescent="0.3">
      <c r="A430" s="91">
        <v>438</v>
      </c>
      <c r="B430" s="92" t="str">
        <f t="shared" si="6"/>
        <v>-Open 3-Sporting Clays</v>
      </c>
      <c r="C430" s="92"/>
      <c r="D430" s="92" t="s">
        <v>355</v>
      </c>
      <c r="E430" s="92" t="s">
        <v>148</v>
      </c>
      <c r="F430" s="101" t="str">
        <f>IF(E430="Skeet",IFERROR(INDEX('Shooter-Squad Assignment'!$A:$A,MATCH(C430&amp;"-"&amp;D430&amp;"-"&amp;E430&amp;"-Pos1",'Shooter-Squad Assignment'!#REF!,0)),""),IF(E430="Trap",IFERROR(INDEX('Shooter-Squad Assignment'!$A:$A,MATCH(C430&amp;"-"&amp;D430&amp;"-"&amp;E430&amp;"-Pos1",'Shooter-Squad Assignment'!$V:$V,0)),""),IF(E430="Sporting Clays",IFERROR(INDEX('Shooter-Squad Assignment'!$A:$A,MATCH(C430&amp;"-"&amp;D430&amp;"-"&amp;E430&amp;"-Pos1",'Shooter-Squad Assignment'!$Y:$Y,0)),""),"")))</f>
        <v/>
      </c>
      <c r="G430" s="92" t="str">
        <f>IF(ISBLANK(F430),"",IFERROR(INDEX('Tournament List'!$D:$D,MATCH(F430,'Tournament List'!$A:$A,0)),""))</f>
        <v/>
      </c>
      <c r="H430" s="101" t="str">
        <f>IF(E430="Skeet",IFERROR(INDEX('Shooter-Squad Assignment'!$A:$A,MATCH(C430&amp;"-"&amp;D430&amp;"-"&amp;E430&amp;"-Pos2",'Shooter-Squad Assignment'!#REF!,0)),""),IF(E430="Trap",IFERROR(INDEX('Shooter-Squad Assignment'!$A:$A,MATCH(C430&amp;"-"&amp;D430&amp;"-"&amp;E430&amp;"-Pos2",'Shooter-Squad Assignment'!$V:$V,0)),""),IF(E430="Sporting Clays",IFERROR(INDEX('Shooter-Squad Assignment'!$A:$A,MATCH(C430&amp;"-"&amp;D430&amp;"-"&amp;E430&amp;"-Pos2",'Shooter-Squad Assignment'!$Y:$Y,0)),""),"")))</f>
        <v/>
      </c>
      <c r="I430" s="92" t="str">
        <f>IF(ISBLANK(H430),"",IFERROR(INDEX('Tournament List'!$D:$D,MATCH(H430,'Tournament List'!$A:$A,0)),""))</f>
        <v/>
      </c>
      <c r="J430" s="101" t="str">
        <f>IF(E430="Skeet",IFERROR(INDEX('Shooter-Squad Assignment'!$A:$A,MATCH(C430&amp;"-"&amp;D430&amp;"-"&amp;E430&amp;"-Pos3",'Shooter-Squad Assignment'!#REF!,0)),""),IF(E430="Trap",IFERROR(INDEX('Shooter-Squad Assignment'!$A:$A,MATCH(C430&amp;"-"&amp;D430&amp;"-"&amp;E430&amp;"-Pos3",'Shooter-Squad Assignment'!$V:$V,0)),""),IF(E430="Sporting Clays",IFERROR(INDEX('Shooter-Squad Assignment'!$A:$A,MATCH(C430&amp;"-"&amp;D430&amp;"-"&amp;E430&amp;"-Pos3",'Shooter-Squad Assignment'!$Y:$Y,0)),""),"")))</f>
        <v/>
      </c>
      <c r="K430" s="92" t="str">
        <f>IF(ISBLANK(J430),"",IFERROR(INDEX('Tournament List'!$D:$D,MATCH(J430,'Tournament List'!$A:$A,0)),""))</f>
        <v/>
      </c>
      <c r="L430" s="101" t="str">
        <f>IF(E430="Skeet",IFERROR(INDEX('Shooter-Squad Assignment'!$A:$A,MATCH(C430&amp;"-"&amp;D430&amp;"-"&amp;E430&amp;"-Pos4",'Shooter-Squad Assignment'!#REF!,0)),""),IF(E430="Trap",IFERROR(INDEX('Shooter-Squad Assignment'!$A:$A,MATCH(C430&amp;"-"&amp;D430&amp;"-"&amp;E430&amp;"-Pos4",'Shooter-Squad Assignment'!$V:$V,0)),""),IF(E430="Sporting Clays",IFERROR(INDEX('Shooter-Squad Assignment'!$A:$A,MATCH(C430&amp;"-"&amp;D430&amp;"-"&amp;E430&amp;"-Pos4",'Shooter-Squad Assignment'!$Y:$Y,0)),""),"")))</f>
        <v/>
      </c>
      <c r="M430" s="92" t="str">
        <f>IF(ISBLANK(L430),"",IFERROR(INDEX('Tournament List'!$D:$D,MATCH(L430,'Tournament List'!$A:$A,0)),""))</f>
        <v/>
      </c>
      <c r="N430" s="101" t="str">
        <f>IF(E430="Skeet",IFERROR(INDEX('Shooter-Squad Assignment'!$A:$A,MATCH(C430&amp;"-"&amp;D430&amp;"-"&amp;E430&amp;"-Pos5",'Shooter-Squad Assignment'!#REF!,0)),""),IF(E430="Trap",IFERROR(INDEX('Shooter-Squad Assignment'!$A:$A,MATCH(C430&amp;"-"&amp;D430&amp;"-"&amp;E430&amp;"-Pos5",'Shooter-Squad Assignment'!$V:$V,0)),""),IF(E430="Sporting Clays",IFERROR(INDEX('Shooter-Squad Assignment'!$A:$A,MATCH(C430&amp;"-"&amp;D430&amp;"-"&amp;E430&amp;"-Pos5",'Shooter-Squad Assignment'!$Y:$Y,0)),""),"")))</f>
        <v/>
      </c>
      <c r="O430" s="93" t="str">
        <f>IF(ISBLANK(N430),"",IFERROR(INDEX('Tournament List'!$D:$D,MATCH(N430,'Tournament List'!$A:$A,0)),""))</f>
        <v/>
      </c>
    </row>
    <row r="431" spans="1:15" x14ac:dyDescent="0.3">
      <c r="A431" s="91">
        <v>439</v>
      </c>
      <c r="B431" s="92" t="str">
        <f t="shared" si="6"/>
        <v>-Varsity 1-Sporting Clays</v>
      </c>
      <c r="C431" s="92"/>
      <c r="D431" s="92" t="s">
        <v>342</v>
      </c>
      <c r="E431" s="92" t="s">
        <v>148</v>
      </c>
      <c r="F431" s="101" t="str">
        <f>IF(E431="Skeet",IFERROR(INDEX('Shooter-Squad Assignment'!$A:$A,MATCH(C431&amp;"-"&amp;D431&amp;"-"&amp;E431&amp;"-Pos1",'Shooter-Squad Assignment'!#REF!,0)),""),IF(E431="Trap",IFERROR(INDEX('Shooter-Squad Assignment'!$A:$A,MATCH(C431&amp;"-"&amp;D431&amp;"-"&amp;E431&amp;"-Pos1",'Shooter-Squad Assignment'!$V:$V,0)),""),IF(E431="Sporting Clays",IFERROR(INDEX('Shooter-Squad Assignment'!$A:$A,MATCH(C431&amp;"-"&amp;D431&amp;"-"&amp;E431&amp;"-Pos1",'Shooter-Squad Assignment'!$Y:$Y,0)),""),"")))</f>
        <v/>
      </c>
      <c r="G431" s="92" t="str">
        <f>IF(ISBLANK(F431),"",IFERROR(INDEX('Tournament List'!$D:$D,MATCH(F431,'Tournament List'!$A:$A,0)),""))</f>
        <v/>
      </c>
      <c r="H431" s="101" t="str">
        <f>IF(E431="Skeet",IFERROR(INDEX('Shooter-Squad Assignment'!$A:$A,MATCH(C431&amp;"-"&amp;D431&amp;"-"&amp;E431&amp;"-Pos2",'Shooter-Squad Assignment'!#REF!,0)),""),IF(E431="Trap",IFERROR(INDEX('Shooter-Squad Assignment'!$A:$A,MATCH(C431&amp;"-"&amp;D431&amp;"-"&amp;E431&amp;"-Pos2",'Shooter-Squad Assignment'!$V:$V,0)),""),IF(E431="Sporting Clays",IFERROR(INDEX('Shooter-Squad Assignment'!$A:$A,MATCH(C431&amp;"-"&amp;D431&amp;"-"&amp;E431&amp;"-Pos2",'Shooter-Squad Assignment'!$Y:$Y,0)),""),"")))</f>
        <v/>
      </c>
      <c r="I431" s="92" t="str">
        <f>IF(ISBLANK(H431),"",IFERROR(INDEX('Tournament List'!$D:$D,MATCH(H431,'Tournament List'!$A:$A,0)),""))</f>
        <v/>
      </c>
      <c r="J431" s="101" t="str">
        <f>IF(E431="Skeet",IFERROR(INDEX('Shooter-Squad Assignment'!$A:$A,MATCH(C431&amp;"-"&amp;D431&amp;"-"&amp;E431&amp;"-Pos3",'Shooter-Squad Assignment'!#REF!,0)),""),IF(E431="Trap",IFERROR(INDEX('Shooter-Squad Assignment'!$A:$A,MATCH(C431&amp;"-"&amp;D431&amp;"-"&amp;E431&amp;"-Pos3",'Shooter-Squad Assignment'!$V:$V,0)),""),IF(E431="Sporting Clays",IFERROR(INDEX('Shooter-Squad Assignment'!$A:$A,MATCH(C431&amp;"-"&amp;D431&amp;"-"&amp;E431&amp;"-Pos3",'Shooter-Squad Assignment'!$Y:$Y,0)),""),"")))</f>
        <v/>
      </c>
      <c r="K431" s="92" t="str">
        <f>IF(ISBLANK(J431),"",IFERROR(INDEX('Tournament List'!$D:$D,MATCH(J431,'Tournament List'!$A:$A,0)),""))</f>
        <v/>
      </c>
      <c r="L431" s="101" t="str">
        <f>IF(E431="Skeet",IFERROR(INDEX('Shooter-Squad Assignment'!$A:$A,MATCH(C431&amp;"-"&amp;D431&amp;"-"&amp;E431&amp;"-Pos4",'Shooter-Squad Assignment'!#REF!,0)),""),IF(E431="Trap",IFERROR(INDEX('Shooter-Squad Assignment'!$A:$A,MATCH(C431&amp;"-"&amp;D431&amp;"-"&amp;E431&amp;"-Pos4",'Shooter-Squad Assignment'!$V:$V,0)),""),IF(E431="Sporting Clays",IFERROR(INDEX('Shooter-Squad Assignment'!$A:$A,MATCH(C431&amp;"-"&amp;D431&amp;"-"&amp;E431&amp;"-Pos4",'Shooter-Squad Assignment'!$Y:$Y,0)),""),"")))</f>
        <v/>
      </c>
      <c r="M431" s="92" t="str">
        <f>IF(ISBLANK(L431),"",IFERROR(INDEX('Tournament List'!$D:$D,MATCH(L431,'Tournament List'!$A:$A,0)),""))</f>
        <v/>
      </c>
      <c r="N431" s="101" t="str">
        <f>IF(E431="Skeet",IFERROR(INDEX('Shooter-Squad Assignment'!$A:$A,MATCH(C431&amp;"-"&amp;D431&amp;"-"&amp;E431&amp;"-Pos5",'Shooter-Squad Assignment'!#REF!,0)),""),IF(E431="Trap",IFERROR(INDEX('Shooter-Squad Assignment'!$A:$A,MATCH(C431&amp;"-"&amp;D431&amp;"-"&amp;E431&amp;"-Pos5",'Shooter-Squad Assignment'!$V:$V,0)),""),IF(E431="Sporting Clays",IFERROR(INDEX('Shooter-Squad Assignment'!$A:$A,MATCH(C431&amp;"-"&amp;D431&amp;"-"&amp;E431&amp;"-Pos5",'Shooter-Squad Assignment'!$Y:$Y,0)),""),"")))</f>
        <v/>
      </c>
      <c r="O431" s="93" t="str">
        <f>IF(ISBLANK(N431),"",IFERROR(INDEX('Tournament List'!$D:$D,MATCH(N431,'Tournament List'!$A:$A,0)),""))</f>
        <v/>
      </c>
    </row>
    <row r="432" spans="1:15" x14ac:dyDescent="0.3">
      <c r="A432" s="91">
        <v>440</v>
      </c>
      <c r="B432" s="92" t="str">
        <f t="shared" si="6"/>
        <v>-Varsity 2-Sporting Clays</v>
      </c>
      <c r="C432" s="92"/>
      <c r="D432" s="92" t="s">
        <v>348</v>
      </c>
      <c r="E432" s="92" t="s">
        <v>148</v>
      </c>
      <c r="F432" s="101" t="str">
        <f>IF(E432="Skeet",IFERROR(INDEX('Shooter-Squad Assignment'!$A:$A,MATCH(C432&amp;"-"&amp;D432&amp;"-"&amp;E432&amp;"-Pos1",'Shooter-Squad Assignment'!#REF!,0)),""),IF(E432="Trap",IFERROR(INDEX('Shooter-Squad Assignment'!$A:$A,MATCH(C432&amp;"-"&amp;D432&amp;"-"&amp;E432&amp;"-Pos1",'Shooter-Squad Assignment'!$V:$V,0)),""),IF(E432="Sporting Clays",IFERROR(INDEX('Shooter-Squad Assignment'!$A:$A,MATCH(C432&amp;"-"&amp;D432&amp;"-"&amp;E432&amp;"-Pos1",'Shooter-Squad Assignment'!$Y:$Y,0)),""),"")))</f>
        <v/>
      </c>
      <c r="G432" s="92" t="str">
        <f>IF(ISBLANK(F432),"",IFERROR(INDEX('Tournament List'!$D:$D,MATCH(F432,'Tournament List'!$A:$A,0)),""))</f>
        <v/>
      </c>
      <c r="H432" s="101" t="str">
        <f>IF(E432="Skeet",IFERROR(INDEX('Shooter-Squad Assignment'!$A:$A,MATCH(C432&amp;"-"&amp;D432&amp;"-"&amp;E432&amp;"-Pos2",'Shooter-Squad Assignment'!#REF!,0)),""),IF(E432="Trap",IFERROR(INDEX('Shooter-Squad Assignment'!$A:$A,MATCH(C432&amp;"-"&amp;D432&amp;"-"&amp;E432&amp;"-Pos2",'Shooter-Squad Assignment'!$V:$V,0)),""),IF(E432="Sporting Clays",IFERROR(INDEX('Shooter-Squad Assignment'!$A:$A,MATCH(C432&amp;"-"&amp;D432&amp;"-"&amp;E432&amp;"-Pos2",'Shooter-Squad Assignment'!$Y:$Y,0)),""),"")))</f>
        <v/>
      </c>
      <c r="I432" s="92" t="str">
        <f>IF(ISBLANK(H432),"",IFERROR(INDEX('Tournament List'!$D:$D,MATCH(H432,'Tournament List'!$A:$A,0)),""))</f>
        <v/>
      </c>
      <c r="J432" s="101" t="str">
        <f>IF(E432="Skeet",IFERROR(INDEX('Shooter-Squad Assignment'!$A:$A,MATCH(C432&amp;"-"&amp;D432&amp;"-"&amp;E432&amp;"-Pos3",'Shooter-Squad Assignment'!#REF!,0)),""),IF(E432="Trap",IFERROR(INDEX('Shooter-Squad Assignment'!$A:$A,MATCH(C432&amp;"-"&amp;D432&amp;"-"&amp;E432&amp;"-Pos3",'Shooter-Squad Assignment'!$V:$V,0)),""),IF(E432="Sporting Clays",IFERROR(INDEX('Shooter-Squad Assignment'!$A:$A,MATCH(C432&amp;"-"&amp;D432&amp;"-"&amp;E432&amp;"-Pos3",'Shooter-Squad Assignment'!$Y:$Y,0)),""),"")))</f>
        <v/>
      </c>
      <c r="K432" s="92" t="str">
        <f>IF(ISBLANK(J432),"",IFERROR(INDEX('Tournament List'!$D:$D,MATCH(J432,'Tournament List'!$A:$A,0)),""))</f>
        <v/>
      </c>
      <c r="L432" s="101" t="str">
        <f>IF(E432="Skeet",IFERROR(INDEX('Shooter-Squad Assignment'!$A:$A,MATCH(C432&amp;"-"&amp;D432&amp;"-"&amp;E432&amp;"-Pos4",'Shooter-Squad Assignment'!#REF!,0)),""),IF(E432="Trap",IFERROR(INDEX('Shooter-Squad Assignment'!$A:$A,MATCH(C432&amp;"-"&amp;D432&amp;"-"&amp;E432&amp;"-Pos4",'Shooter-Squad Assignment'!$V:$V,0)),""),IF(E432="Sporting Clays",IFERROR(INDEX('Shooter-Squad Assignment'!$A:$A,MATCH(C432&amp;"-"&amp;D432&amp;"-"&amp;E432&amp;"-Pos4",'Shooter-Squad Assignment'!$Y:$Y,0)),""),"")))</f>
        <v/>
      </c>
      <c r="M432" s="92" t="str">
        <f>IF(ISBLANK(L432),"",IFERROR(INDEX('Tournament List'!$D:$D,MATCH(L432,'Tournament List'!$A:$A,0)),""))</f>
        <v/>
      </c>
      <c r="N432" s="101" t="str">
        <f>IF(E432="Skeet",IFERROR(INDEX('Shooter-Squad Assignment'!$A:$A,MATCH(C432&amp;"-"&amp;D432&amp;"-"&amp;E432&amp;"-Pos5",'Shooter-Squad Assignment'!#REF!,0)),""),IF(E432="Trap",IFERROR(INDEX('Shooter-Squad Assignment'!$A:$A,MATCH(C432&amp;"-"&amp;D432&amp;"-"&amp;E432&amp;"-Pos5",'Shooter-Squad Assignment'!$V:$V,0)),""),IF(E432="Sporting Clays",IFERROR(INDEX('Shooter-Squad Assignment'!$A:$A,MATCH(C432&amp;"-"&amp;D432&amp;"-"&amp;E432&amp;"-Pos5",'Shooter-Squad Assignment'!$Y:$Y,0)),""),"")))</f>
        <v/>
      </c>
      <c r="O432" s="93" t="str">
        <f>IF(ISBLANK(N432),"",IFERROR(INDEX('Tournament List'!$D:$D,MATCH(N432,'Tournament List'!$A:$A,0)),""))</f>
        <v/>
      </c>
    </row>
    <row r="433" spans="1:15" ht="15" thickBot="1" x14ac:dyDescent="0.35">
      <c r="A433" s="94">
        <v>441</v>
      </c>
      <c r="B433" s="95" t="str">
        <f t="shared" si="6"/>
        <v>-Varsity 3-Sporting Clays</v>
      </c>
      <c r="C433" s="95"/>
      <c r="D433" s="95" t="s">
        <v>354</v>
      </c>
      <c r="E433" s="95" t="s">
        <v>148</v>
      </c>
      <c r="F433" s="102" t="str">
        <f>IF(E433="Skeet",IFERROR(INDEX('Shooter-Squad Assignment'!$A:$A,MATCH(C433&amp;"-"&amp;D433&amp;"-"&amp;E433&amp;"-Pos1",'Shooter-Squad Assignment'!#REF!,0)),""),IF(E433="Trap",IFERROR(INDEX('Shooter-Squad Assignment'!$A:$A,MATCH(C433&amp;"-"&amp;D433&amp;"-"&amp;E433&amp;"-Pos1",'Shooter-Squad Assignment'!$V:$V,0)),""),IF(E433="Sporting Clays",IFERROR(INDEX('Shooter-Squad Assignment'!$A:$A,MATCH(C433&amp;"-"&amp;D433&amp;"-"&amp;E433&amp;"-Pos1",'Shooter-Squad Assignment'!$Y:$Y,0)),""),"")))</f>
        <v/>
      </c>
      <c r="G433" s="95" t="str">
        <f>IF(ISBLANK(F433),"",IFERROR(INDEX('Tournament List'!$D:$D,MATCH(F433,'Tournament List'!$A:$A,0)),""))</f>
        <v/>
      </c>
      <c r="H433" s="102" t="str">
        <f>IF(E433="Skeet",IFERROR(INDEX('Shooter-Squad Assignment'!$A:$A,MATCH(C433&amp;"-"&amp;D433&amp;"-"&amp;E433&amp;"-Pos2",'Shooter-Squad Assignment'!#REF!,0)),""),IF(E433="Trap",IFERROR(INDEX('Shooter-Squad Assignment'!$A:$A,MATCH(C433&amp;"-"&amp;D433&amp;"-"&amp;E433&amp;"-Pos2",'Shooter-Squad Assignment'!$V:$V,0)),""),IF(E433="Sporting Clays",IFERROR(INDEX('Shooter-Squad Assignment'!$A:$A,MATCH(C433&amp;"-"&amp;D433&amp;"-"&amp;E433&amp;"-Pos2",'Shooter-Squad Assignment'!$Y:$Y,0)),""),"")))</f>
        <v/>
      </c>
      <c r="I433" s="95" t="str">
        <f>IF(ISBLANK(H433),"",IFERROR(INDEX('Tournament List'!$D:$D,MATCH(H433,'Tournament List'!$A:$A,0)),""))</f>
        <v/>
      </c>
      <c r="J433" s="102" t="str">
        <f>IF(E433="Skeet",IFERROR(INDEX('Shooter-Squad Assignment'!$A:$A,MATCH(C433&amp;"-"&amp;D433&amp;"-"&amp;E433&amp;"-Pos3",'Shooter-Squad Assignment'!#REF!,0)),""),IF(E433="Trap",IFERROR(INDEX('Shooter-Squad Assignment'!$A:$A,MATCH(C433&amp;"-"&amp;D433&amp;"-"&amp;E433&amp;"-Pos3",'Shooter-Squad Assignment'!$V:$V,0)),""),IF(E433="Sporting Clays",IFERROR(INDEX('Shooter-Squad Assignment'!$A:$A,MATCH(C433&amp;"-"&amp;D433&amp;"-"&amp;E433&amp;"-Pos3",'Shooter-Squad Assignment'!$Y:$Y,0)),""),"")))</f>
        <v/>
      </c>
      <c r="K433" s="95" t="str">
        <f>IF(ISBLANK(J433),"",IFERROR(INDEX('Tournament List'!$D:$D,MATCH(J433,'Tournament List'!$A:$A,0)),""))</f>
        <v/>
      </c>
      <c r="L433" s="102" t="str">
        <f>IF(E433="Skeet",IFERROR(INDEX('Shooter-Squad Assignment'!$A:$A,MATCH(C433&amp;"-"&amp;D433&amp;"-"&amp;E433&amp;"-Pos4",'Shooter-Squad Assignment'!#REF!,0)),""),IF(E433="Trap",IFERROR(INDEX('Shooter-Squad Assignment'!$A:$A,MATCH(C433&amp;"-"&amp;D433&amp;"-"&amp;E433&amp;"-Pos4",'Shooter-Squad Assignment'!$V:$V,0)),""),IF(E433="Sporting Clays",IFERROR(INDEX('Shooter-Squad Assignment'!$A:$A,MATCH(C433&amp;"-"&amp;D433&amp;"-"&amp;E433&amp;"-Pos4",'Shooter-Squad Assignment'!$Y:$Y,0)),""),"")))</f>
        <v/>
      </c>
      <c r="M433" s="95" t="str">
        <f>IF(ISBLANK(L433),"",IFERROR(INDEX('Tournament List'!$D:$D,MATCH(L433,'Tournament List'!$A:$A,0)),""))</f>
        <v/>
      </c>
      <c r="N433" s="102" t="str">
        <f>IF(E433="Skeet",IFERROR(INDEX('Shooter-Squad Assignment'!$A:$A,MATCH(C433&amp;"-"&amp;D433&amp;"-"&amp;E433&amp;"-Pos5",'Shooter-Squad Assignment'!#REF!,0)),""),IF(E433="Trap",IFERROR(INDEX('Shooter-Squad Assignment'!$A:$A,MATCH(C433&amp;"-"&amp;D433&amp;"-"&amp;E433&amp;"-Pos5",'Shooter-Squad Assignment'!$V:$V,0)),""),IF(E433="Sporting Clays",IFERROR(INDEX('Shooter-Squad Assignment'!$A:$A,MATCH(C433&amp;"-"&amp;D433&amp;"-"&amp;E433&amp;"-Pos5",'Shooter-Squad Assignment'!$Y:$Y,0)),""),"")))</f>
        <v/>
      </c>
      <c r="O433" s="96" t="str">
        <f>IF(ISBLANK(N433),"",IFERROR(INDEX('Tournament List'!$D:$D,MATCH(N433,'Tournament List'!$A:$A,0)),""))</f>
        <v/>
      </c>
    </row>
    <row r="434" spans="1:15" x14ac:dyDescent="0.3">
      <c r="A434" s="76">
        <v>442</v>
      </c>
      <c r="B434" s="77" t="str">
        <f t="shared" si="6"/>
        <v>-Collegiate 1-Skeet</v>
      </c>
      <c r="C434" s="77"/>
      <c r="D434" s="77" t="s">
        <v>344</v>
      </c>
      <c r="E434" s="77" t="s">
        <v>143</v>
      </c>
      <c r="F434" s="97" t="str">
        <f>IF(E434="Skeet",IFERROR(INDEX('Shooter-Squad Assignment'!$A:$A,MATCH(C434&amp;"-"&amp;D434&amp;"-"&amp;E434&amp;"-Pos1",'Shooter-Squad Assignment'!#REF!,0)),""),IF(E434="Trap",IFERROR(INDEX('Shooter-Squad Assignment'!$A:$A,MATCH(C434&amp;"-"&amp;D434&amp;"-"&amp;E434&amp;"-Pos1",'Shooter-Squad Assignment'!$V:$V,0)),""),IF(E434="Sporting Clays",IFERROR(INDEX('Shooter-Squad Assignment'!$A:$A,MATCH(C434&amp;"-"&amp;D434&amp;"-"&amp;E434&amp;"-Pos1",'Shooter-Squad Assignment'!$Y:$Y,0)),""),"")))</f>
        <v/>
      </c>
      <c r="G434" s="77" t="str">
        <f>IF(ISBLANK(F434),"",IFERROR(INDEX('Tournament List'!$D:$D,MATCH(F434,'Tournament List'!$A:$A,0)),""))</f>
        <v/>
      </c>
      <c r="H434" s="97" t="str">
        <f>IF(E434="Skeet",IFERROR(INDEX('Shooter-Squad Assignment'!$A:$A,MATCH(C434&amp;"-"&amp;D434&amp;"-"&amp;E434&amp;"-Pos2",'Shooter-Squad Assignment'!#REF!,0)),""),IF(E434="Trap",IFERROR(INDEX('Shooter-Squad Assignment'!$A:$A,MATCH(C434&amp;"-"&amp;D434&amp;"-"&amp;E434&amp;"-Pos2",'Shooter-Squad Assignment'!$V:$V,0)),""),IF(E434="Sporting Clays",IFERROR(INDEX('Shooter-Squad Assignment'!$A:$A,MATCH(C434&amp;"-"&amp;D434&amp;"-"&amp;E434&amp;"-Pos2",'Shooter-Squad Assignment'!$Y:$Y,0)),""),"")))</f>
        <v/>
      </c>
      <c r="I434" s="77" t="str">
        <f>IF(ISBLANK(H434),"",IFERROR(INDEX('Tournament List'!$D:$D,MATCH(H434,'Tournament List'!$A:$A,0)),""))</f>
        <v/>
      </c>
      <c r="J434" s="97" t="str">
        <f>IF(E434="Skeet",IFERROR(INDEX('Shooter-Squad Assignment'!$A:$A,MATCH(C434&amp;"-"&amp;D434&amp;"-"&amp;E434&amp;"-Pos3",'Shooter-Squad Assignment'!#REF!,0)),""),IF(E434="Trap",IFERROR(INDEX('Shooter-Squad Assignment'!$A:$A,MATCH(C434&amp;"-"&amp;D434&amp;"-"&amp;E434&amp;"-Pos3",'Shooter-Squad Assignment'!$V:$V,0)),""),IF(E434="Sporting Clays",IFERROR(INDEX('Shooter-Squad Assignment'!$A:$A,MATCH(C434&amp;"-"&amp;D434&amp;"-"&amp;E434&amp;"-Pos3",'Shooter-Squad Assignment'!$Y:$Y,0)),""),"")))</f>
        <v/>
      </c>
      <c r="K434" s="77" t="str">
        <f>IF(ISBLANK(J434),"",IFERROR(INDEX('Tournament List'!$D:$D,MATCH(J434,'Tournament List'!$A:$A,0)),""))</f>
        <v/>
      </c>
      <c r="L434" s="97" t="str">
        <f>IF(E434="Skeet",IFERROR(INDEX('Shooter-Squad Assignment'!$A:$A,MATCH(C434&amp;"-"&amp;D434&amp;"-"&amp;E434&amp;"-Pos4",'Shooter-Squad Assignment'!#REF!,0)),""),IF(E434="Trap",IFERROR(INDEX('Shooter-Squad Assignment'!$A:$A,MATCH(C434&amp;"-"&amp;D434&amp;"-"&amp;E434&amp;"-Pos4",'Shooter-Squad Assignment'!$V:$V,0)),""),IF(E434="Sporting Clays",IFERROR(INDEX('Shooter-Squad Assignment'!$A:$A,MATCH(C434&amp;"-"&amp;D434&amp;"-"&amp;E434&amp;"-Pos4",'Shooter-Squad Assignment'!$Y:$Y,0)),""),"")))</f>
        <v/>
      </c>
      <c r="M434" s="77" t="str">
        <f>IF(ISBLANK(L434),"",IFERROR(INDEX('Tournament List'!$D:$D,MATCH(L434,'Tournament List'!$A:$A,0)),""))</f>
        <v/>
      </c>
      <c r="N434" s="97" t="str">
        <f>IF(E434="Skeet",IFERROR(INDEX('Shooter-Squad Assignment'!$A:$A,MATCH(C434&amp;"-"&amp;D434&amp;"-"&amp;E434&amp;"-Pos5",'Shooter-Squad Assignment'!#REF!,0)),""),IF(E434="Trap",IFERROR(INDEX('Shooter-Squad Assignment'!$A:$A,MATCH(C434&amp;"-"&amp;D434&amp;"-"&amp;E434&amp;"-Pos5",'Shooter-Squad Assignment'!$V:$V,0)),""),IF(E434="Sporting Clays",IFERROR(INDEX('Shooter-Squad Assignment'!$A:$A,MATCH(C434&amp;"-"&amp;D434&amp;"-"&amp;E434&amp;"-Pos5",'Shooter-Squad Assignment'!$Y:$Y,0)),""),"")))</f>
        <v/>
      </c>
      <c r="O434" s="78" t="str">
        <f>IF(ISBLANK(N434),"",IFERROR(INDEX('Tournament List'!$D:$D,MATCH(N434,'Tournament List'!$A:$A,0)),""))</f>
        <v/>
      </c>
    </row>
    <row r="435" spans="1:15" x14ac:dyDescent="0.3">
      <c r="A435" s="79">
        <v>443</v>
      </c>
      <c r="B435" s="73" t="str">
        <f t="shared" si="6"/>
        <v>-Collegiate 2-Skeet</v>
      </c>
      <c r="C435" s="73"/>
      <c r="D435" s="73" t="s">
        <v>350</v>
      </c>
      <c r="E435" s="73" t="s">
        <v>143</v>
      </c>
      <c r="F435" s="98" t="str">
        <f>IF(E435="Skeet",IFERROR(INDEX('Shooter-Squad Assignment'!$A:$A,MATCH(C435&amp;"-"&amp;D435&amp;"-"&amp;E435&amp;"-Pos1",'Shooter-Squad Assignment'!#REF!,0)),""),IF(E435="Trap",IFERROR(INDEX('Shooter-Squad Assignment'!$A:$A,MATCH(C435&amp;"-"&amp;D435&amp;"-"&amp;E435&amp;"-Pos1",'Shooter-Squad Assignment'!$V:$V,0)),""),IF(E435="Sporting Clays",IFERROR(INDEX('Shooter-Squad Assignment'!$A:$A,MATCH(C435&amp;"-"&amp;D435&amp;"-"&amp;E435&amp;"-Pos1",'Shooter-Squad Assignment'!$Y:$Y,0)),""),"")))</f>
        <v/>
      </c>
      <c r="G435" s="73" t="str">
        <f>IF(ISBLANK(F435),"",IFERROR(INDEX('Tournament List'!$D:$D,MATCH(F435,'Tournament List'!$A:$A,0)),""))</f>
        <v/>
      </c>
      <c r="H435" s="98" t="str">
        <f>IF(E435="Skeet",IFERROR(INDEX('Shooter-Squad Assignment'!$A:$A,MATCH(C435&amp;"-"&amp;D435&amp;"-"&amp;E435&amp;"-Pos2",'Shooter-Squad Assignment'!#REF!,0)),""),IF(E435="Trap",IFERROR(INDEX('Shooter-Squad Assignment'!$A:$A,MATCH(C435&amp;"-"&amp;D435&amp;"-"&amp;E435&amp;"-Pos2",'Shooter-Squad Assignment'!$V:$V,0)),""),IF(E435="Sporting Clays",IFERROR(INDEX('Shooter-Squad Assignment'!$A:$A,MATCH(C435&amp;"-"&amp;D435&amp;"-"&amp;E435&amp;"-Pos2",'Shooter-Squad Assignment'!$Y:$Y,0)),""),"")))</f>
        <v/>
      </c>
      <c r="I435" s="73" t="str">
        <f>IF(ISBLANK(H435),"",IFERROR(INDEX('Tournament List'!$D:$D,MATCH(H435,'Tournament List'!$A:$A,0)),""))</f>
        <v/>
      </c>
      <c r="J435" s="98" t="str">
        <f>IF(E435="Skeet",IFERROR(INDEX('Shooter-Squad Assignment'!$A:$A,MATCH(C435&amp;"-"&amp;D435&amp;"-"&amp;E435&amp;"-Pos3",'Shooter-Squad Assignment'!#REF!,0)),""),IF(E435="Trap",IFERROR(INDEX('Shooter-Squad Assignment'!$A:$A,MATCH(C435&amp;"-"&amp;D435&amp;"-"&amp;E435&amp;"-Pos3",'Shooter-Squad Assignment'!$V:$V,0)),""),IF(E435="Sporting Clays",IFERROR(INDEX('Shooter-Squad Assignment'!$A:$A,MATCH(C435&amp;"-"&amp;D435&amp;"-"&amp;E435&amp;"-Pos3",'Shooter-Squad Assignment'!$Y:$Y,0)),""),"")))</f>
        <v/>
      </c>
      <c r="K435" s="73" t="str">
        <f>IF(ISBLANK(J435),"",IFERROR(INDEX('Tournament List'!$D:$D,MATCH(J435,'Tournament List'!$A:$A,0)),""))</f>
        <v/>
      </c>
      <c r="L435" s="98" t="str">
        <f>IF(E435="Skeet",IFERROR(INDEX('Shooter-Squad Assignment'!$A:$A,MATCH(C435&amp;"-"&amp;D435&amp;"-"&amp;E435&amp;"-Pos4",'Shooter-Squad Assignment'!#REF!,0)),""),IF(E435="Trap",IFERROR(INDEX('Shooter-Squad Assignment'!$A:$A,MATCH(C435&amp;"-"&amp;D435&amp;"-"&amp;E435&amp;"-Pos4",'Shooter-Squad Assignment'!$V:$V,0)),""),IF(E435="Sporting Clays",IFERROR(INDEX('Shooter-Squad Assignment'!$A:$A,MATCH(C435&amp;"-"&amp;D435&amp;"-"&amp;E435&amp;"-Pos4",'Shooter-Squad Assignment'!$Y:$Y,0)),""),"")))</f>
        <v/>
      </c>
      <c r="M435" s="73" t="str">
        <f>IF(ISBLANK(L435),"",IFERROR(INDEX('Tournament List'!$D:$D,MATCH(L435,'Tournament List'!$A:$A,0)),""))</f>
        <v/>
      </c>
      <c r="N435" s="98" t="str">
        <f>IF(E435="Skeet",IFERROR(INDEX('Shooter-Squad Assignment'!$A:$A,MATCH(C435&amp;"-"&amp;D435&amp;"-"&amp;E435&amp;"-Pos5",'Shooter-Squad Assignment'!#REF!,0)),""),IF(E435="Trap",IFERROR(INDEX('Shooter-Squad Assignment'!$A:$A,MATCH(C435&amp;"-"&amp;D435&amp;"-"&amp;E435&amp;"-Pos5",'Shooter-Squad Assignment'!$V:$V,0)),""),IF(E435="Sporting Clays",IFERROR(INDEX('Shooter-Squad Assignment'!$A:$A,MATCH(C435&amp;"-"&amp;D435&amp;"-"&amp;E435&amp;"-Pos5",'Shooter-Squad Assignment'!$Y:$Y,0)),""),"")))</f>
        <v/>
      </c>
      <c r="O435" s="80" t="str">
        <f>IF(ISBLANK(N435),"",IFERROR(INDEX('Tournament List'!$D:$D,MATCH(N435,'Tournament List'!$A:$A,0)),""))</f>
        <v/>
      </c>
    </row>
    <row r="436" spans="1:15" x14ac:dyDescent="0.3">
      <c r="A436" s="79">
        <v>444</v>
      </c>
      <c r="B436" s="73" t="str">
        <f t="shared" si="6"/>
        <v>-Collegiate 3-Skeet</v>
      </c>
      <c r="C436" s="73"/>
      <c r="D436" s="73" t="s">
        <v>356</v>
      </c>
      <c r="E436" s="73" t="s">
        <v>143</v>
      </c>
      <c r="F436" s="98" t="str">
        <f>IF(E436="Skeet",IFERROR(INDEX('Shooter-Squad Assignment'!$A:$A,MATCH(C436&amp;"-"&amp;D436&amp;"-"&amp;E436&amp;"-Pos1",'Shooter-Squad Assignment'!#REF!,0)),""),IF(E436="Trap",IFERROR(INDEX('Shooter-Squad Assignment'!$A:$A,MATCH(C436&amp;"-"&amp;D436&amp;"-"&amp;E436&amp;"-Pos1",'Shooter-Squad Assignment'!$V:$V,0)),""),IF(E436="Sporting Clays",IFERROR(INDEX('Shooter-Squad Assignment'!$A:$A,MATCH(C436&amp;"-"&amp;D436&amp;"-"&amp;E436&amp;"-Pos1",'Shooter-Squad Assignment'!$Y:$Y,0)),""),"")))</f>
        <v/>
      </c>
      <c r="G436" s="73" t="str">
        <f>IF(ISBLANK(F436),"",IFERROR(INDEX('Tournament List'!$D:$D,MATCH(F436,'Tournament List'!$A:$A,0)),""))</f>
        <v/>
      </c>
      <c r="H436" s="98" t="str">
        <f>IF(E436="Skeet",IFERROR(INDEX('Shooter-Squad Assignment'!$A:$A,MATCH(C436&amp;"-"&amp;D436&amp;"-"&amp;E436&amp;"-Pos2",'Shooter-Squad Assignment'!#REF!,0)),""),IF(E436="Trap",IFERROR(INDEX('Shooter-Squad Assignment'!$A:$A,MATCH(C436&amp;"-"&amp;D436&amp;"-"&amp;E436&amp;"-Pos2",'Shooter-Squad Assignment'!$V:$V,0)),""),IF(E436="Sporting Clays",IFERROR(INDEX('Shooter-Squad Assignment'!$A:$A,MATCH(C436&amp;"-"&amp;D436&amp;"-"&amp;E436&amp;"-Pos2",'Shooter-Squad Assignment'!$Y:$Y,0)),""),"")))</f>
        <v/>
      </c>
      <c r="I436" s="73" t="str">
        <f>IF(ISBLANK(H436),"",IFERROR(INDEX('Tournament List'!$D:$D,MATCH(H436,'Tournament List'!$A:$A,0)),""))</f>
        <v/>
      </c>
      <c r="J436" s="98" t="str">
        <f>IF(E436="Skeet",IFERROR(INDEX('Shooter-Squad Assignment'!$A:$A,MATCH(C436&amp;"-"&amp;D436&amp;"-"&amp;E436&amp;"-Pos3",'Shooter-Squad Assignment'!#REF!,0)),""),IF(E436="Trap",IFERROR(INDEX('Shooter-Squad Assignment'!$A:$A,MATCH(C436&amp;"-"&amp;D436&amp;"-"&amp;E436&amp;"-Pos3",'Shooter-Squad Assignment'!$V:$V,0)),""),IF(E436="Sporting Clays",IFERROR(INDEX('Shooter-Squad Assignment'!$A:$A,MATCH(C436&amp;"-"&amp;D436&amp;"-"&amp;E436&amp;"-Pos3",'Shooter-Squad Assignment'!$Y:$Y,0)),""),"")))</f>
        <v/>
      </c>
      <c r="K436" s="73" t="str">
        <f>IF(ISBLANK(J436),"",IFERROR(INDEX('Tournament List'!$D:$D,MATCH(J436,'Tournament List'!$A:$A,0)),""))</f>
        <v/>
      </c>
      <c r="L436" s="98" t="str">
        <f>IF(E436="Skeet",IFERROR(INDEX('Shooter-Squad Assignment'!$A:$A,MATCH(C436&amp;"-"&amp;D436&amp;"-"&amp;E436&amp;"-Pos4",'Shooter-Squad Assignment'!#REF!,0)),""),IF(E436="Trap",IFERROR(INDEX('Shooter-Squad Assignment'!$A:$A,MATCH(C436&amp;"-"&amp;D436&amp;"-"&amp;E436&amp;"-Pos4",'Shooter-Squad Assignment'!$V:$V,0)),""),IF(E436="Sporting Clays",IFERROR(INDEX('Shooter-Squad Assignment'!$A:$A,MATCH(C436&amp;"-"&amp;D436&amp;"-"&amp;E436&amp;"-Pos4",'Shooter-Squad Assignment'!$Y:$Y,0)),""),"")))</f>
        <v/>
      </c>
      <c r="M436" s="73" t="str">
        <f>IF(ISBLANK(L436),"",IFERROR(INDEX('Tournament List'!$D:$D,MATCH(L436,'Tournament List'!$A:$A,0)),""))</f>
        <v/>
      </c>
      <c r="N436" s="98" t="str">
        <f>IF(E436="Skeet",IFERROR(INDEX('Shooter-Squad Assignment'!$A:$A,MATCH(C436&amp;"-"&amp;D436&amp;"-"&amp;E436&amp;"-Pos5",'Shooter-Squad Assignment'!#REF!,0)),""),IF(E436="Trap",IFERROR(INDEX('Shooter-Squad Assignment'!$A:$A,MATCH(C436&amp;"-"&amp;D436&amp;"-"&amp;E436&amp;"-Pos5",'Shooter-Squad Assignment'!$V:$V,0)),""),IF(E436="Sporting Clays",IFERROR(INDEX('Shooter-Squad Assignment'!$A:$A,MATCH(C436&amp;"-"&amp;D436&amp;"-"&amp;E436&amp;"-Pos5",'Shooter-Squad Assignment'!$Y:$Y,0)),""),"")))</f>
        <v/>
      </c>
      <c r="O436" s="80" t="str">
        <f>IF(ISBLANK(N436),"",IFERROR(INDEX('Tournament List'!$D:$D,MATCH(N436,'Tournament List'!$A:$A,0)),""))</f>
        <v/>
      </c>
    </row>
    <row r="437" spans="1:15" x14ac:dyDescent="0.3">
      <c r="A437" s="79">
        <v>445</v>
      </c>
      <c r="B437" s="73" t="str">
        <f t="shared" si="6"/>
        <v>-Intermediate 1-Skeet</v>
      </c>
      <c r="C437" s="73"/>
      <c r="D437" s="73" t="s">
        <v>340</v>
      </c>
      <c r="E437" s="73" t="s">
        <v>143</v>
      </c>
      <c r="F437" s="98" t="str">
        <f>IF(E437="Skeet",IFERROR(INDEX('Shooter-Squad Assignment'!$A:$A,MATCH(C437&amp;"-"&amp;D437&amp;"-"&amp;E437&amp;"-Pos1",'Shooter-Squad Assignment'!#REF!,0)),""),IF(E437="Trap",IFERROR(INDEX('Shooter-Squad Assignment'!$A:$A,MATCH(C437&amp;"-"&amp;D437&amp;"-"&amp;E437&amp;"-Pos1",'Shooter-Squad Assignment'!$V:$V,0)),""),IF(E437="Sporting Clays",IFERROR(INDEX('Shooter-Squad Assignment'!$A:$A,MATCH(C437&amp;"-"&amp;D437&amp;"-"&amp;E437&amp;"-Pos1",'Shooter-Squad Assignment'!$Y:$Y,0)),""),"")))</f>
        <v/>
      </c>
      <c r="G437" s="73" t="str">
        <f>IF(ISBLANK(F437),"",IFERROR(INDEX('Tournament List'!$D:$D,MATCH(F437,'Tournament List'!$A:$A,0)),""))</f>
        <v/>
      </c>
      <c r="H437" s="98" t="str">
        <f>IF(E437="Skeet",IFERROR(INDEX('Shooter-Squad Assignment'!$A:$A,MATCH(C437&amp;"-"&amp;D437&amp;"-"&amp;E437&amp;"-Pos2",'Shooter-Squad Assignment'!#REF!,0)),""),IF(E437="Trap",IFERROR(INDEX('Shooter-Squad Assignment'!$A:$A,MATCH(C437&amp;"-"&amp;D437&amp;"-"&amp;E437&amp;"-Pos2",'Shooter-Squad Assignment'!$V:$V,0)),""),IF(E437="Sporting Clays",IFERROR(INDEX('Shooter-Squad Assignment'!$A:$A,MATCH(C437&amp;"-"&amp;D437&amp;"-"&amp;E437&amp;"-Pos2",'Shooter-Squad Assignment'!$Y:$Y,0)),""),"")))</f>
        <v/>
      </c>
      <c r="I437" s="73" t="str">
        <f>IF(ISBLANK(H437),"",IFERROR(INDEX('Tournament List'!$D:$D,MATCH(H437,'Tournament List'!$A:$A,0)),""))</f>
        <v/>
      </c>
      <c r="J437" s="98" t="str">
        <f>IF(E437="Skeet",IFERROR(INDEX('Shooter-Squad Assignment'!$A:$A,MATCH(C437&amp;"-"&amp;D437&amp;"-"&amp;E437&amp;"-Pos3",'Shooter-Squad Assignment'!#REF!,0)),""),IF(E437="Trap",IFERROR(INDEX('Shooter-Squad Assignment'!$A:$A,MATCH(C437&amp;"-"&amp;D437&amp;"-"&amp;E437&amp;"-Pos3",'Shooter-Squad Assignment'!$V:$V,0)),""),IF(E437="Sporting Clays",IFERROR(INDEX('Shooter-Squad Assignment'!$A:$A,MATCH(C437&amp;"-"&amp;D437&amp;"-"&amp;E437&amp;"-Pos3",'Shooter-Squad Assignment'!$Y:$Y,0)),""),"")))</f>
        <v/>
      </c>
      <c r="K437" s="73" t="str">
        <f>IF(ISBLANK(J437),"",IFERROR(INDEX('Tournament List'!$D:$D,MATCH(J437,'Tournament List'!$A:$A,0)),""))</f>
        <v/>
      </c>
      <c r="L437" s="98" t="str">
        <f>IF(E437="Skeet",IFERROR(INDEX('Shooter-Squad Assignment'!$A:$A,MATCH(C437&amp;"-"&amp;D437&amp;"-"&amp;E437&amp;"-Pos4",'Shooter-Squad Assignment'!#REF!,0)),""),IF(E437="Trap",IFERROR(INDEX('Shooter-Squad Assignment'!$A:$A,MATCH(C437&amp;"-"&amp;D437&amp;"-"&amp;E437&amp;"-Pos4",'Shooter-Squad Assignment'!$V:$V,0)),""),IF(E437="Sporting Clays",IFERROR(INDEX('Shooter-Squad Assignment'!$A:$A,MATCH(C437&amp;"-"&amp;D437&amp;"-"&amp;E437&amp;"-Pos4",'Shooter-Squad Assignment'!$Y:$Y,0)),""),"")))</f>
        <v/>
      </c>
      <c r="M437" s="73" t="str">
        <f>IF(ISBLANK(L437),"",IFERROR(INDEX('Tournament List'!$D:$D,MATCH(L437,'Tournament List'!$A:$A,0)),""))</f>
        <v/>
      </c>
      <c r="N437" s="98" t="str">
        <f>IF(E437="Skeet",IFERROR(INDEX('Shooter-Squad Assignment'!$A:$A,MATCH(C437&amp;"-"&amp;D437&amp;"-"&amp;E437&amp;"-Pos5",'Shooter-Squad Assignment'!#REF!,0)),""),IF(E437="Trap",IFERROR(INDEX('Shooter-Squad Assignment'!$A:$A,MATCH(C437&amp;"-"&amp;D437&amp;"-"&amp;E437&amp;"-Pos5",'Shooter-Squad Assignment'!$V:$V,0)),""),IF(E437="Sporting Clays",IFERROR(INDEX('Shooter-Squad Assignment'!$A:$A,MATCH(C437&amp;"-"&amp;D437&amp;"-"&amp;E437&amp;"-Pos5",'Shooter-Squad Assignment'!$Y:$Y,0)),""),"")))</f>
        <v/>
      </c>
      <c r="O437" s="80" t="str">
        <f>IF(ISBLANK(N437),"",IFERROR(INDEX('Tournament List'!$D:$D,MATCH(N437,'Tournament List'!$A:$A,0)),""))</f>
        <v/>
      </c>
    </row>
    <row r="438" spans="1:15" x14ac:dyDescent="0.3">
      <c r="A438" s="79">
        <v>446</v>
      </c>
      <c r="B438" s="73" t="str">
        <f t="shared" si="6"/>
        <v>-Intermediate 2-Skeet</v>
      </c>
      <c r="C438" s="73"/>
      <c r="D438" s="73" t="s">
        <v>346</v>
      </c>
      <c r="E438" s="73" t="s">
        <v>143</v>
      </c>
      <c r="F438" s="98" t="str">
        <f>IF(E438="Skeet",IFERROR(INDEX('Shooter-Squad Assignment'!$A:$A,MATCH(C438&amp;"-"&amp;D438&amp;"-"&amp;E438&amp;"-Pos1",'Shooter-Squad Assignment'!#REF!,0)),""),IF(E438="Trap",IFERROR(INDEX('Shooter-Squad Assignment'!$A:$A,MATCH(C438&amp;"-"&amp;D438&amp;"-"&amp;E438&amp;"-Pos1",'Shooter-Squad Assignment'!$V:$V,0)),""),IF(E438="Sporting Clays",IFERROR(INDEX('Shooter-Squad Assignment'!$A:$A,MATCH(C438&amp;"-"&amp;D438&amp;"-"&amp;E438&amp;"-Pos1",'Shooter-Squad Assignment'!$Y:$Y,0)),""),"")))</f>
        <v/>
      </c>
      <c r="G438" s="73" t="str">
        <f>IF(ISBLANK(F438),"",IFERROR(INDEX('Tournament List'!$D:$D,MATCH(F438,'Tournament List'!$A:$A,0)),""))</f>
        <v/>
      </c>
      <c r="H438" s="98" t="str">
        <f>IF(E438="Skeet",IFERROR(INDEX('Shooter-Squad Assignment'!$A:$A,MATCH(C438&amp;"-"&amp;D438&amp;"-"&amp;E438&amp;"-Pos2",'Shooter-Squad Assignment'!#REF!,0)),""),IF(E438="Trap",IFERROR(INDEX('Shooter-Squad Assignment'!$A:$A,MATCH(C438&amp;"-"&amp;D438&amp;"-"&amp;E438&amp;"-Pos2",'Shooter-Squad Assignment'!$V:$V,0)),""),IF(E438="Sporting Clays",IFERROR(INDEX('Shooter-Squad Assignment'!$A:$A,MATCH(C438&amp;"-"&amp;D438&amp;"-"&amp;E438&amp;"-Pos2",'Shooter-Squad Assignment'!$Y:$Y,0)),""),"")))</f>
        <v/>
      </c>
      <c r="I438" s="73" t="str">
        <f>IF(ISBLANK(H438),"",IFERROR(INDEX('Tournament List'!$D:$D,MATCH(H438,'Tournament List'!$A:$A,0)),""))</f>
        <v/>
      </c>
      <c r="J438" s="98" t="str">
        <f>IF(E438="Skeet",IFERROR(INDEX('Shooter-Squad Assignment'!$A:$A,MATCH(C438&amp;"-"&amp;D438&amp;"-"&amp;E438&amp;"-Pos3",'Shooter-Squad Assignment'!#REF!,0)),""),IF(E438="Trap",IFERROR(INDEX('Shooter-Squad Assignment'!$A:$A,MATCH(C438&amp;"-"&amp;D438&amp;"-"&amp;E438&amp;"-Pos3",'Shooter-Squad Assignment'!$V:$V,0)),""),IF(E438="Sporting Clays",IFERROR(INDEX('Shooter-Squad Assignment'!$A:$A,MATCH(C438&amp;"-"&amp;D438&amp;"-"&amp;E438&amp;"-Pos3",'Shooter-Squad Assignment'!$Y:$Y,0)),""),"")))</f>
        <v/>
      </c>
      <c r="K438" s="73" t="str">
        <f>IF(ISBLANK(J438),"",IFERROR(INDEX('Tournament List'!$D:$D,MATCH(J438,'Tournament List'!$A:$A,0)),""))</f>
        <v/>
      </c>
      <c r="L438" s="98" t="str">
        <f>IF(E438="Skeet",IFERROR(INDEX('Shooter-Squad Assignment'!$A:$A,MATCH(C438&amp;"-"&amp;D438&amp;"-"&amp;E438&amp;"-Pos4",'Shooter-Squad Assignment'!#REF!,0)),""),IF(E438="Trap",IFERROR(INDEX('Shooter-Squad Assignment'!$A:$A,MATCH(C438&amp;"-"&amp;D438&amp;"-"&amp;E438&amp;"-Pos4",'Shooter-Squad Assignment'!$V:$V,0)),""),IF(E438="Sporting Clays",IFERROR(INDEX('Shooter-Squad Assignment'!$A:$A,MATCH(C438&amp;"-"&amp;D438&amp;"-"&amp;E438&amp;"-Pos4",'Shooter-Squad Assignment'!$Y:$Y,0)),""),"")))</f>
        <v/>
      </c>
      <c r="M438" s="73" t="str">
        <f>IF(ISBLANK(L438),"",IFERROR(INDEX('Tournament List'!$D:$D,MATCH(L438,'Tournament List'!$A:$A,0)),""))</f>
        <v/>
      </c>
      <c r="N438" s="98" t="str">
        <f>IF(E438="Skeet",IFERROR(INDEX('Shooter-Squad Assignment'!$A:$A,MATCH(C438&amp;"-"&amp;D438&amp;"-"&amp;E438&amp;"-Pos5",'Shooter-Squad Assignment'!#REF!,0)),""),IF(E438="Trap",IFERROR(INDEX('Shooter-Squad Assignment'!$A:$A,MATCH(C438&amp;"-"&amp;D438&amp;"-"&amp;E438&amp;"-Pos5",'Shooter-Squad Assignment'!$V:$V,0)),""),IF(E438="Sporting Clays",IFERROR(INDEX('Shooter-Squad Assignment'!$A:$A,MATCH(C438&amp;"-"&amp;D438&amp;"-"&amp;E438&amp;"-Pos5",'Shooter-Squad Assignment'!$Y:$Y,0)),""),"")))</f>
        <v/>
      </c>
      <c r="O438" s="80" t="str">
        <f>IF(ISBLANK(N438),"",IFERROR(INDEX('Tournament List'!$D:$D,MATCH(N438,'Tournament List'!$A:$A,0)),""))</f>
        <v/>
      </c>
    </row>
    <row r="439" spans="1:15" x14ac:dyDescent="0.3">
      <c r="A439" s="79">
        <v>447</v>
      </c>
      <c r="B439" s="73" t="str">
        <f t="shared" si="6"/>
        <v>-Intermediate 3-Skeet</v>
      </c>
      <c r="C439" s="73"/>
      <c r="D439" s="73" t="s">
        <v>352</v>
      </c>
      <c r="E439" s="73" t="s">
        <v>143</v>
      </c>
      <c r="F439" s="98" t="str">
        <f>IF(E439="Skeet",IFERROR(INDEX('Shooter-Squad Assignment'!$A:$A,MATCH(C439&amp;"-"&amp;D439&amp;"-"&amp;E439&amp;"-Pos1",'Shooter-Squad Assignment'!#REF!,0)),""),IF(E439="Trap",IFERROR(INDEX('Shooter-Squad Assignment'!$A:$A,MATCH(C439&amp;"-"&amp;D439&amp;"-"&amp;E439&amp;"-Pos1",'Shooter-Squad Assignment'!$V:$V,0)),""),IF(E439="Sporting Clays",IFERROR(INDEX('Shooter-Squad Assignment'!$A:$A,MATCH(C439&amp;"-"&amp;D439&amp;"-"&amp;E439&amp;"-Pos1",'Shooter-Squad Assignment'!$Y:$Y,0)),""),"")))</f>
        <v/>
      </c>
      <c r="G439" s="73" t="str">
        <f>IF(ISBLANK(F439),"",IFERROR(INDEX('Tournament List'!$D:$D,MATCH(F439,'Tournament List'!$A:$A,0)),""))</f>
        <v/>
      </c>
      <c r="H439" s="98" t="str">
        <f>IF(E439="Skeet",IFERROR(INDEX('Shooter-Squad Assignment'!$A:$A,MATCH(C439&amp;"-"&amp;D439&amp;"-"&amp;E439&amp;"-Pos2",'Shooter-Squad Assignment'!#REF!,0)),""),IF(E439="Trap",IFERROR(INDEX('Shooter-Squad Assignment'!$A:$A,MATCH(C439&amp;"-"&amp;D439&amp;"-"&amp;E439&amp;"-Pos2",'Shooter-Squad Assignment'!$V:$V,0)),""),IF(E439="Sporting Clays",IFERROR(INDEX('Shooter-Squad Assignment'!$A:$A,MATCH(C439&amp;"-"&amp;D439&amp;"-"&amp;E439&amp;"-Pos2",'Shooter-Squad Assignment'!$Y:$Y,0)),""),"")))</f>
        <v/>
      </c>
      <c r="I439" s="73" t="str">
        <f>IF(ISBLANK(H439),"",IFERROR(INDEX('Tournament List'!$D:$D,MATCH(H439,'Tournament List'!$A:$A,0)),""))</f>
        <v/>
      </c>
      <c r="J439" s="98" t="str">
        <f>IF(E439="Skeet",IFERROR(INDEX('Shooter-Squad Assignment'!$A:$A,MATCH(C439&amp;"-"&amp;D439&amp;"-"&amp;E439&amp;"-Pos3",'Shooter-Squad Assignment'!#REF!,0)),""),IF(E439="Trap",IFERROR(INDEX('Shooter-Squad Assignment'!$A:$A,MATCH(C439&amp;"-"&amp;D439&amp;"-"&amp;E439&amp;"-Pos3",'Shooter-Squad Assignment'!$V:$V,0)),""),IF(E439="Sporting Clays",IFERROR(INDEX('Shooter-Squad Assignment'!$A:$A,MATCH(C439&amp;"-"&amp;D439&amp;"-"&amp;E439&amp;"-Pos3",'Shooter-Squad Assignment'!$Y:$Y,0)),""),"")))</f>
        <v/>
      </c>
      <c r="K439" s="73" t="str">
        <f>IF(ISBLANK(J439),"",IFERROR(INDEX('Tournament List'!$D:$D,MATCH(J439,'Tournament List'!$A:$A,0)),""))</f>
        <v/>
      </c>
      <c r="L439" s="98" t="str">
        <f>IF(E439="Skeet",IFERROR(INDEX('Shooter-Squad Assignment'!$A:$A,MATCH(C439&amp;"-"&amp;D439&amp;"-"&amp;E439&amp;"-Pos4",'Shooter-Squad Assignment'!#REF!,0)),""),IF(E439="Trap",IFERROR(INDEX('Shooter-Squad Assignment'!$A:$A,MATCH(C439&amp;"-"&amp;D439&amp;"-"&amp;E439&amp;"-Pos4",'Shooter-Squad Assignment'!$V:$V,0)),""),IF(E439="Sporting Clays",IFERROR(INDEX('Shooter-Squad Assignment'!$A:$A,MATCH(C439&amp;"-"&amp;D439&amp;"-"&amp;E439&amp;"-Pos4",'Shooter-Squad Assignment'!$Y:$Y,0)),""),"")))</f>
        <v/>
      </c>
      <c r="M439" s="73" t="str">
        <f>IF(ISBLANK(L439),"",IFERROR(INDEX('Tournament List'!$D:$D,MATCH(L439,'Tournament List'!$A:$A,0)),""))</f>
        <v/>
      </c>
      <c r="N439" s="98" t="str">
        <f>IF(E439="Skeet",IFERROR(INDEX('Shooter-Squad Assignment'!$A:$A,MATCH(C439&amp;"-"&amp;D439&amp;"-"&amp;E439&amp;"-Pos5",'Shooter-Squad Assignment'!#REF!,0)),""),IF(E439="Trap",IFERROR(INDEX('Shooter-Squad Assignment'!$A:$A,MATCH(C439&amp;"-"&amp;D439&amp;"-"&amp;E439&amp;"-Pos5",'Shooter-Squad Assignment'!$V:$V,0)),""),IF(E439="Sporting Clays",IFERROR(INDEX('Shooter-Squad Assignment'!$A:$A,MATCH(C439&amp;"-"&amp;D439&amp;"-"&amp;E439&amp;"-Pos5",'Shooter-Squad Assignment'!$Y:$Y,0)),""),"")))</f>
        <v/>
      </c>
      <c r="O439" s="80" t="str">
        <f>IF(ISBLANK(N439),"",IFERROR(INDEX('Tournament List'!$D:$D,MATCH(N439,'Tournament List'!$A:$A,0)),""))</f>
        <v/>
      </c>
    </row>
    <row r="440" spans="1:15" x14ac:dyDescent="0.3">
      <c r="A440" s="79">
        <v>448</v>
      </c>
      <c r="B440" s="73" t="str">
        <f t="shared" si="6"/>
        <v>-Junior Varsity 1-Skeet</v>
      </c>
      <c r="C440" s="73"/>
      <c r="D440" s="73" t="s">
        <v>341</v>
      </c>
      <c r="E440" s="73" t="s">
        <v>143</v>
      </c>
      <c r="F440" s="98" t="str">
        <f>IF(E440="Skeet",IFERROR(INDEX('Shooter-Squad Assignment'!$A:$A,MATCH(C440&amp;"-"&amp;D440&amp;"-"&amp;E440&amp;"-Pos1",'Shooter-Squad Assignment'!#REF!,0)),""),IF(E440="Trap",IFERROR(INDEX('Shooter-Squad Assignment'!$A:$A,MATCH(C440&amp;"-"&amp;D440&amp;"-"&amp;E440&amp;"-Pos1",'Shooter-Squad Assignment'!$V:$V,0)),""),IF(E440="Sporting Clays",IFERROR(INDEX('Shooter-Squad Assignment'!$A:$A,MATCH(C440&amp;"-"&amp;D440&amp;"-"&amp;E440&amp;"-Pos1",'Shooter-Squad Assignment'!$Y:$Y,0)),""),"")))</f>
        <v/>
      </c>
      <c r="G440" s="73" t="str">
        <f>IF(ISBLANK(F440),"",IFERROR(INDEX('Tournament List'!$D:$D,MATCH(F440,'Tournament List'!$A:$A,0)),""))</f>
        <v/>
      </c>
      <c r="H440" s="98" t="str">
        <f>IF(E440="Skeet",IFERROR(INDEX('Shooter-Squad Assignment'!$A:$A,MATCH(C440&amp;"-"&amp;D440&amp;"-"&amp;E440&amp;"-Pos2",'Shooter-Squad Assignment'!#REF!,0)),""),IF(E440="Trap",IFERROR(INDEX('Shooter-Squad Assignment'!$A:$A,MATCH(C440&amp;"-"&amp;D440&amp;"-"&amp;E440&amp;"-Pos2",'Shooter-Squad Assignment'!$V:$V,0)),""),IF(E440="Sporting Clays",IFERROR(INDEX('Shooter-Squad Assignment'!$A:$A,MATCH(C440&amp;"-"&amp;D440&amp;"-"&amp;E440&amp;"-Pos2",'Shooter-Squad Assignment'!$Y:$Y,0)),""),"")))</f>
        <v/>
      </c>
      <c r="I440" s="73" t="str">
        <f>IF(ISBLANK(H440),"",IFERROR(INDEX('Tournament List'!$D:$D,MATCH(H440,'Tournament List'!$A:$A,0)),""))</f>
        <v/>
      </c>
      <c r="J440" s="98" t="str">
        <f>IF(E440="Skeet",IFERROR(INDEX('Shooter-Squad Assignment'!$A:$A,MATCH(C440&amp;"-"&amp;D440&amp;"-"&amp;E440&amp;"-Pos3",'Shooter-Squad Assignment'!#REF!,0)),""),IF(E440="Trap",IFERROR(INDEX('Shooter-Squad Assignment'!$A:$A,MATCH(C440&amp;"-"&amp;D440&amp;"-"&amp;E440&amp;"-Pos3",'Shooter-Squad Assignment'!$V:$V,0)),""),IF(E440="Sporting Clays",IFERROR(INDEX('Shooter-Squad Assignment'!$A:$A,MATCH(C440&amp;"-"&amp;D440&amp;"-"&amp;E440&amp;"-Pos3",'Shooter-Squad Assignment'!$Y:$Y,0)),""),"")))</f>
        <v/>
      </c>
      <c r="K440" s="73" t="str">
        <f>IF(ISBLANK(J440),"",IFERROR(INDEX('Tournament List'!$D:$D,MATCH(J440,'Tournament List'!$A:$A,0)),""))</f>
        <v/>
      </c>
      <c r="L440" s="98" t="str">
        <f>IF(E440="Skeet",IFERROR(INDEX('Shooter-Squad Assignment'!$A:$A,MATCH(C440&amp;"-"&amp;D440&amp;"-"&amp;E440&amp;"-Pos4",'Shooter-Squad Assignment'!#REF!,0)),""),IF(E440="Trap",IFERROR(INDEX('Shooter-Squad Assignment'!$A:$A,MATCH(C440&amp;"-"&amp;D440&amp;"-"&amp;E440&amp;"-Pos4",'Shooter-Squad Assignment'!$V:$V,0)),""),IF(E440="Sporting Clays",IFERROR(INDEX('Shooter-Squad Assignment'!$A:$A,MATCH(C440&amp;"-"&amp;D440&amp;"-"&amp;E440&amp;"-Pos4",'Shooter-Squad Assignment'!$Y:$Y,0)),""),"")))</f>
        <v/>
      </c>
      <c r="M440" s="73" t="str">
        <f>IF(ISBLANK(L440),"",IFERROR(INDEX('Tournament List'!$D:$D,MATCH(L440,'Tournament List'!$A:$A,0)),""))</f>
        <v/>
      </c>
      <c r="N440" s="98" t="str">
        <f>IF(E440="Skeet",IFERROR(INDEX('Shooter-Squad Assignment'!$A:$A,MATCH(C440&amp;"-"&amp;D440&amp;"-"&amp;E440&amp;"-Pos5",'Shooter-Squad Assignment'!#REF!,0)),""),IF(E440="Trap",IFERROR(INDEX('Shooter-Squad Assignment'!$A:$A,MATCH(C440&amp;"-"&amp;D440&amp;"-"&amp;E440&amp;"-Pos5",'Shooter-Squad Assignment'!$V:$V,0)),""),IF(E440="Sporting Clays",IFERROR(INDEX('Shooter-Squad Assignment'!$A:$A,MATCH(C440&amp;"-"&amp;D440&amp;"-"&amp;E440&amp;"-Pos5",'Shooter-Squad Assignment'!$Y:$Y,0)),""),"")))</f>
        <v/>
      </c>
      <c r="O440" s="80" t="str">
        <f>IF(ISBLANK(N440),"",IFERROR(INDEX('Tournament List'!$D:$D,MATCH(N440,'Tournament List'!$A:$A,0)),""))</f>
        <v/>
      </c>
    </row>
    <row r="441" spans="1:15" x14ac:dyDescent="0.3">
      <c r="A441" s="79">
        <v>449</v>
      </c>
      <c r="B441" s="73" t="str">
        <f t="shared" si="6"/>
        <v>-Junior Varsity 2-Skeet</v>
      </c>
      <c r="C441" s="73"/>
      <c r="D441" s="73" t="s">
        <v>347</v>
      </c>
      <c r="E441" s="73" t="s">
        <v>143</v>
      </c>
      <c r="F441" s="98" t="str">
        <f>IF(E441="Skeet",IFERROR(INDEX('Shooter-Squad Assignment'!$A:$A,MATCH(C441&amp;"-"&amp;D441&amp;"-"&amp;E441&amp;"-Pos1",'Shooter-Squad Assignment'!#REF!,0)),""),IF(E441="Trap",IFERROR(INDEX('Shooter-Squad Assignment'!$A:$A,MATCH(C441&amp;"-"&amp;D441&amp;"-"&amp;E441&amp;"-Pos1",'Shooter-Squad Assignment'!$V:$V,0)),""),IF(E441="Sporting Clays",IFERROR(INDEX('Shooter-Squad Assignment'!$A:$A,MATCH(C441&amp;"-"&amp;D441&amp;"-"&amp;E441&amp;"-Pos1",'Shooter-Squad Assignment'!$Y:$Y,0)),""),"")))</f>
        <v/>
      </c>
      <c r="G441" s="73" t="str">
        <f>IF(ISBLANK(F441),"",IFERROR(INDEX('Tournament List'!$D:$D,MATCH(F441,'Tournament List'!$A:$A,0)),""))</f>
        <v/>
      </c>
      <c r="H441" s="98" t="str">
        <f>IF(E441="Skeet",IFERROR(INDEX('Shooter-Squad Assignment'!$A:$A,MATCH(C441&amp;"-"&amp;D441&amp;"-"&amp;E441&amp;"-Pos2",'Shooter-Squad Assignment'!#REF!,0)),""),IF(E441="Trap",IFERROR(INDEX('Shooter-Squad Assignment'!$A:$A,MATCH(C441&amp;"-"&amp;D441&amp;"-"&amp;E441&amp;"-Pos2",'Shooter-Squad Assignment'!$V:$V,0)),""),IF(E441="Sporting Clays",IFERROR(INDEX('Shooter-Squad Assignment'!$A:$A,MATCH(C441&amp;"-"&amp;D441&amp;"-"&amp;E441&amp;"-Pos2",'Shooter-Squad Assignment'!$Y:$Y,0)),""),"")))</f>
        <v/>
      </c>
      <c r="I441" s="73" t="str">
        <f>IF(ISBLANK(H441),"",IFERROR(INDEX('Tournament List'!$D:$D,MATCH(H441,'Tournament List'!$A:$A,0)),""))</f>
        <v/>
      </c>
      <c r="J441" s="98" t="str">
        <f>IF(E441="Skeet",IFERROR(INDEX('Shooter-Squad Assignment'!$A:$A,MATCH(C441&amp;"-"&amp;D441&amp;"-"&amp;E441&amp;"-Pos3",'Shooter-Squad Assignment'!#REF!,0)),""),IF(E441="Trap",IFERROR(INDEX('Shooter-Squad Assignment'!$A:$A,MATCH(C441&amp;"-"&amp;D441&amp;"-"&amp;E441&amp;"-Pos3",'Shooter-Squad Assignment'!$V:$V,0)),""),IF(E441="Sporting Clays",IFERROR(INDEX('Shooter-Squad Assignment'!$A:$A,MATCH(C441&amp;"-"&amp;D441&amp;"-"&amp;E441&amp;"-Pos3",'Shooter-Squad Assignment'!$Y:$Y,0)),""),"")))</f>
        <v/>
      </c>
      <c r="K441" s="73" t="str">
        <f>IF(ISBLANK(J441),"",IFERROR(INDEX('Tournament List'!$D:$D,MATCH(J441,'Tournament List'!$A:$A,0)),""))</f>
        <v/>
      </c>
      <c r="L441" s="98" t="str">
        <f>IF(E441="Skeet",IFERROR(INDEX('Shooter-Squad Assignment'!$A:$A,MATCH(C441&amp;"-"&amp;D441&amp;"-"&amp;E441&amp;"-Pos4",'Shooter-Squad Assignment'!#REF!,0)),""),IF(E441="Trap",IFERROR(INDEX('Shooter-Squad Assignment'!$A:$A,MATCH(C441&amp;"-"&amp;D441&amp;"-"&amp;E441&amp;"-Pos4",'Shooter-Squad Assignment'!$V:$V,0)),""),IF(E441="Sporting Clays",IFERROR(INDEX('Shooter-Squad Assignment'!$A:$A,MATCH(C441&amp;"-"&amp;D441&amp;"-"&amp;E441&amp;"-Pos4",'Shooter-Squad Assignment'!$Y:$Y,0)),""),"")))</f>
        <v/>
      </c>
      <c r="M441" s="73" t="str">
        <f>IF(ISBLANK(L441),"",IFERROR(INDEX('Tournament List'!$D:$D,MATCH(L441,'Tournament List'!$A:$A,0)),""))</f>
        <v/>
      </c>
      <c r="N441" s="98" t="str">
        <f>IF(E441="Skeet",IFERROR(INDEX('Shooter-Squad Assignment'!$A:$A,MATCH(C441&amp;"-"&amp;D441&amp;"-"&amp;E441&amp;"-Pos5",'Shooter-Squad Assignment'!#REF!,0)),""),IF(E441="Trap",IFERROR(INDEX('Shooter-Squad Assignment'!$A:$A,MATCH(C441&amp;"-"&amp;D441&amp;"-"&amp;E441&amp;"-Pos5",'Shooter-Squad Assignment'!$V:$V,0)),""),IF(E441="Sporting Clays",IFERROR(INDEX('Shooter-Squad Assignment'!$A:$A,MATCH(C441&amp;"-"&amp;D441&amp;"-"&amp;E441&amp;"-Pos5",'Shooter-Squad Assignment'!$Y:$Y,0)),""),"")))</f>
        <v/>
      </c>
      <c r="O441" s="80" t="str">
        <f>IF(ISBLANK(N441),"",IFERROR(INDEX('Tournament List'!$D:$D,MATCH(N441,'Tournament List'!$A:$A,0)),""))</f>
        <v/>
      </c>
    </row>
    <row r="442" spans="1:15" x14ac:dyDescent="0.3">
      <c r="A442" s="79">
        <v>450</v>
      </c>
      <c r="B442" s="73" t="str">
        <f t="shared" si="6"/>
        <v>-Junior Varsity 3-Skeet</v>
      </c>
      <c r="C442" s="73"/>
      <c r="D442" s="73" t="s">
        <v>353</v>
      </c>
      <c r="E442" s="73" t="s">
        <v>143</v>
      </c>
      <c r="F442" s="98" t="str">
        <f>IF(E442="Skeet",IFERROR(INDEX('Shooter-Squad Assignment'!$A:$A,MATCH(C442&amp;"-"&amp;D442&amp;"-"&amp;E442&amp;"-Pos1",'Shooter-Squad Assignment'!#REF!,0)),""),IF(E442="Trap",IFERROR(INDEX('Shooter-Squad Assignment'!$A:$A,MATCH(C442&amp;"-"&amp;D442&amp;"-"&amp;E442&amp;"-Pos1",'Shooter-Squad Assignment'!$V:$V,0)),""),IF(E442="Sporting Clays",IFERROR(INDEX('Shooter-Squad Assignment'!$A:$A,MATCH(C442&amp;"-"&amp;D442&amp;"-"&amp;E442&amp;"-Pos1",'Shooter-Squad Assignment'!$Y:$Y,0)),""),"")))</f>
        <v/>
      </c>
      <c r="G442" s="73" t="str">
        <f>IF(ISBLANK(F442),"",IFERROR(INDEX('Tournament List'!$D:$D,MATCH(F442,'Tournament List'!$A:$A,0)),""))</f>
        <v/>
      </c>
      <c r="H442" s="98" t="str">
        <f>IF(E442="Skeet",IFERROR(INDEX('Shooter-Squad Assignment'!$A:$A,MATCH(C442&amp;"-"&amp;D442&amp;"-"&amp;E442&amp;"-Pos2",'Shooter-Squad Assignment'!#REF!,0)),""),IF(E442="Trap",IFERROR(INDEX('Shooter-Squad Assignment'!$A:$A,MATCH(C442&amp;"-"&amp;D442&amp;"-"&amp;E442&amp;"-Pos2",'Shooter-Squad Assignment'!$V:$V,0)),""),IF(E442="Sporting Clays",IFERROR(INDEX('Shooter-Squad Assignment'!$A:$A,MATCH(C442&amp;"-"&amp;D442&amp;"-"&amp;E442&amp;"-Pos2",'Shooter-Squad Assignment'!$Y:$Y,0)),""),"")))</f>
        <v/>
      </c>
      <c r="I442" s="73" t="str">
        <f>IF(ISBLANK(H442),"",IFERROR(INDEX('Tournament List'!$D:$D,MATCH(H442,'Tournament List'!$A:$A,0)),""))</f>
        <v/>
      </c>
      <c r="J442" s="98" t="str">
        <f>IF(E442="Skeet",IFERROR(INDEX('Shooter-Squad Assignment'!$A:$A,MATCH(C442&amp;"-"&amp;D442&amp;"-"&amp;E442&amp;"-Pos3",'Shooter-Squad Assignment'!#REF!,0)),""),IF(E442="Trap",IFERROR(INDEX('Shooter-Squad Assignment'!$A:$A,MATCH(C442&amp;"-"&amp;D442&amp;"-"&amp;E442&amp;"-Pos3",'Shooter-Squad Assignment'!$V:$V,0)),""),IF(E442="Sporting Clays",IFERROR(INDEX('Shooter-Squad Assignment'!$A:$A,MATCH(C442&amp;"-"&amp;D442&amp;"-"&amp;E442&amp;"-Pos3",'Shooter-Squad Assignment'!$Y:$Y,0)),""),"")))</f>
        <v/>
      </c>
      <c r="K442" s="73" t="str">
        <f>IF(ISBLANK(J442),"",IFERROR(INDEX('Tournament List'!$D:$D,MATCH(J442,'Tournament List'!$A:$A,0)),""))</f>
        <v/>
      </c>
      <c r="L442" s="98" t="str">
        <f>IF(E442="Skeet",IFERROR(INDEX('Shooter-Squad Assignment'!$A:$A,MATCH(C442&amp;"-"&amp;D442&amp;"-"&amp;E442&amp;"-Pos4",'Shooter-Squad Assignment'!#REF!,0)),""),IF(E442="Trap",IFERROR(INDEX('Shooter-Squad Assignment'!$A:$A,MATCH(C442&amp;"-"&amp;D442&amp;"-"&amp;E442&amp;"-Pos4",'Shooter-Squad Assignment'!$V:$V,0)),""),IF(E442="Sporting Clays",IFERROR(INDEX('Shooter-Squad Assignment'!$A:$A,MATCH(C442&amp;"-"&amp;D442&amp;"-"&amp;E442&amp;"-Pos4",'Shooter-Squad Assignment'!$Y:$Y,0)),""),"")))</f>
        <v/>
      </c>
      <c r="M442" s="73" t="str">
        <f>IF(ISBLANK(L442),"",IFERROR(INDEX('Tournament List'!$D:$D,MATCH(L442,'Tournament List'!$A:$A,0)),""))</f>
        <v/>
      </c>
      <c r="N442" s="98" t="str">
        <f>IF(E442="Skeet",IFERROR(INDEX('Shooter-Squad Assignment'!$A:$A,MATCH(C442&amp;"-"&amp;D442&amp;"-"&amp;E442&amp;"-Pos5",'Shooter-Squad Assignment'!#REF!,0)),""),IF(E442="Trap",IFERROR(INDEX('Shooter-Squad Assignment'!$A:$A,MATCH(C442&amp;"-"&amp;D442&amp;"-"&amp;E442&amp;"-Pos5",'Shooter-Squad Assignment'!$V:$V,0)),""),IF(E442="Sporting Clays",IFERROR(INDEX('Shooter-Squad Assignment'!$A:$A,MATCH(C442&amp;"-"&amp;D442&amp;"-"&amp;E442&amp;"-Pos5",'Shooter-Squad Assignment'!$Y:$Y,0)),""),"")))</f>
        <v/>
      </c>
      <c r="O442" s="80" t="str">
        <f>IF(ISBLANK(N442),"",IFERROR(INDEX('Tournament List'!$D:$D,MATCH(N442,'Tournament List'!$A:$A,0)),""))</f>
        <v/>
      </c>
    </row>
    <row r="443" spans="1:15" x14ac:dyDescent="0.3">
      <c r="A443" s="79">
        <v>451</v>
      </c>
      <c r="B443" s="73" t="str">
        <f t="shared" si="6"/>
        <v>-Novice 1-Skeet</v>
      </c>
      <c r="C443" s="73"/>
      <c r="D443" s="73" t="s">
        <v>339</v>
      </c>
      <c r="E443" s="73" t="s">
        <v>143</v>
      </c>
      <c r="F443" s="98" t="str">
        <f>IF(E443="Skeet",IFERROR(INDEX('Shooter-Squad Assignment'!$A:$A,MATCH(C443&amp;"-"&amp;D443&amp;"-"&amp;E443&amp;"-Pos1",'Shooter-Squad Assignment'!#REF!,0)),""),IF(E443="Trap",IFERROR(INDEX('Shooter-Squad Assignment'!$A:$A,MATCH(C443&amp;"-"&amp;D443&amp;"-"&amp;E443&amp;"-Pos1",'Shooter-Squad Assignment'!$V:$V,0)),""),IF(E443="Sporting Clays",IFERROR(INDEX('Shooter-Squad Assignment'!$A:$A,MATCH(C443&amp;"-"&amp;D443&amp;"-"&amp;E443&amp;"-Pos1",'Shooter-Squad Assignment'!$Y:$Y,0)),""),"")))</f>
        <v/>
      </c>
      <c r="G443" s="73" t="str">
        <f>IF(ISBLANK(F443),"",IFERROR(INDEX('Tournament List'!$D:$D,MATCH(F443,'Tournament List'!$A:$A,0)),""))</f>
        <v/>
      </c>
      <c r="H443" s="98" t="str">
        <f>IF(E443="Skeet",IFERROR(INDEX('Shooter-Squad Assignment'!$A:$A,MATCH(C443&amp;"-"&amp;D443&amp;"-"&amp;E443&amp;"-Pos2",'Shooter-Squad Assignment'!#REF!,0)),""),IF(E443="Trap",IFERROR(INDEX('Shooter-Squad Assignment'!$A:$A,MATCH(C443&amp;"-"&amp;D443&amp;"-"&amp;E443&amp;"-Pos2",'Shooter-Squad Assignment'!$V:$V,0)),""),IF(E443="Sporting Clays",IFERROR(INDEX('Shooter-Squad Assignment'!$A:$A,MATCH(C443&amp;"-"&amp;D443&amp;"-"&amp;E443&amp;"-Pos2",'Shooter-Squad Assignment'!$Y:$Y,0)),""),"")))</f>
        <v/>
      </c>
      <c r="I443" s="73" t="str">
        <f>IF(ISBLANK(H443),"",IFERROR(INDEX('Tournament List'!$D:$D,MATCH(H443,'Tournament List'!$A:$A,0)),""))</f>
        <v/>
      </c>
      <c r="J443" s="98" t="str">
        <f>IF(E443="Skeet",IFERROR(INDEX('Shooter-Squad Assignment'!$A:$A,MATCH(C443&amp;"-"&amp;D443&amp;"-"&amp;E443&amp;"-Pos3",'Shooter-Squad Assignment'!#REF!,0)),""),IF(E443="Trap",IFERROR(INDEX('Shooter-Squad Assignment'!$A:$A,MATCH(C443&amp;"-"&amp;D443&amp;"-"&amp;E443&amp;"-Pos3",'Shooter-Squad Assignment'!$V:$V,0)),""),IF(E443="Sporting Clays",IFERROR(INDEX('Shooter-Squad Assignment'!$A:$A,MATCH(C443&amp;"-"&amp;D443&amp;"-"&amp;E443&amp;"-Pos3",'Shooter-Squad Assignment'!$Y:$Y,0)),""),"")))</f>
        <v/>
      </c>
      <c r="K443" s="73" t="str">
        <f>IF(ISBLANK(J443),"",IFERROR(INDEX('Tournament List'!$D:$D,MATCH(J443,'Tournament List'!$A:$A,0)),""))</f>
        <v/>
      </c>
      <c r="L443" s="98" t="str">
        <f>IF(E443="Skeet",IFERROR(INDEX('Shooter-Squad Assignment'!$A:$A,MATCH(C443&amp;"-"&amp;D443&amp;"-"&amp;E443&amp;"-Pos4",'Shooter-Squad Assignment'!#REF!,0)),""),IF(E443="Trap",IFERROR(INDEX('Shooter-Squad Assignment'!$A:$A,MATCH(C443&amp;"-"&amp;D443&amp;"-"&amp;E443&amp;"-Pos4",'Shooter-Squad Assignment'!$V:$V,0)),""),IF(E443="Sporting Clays",IFERROR(INDEX('Shooter-Squad Assignment'!$A:$A,MATCH(C443&amp;"-"&amp;D443&amp;"-"&amp;E443&amp;"-Pos4",'Shooter-Squad Assignment'!$Y:$Y,0)),""),"")))</f>
        <v/>
      </c>
      <c r="M443" s="73" t="str">
        <f>IF(ISBLANK(L443),"",IFERROR(INDEX('Tournament List'!$D:$D,MATCH(L443,'Tournament List'!$A:$A,0)),""))</f>
        <v/>
      </c>
      <c r="N443" s="98" t="str">
        <f>IF(E443="Skeet",IFERROR(INDEX('Shooter-Squad Assignment'!$A:$A,MATCH(C443&amp;"-"&amp;D443&amp;"-"&amp;E443&amp;"-Pos5",'Shooter-Squad Assignment'!#REF!,0)),""),IF(E443="Trap",IFERROR(INDEX('Shooter-Squad Assignment'!$A:$A,MATCH(C443&amp;"-"&amp;D443&amp;"-"&amp;E443&amp;"-Pos5",'Shooter-Squad Assignment'!$V:$V,0)),""),IF(E443="Sporting Clays",IFERROR(INDEX('Shooter-Squad Assignment'!$A:$A,MATCH(C443&amp;"-"&amp;D443&amp;"-"&amp;E443&amp;"-Pos5",'Shooter-Squad Assignment'!$Y:$Y,0)),""),"")))</f>
        <v/>
      </c>
      <c r="O443" s="80" t="str">
        <f>IF(ISBLANK(N443),"",IFERROR(INDEX('Tournament List'!$D:$D,MATCH(N443,'Tournament List'!$A:$A,0)),""))</f>
        <v/>
      </c>
    </row>
    <row r="444" spans="1:15" x14ac:dyDescent="0.3">
      <c r="A444" s="79">
        <v>452</v>
      </c>
      <c r="B444" s="73" t="str">
        <f t="shared" si="6"/>
        <v>-Novice 2-Skeet</v>
      </c>
      <c r="C444" s="73"/>
      <c r="D444" s="73" t="s">
        <v>345</v>
      </c>
      <c r="E444" s="73" t="s">
        <v>143</v>
      </c>
      <c r="F444" s="98" t="str">
        <f>IF(E444="Skeet",IFERROR(INDEX('Shooter-Squad Assignment'!$A:$A,MATCH(C444&amp;"-"&amp;D444&amp;"-"&amp;E444&amp;"-Pos1",'Shooter-Squad Assignment'!#REF!,0)),""),IF(E444="Trap",IFERROR(INDEX('Shooter-Squad Assignment'!$A:$A,MATCH(C444&amp;"-"&amp;D444&amp;"-"&amp;E444&amp;"-Pos1",'Shooter-Squad Assignment'!$V:$V,0)),""),IF(E444="Sporting Clays",IFERROR(INDEX('Shooter-Squad Assignment'!$A:$A,MATCH(C444&amp;"-"&amp;D444&amp;"-"&amp;E444&amp;"-Pos1",'Shooter-Squad Assignment'!$Y:$Y,0)),""),"")))</f>
        <v/>
      </c>
      <c r="G444" s="73" t="str">
        <f>IF(ISBLANK(F444),"",IFERROR(INDEX('Tournament List'!$D:$D,MATCH(F444,'Tournament List'!$A:$A,0)),""))</f>
        <v/>
      </c>
      <c r="H444" s="98" t="str">
        <f>IF(E444="Skeet",IFERROR(INDEX('Shooter-Squad Assignment'!$A:$A,MATCH(C444&amp;"-"&amp;D444&amp;"-"&amp;E444&amp;"-Pos2",'Shooter-Squad Assignment'!#REF!,0)),""),IF(E444="Trap",IFERROR(INDEX('Shooter-Squad Assignment'!$A:$A,MATCH(C444&amp;"-"&amp;D444&amp;"-"&amp;E444&amp;"-Pos2",'Shooter-Squad Assignment'!$V:$V,0)),""),IF(E444="Sporting Clays",IFERROR(INDEX('Shooter-Squad Assignment'!$A:$A,MATCH(C444&amp;"-"&amp;D444&amp;"-"&amp;E444&amp;"-Pos2",'Shooter-Squad Assignment'!$Y:$Y,0)),""),"")))</f>
        <v/>
      </c>
      <c r="I444" s="73" t="str">
        <f>IF(ISBLANK(H444),"",IFERROR(INDEX('Tournament List'!$D:$D,MATCH(H444,'Tournament List'!$A:$A,0)),""))</f>
        <v/>
      </c>
      <c r="J444" s="98" t="str">
        <f>IF(E444="Skeet",IFERROR(INDEX('Shooter-Squad Assignment'!$A:$A,MATCH(C444&amp;"-"&amp;D444&amp;"-"&amp;E444&amp;"-Pos3",'Shooter-Squad Assignment'!#REF!,0)),""),IF(E444="Trap",IFERROR(INDEX('Shooter-Squad Assignment'!$A:$A,MATCH(C444&amp;"-"&amp;D444&amp;"-"&amp;E444&amp;"-Pos3",'Shooter-Squad Assignment'!$V:$V,0)),""),IF(E444="Sporting Clays",IFERROR(INDEX('Shooter-Squad Assignment'!$A:$A,MATCH(C444&amp;"-"&amp;D444&amp;"-"&amp;E444&amp;"-Pos3",'Shooter-Squad Assignment'!$Y:$Y,0)),""),"")))</f>
        <v/>
      </c>
      <c r="K444" s="73" t="str">
        <f>IF(ISBLANK(J444),"",IFERROR(INDEX('Tournament List'!$D:$D,MATCH(J444,'Tournament List'!$A:$A,0)),""))</f>
        <v/>
      </c>
      <c r="L444" s="98" t="str">
        <f>IF(E444="Skeet",IFERROR(INDEX('Shooter-Squad Assignment'!$A:$A,MATCH(C444&amp;"-"&amp;D444&amp;"-"&amp;E444&amp;"-Pos4",'Shooter-Squad Assignment'!#REF!,0)),""),IF(E444="Trap",IFERROR(INDEX('Shooter-Squad Assignment'!$A:$A,MATCH(C444&amp;"-"&amp;D444&amp;"-"&amp;E444&amp;"-Pos4",'Shooter-Squad Assignment'!$V:$V,0)),""),IF(E444="Sporting Clays",IFERROR(INDEX('Shooter-Squad Assignment'!$A:$A,MATCH(C444&amp;"-"&amp;D444&amp;"-"&amp;E444&amp;"-Pos4",'Shooter-Squad Assignment'!$Y:$Y,0)),""),"")))</f>
        <v/>
      </c>
      <c r="M444" s="73" t="str">
        <f>IF(ISBLANK(L444),"",IFERROR(INDEX('Tournament List'!$D:$D,MATCH(L444,'Tournament List'!$A:$A,0)),""))</f>
        <v/>
      </c>
      <c r="N444" s="98" t="str">
        <f>IF(E444="Skeet",IFERROR(INDEX('Shooter-Squad Assignment'!$A:$A,MATCH(C444&amp;"-"&amp;D444&amp;"-"&amp;E444&amp;"-Pos5",'Shooter-Squad Assignment'!#REF!,0)),""),IF(E444="Trap",IFERROR(INDEX('Shooter-Squad Assignment'!$A:$A,MATCH(C444&amp;"-"&amp;D444&amp;"-"&amp;E444&amp;"-Pos5",'Shooter-Squad Assignment'!$V:$V,0)),""),IF(E444="Sporting Clays",IFERROR(INDEX('Shooter-Squad Assignment'!$A:$A,MATCH(C444&amp;"-"&amp;D444&amp;"-"&amp;E444&amp;"-Pos5",'Shooter-Squad Assignment'!$Y:$Y,0)),""),"")))</f>
        <v/>
      </c>
      <c r="O444" s="80" t="str">
        <f>IF(ISBLANK(N444),"",IFERROR(INDEX('Tournament List'!$D:$D,MATCH(N444,'Tournament List'!$A:$A,0)),""))</f>
        <v/>
      </c>
    </row>
    <row r="445" spans="1:15" x14ac:dyDescent="0.3">
      <c r="A445" s="79">
        <v>453</v>
      </c>
      <c r="B445" s="73" t="str">
        <f t="shared" si="6"/>
        <v>-Novice 3-Skeet</v>
      </c>
      <c r="C445" s="73"/>
      <c r="D445" s="73" t="s">
        <v>351</v>
      </c>
      <c r="E445" s="73" t="s">
        <v>143</v>
      </c>
      <c r="F445" s="98" t="str">
        <f>IF(E445="Skeet",IFERROR(INDEX('Shooter-Squad Assignment'!$A:$A,MATCH(C445&amp;"-"&amp;D445&amp;"-"&amp;E445&amp;"-Pos1",'Shooter-Squad Assignment'!#REF!,0)),""),IF(E445="Trap",IFERROR(INDEX('Shooter-Squad Assignment'!$A:$A,MATCH(C445&amp;"-"&amp;D445&amp;"-"&amp;E445&amp;"-Pos1",'Shooter-Squad Assignment'!$V:$V,0)),""),IF(E445="Sporting Clays",IFERROR(INDEX('Shooter-Squad Assignment'!$A:$A,MATCH(C445&amp;"-"&amp;D445&amp;"-"&amp;E445&amp;"-Pos1",'Shooter-Squad Assignment'!$Y:$Y,0)),""),"")))</f>
        <v/>
      </c>
      <c r="G445" s="73" t="str">
        <f>IF(ISBLANK(F445),"",IFERROR(INDEX('Tournament List'!$D:$D,MATCH(F445,'Tournament List'!$A:$A,0)),""))</f>
        <v/>
      </c>
      <c r="H445" s="98" t="str">
        <f>IF(E445="Skeet",IFERROR(INDEX('Shooter-Squad Assignment'!$A:$A,MATCH(C445&amp;"-"&amp;D445&amp;"-"&amp;E445&amp;"-Pos2",'Shooter-Squad Assignment'!#REF!,0)),""),IF(E445="Trap",IFERROR(INDEX('Shooter-Squad Assignment'!$A:$A,MATCH(C445&amp;"-"&amp;D445&amp;"-"&amp;E445&amp;"-Pos2",'Shooter-Squad Assignment'!$V:$V,0)),""),IF(E445="Sporting Clays",IFERROR(INDEX('Shooter-Squad Assignment'!$A:$A,MATCH(C445&amp;"-"&amp;D445&amp;"-"&amp;E445&amp;"-Pos2",'Shooter-Squad Assignment'!$Y:$Y,0)),""),"")))</f>
        <v/>
      </c>
      <c r="I445" s="73" t="str">
        <f>IF(ISBLANK(H445),"",IFERROR(INDEX('Tournament List'!$D:$D,MATCH(H445,'Tournament List'!$A:$A,0)),""))</f>
        <v/>
      </c>
      <c r="J445" s="98" t="str">
        <f>IF(E445="Skeet",IFERROR(INDEX('Shooter-Squad Assignment'!$A:$A,MATCH(C445&amp;"-"&amp;D445&amp;"-"&amp;E445&amp;"-Pos3",'Shooter-Squad Assignment'!#REF!,0)),""),IF(E445="Trap",IFERROR(INDEX('Shooter-Squad Assignment'!$A:$A,MATCH(C445&amp;"-"&amp;D445&amp;"-"&amp;E445&amp;"-Pos3",'Shooter-Squad Assignment'!$V:$V,0)),""),IF(E445="Sporting Clays",IFERROR(INDEX('Shooter-Squad Assignment'!$A:$A,MATCH(C445&amp;"-"&amp;D445&amp;"-"&amp;E445&amp;"-Pos3",'Shooter-Squad Assignment'!$Y:$Y,0)),""),"")))</f>
        <v/>
      </c>
      <c r="K445" s="73" t="str">
        <f>IF(ISBLANK(J445),"",IFERROR(INDEX('Tournament List'!$D:$D,MATCH(J445,'Tournament List'!$A:$A,0)),""))</f>
        <v/>
      </c>
      <c r="L445" s="98" t="str">
        <f>IF(E445="Skeet",IFERROR(INDEX('Shooter-Squad Assignment'!$A:$A,MATCH(C445&amp;"-"&amp;D445&amp;"-"&amp;E445&amp;"-Pos4",'Shooter-Squad Assignment'!#REF!,0)),""),IF(E445="Trap",IFERROR(INDEX('Shooter-Squad Assignment'!$A:$A,MATCH(C445&amp;"-"&amp;D445&amp;"-"&amp;E445&amp;"-Pos4",'Shooter-Squad Assignment'!$V:$V,0)),""),IF(E445="Sporting Clays",IFERROR(INDEX('Shooter-Squad Assignment'!$A:$A,MATCH(C445&amp;"-"&amp;D445&amp;"-"&amp;E445&amp;"-Pos4",'Shooter-Squad Assignment'!$Y:$Y,0)),""),"")))</f>
        <v/>
      </c>
      <c r="M445" s="73" t="str">
        <f>IF(ISBLANK(L445),"",IFERROR(INDEX('Tournament List'!$D:$D,MATCH(L445,'Tournament List'!$A:$A,0)),""))</f>
        <v/>
      </c>
      <c r="N445" s="98" t="str">
        <f>IF(E445="Skeet",IFERROR(INDEX('Shooter-Squad Assignment'!$A:$A,MATCH(C445&amp;"-"&amp;D445&amp;"-"&amp;E445&amp;"-Pos5",'Shooter-Squad Assignment'!#REF!,0)),""),IF(E445="Trap",IFERROR(INDEX('Shooter-Squad Assignment'!$A:$A,MATCH(C445&amp;"-"&amp;D445&amp;"-"&amp;E445&amp;"-Pos5",'Shooter-Squad Assignment'!$V:$V,0)),""),IF(E445="Sporting Clays",IFERROR(INDEX('Shooter-Squad Assignment'!$A:$A,MATCH(C445&amp;"-"&amp;D445&amp;"-"&amp;E445&amp;"-Pos5",'Shooter-Squad Assignment'!$Y:$Y,0)),""),"")))</f>
        <v/>
      </c>
      <c r="O445" s="80" t="str">
        <f>IF(ISBLANK(N445),"",IFERROR(INDEX('Tournament List'!$D:$D,MATCH(N445,'Tournament List'!$A:$A,0)),""))</f>
        <v/>
      </c>
    </row>
    <row r="446" spans="1:15" x14ac:dyDescent="0.3">
      <c r="A446" s="79">
        <v>454</v>
      </c>
      <c r="B446" s="73" t="str">
        <f t="shared" si="6"/>
        <v>-Open 1-Skeet</v>
      </c>
      <c r="C446" s="73"/>
      <c r="D446" s="73" t="s">
        <v>343</v>
      </c>
      <c r="E446" s="73" t="s">
        <v>143</v>
      </c>
      <c r="F446" s="98" t="str">
        <f>IF(E446="Skeet",IFERROR(INDEX('Shooter-Squad Assignment'!$A:$A,MATCH(C446&amp;"-"&amp;D446&amp;"-"&amp;E446&amp;"-Pos1",'Shooter-Squad Assignment'!#REF!,0)),""),IF(E446="Trap",IFERROR(INDEX('Shooter-Squad Assignment'!$A:$A,MATCH(C446&amp;"-"&amp;D446&amp;"-"&amp;E446&amp;"-Pos1",'Shooter-Squad Assignment'!$V:$V,0)),""),IF(E446="Sporting Clays",IFERROR(INDEX('Shooter-Squad Assignment'!$A:$A,MATCH(C446&amp;"-"&amp;D446&amp;"-"&amp;E446&amp;"-Pos1",'Shooter-Squad Assignment'!$Y:$Y,0)),""),"")))</f>
        <v/>
      </c>
      <c r="G446" s="73" t="str">
        <f>IF(ISBLANK(F446),"",IFERROR(INDEX('Tournament List'!$D:$D,MATCH(F446,'Tournament List'!$A:$A,0)),""))</f>
        <v/>
      </c>
      <c r="H446" s="98" t="str">
        <f>IF(E446="Skeet",IFERROR(INDEX('Shooter-Squad Assignment'!$A:$A,MATCH(C446&amp;"-"&amp;D446&amp;"-"&amp;E446&amp;"-Pos2",'Shooter-Squad Assignment'!#REF!,0)),""),IF(E446="Trap",IFERROR(INDEX('Shooter-Squad Assignment'!$A:$A,MATCH(C446&amp;"-"&amp;D446&amp;"-"&amp;E446&amp;"-Pos2",'Shooter-Squad Assignment'!$V:$V,0)),""),IF(E446="Sporting Clays",IFERROR(INDEX('Shooter-Squad Assignment'!$A:$A,MATCH(C446&amp;"-"&amp;D446&amp;"-"&amp;E446&amp;"-Pos2",'Shooter-Squad Assignment'!$Y:$Y,0)),""),"")))</f>
        <v/>
      </c>
      <c r="I446" s="73" t="str">
        <f>IF(ISBLANK(H446),"",IFERROR(INDEX('Tournament List'!$D:$D,MATCH(H446,'Tournament List'!$A:$A,0)),""))</f>
        <v/>
      </c>
      <c r="J446" s="98" t="str">
        <f>IF(E446="Skeet",IFERROR(INDEX('Shooter-Squad Assignment'!$A:$A,MATCH(C446&amp;"-"&amp;D446&amp;"-"&amp;E446&amp;"-Pos3",'Shooter-Squad Assignment'!#REF!,0)),""),IF(E446="Trap",IFERROR(INDEX('Shooter-Squad Assignment'!$A:$A,MATCH(C446&amp;"-"&amp;D446&amp;"-"&amp;E446&amp;"-Pos3",'Shooter-Squad Assignment'!$V:$V,0)),""),IF(E446="Sporting Clays",IFERROR(INDEX('Shooter-Squad Assignment'!$A:$A,MATCH(C446&amp;"-"&amp;D446&amp;"-"&amp;E446&amp;"-Pos3",'Shooter-Squad Assignment'!$Y:$Y,0)),""),"")))</f>
        <v/>
      </c>
      <c r="K446" s="73" t="str">
        <f>IF(ISBLANK(J446),"",IFERROR(INDEX('Tournament List'!$D:$D,MATCH(J446,'Tournament List'!$A:$A,0)),""))</f>
        <v/>
      </c>
      <c r="L446" s="98" t="str">
        <f>IF(E446="Skeet",IFERROR(INDEX('Shooter-Squad Assignment'!$A:$A,MATCH(C446&amp;"-"&amp;D446&amp;"-"&amp;E446&amp;"-Pos4",'Shooter-Squad Assignment'!#REF!,0)),""),IF(E446="Trap",IFERROR(INDEX('Shooter-Squad Assignment'!$A:$A,MATCH(C446&amp;"-"&amp;D446&amp;"-"&amp;E446&amp;"-Pos4",'Shooter-Squad Assignment'!$V:$V,0)),""),IF(E446="Sporting Clays",IFERROR(INDEX('Shooter-Squad Assignment'!$A:$A,MATCH(C446&amp;"-"&amp;D446&amp;"-"&amp;E446&amp;"-Pos4",'Shooter-Squad Assignment'!$Y:$Y,0)),""),"")))</f>
        <v/>
      </c>
      <c r="M446" s="73" t="str">
        <f>IF(ISBLANK(L446),"",IFERROR(INDEX('Tournament List'!$D:$D,MATCH(L446,'Tournament List'!$A:$A,0)),""))</f>
        <v/>
      </c>
      <c r="N446" s="98" t="str">
        <f>IF(E446="Skeet",IFERROR(INDEX('Shooter-Squad Assignment'!$A:$A,MATCH(C446&amp;"-"&amp;D446&amp;"-"&amp;E446&amp;"-Pos5",'Shooter-Squad Assignment'!#REF!,0)),""),IF(E446="Trap",IFERROR(INDEX('Shooter-Squad Assignment'!$A:$A,MATCH(C446&amp;"-"&amp;D446&amp;"-"&amp;E446&amp;"-Pos5",'Shooter-Squad Assignment'!$V:$V,0)),""),IF(E446="Sporting Clays",IFERROR(INDEX('Shooter-Squad Assignment'!$A:$A,MATCH(C446&amp;"-"&amp;D446&amp;"-"&amp;E446&amp;"-Pos5",'Shooter-Squad Assignment'!$Y:$Y,0)),""),"")))</f>
        <v/>
      </c>
      <c r="O446" s="80" t="str">
        <f>IF(ISBLANK(N446),"",IFERROR(INDEX('Tournament List'!$D:$D,MATCH(N446,'Tournament List'!$A:$A,0)),""))</f>
        <v/>
      </c>
    </row>
    <row r="447" spans="1:15" x14ac:dyDescent="0.3">
      <c r="A447" s="79">
        <v>455</v>
      </c>
      <c r="B447" s="73" t="str">
        <f t="shared" si="6"/>
        <v>-Open 2-Skeet</v>
      </c>
      <c r="C447" s="73"/>
      <c r="D447" s="73" t="s">
        <v>349</v>
      </c>
      <c r="E447" s="73" t="s">
        <v>143</v>
      </c>
      <c r="F447" s="98" t="str">
        <f>IF(E447="Skeet",IFERROR(INDEX('Shooter-Squad Assignment'!$A:$A,MATCH(C447&amp;"-"&amp;D447&amp;"-"&amp;E447&amp;"-Pos1",'Shooter-Squad Assignment'!#REF!,0)),""),IF(E447="Trap",IFERROR(INDEX('Shooter-Squad Assignment'!$A:$A,MATCH(C447&amp;"-"&amp;D447&amp;"-"&amp;E447&amp;"-Pos1",'Shooter-Squad Assignment'!$V:$V,0)),""),IF(E447="Sporting Clays",IFERROR(INDEX('Shooter-Squad Assignment'!$A:$A,MATCH(C447&amp;"-"&amp;D447&amp;"-"&amp;E447&amp;"-Pos1",'Shooter-Squad Assignment'!$Y:$Y,0)),""),"")))</f>
        <v/>
      </c>
      <c r="G447" s="73" t="str">
        <f>IF(ISBLANK(F447),"",IFERROR(INDEX('Tournament List'!$D:$D,MATCH(F447,'Tournament List'!$A:$A,0)),""))</f>
        <v/>
      </c>
      <c r="H447" s="98" t="str">
        <f>IF(E447="Skeet",IFERROR(INDEX('Shooter-Squad Assignment'!$A:$A,MATCH(C447&amp;"-"&amp;D447&amp;"-"&amp;E447&amp;"-Pos2",'Shooter-Squad Assignment'!#REF!,0)),""),IF(E447="Trap",IFERROR(INDEX('Shooter-Squad Assignment'!$A:$A,MATCH(C447&amp;"-"&amp;D447&amp;"-"&amp;E447&amp;"-Pos2",'Shooter-Squad Assignment'!$V:$V,0)),""),IF(E447="Sporting Clays",IFERROR(INDEX('Shooter-Squad Assignment'!$A:$A,MATCH(C447&amp;"-"&amp;D447&amp;"-"&amp;E447&amp;"-Pos2",'Shooter-Squad Assignment'!$Y:$Y,0)),""),"")))</f>
        <v/>
      </c>
      <c r="I447" s="73" t="str">
        <f>IF(ISBLANK(H447),"",IFERROR(INDEX('Tournament List'!$D:$D,MATCH(H447,'Tournament List'!$A:$A,0)),""))</f>
        <v/>
      </c>
      <c r="J447" s="98" t="str">
        <f>IF(E447="Skeet",IFERROR(INDEX('Shooter-Squad Assignment'!$A:$A,MATCH(C447&amp;"-"&amp;D447&amp;"-"&amp;E447&amp;"-Pos3",'Shooter-Squad Assignment'!#REF!,0)),""),IF(E447="Trap",IFERROR(INDEX('Shooter-Squad Assignment'!$A:$A,MATCH(C447&amp;"-"&amp;D447&amp;"-"&amp;E447&amp;"-Pos3",'Shooter-Squad Assignment'!$V:$V,0)),""),IF(E447="Sporting Clays",IFERROR(INDEX('Shooter-Squad Assignment'!$A:$A,MATCH(C447&amp;"-"&amp;D447&amp;"-"&amp;E447&amp;"-Pos3",'Shooter-Squad Assignment'!$Y:$Y,0)),""),"")))</f>
        <v/>
      </c>
      <c r="K447" s="73" t="str">
        <f>IF(ISBLANK(J447),"",IFERROR(INDEX('Tournament List'!$D:$D,MATCH(J447,'Tournament List'!$A:$A,0)),""))</f>
        <v/>
      </c>
      <c r="L447" s="98" t="str">
        <f>IF(E447="Skeet",IFERROR(INDEX('Shooter-Squad Assignment'!$A:$A,MATCH(C447&amp;"-"&amp;D447&amp;"-"&amp;E447&amp;"-Pos4",'Shooter-Squad Assignment'!#REF!,0)),""),IF(E447="Trap",IFERROR(INDEX('Shooter-Squad Assignment'!$A:$A,MATCH(C447&amp;"-"&amp;D447&amp;"-"&amp;E447&amp;"-Pos4",'Shooter-Squad Assignment'!$V:$V,0)),""),IF(E447="Sporting Clays",IFERROR(INDEX('Shooter-Squad Assignment'!$A:$A,MATCH(C447&amp;"-"&amp;D447&amp;"-"&amp;E447&amp;"-Pos4",'Shooter-Squad Assignment'!$Y:$Y,0)),""),"")))</f>
        <v/>
      </c>
      <c r="M447" s="73" t="str">
        <f>IF(ISBLANK(L447),"",IFERROR(INDEX('Tournament List'!$D:$D,MATCH(L447,'Tournament List'!$A:$A,0)),""))</f>
        <v/>
      </c>
      <c r="N447" s="98" t="str">
        <f>IF(E447="Skeet",IFERROR(INDEX('Shooter-Squad Assignment'!$A:$A,MATCH(C447&amp;"-"&amp;D447&amp;"-"&amp;E447&amp;"-Pos5",'Shooter-Squad Assignment'!#REF!,0)),""),IF(E447="Trap",IFERROR(INDEX('Shooter-Squad Assignment'!$A:$A,MATCH(C447&amp;"-"&amp;D447&amp;"-"&amp;E447&amp;"-Pos5",'Shooter-Squad Assignment'!$V:$V,0)),""),IF(E447="Sporting Clays",IFERROR(INDEX('Shooter-Squad Assignment'!$A:$A,MATCH(C447&amp;"-"&amp;D447&amp;"-"&amp;E447&amp;"-Pos5",'Shooter-Squad Assignment'!$Y:$Y,0)),""),"")))</f>
        <v/>
      </c>
      <c r="O447" s="80" t="str">
        <f>IF(ISBLANK(N447),"",IFERROR(INDEX('Tournament List'!$D:$D,MATCH(N447,'Tournament List'!$A:$A,0)),""))</f>
        <v/>
      </c>
    </row>
    <row r="448" spans="1:15" x14ac:dyDescent="0.3">
      <c r="A448" s="79">
        <v>456</v>
      </c>
      <c r="B448" s="73" t="str">
        <f t="shared" si="6"/>
        <v>-Open 3-Skeet</v>
      </c>
      <c r="C448" s="73"/>
      <c r="D448" s="73" t="s">
        <v>355</v>
      </c>
      <c r="E448" s="73" t="s">
        <v>143</v>
      </c>
      <c r="F448" s="98" t="str">
        <f>IF(E448="Skeet",IFERROR(INDEX('Shooter-Squad Assignment'!$A:$A,MATCH(C448&amp;"-"&amp;D448&amp;"-"&amp;E448&amp;"-Pos1",'Shooter-Squad Assignment'!#REF!,0)),""),IF(E448="Trap",IFERROR(INDEX('Shooter-Squad Assignment'!$A:$A,MATCH(C448&amp;"-"&amp;D448&amp;"-"&amp;E448&amp;"-Pos1",'Shooter-Squad Assignment'!$V:$V,0)),""),IF(E448="Sporting Clays",IFERROR(INDEX('Shooter-Squad Assignment'!$A:$A,MATCH(C448&amp;"-"&amp;D448&amp;"-"&amp;E448&amp;"-Pos1",'Shooter-Squad Assignment'!$Y:$Y,0)),""),"")))</f>
        <v/>
      </c>
      <c r="G448" s="73" t="str">
        <f>IF(ISBLANK(F448),"",IFERROR(INDEX('Tournament List'!$D:$D,MATCH(F448,'Tournament List'!$A:$A,0)),""))</f>
        <v/>
      </c>
      <c r="H448" s="98" t="str">
        <f>IF(E448="Skeet",IFERROR(INDEX('Shooter-Squad Assignment'!$A:$A,MATCH(C448&amp;"-"&amp;D448&amp;"-"&amp;E448&amp;"-Pos2",'Shooter-Squad Assignment'!#REF!,0)),""),IF(E448="Trap",IFERROR(INDEX('Shooter-Squad Assignment'!$A:$A,MATCH(C448&amp;"-"&amp;D448&amp;"-"&amp;E448&amp;"-Pos2",'Shooter-Squad Assignment'!$V:$V,0)),""),IF(E448="Sporting Clays",IFERROR(INDEX('Shooter-Squad Assignment'!$A:$A,MATCH(C448&amp;"-"&amp;D448&amp;"-"&amp;E448&amp;"-Pos2",'Shooter-Squad Assignment'!$Y:$Y,0)),""),"")))</f>
        <v/>
      </c>
      <c r="I448" s="73" t="str">
        <f>IF(ISBLANK(H448),"",IFERROR(INDEX('Tournament List'!$D:$D,MATCH(H448,'Tournament List'!$A:$A,0)),""))</f>
        <v/>
      </c>
      <c r="J448" s="98" t="str">
        <f>IF(E448="Skeet",IFERROR(INDEX('Shooter-Squad Assignment'!$A:$A,MATCH(C448&amp;"-"&amp;D448&amp;"-"&amp;E448&amp;"-Pos3",'Shooter-Squad Assignment'!#REF!,0)),""),IF(E448="Trap",IFERROR(INDEX('Shooter-Squad Assignment'!$A:$A,MATCH(C448&amp;"-"&amp;D448&amp;"-"&amp;E448&amp;"-Pos3",'Shooter-Squad Assignment'!$V:$V,0)),""),IF(E448="Sporting Clays",IFERROR(INDEX('Shooter-Squad Assignment'!$A:$A,MATCH(C448&amp;"-"&amp;D448&amp;"-"&amp;E448&amp;"-Pos3",'Shooter-Squad Assignment'!$Y:$Y,0)),""),"")))</f>
        <v/>
      </c>
      <c r="K448" s="73" t="str">
        <f>IF(ISBLANK(J448),"",IFERROR(INDEX('Tournament List'!$D:$D,MATCH(J448,'Tournament List'!$A:$A,0)),""))</f>
        <v/>
      </c>
      <c r="L448" s="98" t="str">
        <f>IF(E448="Skeet",IFERROR(INDEX('Shooter-Squad Assignment'!$A:$A,MATCH(C448&amp;"-"&amp;D448&amp;"-"&amp;E448&amp;"-Pos4",'Shooter-Squad Assignment'!#REF!,0)),""),IF(E448="Trap",IFERROR(INDEX('Shooter-Squad Assignment'!$A:$A,MATCH(C448&amp;"-"&amp;D448&amp;"-"&amp;E448&amp;"-Pos4",'Shooter-Squad Assignment'!$V:$V,0)),""),IF(E448="Sporting Clays",IFERROR(INDEX('Shooter-Squad Assignment'!$A:$A,MATCH(C448&amp;"-"&amp;D448&amp;"-"&amp;E448&amp;"-Pos4",'Shooter-Squad Assignment'!$Y:$Y,0)),""),"")))</f>
        <v/>
      </c>
      <c r="M448" s="73" t="str">
        <f>IF(ISBLANK(L448),"",IFERROR(INDEX('Tournament List'!$D:$D,MATCH(L448,'Tournament List'!$A:$A,0)),""))</f>
        <v/>
      </c>
      <c r="N448" s="98" t="str">
        <f>IF(E448="Skeet",IFERROR(INDEX('Shooter-Squad Assignment'!$A:$A,MATCH(C448&amp;"-"&amp;D448&amp;"-"&amp;E448&amp;"-Pos5",'Shooter-Squad Assignment'!#REF!,0)),""),IF(E448="Trap",IFERROR(INDEX('Shooter-Squad Assignment'!$A:$A,MATCH(C448&amp;"-"&amp;D448&amp;"-"&amp;E448&amp;"-Pos5",'Shooter-Squad Assignment'!$V:$V,0)),""),IF(E448="Sporting Clays",IFERROR(INDEX('Shooter-Squad Assignment'!$A:$A,MATCH(C448&amp;"-"&amp;D448&amp;"-"&amp;E448&amp;"-Pos5",'Shooter-Squad Assignment'!$Y:$Y,0)),""),"")))</f>
        <v/>
      </c>
      <c r="O448" s="80" t="str">
        <f>IF(ISBLANK(N448),"",IFERROR(INDEX('Tournament List'!$D:$D,MATCH(N448,'Tournament List'!$A:$A,0)),""))</f>
        <v/>
      </c>
    </row>
    <row r="449" spans="1:15" x14ac:dyDescent="0.3">
      <c r="A449" s="79">
        <v>457</v>
      </c>
      <c r="B449" s="73" t="str">
        <f t="shared" si="6"/>
        <v>-Varsity 1-Skeet</v>
      </c>
      <c r="C449" s="73"/>
      <c r="D449" s="73" t="s">
        <v>342</v>
      </c>
      <c r="E449" s="73" t="s">
        <v>143</v>
      </c>
      <c r="F449" s="98" t="str">
        <f>IF(E449="Skeet",IFERROR(INDEX('Shooter-Squad Assignment'!$A:$A,MATCH(C449&amp;"-"&amp;D449&amp;"-"&amp;E449&amp;"-Pos1",'Shooter-Squad Assignment'!#REF!,0)),""),IF(E449="Trap",IFERROR(INDEX('Shooter-Squad Assignment'!$A:$A,MATCH(C449&amp;"-"&amp;D449&amp;"-"&amp;E449&amp;"-Pos1",'Shooter-Squad Assignment'!$V:$V,0)),""),IF(E449="Sporting Clays",IFERROR(INDEX('Shooter-Squad Assignment'!$A:$A,MATCH(C449&amp;"-"&amp;D449&amp;"-"&amp;E449&amp;"-Pos1",'Shooter-Squad Assignment'!$Y:$Y,0)),""),"")))</f>
        <v/>
      </c>
      <c r="G449" s="73" t="str">
        <f>IF(ISBLANK(F449),"",IFERROR(INDEX('Tournament List'!$D:$D,MATCH(F449,'Tournament List'!$A:$A,0)),""))</f>
        <v/>
      </c>
      <c r="H449" s="98" t="str">
        <f>IF(E449="Skeet",IFERROR(INDEX('Shooter-Squad Assignment'!$A:$A,MATCH(C449&amp;"-"&amp;D449&amp;"-"&amp;E449&amp;"-Pos2",'Shooter-Squad Assignment'!#REF!,0)),""),IF(E449="Trap",IFERROR(INDEX('Shooter-Squad Assignment'!$A:$A,MATCH(C449&amp;"-"&amp;D449&amp;"-"&amp;E449&amp;"-Pos2",'Shooter-Squad Assignment'!$V:$V,0)),""),IF(E449="Sporting Clays",IFERROR(INDEX('Shooter-Squad Assignment'!$A:$A,MATCH(C449&amp;"-"&amp;D449&amp;"-"&amp;E449&amp;"-Pos2",'Shooter-Squad Assignment'!$Y:$Y,0)),""),"")))</f>
        <v/>
      </c>
      <c r="I449" s="73" t="str">
        <f>IF(ISBLANK(H449),"",IFERROR(INDEX('Tournament List'!$D:$D,MATCH(H449,'Tournament List'!$A:$A,0)),""))</f>
        <v/>
      </c>
      <c r="J449" s="98" t="str">
        <f>IF(E449="Skeet",IFERROR(INDEX('Shooter-Squad Assignment'!$A:$A,MATCH(C449&amp;"-"&amp;D449&amp;"-"&amp;E449&amp;"-Pos3",'Shooter-Squad Assignment'!#REF!,0)),""),IF(E449="Trap",IFERROR(INDEX('Shooter-Squad Assignment'!$A:$A,MATCH(C449&amp;"-"&amp;D449&amp;"-"&amp;E449&amp;"-Pos3",'Shooter-Squad Assignment'!$V:$V,0)),""),IF(E449="Sporting Clays",IFERROR(INDEX('Shooter-Squad Assignment'!$A:$A,MATCH(C449&amp;"-"&amp;D449&amp;"-"&amp;E449&amp;"-Pos3",'Shooter-Squad Assignment'!$Y:$Y,0)),""),"")))</f>
        <v/>
      </c>
      <c r="K449" s="73" t="str">
        <f>IF(ISBLANK(J449),"",IFERROR(INDEX('Tournament List'!$D:$D,MATCH(J449,'Tournament List'!$A:$A,0)),""))</f>
        <v/>
      </c>
      <c r="L449" s="98" t="str">
        <f>IF(E449="Skeet",IFERROR(INDEX('Shooter-Squad Assignment'!$A:$A,MATCH(C449&amp;"-"&amp;D449&amp;"-"&amp;E449&amp;"-Pos4",'Shooter-Squad Assignment'!#REF!,0)),""),IF(E449="Trap",IFERROR(INDEX('Shooter-Squad Assignment'!$A:$A,MATCH(C449&amp;"-"&amp;D449&amp;"-"&amp;E449&amp;"-Pos4",'Shooter-Squad Assignment'!$V:$V,0)),""),IF(E449="Sporting Clays",IFERROR(INDEX('Shooter-Squad Assignment'!$A:$A,MATCH(C449&amp;"-"&amp;D449&amp;"-"&amp;E449&amp;"-Pos4",'Shooter-Squad Assignment'!$Y:$Y,0)),""),"")))</f>
        <v/>
      </c>
      <c r="M449" s="73" t="str">
        <f>IF(ISBLANK(L449),"",IFERROR(INDEX('Tournament List'!$D:$D,MATCH(L449,'Tournament List'!$A:$A,0)),""))</f>
        <v/>
      </c>
      <c r="N449" s="98" t="str">
        <f>IF(E449="Skeet",IFERROR(INDEX('Shooter-Squad Assignment'!$A:$A,MATCH(C449&amp;"-"&amp;D449&amp;"-"&amp;E449&amp;"-Pos5",'Shooter-Squad Assignment'!#REF!,0)),""),IF(E449="Trap",IFERROR(INDEX('Shooter-Squad Assignment'!$A:$A,MATCH(C449&amp;"-"&amp;D449&amp;"-"&amp;E449&amp;"-Pos5",'Shooter-Squad Assignment'!$V:$V,0)),""),IF(E449="Sporting Clays",IFERROR(INDEX('Shooter-Squad Assignment'!$A:$A,MATCH(C449&amp;"-"&amp;D449&amp;"-"&amp;E449&amp;"-Pos5",'Shooter-Squad Assignment'!$Y:$Y,0)),""),"")))</f>
        <v/>
      </c>
      <c r="O449" s="80" t="str">
        <f>IF(ISBLANK(N449),"",IFERROR(INDEX('Tournament List'!$D:$D,MATCH(N449,'Tournament List'!$A:$A,0)),""))</f>
        <v/>
      </c>
    </row>
    <row r="450" spans="1:15" x14ac:dyDescent="0.3">
      <c r="A450" s="79">
        <v>458</v>
      </c>
      <c r="B450" s="73" t="str">
        <f t="shared" si="6"/>
        <v>-Varsity 2-Skeet</v>
      </c>
      <c r="C450" s="73"/>
      <c r="D450" s="73" t="s">
        <v>348</v>
      </c>
      <c r="E450" s="73" t="s">
        <v>143</v>
      </c>
      <c r="F450" s="98" t="str">
        <f>IF(E450="Skeet",IFERROR(INDEX('Shooter-Squad Assignment'!$A:$A,MATCH(C450&amp;"-"&amp;D450&amp;"-"&amp;E450&amp;"-Pos1",'Shooter-Squad Assignment'!#REF!,0)),""),IF(E450="Trap",IFERROR(INDEX('Shooter-Squad Assignment'!$A:$A,MATCH(C450&amp;"-"&amp;D450&amp;"-"&amp;E450&amp;"-Pos1",'Shooter-Squad Assignment'!$V:$V,0)),""),IF(E450="Sporting Clays",IFERROR(INDEX('Shooter-Squad Assignment'!$A:$A,MATCH(C450&amp;"-"&amp;D450&amp;"-"&amp;E450&amp;"-Pos1",'Shooter-Squad Assignment'!$Y:$Y,0)),""),"")))</f>
        <v/>
      </c>
      <c r="G450" s="73" t="str">
        <f>IF(ISBLANK(F450),"",IFERROR(INDEX('Tournament List'!$D:$D,MATCH(F450,'Tournament List'!$A:$A,0)),""))</f>
        <v/>
      </c>
      <c r="H450" s="98" t="str">
        <f>IF(E450="Skeet",IFERROR(INDEX('Shooter-Squad Assignment'!$A:$A,MATCH(C450&amp;"-"&amp;D450&amp;"-"&amp;E450&amp;"-Pos2",'Shooter-Squad Assignment'!#REF!,0)),""),IF(E450="Trap",IFERROR(INDEX('Shooter-Squad Assignment'!$A:$A,MATCH(C450&amp;"-"&amp;D450&amp;"-"&amp;E450&amp;"-Pos2",'Shooter-Squad Assignment'!$V:$V,0)),""),IF(E450="Sporting Clays",IFERROR(INDEX('Shooter-Squad Assignment'!$A:$A,MATCH(C450&amp;"-"&amp;D450&amp;"-"&amp;E450&amp;"-Pos2",'Shooter-Squad Assignment'!$Y:$Y,0)),""),"")))</f>
        <v/>
      </c>
      <c r="I450" s="73" t="str">
        <f>IF(ISBLANK(H450),"",IFERROR(INDEX('Tournament List'!$D:$D,MATCH(H450,'Tournament List'!$A:$A,0)),""))</f>
        <v/>
      </c>
      <c r="J450" s="98" t="str">
        <f>IF(E450="Skeet",IFERROR(INDEX('Shooter-Squad Assignment'!$A:$A,MATCH(C450&amp;"-"&amp;D450&amp;"-"&amp;E450&amp;"-Pos3",'Shooter-Squad Assignment'!#REF!,0)),""),IF(E450="Trap",IFERROR(INDEX('Shooter-Squad Assignment'!$A:$A,MATCH(C450&amp;"-"&amp;D450&amp;"-"&amp;E450&amp;"-Pos3",'Shooter-Squad Assignment'!$V:$V,0)),""),IF(E450="Sporting Clays",IFERROR(INDEX('Shooter-Squad Assignment'!$A:$A,MATCH(C450&amp;"-"&amp;D450&amp;"-"&amp;E450&amp;"-Pos3",'Shooter-Squad Assignment'!$Y:$Y,0)),""),"")))</f>
        <v/>
      </c>
      <c r="K450" s="73" t="str">
        <f>IF(ISBLANK(J450),"",IFERROR(INDEX('Tournament List'!$D:$D,MATCH(J450,'Tournament List'!$A:$A,0)),""))</f>
        <v/>
      </c>
      <c r="L450" s="98" t="str">
        <f>IF(E450="Skeet",IFERROR(INDEX('Shooter-Squad Assignment'!$A:$A,MATCH(C450&amp;"-"&amp;D450&amp;"-"&amp;E450&amp;"-Pos4",'Shooter-Squad Assignment'!#REF!,0)),""),IF(E450="Trap",IFERROR(INDEX('Shooter-Squad Assignment'!$A:$A,MATCH(C450&amp;"-"&amp;D450&amp;"-"&amp;E450&amp;"-Pos4",'Shooter-Squad Assignment'!$V:$V,0)),""),IF(E450="Sporting Clays",IFERROR(INDEX('Shooter-Squad Assignment'!$A:$A,MATCH(C450&amp;"-"&amp;D450&amp;"-"&amp;E450&amp;"-Pos4",'Shooter-Squad Assignment'!$Y:$Y,0)),""),"")))</f>
        <v/>
      </c>
      <c r="M450" s="73" t="str">
        <f>IF(ISBLANK(L450),"",IFERROR(INDEX('Tournament List'!$D:$D,MATCH(L450,'Tournament List'!$A:$A,0)),""))</f>
        <v/>
      </c>
      <c r="N450" s="98" t="str">
        <f>IF(E450="Skeet",IFERROR(INDEX('Shooter-Squad Assignment'!$A:$A,MATCH(C450&amp;"-"&amp;D450&amp;"-"&amp;E450&amp;"-Pos5",'Shooter-Squad Assignment'!#REF!,0)),""),IF(E450="Trap",IFERROR(INDEX('Shooter-Squad Assignment'!$A:$A,MATCH(C450&amp;"-"&amp;D450&amp;"-"&amp;E450&amp;"-Pos5",'Shooter-Squad Assignment'!$V:$V,0)),""),IF(E450="Sporting Clays",IFERROR(INDEX('Shooter-Squad Assignment'!$A:$A,MATCH(C450&amp;"-"&amp;D450&amp;"-"&amp;E450&amp;"-Pos5",'Shooter-Squad Assignment'!$Y:$Y,0)),""),"")))</f>
        <v/>
      </c>
      <c r="O450" s="80" t="str">
        <f>IF(ISBLANK(N450),"",IFERROR(INDEX('Tournament List'!$D:$D,MATCH(N450,'Tournament List'!$A:$A,0)),""))</f>
        <v/>
      </c>
    </row>
    <row r="451" spans="1:15" x14ac:dyDescent="0.3">
      <c r="A451" s="79">
        <v>459</v>
      </c>
      <c r="B451" s="73" t="str">
        <f t="shared" ref="B451:B514" si="7">C451&amp;"-"&amp;D451&amp;"-"&amp;E451</f>
        <v>-Varsity 3-Skeet</v>
      </c>
      <c r="C451" s="73"/>
      <c r="D451" s="73" t="s">
        <v>354</v>
      </c>
      <c r="E451" s="73" t="s">
        <v>143</v>
      </c>
      <c r="F451" s="98" t="str">
        <f>IF(E451="Skeet",IFERROR(INDEX('Shooter-Squad Assignment'!$A:$A,MATCH(C451&amp;"-"&amp;D451&amp;"-"&amp;E451&amp;"-Pos1",'Shooter-Squad Assignment'!#REF!,0)),""),IF(E451="Trap",IFERROR(INDEX('Shooter-Squad Assignment'!$A:$A,MATCH(C451&amp;"-"&amp;D451&amp;"-"&amp;E451&amp;"-Pos1",'Shooter-Squad Assignment'!$V:$V,0)),""),IF(E451="Sporting Clays",IFERROR(INDEX('Shooter-Squad Assignment'!$A:$A,MATCH(C451&amp;"-"&amp;D451&amp;"-"&amp;E451&amp;"-Pos1",'Shooter-Squad Assignment'!$Y:$Y,0)),""),"")))</f>
        <v/>
      </c>
      <c r="G451" s="73" t="str">
        <f>IF(ISBLANK(F451),"",IFERROR(INDEX('Tournament List'!$D:$D,MATCH(F451,'Tournament List'!$A:$A,0)),""))</f>
        <v/>
      </c>
      <c r="H451" s="98" t="str">
        <f>IF(E451="Skeet",IFERROR(INDEX('Shooter-Squad Assignment'!$A:$A,MATCH(C451&amp;"-"&amp;D451&amp;"-"&amp;E451&amp;"-Pos2",'Shooter-Squad Assignment'!#REF!,0)),""),IF(E451="Trap",IFERROR(INDEX('Shooter-Squad Assignment'!$A:$A,MATCH(C451&amp;"-"&amp;D451&amp;"-"&amp;E451&amp;"-Pos2",'Shooter-Squad Assignment'!$V:$V,0)),""),IF(E451="Sporting Clays",IFERROR(INDEX('Shooter-Squad Assignment'!$A:$A,MATCH(C451&amp;"-"&amp;D451&amp;"-"&amp;E451&amp;"-Pos2",'Shooter-Squad Assignment'!$Y:$Y,0)),""),"")))</f>
        <v/>
      </c>
      <c r="I451" s="73" t="str">
        <f>IF(ISBLANK(H451),"",IFERROR(INDEX('Tournament List'!$D:$D,MATCH(H451,'Tournament List'!$A:$A,0)),""))</f>
        <v/>
      </c>
      <c r="J451" s="98" t="str">
        <f>IF(E451="Skeet",IFERROR(INDEX('Shooter-Squad Assignment'!$A:$A,MATCH(C451&amp;"-"&amp;D451&amp;"-"&amp;E451&amp;"-Pos3",'Shooter-Squad Assignment'!#REF!,0)),""),IF(E451="Trap",IFERROR(INDEX('Shooter-Squad Assignment'!$A:$A,MATCH(C451&amp;"-"&amp;D451&amp;"-"&amp;E451&amp;"-Pos3",'Shooter-Squad Assignment'!$V:$V,0)),""),IF(E451="Sporting Clays",IFERROR(INDEX('Shooter-Squad Assignment'!$A:$A,MATCH(C451&amp;"-"&amp;D451&amp;"-"&amp;E451&amp;"-Pos3",'Shooter-Squad Assignment'!$Y:$Y,0)),""),"")))</f>
        <v/>
      </c>
      <c r="K451" s="73" t="str">
        <f>IF(ISBLANK(J451),"",IFERROR(INDEX('Tournament List'!$D:$D,MATCH(J451,'Tournament List'!$A:$A,0)),""))</f>
        <v/>
      </c>
      <c r="L451" s="98" t="str">
        <f>IF(E451="Skeet",IFERROR(INDEX('Shooter-Squad Assignment'!$A:$A,MATCH(C451&amp;"-"&amp;D451&amp;"-"&amp;E451&amp;"-Pos4",'Shooter-Squad Assignment'!#REF!,0)),""),IF(E451="Trap",IFERROR(INDEX('Shooter-Squad Assignment'!$A:$A,MATCH(C451&amp;"-"&amp;D451&amp;"-"&amp;E451&amp;"-Pos4",'Shooter-Squad Assignment'!$V:$V,0)),""),IF(E451="Sporting Clays",IFERROR(INDEX('Shooter-Squad Assignment'!$A:$A,MATCH(C451&amp;"-"&amp;D451&amp;"-"&amp;E451&amp;"-Pos4",'Shooter-Squad Assignment'!$Y:$Y,0)),""),"")))</f>
        <v/>
      </c>
      <c r="M451" s="73" t="str">
        <f>IF(ISBLANK(L451),"",IFERROR(INDEX('Tournament List'!$D:$D,MATCH(L451,'Tournament List'!$A:$A,0)),""))</f>
        <v/>
      </c>
      <c r="N451" s="98" t="str">
        <f>IF(E451="Skeet",IFERROR(INDEX('Shooter-Squad Assignment'!$A:$A,MATCH(C451&amp;"-"&amp;D451&amp;"-"&amp;E451&amp;"-Pos5",'Shooter-Squad Assignment'!#REF!,0)),""),IF(E451="Trap",IFERROR(INDEX('Shooter-Squad Assignment'!$A:$A,MATCH(C451&amp;"-"&amp;D451&amp;"-"&amp;E451&amp;"-Pos5",'Shooter-Squad Assignment'!$V:$V,0)),""),IF(E451="Sporting Clays",IFERROR(INDEX('Shooter-Squad Assignment'!$A:$A,MATCH(C451&amp;"-"&amp;D451&amp;"-"&amp;E451&amp;"-Pos5",'Shooter-Squad Assignment'!$Y:$Y,0)),""),"")))</f>
        <v/>
      </c>
      <c r="O451" s="80" t="str">
        <f>IF(ISBLANK(N451),"",IFERROR(INDEX('Tournament List'!$D:$D,MATCH(N451,'Tournament List'!$A:$A,0)),""))</f>
        <v/>
      </c>
    </row>
    <row r="452" spans="1:15" x14ac:dyDescent="0.3">
      <c r="A452" s="79">
        <v>460</v>
      </c>
      <c r="B452" s="73" t="str">
        <f t="shared" si="7"/>
        <v>-Collegiate 1-Trap</v>
      </c>
      <c r="C452" s="73"/>
      <c r="D452" s="73" t="s">
        <v>344</v>
      </c>
      <c r="E452" s="73" t="s">
        <v>147</v>
      </c>
      <c r="F452" s="98" t="str">
        <f>IF(E452="Skeet",IFERROR(INDEX('Shooter-Squad Assignment'!$A:$A,MATCH(C452&amp;"-"&amp;D452&amp;"-"&amp;E452&amp;"-Pos1",'Shooter-Squad Assignment'!#REF!,0)),""),IF(E452="Trap",IFERROR(INDEX('Shooter-Squad Assignment'!$A:$A,MATCH(C452&amp;"-"&amp;D452&amp;"-"&amp;E452&amp;"-Pos1",'Shooter-Squad Assignment'!$V:$V,0)),""),IF(E452="Sporting Clays",IFERROR(INDEX('Shooter-Squad Assignment'!$A:$A,MATCH(C452&amp;"-"&amp;D452&amp;"-"&amp;E452&amp;"-Pos1",'Shooter-Squad Assignment'!$Y:$Y,0)),""),"")))</f>
        <v/>
      </c>
      <c r="G452" s="73" t="str">
        <f>IF(ISBLANK(F452),"",IFERROR(INDEX('Tournament List'!$D:$D,MATCH(F452,'Tournament List'!$A:$A,0)),""))</f>
        <v/>
      </c>
      <c r="H452" s="98" t="str">
        <f>IF(E452="Skeet",IFERROR(INDEX('Shooter-Squad Assignment'!$A:$A,MATCH(C452&amp;"-"&amp;D452&amp;"-"&amp;E452&amp;"-Pos2",'Shooter-Squad Assignment'!#REF!,0)),""),IF(E452="Trap",IFERROR(INDEX('Shooter-Squad Assignment'!$A:$A,MATCH(C452&amp;"-"&amp;D452&amp;"-"&amp;E452&amp;"-Pos2",'Shooter-Squad Assignment'!$V:$V,0)),""),IF(E452="Sporting Clays",IFERROR(INDEX('Shooter-Squad Assignment'!$A:$A,MATCH(C452&amp;"-"&amp;D452&amp;"-"&amp;E452&amp;"-Pos2",'Shooter-Squad Assignment'!$Y:$Y,0)),""),"")))</f>
        <v/>
      </c>
      <c r="I452" s="73" t="str">
        <f>IF(ISBLANK(H452),"",IFERROR(INDEX('Tournament List'!$D:$D,MATCH(H452,'Tournament List'!$A:$A,0)),""))</f>
        <v/>
      </c>
      <c r="J452" s="98" t="str">
        <f>IF(E452="Skeet",IFERROR(INDEX('Shooter-Squad Assignment'!$A:$A,MATCH(C452&amp;"-"&amp;D452&amp;"-"&amp;E452&amp;"-Pos3",'Shooter-Squad Assignment'!#REF!,0)),""),IF(E452="Trap",IFERROR(INDEX('Shooter-Squad Assignment'!$A:$A,MATCH(C452&amp;"-"&amp;D452&amp;"-"&amp;E452&amp;"-Pos3",'Shooter-Squad Assignment'!$V:$V,0)),""),IF(E452="Sporting Clays",IFERROR(INDEX('Shooter-Squad Assignment'!$A:$A,MATCH(C452&amp;"-"&amp;D452&amp;"-"&amp;E452&amp;"-Pos3",'Shooter-Squad Assignment'!$Y:$Y,0)),""),"")))</f>
        <v/>
      </c>
      <c r="K452" s="73" t="str">
        <f>IF(ISBLANK(J452),"",IFERROR(INDEX('Tournament List'!$D:$D,MATCH(J452,'Tournament List'!$A:$A,0)),""))</f>
        <v/>
      </c>
      <c r="L452" s="98" t="str">
        <f>IF(E452="Skeet",IFERROR(INDEX('Shooter-Squad Assignment'!$A:$A,MATCH(C452&amp;"-"&amp;D452&amp;"-"&amp;E452&amp;"-Pos4",'Shooter-Squad Assignment'!#REF!,0)),""),IF(E452="Trap",IFERROR(INDEX('Shooter-Squad Assignment'!$A:$A,MATCH(C452&amp;"-"&amp;D452&amp;"-"&amp;E452&amp;"-Pos4",'Shooter-Squad Assignment'!$V:$V,0)),""),IF(E452="Sporting Clays",IFERROR(INDEX('Shooter-Squad Assignment'!$A:$A,MATCH(C452&amp;"-"&amp;D452&amp;"-"&amp;E452&amp;"-Pos4",'Shooter-Squad Assignment'!$Y:$Y,0)),""),"")))</f>
        <v/>
      </c>
      <c r="M452" s="73" t="str">
        <f>IF(ISBLANK(L452),"",IFERROR(INDEX('Tournament List'!$D:$D,MATCH(L452,'Tournament List'!$A:$A,0)),""))</f>
        <v/>
      </c>
      <c r="N452" s="98" t="str">
        <f>IF(E452="Skeet",IFERROR(INDEX('Shooter-Squad Assignment'!$A:$A,MATCH(C452&amp;"-"&amp;D452&amp;"-"&amp;E452&amp;"-Pos5",'Shooter-Squad Assignment'!#REF!,0)),""),IF(E452="Trap",IFERROR(INDEX('Shooter-Squad Assignment'!$A:$A,MATCH(C452&amp;"-"&amp;D452&amp;"-"&amp;E452&amp;"-Pos5",'Shooter-Squad Assignment'!$V:$V,0)),""),IF(E452="Sporting Clays",IFERROR(INDEX('Shooter-Squad Assignment'!$A:$A,MATCH(C452&amp;"-"&amp;D452&amp;"-"&amp;E452&amp;"-Pos5",'Shooter-Squad Assignment'!$Y:$Y,0)),""),"")))</f>
        <v/>
      </c>
      <c r="O452" s="80" t="str">
        <f>IF(ISBLANK(N452),"",IFERROR(INDEX('Tournament List'!$D:$D,MATCH(N452,'Tournament List'!$A:$A,0)),""))</f>
        <v/>
      </c>
    </row>
    <row r="453" spans="1:15" x14ac:dyDescent="0.3">
      <c r="A453" s="79">
        <v>461</v>
      </c>
      <c r="B453" s="73" t="str">
        <f t="shared" si="7"/>
        <v>-Collegiate 2-Trap</v>
      </c>
      <c r="C453" s="73"/>
      <c r="D453" s="73" t="s">
        <v>350</v>
      </c>
      <c r="E453" s="73" t="s">
        <v>147</v>
      </c>
      <c r="F453" s="98" t="str">
        <f>IF(E453="Skeet",IFERROR(INDEX('Shooter-Squad Assignment'!$A:$A,MATCH(C453&amp;"-"&amp;D453&amp;"-"&amp;E453&amp;"-Pos1",'Shooter-Squad Assignment'!#REF!,0)),""),IF(E453="Trap",IFERROR(INDEX('Shooter-Squad Assignment'!$A:$A,MATCH(C453&amp;"-"&amp;D453&amp;"-"&amp;E453&amp;"-Pos1",'Shooter-Squad Assignment'!$V:$V,0)),""),IF(E453="Sporting Clays",IFERROR(INDEX('Shooter-Squad Assignment'!$A:$A,MATCH(C453&amp;"-"&amp;D453&amp;"-"&amp;E453&amp;"-Pos1",'Shooter-Squad Assignment'!$Y:$Y,0)),""),"")))</f>
        <v/>
      </c>
      <c r="G453" s="73" t="str">
        <f>IF(ISBLANK(F453),"",IFERROR(INDEX('Tournament List'!$D:$D,MATCH(F453,'Tournament List'!$A:$A,0)),""))</f>
        <v/>
      </c>
      <c r="H453" s="98" t="str">
        <f>IF(E453="Skeet",IFERROR(INDEX('Shooter-Squad Assignment'!$A:$A,MATCH(C453&amp;"-"&amp;D453&amp;"-"&amp;E453&amp;"-Pos2",'Shooter-Squad Assignment'!#REF!,0)),""),IF(E453="Trap",IFERROR(INDEX('Shooter-Squad Assignment'!$A:$A,MATCH(C453&amp;"-"&amp;D453&amp;"-"&amp;E453&amp;"-Pos2",'Shooter-Squad Assignment'!$V:$V,0)),""),IF(E453="Sporting Clays",IFERROR(INDEX('Shooter-Squad Assignment'!$A:$A,MATCH(C453&amp;"-"&amp;D453&amp;"-"&amp;E453&amp;"-Pos2",'Shooter-Squad Assignment'!$Y:$Y,0)),""),"")))</f>
        <v/>
      </c>
      <c r="I453" s="73" t="str">
        <f>IF(ISBLANK(H453),"",IFERROR(INDEX('Tournament List'!$D:$D,MATCH(H453,'Tournament List'!$A:$A,0)),""))</f>
        <v/>
      </c>
      <c r="J453" s="98" t="str">
        <f>IF(E453="Skeet",IFERROR(INDEX('Shooter-Squad Assignment'!$A:$A,MATCH(C453&amp;"-"&amp;D453&amp;"-"&amp;E453&amp;"-Pos3",'Shooter-Squad Assignment'!#REF!,0)),""),IF(E453="Trap",IFERROR(INDEX('Shooter-Squad Assignment'!$A:$A,MATCH(C453&amp;"-"&amp;D453&amp;"-"&amp;E453&amp;"-Pos3",'Shooter-Squad Assignment'!$V:$V,0)),""),IF(E453="Sporting Clays",IFERROR(INDEX('Shooter-Squad Assignment'!$A:$A,MATCH(C453&amp;"-"&amp;D453&amp;"-"&amp;E453&amp;"-Pos3",'Shooter-Squad Assignment'!$Y:$Y,0)),""),"")))</f>
        <v/>
      </c>
      <c r="K453" s="73" t="str">
        <f>IF(ISBLANK(J453),"",IFERROR(INDEX('Tournament List'!$D:$D,MATCH(J453,'Tournament List'!$A:$A,0)),""))</f>
        <v/>
      </c>
      <c r="L453" s="98" t="str">
        <f>IF(E453="Skeet",IFERROR(INDEX('Shooter-Squad Assignment'!$A:$A,MATCH(C453&amp;"-"&amp;D453&amp;"-"&amp;E453&amp;"-Pos4",'Shooter-Squad Assignment'!#REF!,0)),""),IF(E453="Trap",IFERROR(INDEX('Shooter-Squad Assignment'!$A:$A,MATCH(C453&amp;"-"&amp;D453&amp;"-"&amp;E453&amp;"-Pos4",'Shooter-Squad Assignment'!$V:$V,0)),""),IF(E453="Sporting Clays",IFERROR(INDEX('Shooter-Squad Assignment'!$A:$A,MATCH(C453&amp;"-"&amp;D453&amp;"-"&amp;E453&amp;"-Pos4",'Shooter-Squad Assignment'!$Y:$Y,0)),""),"")))</f>
        <v/>
      </c>
      <c r="M453" s="73" t="str">
        <f>IF(ISBLANK(L453),"",IFERROR(INDEX('Tournament List'!$D:$D,MATCH(L453,'Tournament List'!$A:$A,0)),""))</f>
        <v/>
      </c>
      <c r="N453" s="98" t="str">
        <f>IF(E453="Skeet",IFERROR(INDEX('Shooter-Squad Assignment'!$A:$A,MATCH(C453&amp;"-"&amp;D453&amp;"-"&amp;E453&amp;"-Pos5",'Shooter-Squad Assignment'!#REF!,0)),""),IF(E453="Trap",IFERROR(INDEX('Shooter-Squad Assignment'!$A:$A,MATCH(C453&amp;"-"&amp;D453&amp;"-"&amp;E453&amp;"-Pos5",'Shooter-Squad Assignment'!$V:$V,0)),""),IF(E453="Sporting Clays",IFERROR(INDEX('Shooter-Squad Assignment'!$A:$A,MATCH(C453&amp;"-"&amp;D453&amp;"-"&amp;E453&amp;"-Pos5",'Shooter-Squad Assignment'!$Y:$Y,0)),""),"")))</f>
        <v/>
      </c>
      <c r="O453" s="80" t="str">
        <f>IF(ISBLANK(N453),"",IFERROR(INDEX('Tournament List'!$D:$D,MATCH(N453,'Tournament List'!$A:$A,0)),""))</f>
        <v/>
      </c>
    </row>
    <row r="454" spans="1:15" x14ac:dyDescent="0.3">
      <c r="A454" s="79">
        <v>462</v>
      </c>
      <c r="B454" s="73" t="str">
        <f t="shared" si="7"/>
        <v>-Collegiate 3-Trap</v>
      </c>
      <c r="C454" s="73"/>
      <c r="D454" s="73" t="s">
        <v>356</v>
      </c>
      <c r="E454" s="73" t="s">
        <v>147</v>
      </c>
      <c r="F454" s="98" t="str">
        <f>IF(E454="Skeet",IFERROR(INDEX('Shooter-Squad Assignment'!$A:$A,MATCH(C454&amp;"-"&amp;D454&amp;"-"&amp;E454&amp;"-Pos1",'Shooter-Squad Assignment'!#REF!,0)),""),IF(E454="Trap",IFERROR(INDEX('Shooter-Squad Assignment'!$A:$A,MATCH(C454&amp;"-"&amp;D454&amp;"-"&amp;E454&amp;"-Pos1",'Shooter-Squad Assignment'!$V:$V,0)),""),IF(E454="Sporting Clays",IFERROR(INDEX('Shooter-Squad Assignment'!$A:$A,MATCH(C454&amp;"-"&amp;D454&amp;"-"&amp;E454&amp;"-Pos1",'Shooter-Squad Assignment'!$Y:$Y,0)),""),"")))</f>
        <v/>
      </c>
      <c r="G454" s="73" t="str">
        <f>IF(ISBLANK(F454),"",IFERROR(INDEX('Tournament List'!$D:$D,MATCH(F454,'Tournament List'!$A:$A,0)),""))</f>
        <v/>
      </c>
      <c r="H454" s="98" t="str">
        <f>IF(E454="Skeet",IFERROR(INDEX('Shooter-Squad Assignment'!$A:$A,MATCH(C454&amp;"-"&amp;D454&amp;"-"&amp;E454&amp;"-Pos2",'Shooter-Squad Assignment'!#REF!,0)),""),IF(E454="Trap",IFERROR(INDEX('Shooter-Squad Assignment'!$A:$A,MATCH(C454&amp;"-"&amp;D454&amp;"-"&amp;E454&amp;"-Pos2",'Shooter-Squad Assignment'!$V:$V,0)),""),IF(E454="Sporting Clays",IFERROR(INDEX('Shooter-Squad Assignment'!$A:$A,MATCH(C454&amp;"-"&amp;D454&amp;"-"&amp;E454&amp;"-Pos2",'Shooter-Squad Assignment'!$Y:$Y,0)),""),"")))</f>
        <v/>
      </c>
      <c r="I454" s="73" t="str">
        <f>IF(ISBLANK(H454),"",IFERROR(INDEX('Tournament List'!$D:$D,MATCH(H454,'Tournament List'!$A:$A,0)),""))</f>
        <v/>
      </c>
      <c r="J454" s="98" t="str">
        <f>IF(E454="Skeet",IFERROR(INDEX('Shooter-Squad Assignment'!$A:$A,MATCH(C454&amp;"-"&amp;D454&amp;"-"&amp;E454&amp;"-Pos3",'Shooter-Squad Assignment'!#REF!,0)),""),IF(E454="Trap",IFERROR(INDEX('Shooter-Squad Assignment'!$A:$A,MATCH(C454&amp;"-"&amp;D454&amp;"-"&amp;E454&amp;"-Pos3",'Shooter-Squad Assignment'!$V:$V,0)),""),IF(E454="Sporting Clays",IFERROR(INDEX('Shooter-Squad Assignment'!$A:$A,MATCH(C454&amp;"-"&amp;D454&amp;"-"&amp;E454&amp;"-Pos3",'Shooter-Squad Assignment'!$Y:$Y,0)),""),"")))</f>
        <v/>
      </c>
      <c r="K454" s="73" t="str">
        <f>IF(ISBLANK(J454),"",IFERROR(INDEX('Tournament List'!$D:$D,MATCH(J454,'Tournament List'!$A:$A,0)),""))</f>
        <v/>
      </c>
      <c r="L454" s="98" t="str">
        <f>IF(E454="Skeet",IFERROR(INDEX('Shooter-Squad Assignment'!$A:$A,MATCH(C454&amp;"-"&amp;D454&amp;"-"&amp;E454&amp;"-Pos4",'Shooter-Squad Assignment'!#REF!,0)),""),IF(E454="Trap",IFERROR(INDEX('Shooter-Squad Assignment'!$A:$A,MATCH(C454&amp;"-"&amp;D454&amp;"-"&amp;E454&amp;"-Pos4",'Shooter-Squad Assignment'!$V:$V,0)),""),IF(E454="Sporting Clays",IFERROR(INDEX('Shooter-Squad Assignment'!$A:$A,MATCH(C454&amp;"-"&amp;D454&amp;"-"&amp;E454&amp;"-Pos4",'Shooter-Squad Assignment'!$Y:$Y,0)),""),"")))</f>
        <v/>
      </c>
      <c r="M454" s="73" t="str">
        <f>IF(ISBLANK(L454),"",IFERROR(INDEX('Tournament List'!$D:$D,MATCH(L454,'Tournament List'!$A:$A,0)),""))</f>
        <v/>
      </c>
      <c r="N454" s="98" t="str">
        <f>IF(E454="Skeet",IFERROR(INDEX('Shooter-Squad Assignment'!$A:$A,MATCH(C454&amp;"-"&amp;D454&amp;"-"&amp;E454&amp;"-Pos5",'Shooter-Squad Assignment'!#REF!,0)),""),IF(E454="Trap",IFERROR(INDEX('Shooter-Squad Assignment'!$A:$A,MATCH(C454&amp;"-"&amp;D454&amp;"-"&amp;E454&amp;"-Pos5",'Shooter-Squad Assignment'!$V:$V,0)),""),IF(E454="Sporting Clays",IFERROR(INDEX('Shooter-Squad Assignment'!$A:$A,MATCH(C454&amp;"-"&amp;D454&amp;"-"&amp;E454&amp;"-Pos5",'Shooter-Squad Assignment'!$Y:$Y,0)),""),"")))</f>
        <v/>
      </c>
      <c r="O454" s="80" t="str">
        <f>IF(ISBLANK(N454),"",IFERROR(INDEX('Tournament List'!$D:$D,MATCH(N454,'Tournament List'!$A:$A,0)),""))</f>
        <v/>
      </c>
    </row>
    <row r="455" spans="1:15" x14ac:dyDescent="0.3">
      <c r="A455" s="79">
        <v>463</v>
      </c>
      <c r="B455" s="73" t="str">
        <f t="shared" si="7"/>
        <v>-Intermediate 1-Trap</v>
      </c>
      <c r="C455" s="73"/>
      <c r="D455" s="73" t="s">
        <v>340</v>
      </c>
      <c r="E455" s="73" t="s">
        <v>147</v>
      </c>
      <c r="F455" s="98" t="str">
        <f>IF(E455="Skeet",IFERROR(INDEX('Shooter-Squad Assignment'!$A:$A,MATCH(C455&amp;"-"&amp;D455&amp;"-"&amp;E455&amp;"-Pos1",'Shooter-Squad Assignment'!#REF!,0)),""),IF(E455="Trap",IFERROR(INDEX('Shooter-Squad Assignment'!$A:$A,MATCH(C455&amp;"-"&amp;D455&amp;"-"&amp;E455&amp;"-Pos1",'Shooter-Squad Assignment'!$V:$V,0)),""),IF(E455="Sporting Clays",IFERROR(INDEX('Shooter-Squad Assignment'!$A:$A,MATCH(C455&amp;"-"&amp;D455&amp;"-"&amp;E455&amp;"-Pos1",'Shooter-Squad Assignment'!$Y:$Y,0)),""),"")))</f>
        <v/>
      </c>
      <c r="G455" s="73" t="str">
        <f>IF(ISBLANK(F455),"",IFERROR(INDEX('Tournament List'!$D:$D,MATCH(F455,'Tournament List'!$A:$A,0)),""))</f>
        <v/>
      </c>
      <c r="H455" s="98" t="str">
        <f>IF(E455="Skeet",IFERROR(INDEX('Shooter-Squad Assignment'!$A:$A,MATCH(C455&amp;"-"&amp;D455&amp;"-"&amp;E455&amp;"-Pos2",'Shooter-Squad Assignment'!#REF!,0)),""),IF(E455="Trap",IFERROR(INDEX('Shooter-Squad Assignment'!$A:$A,MATCH(C455&amp;"-"&amp;D455&amp;"-"&amp;E455&amp;"-Pos2",'Shooter-Squad Assignment'!$V:$V,0)),""),IF(E455="Sporting Clays",IFERROR(INDEX('Shooter-Squad Assignment'!$A:$A,MATCH(C455&amp;"-"&amp;D455&amp;"-"&amp;E455&amp;"-Pos2",'Shooter-Squad Assignment'!$Y:$Y,0)),""),"")))</f>
        <v/>
      </c>
      <c r="I455" s="73" t="str">
        <f>IF(ISBLANK(H455),"",IFERROR(INDEX('Tournament List'!$D:$D,MATCH(H455,'Tournament List'!$A:$A,0)),""))</f>
        <v/>
      </c>
      <c r="J455" s="98" t="str">
        <f>IF(E455="Skeet",IFERROR(INDEX('Shooter-Squad Assignment'!$A:$A,MATCH(C455&amp;"-"&amp;D455&amp;"-"&amp;E455&amp;"-Pos3",'Shooter-Squad Assignment'!#REF!,0)),""),IF(E455="Trap",IFERROR(INDEX('Shooter-Squad Assignment'!$A:$A,MATCH(C455&amp;"-"&amp;D455&amp;"-"&amp;E455&amp;"-Pos3",'Shooter-Squad Assignment'!$V:$V,0)),""),IF(E455="Sporting Clays",IFERROR(INDEX('Shooter-Squad Assignment'!$A:$A,MATCH(C455&amp;"-"&amp;D455&amp;"-"&amp;E455&amp;"-Pos3",'Shooter-Squad Assignment'!$Y:$Y,0)),""),"")))</f>
        <v/>
      </c>
      <c r="K455" s="73" t="str">
        <f>IF(ISBLANK(J455),"",IFERROR(INDEX('Tournament List'!$D:$D,MATCH(J455,'Tournament List'!$A:$A,0)),""))</f>
        <v/>
      </c>
      <c r="L455" s="98" t="str">
        <f>IF(E455="Skeet",IFERROR(INDEX('Shooter-Squad Assignment'!$A:$A,MATCH(C455&amp;"-"&amp;D455&amp;"-"&amp;E455&amp;"-Pos4",'Shooter-Squad Assignment'!#REF!,0)),""),IF(E455="Trap",IFERROR(INDEX('Shooter-Squad Assignment'!$A:$A,MATCH(C455&amp;"-"&amp;D455&amp;"-"&amp;E455&amp;"-Pos4",'Shooter-Squad Assignment'!$V:$V,0)),""),IF(E455="Sporting Clays",IFERROR(INDEX('Shooter-Squad Assignment'!$A:$A,MATCH(C455&amp;"-"&amp;D455&amp;"-"&amp;E455&amp;"-Pos4",'Shooter-Squad Assignment'!$Y:$Y,0)),""),"")))</f>
        <v/>
      </c>
      <c r="M455" s="73" t="str">
        <f>IF(ISBLANK(L455),"",IFERROR(INDEX('Tournament List'!$D:$D,MATCH(L455,'Tournament List'!$A:$A,0)),""))</f>
        <v/>
      </c>
      <c r="N455" s="98" t="str">
        <f>IF(E455="Skeet",IFERROR(INDEX('Shooter-Squad Assignment'!$A:$A,MATCH(C455&amp;"-"&amp;D455&amp;"-"&amp;E455&amp;"-Pos5",'Shooter-Squad Assignment'!#REF!,0)),""),IF(E455="Trap",IFERROR(INDEX('Shooter-Squad Assignment'!$A:$A,MATCH(C455&amp;"-"&amp;D455&amp;"-"&amp;E455&amp;"-Pos5",'Shooter-Squad Assignment'!$V:$V,0)),""),IF(E455="Sporting Clays",IFERROR(INDEX('Shooter-Squad Assignment'!$A:$A,MATCH(C455&amp;"-"&amp;D455&amp;"-"&amp;E455&amp;"-Pos5",'Shooter-Squad Assignment'!$Y:$Y,0)),""),"")))</f>
        <v/>
      </c>
      <c r="O455" s="80" t="str">
        <f>IF(ISBLANK(N455),"",IFERROR(INDEX('Tournament List'!$D:$D,MATCH(N455,'Tournament List'!$A:$A,0)),""))</f>
        <v/>
      </c>
    </row>
    <row r="456" spans="1:15" x14ac:dyDescent="0.3">
      <c r="A456" s="79">
        <v>464</v>
      </c>
      <c r="B456" s="73" t="str">
        <f t="shared" si="7"/>
        <v>-Intermediate 2-Trap</v>
      </c>
      <c r="C456" s="73"/>
      <c r="D456" s="73" t="s">
        <v>346</v>
      </c>
      <c r="E456" s="73" t="s">
        <v>147</v>
      </c>
      <c r="F456" s="98" t="str">
        <f>IF(E456="Skeet",IFERROR(INDEX('Shooter-Squad Assignment'!$A:$A,MATCH(C456&amp;"-"&amp;D456&amp;"-"&amp;E456&amp;"-Pos1",'Shooter-Squad Assignment'!#REF!,0)),""),IF(E456="Trap",IFERROR(INDEX('Shooter-Squad Assignment'!$A:$A,MATCH(C456&amp;"-"&amp;D456&amp;"-"&amp;E456&amp;"-Pos1",'Shooter-Squad Assignment'!$V:$V,0)),""),IF(E456="Sporting Clays",IFERROR(INDEX('Shooter-Squad Assignment'!$A:$A,MATCH(C456&amp;"-"&amp;D456&amp;"-"&amp;E456&amp;"-Pos1",'Shooter-Squad Assignment'!$Y:$Y,0)),""),"")))</f>
        <v/>
      </c>
      <c r="G456" s="73" t="str">
        <f>IF(ISBLANK(F456),"",IFERROR(INDEX('Tournament List'!$D:$D,MATCH(F456,'Tournament List'!$A:$A,0)),""))</f>
        <v/>
      </c>
      <c r="H456" s="98" t="str">
        <f>IF(E456="Skeet",IFERROR(INDEX('Shooter-Squad Assignment'!$A:$A,MATCH(C456&amp;"-"&amp;D456&amp;"-"&amp;E456&amp;"-Pos2",'Shooter-Squad Assignment'!#REF!,0)),""),IF(E456="Trap",IFERROR(INDEX('Shooter-Squad Assignment'!$A:$A,MATCH(C456&amp;"-"&amp;D456&amp;"-"&amp;E456&amp;"-Pos2",'Shooter-Squad Assignment'!$V:$V,0)),""),IF(E456="Sporting Clays",IFERROR(INDEX('Shooter-Squad Assignment'!$A:$A,MATCH(C456&amp;"-"&amp;D456&amp;"-"&amp;E456&amp;"-Pos2",'Shooter-Squad Assignment'!$Y:$Y,0)),""),"")))</f>
        <v/>
      </c>
      <c r="I456" s="73" t="str">
        <f>IF(ISBLANK(H456),"",IFERROR(INDEX('Tournament List'!$D:$D,MATCH(H456,'Tournament List'!$A:$A,0)),""))</f>
        <v/>
      </c>
      <c r="J456" s="98" t="str">
        <f>IF(E456="Skeet",IFERROR(INDEX('Shooter-Squad Assignment'!$A:$A,MATCH(C456&amp;"-"&amp;D456&amp;"-"&amp;E456&amp;"-Pos3",'Shooter-Squad Assignment'!#REF!,0)),""),IF(E456="Trap",IFERROR(INDEX('Shooter-Squad Assignment'!$A:$A,MATCH(C456&amp;"-"&amp;D456&amp;"-"&amp;E456&amp;"-Pos3",'Shooter-Squad Assignment'!$V:$V,0)),""),IF(E456="Sporting Clays",IFERROR(INDEX('Shooter-Squad Assignment'!$A:$A,MATCH(C456&amp;"-"&amp;D456&amp;"-"&amp;E456&amp;"-Pos3",'Shooter-Squad Assignment'!$Y:$Y,0)),""),"")))</f>
        <v/>
      </c>
      <c r="K456" s="73" t="str">
        <f>IF(ISBLANK(J456),"",IFERROR(INDEX('Tournament List'!$D:$D,MATCH(J456,'Tournament List'!$A:$A,0)),""))</f>
        <v/>
      </c>
      <c r="L456" s="98" t="str">
        <f>IF(E456="Skeet",IFERROR(INDEX('Shooter-Squad Assignment'!$A:$A,MATCH(C456&amp;"-"&amp;D456&amp;"-"&amp;E456&amp;"-Pos4",'Shooter-Squad Assignment'!#REF!,0)),""),IF(E456="Trap",IFERROR(INDEX('Shooter-Squad Assignment'!$A:$A,MATCH(C456&amp;"-"&amp;D456&amp;"-"&amp;E456&amp;"-Pos4",'Shooter-Squad Assignment'!$V:$V,0)),""),IF(E456="Sporting Clays",IFERROR(INDEX('Shooter-Squad Assignment'!$A:$A,MATCH(C456&amp;"-"&amp;D456&amp;"-"&amp;E456&amp;"-Pos4",'Shooter-Squad Assignment'!$Y:$Y,0)),""),"")))</f>
        <v/>
      </c>
      <c r="M456" s="73" t="str">
        <f>IF(ISBLANK(L456),"",IFERROR(INDEX('Tournament List'!$D:$D,MATCH(L456,'Tournament List'!$A:$A,0)),""))</f>
        <v/>
      </c>
      <c r="N456" s="98" t="str">
        <f>IF(E456="Skeet",IFERROR(INDEX('Shooter-Squad Assignment'!$A:$A,MATCH(C456&amp;"-"&amp;D456&amp;"-"&amp;E456&amp;"-Pos5",'Shooter-Squad Assignment'!#REF!,0)),""),IF(E456="Trap",IFERROR(INDEX('Shooter-Squad Assignment'!$A:$A,MATCH(C456&amp;"-"&amp;D456&amp;"-"&amp;E456&amp;"-Pos5",'Shooter-Squad Assignment'!$V:$V,0)),""),IF(E456="Sporting Clays",IFERROR(INDEX('Shooter-Squad Assignment'!$A:$A,MATCH(C456&amp;"-"&amp;D456&amp;"-"&amp;E456&amp;"-Pos5",'Shooter-Squad Assignment'!$Y:$Y,0)),""),"")))</f>
        <v/>
      </c>
      <c r="O456" s="80" t="str">
        <f>IF(ISBLANK(N456),"",IFERROR(INDEX('Tournament List'!$D:$D,MATCH(N456,'Tournament List'!$A:$A,0)),""))</f>
        <v/>
      </c>
    </row>
    <row r="457" spans="1:15" x14ac:dyDescent="0.3">
      <c r="A457" s="79">
        <v>465</v>
      </c>
      <c r="B457" s="73" t="str">
        <f t="shared" si="7"/>
        <v>-Intermediate 3-Trap</v>
      </c>
      <c r="C457" s="73"/>
      <c r="D457" s="73" t="s">
        <v>352</v>
      </c>
      <c r="E457" s="73" t="s">
        <v>147</v>
      </c>
      <c r="F457" s="98" t="str">
        <f>IF(E457="Skeet",IFERROR(INDEX('Shooter-Squad Assignment'!$A:$A,MATCH(C457&amp;"-"&amp;D457&amp;"-"&amp;E457&amp;"-Pos1",'Shooter-Squad Assignment'!#REF!,0)),""),IF(E457="Trap",IFERROR(INDEX('Shooter-Squad Assignment'!$A:$A,MATCH(C457&amp;"-"&amp;D457&amp;"-"&amp;E457&amp;"-Pos1",'Shooter-Squad Assignment'!$V:$V,0)),""),IF(E457="Sporting Clays",IFERROR(INDEX('Shooter-Squad Assignment'!$A:$A,MATCH(C457&amp;"-"&amp;D457&amp;"-"&amp;E457&amp;"-Pos1",'Shooter-Squad Assignment'!$Y:$Y,0)),""),"")))</f>
        <v/>
      </c>
      <c r="G457" s="73" t="str">
        <f>IF(ISBLANK(F457),"",IFERROR(INDEX('Tournament List'!$D:$D,MATCH(F457,'Tournament List'!$A:$A,0)),""))</f>
        <v/>
      </c>
      <c r="H457" s="98" t="str">
        <f>IF(E457="Skeet",IFERROR(INDEX('Shooter-Squad Assignment'!$A:$A,MATCH(C457&amp;"-"&amp;D457&amp;"-"&amp;E457&amp;"-Pos2",'Shooter-Squad Assignment'!#REF!,0)),""),IF(E457="Trap",IFERROR(INDEX('Shooter-Squad Assignment'!$A:$A,MATCH(C457&amp;"-"&amp;D457&amp;"-"&amp;E457&amp;"-Pos2",'Shooter-Squad Assignment'!$V:$V,0)),""),IF(E457="Sporting Clays",IFERROR(INDEX('Shooter-Squad Assignment'!$A:$A,MATCH(C457&amp;"-"&amp;D457&amp;"-"&amp;E457&amp;"-Pos2",'Shooter-Squad Assignment'!$Y:$Y,0)),""),"")))</f>
        <v/>
      </c>
      <c r="I457" s="73" t="str">
        <f>IF(ISBLANK(H457),"",IFERROR(INDEX('Tournament List'!$D:$D,MATCH(H457,'Tournament List'!$A:$A,0)),""))</f>
        <v/>
      </c>
      <c r="J457" s="98" t="str">
        <f>IF(E457="Skeet",IFERROR(INDEX('Shooter-Squad Assignment'!$A:$A,MATCH(C457&amp;"-"&amp;D457&amp;"-"&amp;E457&amp;"-Pos3",'Shooter-Squad Assignment'!#REF!,0)),""),IF(E457="Trap",IFERROR(INDEX('Shooter-Squad Assignment'!$A:$A,MATCH(C457&amp;"-"&amp;D457&amp;"-"&amp;E457&amp;"-Pos3",'Shooter-Squad Assignment'!$V:$V,0)),""),IF(E457="Sporting Clays",IFERROR(INDEX('Shooter-Squad Assignment'!$A:$A,MATCH(C457&amp;"-"&amp;D457&amp;"-"&amp;E457&amp;"-Pos3",'Shooter-Squad Assignment'!$Y:$Y,0)),""),"")))</f>
        <v/>
      </c>
      <c r="K457" s="73" t="str">
        <f>IF(ISBLANK(J457),"",IFERROR(INDEX('Tournament List'!$D:$D,MATCH(J457,'Tournament List'!$A:$A,0)),""))</f>
        <v/>
      </c>
      <c r="L457" s="98" t="str">
        <f>IF(E457="Skeet",IFERROR(INDEX('Shooter-Squad Assignment'!$A:$A,MATCH(C457&amp;"-"&amp;D457&amp;"-"&amp;E457&amp;"-Pos4",'Shooter-Squad Assignment'!#REF!,0)),""),IF(E457="Trap",IFERROR(INDEX('Shooter-Squad Assignment'!$A:$A,MATCH(C457&amp;"-"&amp;D457&amp;"-"&amp;E457&amp;"-Pos4",'Shooter-Squad Assignment'!$V:$V,0)),""),IF(E457="Sporting Clays",IFERROR(INDEX('Shooter-Squad Assignment'!$A:$A,MATCH(C457&amp;"-"&amp;D457&amp;"-"&amp;E457&amp;"-Pos4",'Shooter-Squad Assignment'!$Y:$Y,0)),""),"")))</f>
        <v/>
      </c>
      <c r="M457" s="73" t="str">
        <f>IF(ISBLANK(L457),"",IFERROR(INDEX('Tournament List'!$D:$D,MATCH(L457,'Tournament List'!$A:$A,0)),""))</f>
        <v/>
      </c>
      <c r="N457" s="98" t="str">
        <f>IF(E457="Skeet",IFERROR(INDEX('Shooter-Squad Assignment'!$A:$A,MATCH(C457&amp;"-"&amp;D457&amp;"-"&amp;E457&amp;"-Pos5",'Shooter-Squad Assignment'!#REF!,0)),""),IF(E457="Trap",IFERROR(INDEX('Shooter-Squad Assignment'!$A:$A,MATCH(C457&amp;"-"&amp;D457&amp;"-"&amp;E457&amp;"-Pos5",'Shooter-Squad Assignment'!$V:$V,0)),""),IF(E457="Sporting Clays",IFERROR(INDEX('Shooter-Squad Assignment'!$A:$A,MATCH(C457&amp;"-"&amp;D457&amp;"-"&amp;E457&amp;"-Pos5",'Shooter-Squad Assignment'!$Y:$Y,0)),""),"")))</f>
        <v/>
      </c>
      <c r="O457" s="80" t="str">
        <f>IF(ISBLANK(N457),"",IFERROR(INDEX('Tournament List'!$D:$D,MATCH(N457,'Tournament List'!$A:$A,0)),""))</f>
        <v/>
      </c>
    </row>
    <row r="458" spans="1:15" x14ac:dyDescent="0.3">
      <c r="A458" s="79">
        <v>466</v>
      </c>
      <c r="B458" s="73" t="str">
        <f t="shared" si="7"/>
        <v>-Junior Varsity 1-Trap</v>
      </c>
      <c r="C458" s="73"/>
      <c r="D458" s="73" t="s">
        <v>341</v>
      </c>
      <c r="E458" s="73" t="s">
        <v>147</v>
      </c>
      <c r="F458" s="98" t="str">
        <f>IF(E458="Skeet",IFERROR(INDEX('Shooter-Squad Assignment'!$A:$A,MATCH(C458&amp;"-"&amp;D458&amp;"-"&amp;E458&amp;"-Pos1",'Shooter-Squad Assignment'!#REF!,0)),""),IF(E458="Trap",IFERROR(INDEX('Shooter-Squad Assignment'!$A:$A,MATCH(C458&amp;"-"&amp;D458&amp;"-"&amp;E458&amp;"-Pos1",'Shooter-Squad Assignment'!$V:$V,0)),""),IF(E458="Sporting Clays",IFERROR(INDEX('Shooter-Squad Assignment'!$A:$A,MATCH(C458&amp;"-"&amp;D458&amp;"-"&amp;E458&amp;"-Pos1",'Shooter-Squad Assignment'!$Y:$Y,0)),""),"")))</f>
        <v/>
      </c>
      <c r="G458" s="73" t="str">
        <f>IF(ISBLANK(F458),"",IFERROR(INDEX('Tournament List'!$D:$D,MATCH(F458,'Tournament List'!$A:$A,0)),""))</f>
        <v/>
      </c>
      <c r="H458" s="98" t="str">
        <f>IF(E458="Skeet",IFERROR(INDEX('Shooter-Squad Assignment'!$A:$A,MATCH(C458&amp;"-"&amp;D458&amp;"-"&amp;E458&amp;"-Pos2",'Shooter-Squad Assignment'!#REF!,0)),""),IF(E458="Trap",IFERROR(INDEX('Shooter-Squad Assignment'!$A:$A,MATCH(C458&amp;"-"&amp;D458&amp;"-"&amp;E458&amp;"-Pos2",'Shooter-Squad Assignment'!$V:$V,0)),""),IF(E458="Sporting Clays",IFERROR(INDEX('Shooter-Squad Assignment'!$A:$A,MATCH(C458&amp;"-"&amp;D458&amp;"-"&amp;E458&amp;"-Pos2",'Shooter-Squad Assignment'!$Y:$Y,0)),""),"")))</f>
        <v/>
      </c>
      <c r="I458" s="73" t="str">
        <f>IF(ISBLANK(H458),"",IFERROR(INDEX('Tournament List'!$D:$D,MATCH(H458,'Tournament List'!$A:$A,0)),""))</f>
        <v/>
      </c>
      <c r="J458" s="98" t="str">
        <f>IF(E458="Skeet",IFERROR(INDEX('Shooter-Squad Assignment'!$A:$A,MATCH(C458&amp;"-"&amp;D458&amp;"-"&amp;E458&amp;"-Pos3",'Shooter-Squad Assignment'!#REF!,0)),""),IF(E458="Trap",IFERROR(INDEX('Shooter-Squad Assignment'!$A:$A,MATCH(C458&amp;"-"&amp;D458&amp;"-"&amp;E458&amp;"-Pos3",'Shooter-Squad Assignment'!$V:$V,0)),""),IF(E458="Sporting Clays",IFERROR(INDEX('Shooter-Squad Assignment'!$A:$A,MATCH(C458&amp;"-"&amp;D458&amp;"-"&amp;E458&amp;"-Pos3",'Shooter-Squad Assignment'!$Y:$Y,0)),""),"")))</f>
        <v/>
      </c>
      <c r="K458" s="73" t="str">
        <f>IF(ISBLANK(J458),"",IFERROR(INDEX('Tournament List'!$D:$D,MATCH(J458,'Tournament List'!$A:$A,0)),""))</f>
        <v/>
      </c>
      <c r="L458" s="98" t="str">
        <f>IF(E458="Skeet",IFERROR(INDEX('Shooter-Squad Assignment'!$A:$A,MATCH(C458&amp;"-"&amp;D458&amp;"-"&amp;E458&amp;"-Pos4",'Shooter-Squad Assignment'!#REF!,0)),""),IF(E458="Trap",IFERROR(INDEX('Shooter-Squad Assignment'!$A:$A,MATCH(C458&amp;"-"&amp;D458&amp;"-"&amp;E458&amp;"-Pos4",'Shooter-Squad Assignment'!$V:$V,0)),""),IF(E458="Sporting Clays",IFERROR(INDEX('Shooter-Squad Assignment'!$A:$A,MATCH(C458&amp;"-"&amp;D458&amp;"-"&amp;E458&amp;"-Pos4",'Shooter-Squad Assignment'!$Y:$Y,0)),""),"")))</f>
        <v/>
      </c>
      <c r="M458" s="73" t="str">
        <f>IF(ISBLANK(L458),"",IFERROR(INDEX('Tournament List'!$D:$D,MATCH(L458,'Tournament List'!$A:$A,0)),""))</f>
        <v/>
      </c>
      <c r="N458" s="98" t="str">
        <f>IF(E458="Skeet",IFERROR(INDEX('Shooter-Squad Assignment'!$A:$A,MATCH(C458&amp;"-"&amp;D458&amp;"-"&amp;E458&amp;"-Pos5",'Shooter-Squad Assignment'!#REF!,0)),""),IF(E458="Trap",IFERROR(INDEX('Shooter-Squad Assignment'!$A:$A,MATCH(C458&amp;"-"&amp;D458&amp;"-"&amp;E458&amp;"-Pos5",'Shooter-Squad Assignment'!$V:$V,0)),""),IF(E458="Sporting Clays",IFERROR(INDEX('Shooter-Squad Assignment'!$A:$A,MATCH(C458&amp;"-"&amp;D458&amp;"-"&amp;E458&amp;"-Pos5",'Shooter-Squad Assignment'!$Y:$Y,0)),""),"")))</f>
        <v/>
      </c>
      <c r="O458" s="80" t="str">
        <f>IF(ISBLANK(N458),"",IFERROR(INDEX('Tournament List'!$D:$D,MATCH(N458,'Tournament List'!$A:$A,0)),""))</f>
        <v/>
      </c>
    </row>
    <row r="459" spans="1:15" x14ac:dyDescent="0.3">
      <c r="A459" s="79">
        <v>467</v>
      </c>
      <c r="B459" s="73" t="str">
        <f t="shared" si="7"/>
        <v>-Junior Varsity 2-Trap</v>
      </c>
      <c r="C459" s="73"/>
      <c r="D459" s="73" t="s">
        <v>347</v>
      </c>
      <c r="E459" s="73" t="s">
        <v>147</v>
      </c>
      <c r="F459" s="98" t="str">
        <f>IF(E459="Skeet",IFERROR(INDEX('Shooter-Squad Assignment'!$A:$A,MATCH(C459&amp;"-"&amp;D459&amp;"-"&amp;E459&amp;"-Pos1",'Shooter-Squad Assignment'!#REF!,0)),""),IF(E459="Trap",IFERROR(INDEX('Shooter-Squad Assignment'!$A:$A,MATCH(C459&amp;"-"&amp;D459&amp;"-"&amp;E459&amp;"-Pos1",'Shooter-Squad Assignment'!$V:$V,0)),""),IF(E459="Sporting Clays",IFERROR(INDEX('Shooter-Squad Assignment'!$A:$A,MATCH(C459&amp;"-"&amp;D459&amp;"-"&amp;E459&amp;"-Pos1",'Shooter-Squad Assignment'!$Y:$Y,0)),""),"")))</f>
        <v/>
      </c>
      <c r="G459" s="73" t="str">
        <f>IF(ISBLANK(F459),"",IFERROR(INDEX('Tournament List'!$D:$D,MATCH(F459,'Tournament List'!$A:$A,0)),""))</f>
        <v/>
      </c>
      <c r="H459" s="98" t="str">
        <f>IF(E459="Skeet",IFERROR(INDEX('Shooter-Squad Assignment'!$A:$A,MATCH(C459&amp;"-"&amp;D459&amp;"-"&amp;E459&amp;"-Pos2",'Shooter-Squad Assignment'!#REF!,0)),""),IF(E459="Trap",IFERROR(INDEX('Shooter-Squad Assignment'!$A:$A,MATCH(C459&amp;"-"&amp;D459&amp;"-"&amp;E459&amp;"-Pos2",'Shooter-Squad Assignment'!$V:$V,0)),""),IF(E459="Sporting Clays",IFERROR(INDEX('Shooter-Squad Assignment'!$A:$A,MATCH(C459&amp;"-"&amp;D459&amp;"-"&amp;E459&amp;"-Pos2",'Shooter-Squad Assignment'!$Y:$Y,0)),""),"")))</f>
        <v/>
      </c>
      <c r="I459" s="73" t="str">
        <f>IF(ISBLANK(H459),"",IFERROR(INDEX('Tournament List'!$D:$D,MATCH(H459,'Tournament List'!$A:$A,0)),""))</f>
        <v/>
      </c>
      <c r="J459" s="98" t="str">
        <f>IF(E459="Skeet",IFERROR(INDEX('Shooter-Squad Assignment'!$A:$A,MATCH(C459&amp;"-"&amp;D459&amp;"-"&amp;E459&amp;"-Pos3",'Shooter-Squad Assignment'!#REF!,0)),""),IF(E459="Trap",IFERROR(INDEX('Shooter-Squad Assignment'!$A:$A,MATCH(C459&amp;"-"&amp;D459&amp;"-"&amp;E459&amp;"-Pos3",'Shooter-Squad Assignment'!$V:$V,0)),""),IF(E459="Sporting Clays",IFERROR(INDEX('Shooter-Squad Assignment'!$A:$A,MATCH(C459&amp;"-"&amp;D459&amp;"-"&amp;E459&amp;"-Pos3",'Shooter-Squad Assignment'!$Y:$Y,0)),""),"")))</f>
        <v/>
      </c>
      <c r="K459" s="73" t="str">
        <f>IF(ISBLANK(J459),"",IFERROR(INDEX('Tournament List'!$D:$D,MATCH(J459,'Tournament List'!$A:$A,0)),""))</f>
        <v/>
      </c>
      <c r="L459" s="98" t="str">
        <f>IF(E459="Skeet",IFERROR(INDEX('Shooter-Squad Assignment'!$A:$A,MATCH(C459&amp;"-"&amp;D459&amp;"-"&amp;E459&amp;"-Pos4",'Shooter-Squad Assignment'!#REF!,0)),""),IF(E459="Trap",IFERROR(INDEX('Shooter-Squad Assignment'!$A:$A,MATCH(C459&amp;"-"&amp;D459&amp;"-"&amp;E459&amp;"-Pos4",'Shooter-Squad Assignment'!$V:$V,0)),""),IF(E459="Sporting Clays",IFERROR(INDEX('Shooter-Squad Assignment'!$A:$A,MATCH(C459&amp;"-"&amp;D459&amp;"-"&amp;E459&amp;"-Pos4",'Shooter-Squad Assignment'!$Y:$Y,0)),""),"")))</f>
        <v/>
      </c>
      <c r="M459" s="73" t="str">
        <f>IF(ISBLANK(L459),"",IFERROR(INDEX('Tournament List'!$D:$D,MATCH(L459,'Tournament List'!$A:$A,0)),""))</f>
        <v/>
      </c>
      <c r="N459" s="98" t="str">
        <f>IF(E459="Skeet",IFERROR(INDEX('Shooter-Squad Assignment'!$A:$A,MATCH(C459&amp;"-"&amp;D459&amp;"-"&amp;E459&amp;"-Pos5",'Shooter-Squad Assignment'!#REF!,0)),""),IF(E459="Trap",IFERROR(INDEX('Shooter-Squad Assignment'!$A:$A,MATCH(C459&amp;"-"&amp;D459&amp;"-"&amp;E459&amp;"-Pos5",'Shooter-Squad Assignment'!$V:$V,0)),""),IF(E459="Sporting Clays",IFERROR(INDEX('Shooter-Squad Assignment'!$A:$A,MATCH(C459&amp;"-"&amp;D459&amp;"-"&amp;E459&amp;"-Pos5",'Shooter-Squad Assignment'!$Y:$Y,0)),""),"")))</f>
        <v/>
      </c>
      <c r="O459" s="80" t="str">
        <f>IF(ISBLANK(N459),"",IFERROR(INDEX('Tournament List'!$D:$D,MATCH(N459,'Tournament List'!$A:$A,0)),""))</f>
        <v/>
      </c>
    </row>
    <row r="460" spans="1:15" x14ac:dyDescent="0.3">
      <c r="A460" s="79">
        <v>468</v>
      </c>
      <c r="B460" s="73" t="str">
        <f t="shared" si="7"/>
        <v>-Junior Varsity 3-Trap</v>
      </c>
      <c r="C460" s="73"/>
      <c r="D460" s="73" t="s">
        <v>353</v>
      </c>
      <c r="E460" s="73" t="s">
        <v>147</v>
      </c>
      <c r="F460" s="98" t="str">
        <f>IF(E460="Skeet",IFERROR(INDEX('Shooter-Squad Assignment'!$A:$A,MATCH(C460&amp;"-"&amp;D460&amp;"-"&amp;E460&amp;"-Pos1",'Shooter-Squad Assignment'!#REF!,0)),""),IF(E460="Trap",IFERROR(INDEX('Shooter-Squad Assignment'!$A:$A,MATCH(C460&amp;"-"&amp;D460&amp;"-"&amp;E460&amp;"-Pos1",'Shooter-Squad Assignment'!$V:$V,0)),""),IF(E460="Sporting Clays",IFERROR(INDEX('Shooter-Squad Assignment'!$A:$A,MATCH(C460&amp;"-"&amp;D460&amp;"-"&amp;E460&amp;"-Pos1",'Shooter-Squad Assignment'!$Y:$Y,0)),""),"")))</f>
        <v/>
      </c>
      <c r="G460" s="73" t="str">
        <f>IF(ISBLANK(F460),"",IFERROR(INDEX('Tournament List'!$D:$D,MATCH(F460,'Tournament List'!$A:$A,0)),""))</f>
        <v/>
      </c>
      <c r="H460" s="98" t="str">
        <f>IF(E460="Skeet",IFERROR(INDEX('Shooter-Squad Assignment'!$A:$A,MATCH(C460&amp;"-"&amp;D460&amp;"-"&amp;E460&amp;"-Pos2",'Shooter-Squad Assignment'!#REF!,0)),""),IF(E460="Trap",IFERROR(INDEX('Shooter-Squad Assignment'!$A:$A,MATCH(C460&amp;"-"&amp;D460&amp;"-"&amp;E460&amp;"-Pos2",'Shooter-Squad Assignment'!$V:$V,0)),""),IF(E460="Sporting Clays",IFERROR(INDEX('Shooter-Squad Assignment'!$A:$A,MATCH(C460&amp;"-"&amp;D460&amp;"-"&amp;E460&amp;"-Pos2",'Shooter-Squad Assignment'!$Y:$Y,0)),""),"")))</f>
        <v/>
      </c>
      <c r="I460" s="73" t="str">
        <f>IF(ISBLANK(H460),"",IFERROR(INDEX('Tournament List'!$D:$D,MATCH(H460,'Tournament List'!$A:$A,0)),""))</f>
        <v/>
      </c>
      <c r="J460" s="98" t="str">
        <f>IF(E460="Skeet",IFERROR(INDEX('Shooter-Squad Assignment'!$A:$A,MATCH(C460&amp;"-"&amp;D460&amp;"-"&amp;E460&amp;"-Pos3",'Shooter-Squad Assignment'!#REF!,0)),""),IF(E460="Trap",IFERROR(INDEX('Shooter-Squad Assignment'!$A:$A,MATCH(C460&amp;"-"&amp;D460&amp;"-"&amp;E460&amp;"-Pos3",'Shooter-Squad Assignment'!$V:$V,0)),""),IF(E460="Sporting Clays",IFERROR(INDEX('Shooter-Squad Assignment'!$A:$A,MATCH(C460&amp;"-"&amp;D460&amp;"-"&amp;E460&amp;"-Pos3",'Shooter-Squad Assignment'!$Y:$Y,0)),""),"")))</f>
        <v/>
      </c>
      <c r="K460" s="73" t="str">
        <f>IF(ISBLANK(J460),"",IFERROR(INDEX('Tournament List'!$D:$D,MATCH(J460,'Tournament List'!$A:$A,0)),""))</f>
        <v/>
      </c>
      <c r="L460" s="98" t="str">
        <f>IF(E460="Skeet",IFERROR(INDEX('Shooter-Squad Assignment'!$A:$A,MATCH(C460&amp;"-"&amp;D460&amp;"-"&amp;E460&amp;"-Pos4",'Shooter-Squad Assignment'!#REF!,0)),""),IF(E460="Trap",IFERROR(INDEX('Shooter-Squad Assignment'!$A:$A,MATCH(C460&amp;"-"&amp;D460&amp;"-"&amp;E460&amp;"-Pos4",'Shooter-Squad Assignment'!$V:$V,0)),""),IF(E460="Sporting Clays",IFERROR(INDEX('Shooter-Squad Assignment'!$A:$A,MATCH(C460&amp;"-"&amp;D460&amp;"-"&amp;E460&amp;"-Pos4",'Shooter-Squad Assignment'!$Y:$Y,0)),""),"")))</f>
        <v/>
      </c>
      <c r="M460" s="73" t="str">
        <f>IF(ISBLANK(L460),"",IFERROR(INDEX('Tournament List'!$D:$D,MATCH(L460,'Tournament List'!$A:$A,0)),""))</f>
        <v/>
      </c>
      <c r="N460" s="98" t="str">
        <f>IF(E460="Skeet",IFERROR(INDEX('Shooter-Squad Assignment'!$A:$A,MATCH(C460&amp;"-"&amp;D460&amp;"-"&amp;E460&amp;"-Pos5",'Shooter-Squad Assignment'!#REF!,0)),""),IF(E460="Trap",IFERROR(INDEX('Shooter-Squad Assignment'!$A:$A,MATCH(C460&amp;"-"&amp;D460&amp;"-"&amp;E460&amp;"-Pos5",'Shooter-Squad Assignment'!$V:$V,0)),""),IF(E460="Sporting Clays",IFERROR(INDEX('Shooter-Squad Assignment'!$A:$A,MATCH(C460&amp;"-"&amp;D460&amp;"-"&amp;E460&amp;"-Pos5",'Shooter-Squad Assignment'!$Y:$Y,0)),""),"")))</f>
        <v/>
      </c>
      <c r="O460" s="80" t="str">
        <f>IF(ISBLANK(N460),"",IFERROR(INDEX('Tournament List'!$D:$D,MATCH(N460,'Tournament List'!$A:$A,0)),""))</f>
        <v/>
      </c>
    </row>
    <row r="461" spans="1:15" x14ac:dyDescent="0.3">
      <c r="A461" s="79">
        <v>469</v>
      </c>
      <c r="B461" s="73" t="str">
        <f t="shared" si="7"/>
        <v>-Novice 1-Trap</v>
      </c>
      <c r="C461" s="73"/>
      <c r="D461" s="73" t="s">
        <v>339</v>
      </c>
      <c r="E461" s="73" t="s">
        <v>147</v>
      </c>
      <c r="F461" s="98" t="str">
        <f>IF(E461="Skeet",IFERROR(INDEX('Shooter-Squad Assignment'!$A:$A,MATCH(C461&amp;"-"&amp;D461&amp;"-"&amp;E461&amp;"-Pos1",'Shooter-Squad Assignment'!#REF!,0)),""),IF(E461="Trap",IFERROR(INDEX('Shooter-Squad Assignment'!$A:$A,MATCH(C461&amp;"-"&amp;D461&amp;"-"&amp;E461&amp;"-Pos1",'Shooter-Squad Assignment'!$V:$V,0)),""),IF(E461="Sporting Clays",IFERROR(INDEX('Shooter-Squad Assignment'!$A:$A,MATCH(C461&amp;"-"&amp;D461&amp;"-"&amp;E461&amp;"-Pos1",'Shooter-Squad Assignment'!$Y:$Y,0)),""),"")))</f>
        <v/>
      </c>
      <c r="G461" s="73" t="str">
        <f>IF(ISBLANK(F461),"",IFERROR(INDEX('Tournament List'!$D:$D,MATCH(F461,'Tournament List'!$A:$A,0)),""))</f>
        <v/>
      </c>
      <c r="H461" s="98" t="str">
        <f>IF(E461="Skeet",IFERROR(INDEX('Shooter-Squad Assignment'!$A:$A,MATCH(C461&amp;"-"&amp;D461&amp;"-"&amp;E461&amp;"-Pos2",'Shooter-Squad Assignment'!#REF!,0)),""),IF(E461="Trap",IFERROR(INDEX('Shooter-Squad Assignment'!$A:$A,MATCH(C461&amp;"-"&amp;D461&amp;"-"&amp;E461&amp;"-Pos2",'Shooter-Squad Assignment'!$V:$V,0)),""),IF(E461="Sporting Clays",IFERROR(INDEX('Shooter-Squad Assignment'!$A:$A,MATCH(C461&amp;"-"&amp;D461&amp;"-"&amp;E461&amp;"-Pos2",'Shooter-Squad Assignment'!$Y:$Y,0)),""),"")))</f>
        <v/>
      </c>
      <c r="I461" s="73" t="str">
        <f>IF(ISBLANK(H461),"",IFERROR(INDEX('Tournament List'!$D:$D,MATCH(H461,'Tournament List'!$A:$A,0)),""))</f>
        <v/>
      </c>
      <c r="J461" s="98" t="str">
        <f>IF(E461="Skeet",IFERROR(INDEX('Shooter-Squad Assignment'!$A:$A,MATCH(C461&amp;"-"&amp;D461&amp;"-"&amp;E461&amp;"-Pos3",'Shooter-Squad Assignment'!#REF!,0)),""),IF(E461="Trap",IFERROR(INDEX('Shooter-Squad Assignment'!$A:$A,MATCH(C461&amp;"-"&amp;D461&amp;"-"&amp;E461&amp;"-Pos3",'Shooter-Squad Assignment'!$V:$V,0)),""),IF(E461="Sporting Clays",IFERROR(INDEX('Shooter-Squad Assignment'!$A:$A,MATCH(C461&amp;"-"&amp;D461&amp;"-"&amp;E461&amp;"-Pos3",'Shooter-Squad Assignment'!$Y:$Y,0)),""),"")))</f>
        <v/>
      </c>
      <c r="K461" s="73" t="str">
        <f>IF(ISBLANK(J461),"",IFERROR(INDEX('Tournament List'!$D:$D,MATCH(J461,'Tournament List'!$A:$A,0)),""))</f>
        <v/>
      </c>
      <c r="L461" s="98" t="str">
        <f>IF(E461="Skeet",IFERROR(INDEX('Shooter-Squad Assignment'!$A:$A,MATCH(C461&amp;"-"&amp;D461&amp;"-"&amp;E461&amp;"-Pos4",'Shooter-Squad Assignment'!#REF!,0)),""),IF(E461="Trap",IFERROR(INDEX('Shooter-Squad Assignment'!$A:$A,MATCH(C461&amp;"-"&amp;D461&amp;"-"&amp;E461&amp;"-Pos4",'Shooter-Squad Assignment'!$V:$V,0)),""),IF(E461="Sporting Clays",IFERROR(INDEX('Shooter-Squad Assignment'!$A:$A,MATCH(C461&amp;"-"&amp;D461&amp;"-"&amp;E461&amp;"-Pos4",'Shooter-Squad Assignment'!$Y:$Y,0)),""),"")))</f>
        <v/>
      </c>
      <c r="M461" s="73" t="str">
        <f>IF(ISBLANK(L461),"",IFERROR(INDEX('Tournament List'!$D:$D,MATCH(L461,'Tournament List'!$A:$A,0)),""))</f>
        <v/>
      </c>
      <c r="N461" s="98" t="str">
        <f>IF(E461="Skeet",IFERROR(INDEX('Shooter-Squad Assignment'!$A:$A,MATCH(C461&amp;"-"&amp;D461&amp;"-"&amp;E461&amp;"-Pos5",'Shooter-Squad Assignment'!#REF!,0)),""),IF(E461="Trap",IFERROR(INDEX('Shooter-Squad Assignment'!$A:$A,MATCH(C461&amp;"-"&amp;D461&amp;"-"&amp;E461&amp;"-Pos5",'Shooter-Squad Assignment'!$V:$V,0)),""),IF(E461="Sporting Clays",IFERROR(INDEX('Shooter-Squad Assignment'!$A:$A,MATCH(C461&amp;"-"&amp;D461&amp;"-"&amp;E461&amp;"-Pos5",'Shooter-Squad Assignment'!$Y:$Y,0)),""),"")))</f>
        <v/>
      </c>
      <c r="O461" s="80" t="str">
        <f>IF(ISBLANK(N461),"",IFERROR(INDEX('Tournament List'!$D:$D,MATCH(N461,'Tournament List'!$A:$A,0)),""))</f>
        <v/>
      </c>
    </row>
    <row r="462" spans="1:15" x14ac:dyDescent="0.3">
      <c r="A462" s="79">
        <v>470</v>
      </c>
      <c r="B462" s="73" t="str">
        <f t="shared" si="7"/>
        <v>-Novice 2-Trap</v>
      </c>
      <c r="C462" s="73"/>
      <c r="D462" s="73" t="s">
        <v>345</v>
      </c>
      <c r="E462" s="73" t="s">
        <v>147</v>
      </c>
      <c r="F462" s="98" t="str">
        <f>IF(E462="Skeet",IFERROR(INDEX('Shooter-Squad Assignment'!$A:$A,MATCH(C462&amp;"-"&amp;D462&amp;"-"&amp;E462&amp;"-Pos1",'Shooter-Squad Assignment'!#REF!,0)),""),IF(E462="Trap",IFERROR(INDEX('Shooter-Squad Assignment'!$A:$A,MATCH(C462&amp;"-"&amp;D462&amp;"-"&amp;E462&amp;"-Pos1",'Shooter-Squad Assignment'!$V:$V,0)),""),IF(E462="Sporting Clays",IFERROR(INDEX('Shooter-Squad Assignment'!$A:$A,MATCH(C462&amp;"-"&amp;D462&amp;"-"&amp;E462&amp;"-Pos1",'Shooter-Squad Assignment'!$Y:$Y,0)),""),"")))</f>
        <v/>
      </c>
      <c r="G462" s="73" t="str">
        <f>IF(ISBLANK(F462),"",IFERROR(INDEX('Tournament List'!$D:$D,MATCH(F462,'Tournament List'!$A:$A,0)),""))</f>
        <v/>
      </c>
      <c r="H462" s="98" t="str">
        <f>IF(E462="Skeet",IFERROR(INDEX('Shooter-Squad Assignment'!$A:$A,MATCH(C462&amp;"-"&amp;D462&amp;"-"&amp;E462&amp;"-Pos2",'Shooter-Squad Assignment'!#REF!,0)),""),IF(E462="Trap",IFERROR(INDEX('Shooter-Squad Assignment'!$A:$A,MATCH(C462&amp;"-"&amp;D462&amp;"-"&amp;E462&amp;"-Pos2",'Shooter-Squad Assignment'!$V:$V,0)),""),IF(E462="Sporting Clays",IFERROR(INDEX('Shooter-Squad Assignment'!$A:$A,MATCH(C462&amp;"-"&amp;D462&amp;"-"&amp;E462&amp;"-Pos2",'Shooter-Squad Assignment'!$Y:$Y,0)),""),"")))</f>
        <v/>
      </c>
      <c r="I462" s="73" t="str">
        <f>IF(ISBLANK(H462),"",IFERROR(INDEX('Tournament List'!$D:$D,MATCH(H462,'Tournament List'!$A:$A,0)),""))</f>
        <v/>
      </c>
      <c r="J462" s="98" t="str">
        <f>IF(E462="Skeet",IFERROR(INDEX('Shooter-Squad Assignment'!$A:$A,MATCH(C462&amp;"-"&amp;D462&amp;"-"&amp;E462&amp;"-Pos3",'Shooter-Squad Assignment'!#REF!,0)),""),IF(E462="Trap",IFERROR(INDEX('Shooter-Squad Assignment'!$A:$A,MATCH(C462&amp;"-"&amp;D462&amp;"-"&amp;E462&amp;"-Pos3",'Shooter-Squad Assignment'!$V:$V,0)),""),IF(E462="Sporting Clays",IFERROR(INDEX('Shooter-Squad Assignment'!$A:$A,MATCH(C462&amp;"-"&amp;D462&amp;"-"&amp;E462&amp;"-Pos3",'Shooter-Squad Assignment'!$Y:$Y,0)),""),"")))</f>
        <v/>
      </c>
      <c r="K462" s="73" t="str">
        <f>IF(ISBLANK(J462),"",IFERROR(INDEX('Tournament List'!$D:$D,MATCH(J462,'Tournament List'!$A:$A,0)),""))</f>
        <v/>
      </c>
      <c r="L462" s="98" t="str">
        <f>IF(E462="Skeet",IFERROR(INDEX('Shooter-Squad Assignment'!$A:$A,MATCH(C462&amp;"-"&amp;D462&amp;"-"&amp;E462&amp;"-Pos4",'Shooter-Squad Assignment'!#REF!,0)),""),IF(E462="Trap",IFERROR(INDEX('Shooter-Squad Assignment'!$A:$A,MATCH(C462&amp;"-"&amp;D462&amp;"-"&amp;E462&amp;"-Pos4",'Shooter-Squad Assignment'!$V:$V,0)),""),IF(E462="Sporting Clays",IFERROR(INDEX('Shooter-Squad Assignment'!$A:$A,MATCH(C462&amp;"-"&amp;D462&amp;"-"&amp;E462&amp;"-Pos4",'Shooter-Squad Assignment'!$Y:$Y,0)),""),"")))</f>
        <v/>
      </c>
      <c r="M462" s="73" t="str">
        <f>IF(ISBLANK(L462),"",IFERROR(INDEX('Tournament List'!$D:$D,MATCH(L462,'Tournament List'!$A:$A,0)),""))</f>
        <v/>
      </c>
      <c r="N462" s="98" t="str">
        <f>IF(E462="Skeet",IFERROR(INDEX('Shooter-Squad Assignment'!$A:$A,MATCH(C462&amp;"-"&amp;D462&amp;"-"&amp;E462&amp;"-Pos5",'Shooter-Squad Assignment'!#REF!,0)),""),IF(E462="Trap",IFERROR(INDEX('Shooter-Squad Assignment'!$A:$A,MATCH(C462&amp;"-"&amp;D462&amp;"-"&amp;E462&amp;"-Pos5",'Shooter-Squad Assignment'!$V:$V,0)),""),IF(E462="Sporting Clays",IFERROR(INDEX('Shooter-Squad Assignment'!$A:$A,MATCH(C462&amp;"-"&amp;D462&amp;"-"&amp;E462&amp;"-Pos5",'Shooter-Squad Assignment'!$Y:$Y,0)),""),"")))</f>
        <v/>
      </c>
      <c r="O462" s="80" t="str">
        <f>IF(ISBLANK(N462),"",IFERROR(INDEX('Tournament List'!$D:$D,MATCH(N462,'Tournament List'!$A:$A,0)),""))</f>
        <v/>
      </c>
    </row>
    <row r="463" spans="1:15" x14ac:dyDescent="0.3">
      <c r="A463" s="79">
        <v>471</v>
      </c>
      <c r="B463" s="73" t="str">
        <f t="shared" si="7"/>
        <v>-Novice 3-Trap</v>
      </c>
      <c r="C463" s="73"/>
      <c r="D463" s="73" t="s">
        <v>351</v>
      </c>
      <c r="E463" s="73" t="s">
        <v>147</v>
      </c>
      <c r="F463" s="98" t="str">
        <f>IF(E463="Skeet",IFERROR(INDEX('Shooter-Squad Assignment'!$A:$A,MATCH(C463&amp;"-"&amp;D463&amp;"-"&amp;E463&amp;"-Pos1",'Shooter-Squad Assignment'!#REF!,0)),""),IF(E463="Trap",IFERROR(INDEX('Shooter-Squad Assignment'!$A:$A,MATCH(C463&amp;"-"&amp;D463&amp;"-"&amp;E463&amp;"-Pos1",'Shooter-Squad Assignment'!$V:$V,0)),""),IF(E463="Sporting Clays",IFERROR(INDEX('Shooter-Squad Assignment'!$A:$A,MATCH(C463&amp;"-"&amp;D463&amp;"-"&amp;E463&amp;"-Pos1",'Shooter-Squad Assignment'!$Y:$Y,0)),""),"")))</f>
        <v/>
      </c>
      <c r="G463" s="73" t="str">
        <f>IF(ISBLANK(F463),"",IFERROR(INDEX('Tournament List'!$D:$D,MATCH(F463,'Tournament List'!$A:$A,0)),""))</f>
        <v/>
      </c>
      <c r="H463" s="98" t="str">
        <f>IF(E463="Skeet",IFERROR(INDEX('Shooter-Squad Assignment'!$A:$A,MATCH(C463&amp;"-"&amp;D463&amp;"-"&amp;E463&amp;"-Pos2",'Shooter-Squad Assignment'!#REF!,0)),""),IF(E463="Trap",IFERROR(INDEX('Shooter-Squad Assignment'!$A:$A,MATCH(C463&amp;"-"&amp;D463&amp;"-"&amp;E463&amp;"-Pos2",'Shooter-Squad Assignment'!$V:$V,0)),""),IF(E463="Sporting Clays",IFERROR(INDEX('Shooter-Squad Assignment'!$A:$A,MATCH(C463&amp;"-"&amp;D463&amp;"-"&amp;E463&amp;"-Pos2",'Shooter-Squad Assignment'!$Y:$Y,0)),""),"")))</f>
        <v/>
      </c>
      <c r="I463" s="73" t="str">
        <f>IF(ISBLANK(H463),"",IFERROR(INDEX('Tournament List'!$D:$D,MATCH(H463,'Tournament List'!$A:$A,0)),""))</f>
        <v/>
      </c>
      <c r="J463" s="98" t="str">
        <f>IF(E463="Skeet",IFERROR(INDEX('Shooter-Squad Assignment'!$A:$A,MATCH(C463&amp;"-"&amp;D463&amp;"-"&amp;E463&amp;"-Pos3",'Shooter-Squad Assignment'!#REF!,0)),""),IF(E463="Trap",IFERROR(INDEX('Shooter-Squad Assignment'!$A:$A,MATCH(C463&amp;"-"&amp;D463&amp;"-"&amp;E463&amp;"-Pos3",'Shooter-Squad Assignment'!$V:$V,0)),""),IF(E463="Sporting Clays",IFERROR(INDEX('Shooter-Squad Assignment'!$A:$A,MATCH(C463&amp;"-"&amp;D463&amp;"-"&amp;E463&amp;"-Pos3",'Shooter-Squad Assignment'!$Y:$Y,0)),""),"")))</f>
        <v/>
      </c>
      <c r="K463" s="73" t="str">
        <f>IF(ISBLANK(J463),"",IFERROR(INDEX('Tournament List'!$D:$D,MATCH(J463,'Tournament List'!$A:$A,0)),""))</f>
        <v/>
      </c>
      <c r="L463" s="98" t="str">
        <f>IF(E463="Skeet",IFERROR(INDEX('Shooter-Squad Assignment'!$A:$A,MATCH(C463&amp;"-"&amp;D463&amp;"-"&amp;E463&amp;"-Pos4",'Shooter-Squad Assignment'!#REF!,0)),""),IF(E463="Trap",IFERROR(INDEX('Shooter-Squad Assignment'!$A:$A,MATCH(C463&amp;"-"&amp;D463&amp;"-"&amp;E463&amp;"-Pos4",'Shooter-Squad Assignment'!$V:$V,0)),""),IF(E463="Sporting Clays",IFERROR(INDEX('Shooter-Squad Assignment'!$A:$A,MATCH(C463&amp;"-"&amp;D463&amp;"-"&amp;E463&amp;"-Pos4",'Shooter-Squad Assignment'!$Y:$Y,0)),""),"")))</f>
        <v/>
      </c>
      <c r="M463" s="73" t="str">
        <f>IF(ISBLANK(L463),"",IFERROR(INDEX('Tournament List'!$D:$D,MATCH(L463,'Tournament List'!$A:$A,0)),""))</f>
        <v/>
      </c>
      <c r="N463" s="98" t="str">
        <f>IF(E463="Skeet",IFERROR(INDEX('Shooter-Squad Assignment'!$A:$A,MATCH(C463&amp;"-"&amp;D463&amp;"-"&amp;E463&amp;"-Pos5",'Shooter-Squad Assignment'!#REF!,0)),""),IF(E463="Trap",IFERROR(INDEX('Shooter-Squad Assignment'!$A:$A,MATCH(C463&amp;"-"&amp;D463&amp;"-"&amp;E463&amp;"-Pos5",'Shooter-Squad Assignment'!$V:$V,0)),""),IF(E463="Sporting Clays",IFERROR(INDEX('Shooter-Squad Assignment'!$A:$A,MATCH(C463&amp;"-"&amp;D463&amp;"-"&amp;E463&amp;"-Pos5",'Shooter-Squad Assignment'!$Y:$Y,0)),""),"")))</f>
        <v/>
      </c>
      <c r="O463" s="80" t="str">
        <f>IF(ISBLANK(N463),"",IFERROR(INDEX('Tournament List'!$D:$D,MATCH(N463,'Tournament List'!$A:$A,0)),""))</f>
        <v/>
      </c>
    </row>
    <row r="464" spans="1:15" x14ac:dyDescent="0.3">
      <c r="A464" s="79">
        <v>472</v>
      </c>
      <c r="B464" s="73" t="str">
        <f t="shared" si="7"/>
        <v>-Open 1-Trap</v>
      </c>
      <c r="C464" s="73"/>
      <c r="D464" s="73" t="s">
        <v>343</v>
      </c>
      <c r="E464" s="73" t="s">
        <v>147</v>
      </c>
      <c r="F464" s="98" t="str">
        <f>IF(E464="Skeet",IFERROR(INDEX('Shooter-Squad Assignment'!$A:$A,MATCH(C464&amp;"-"&amp;D464&amp;"-"&amp;E464&amp;"-Pos1",'Shooter-Squad Assignment'!#REF!,0)),""),IF(E464="Trap",IFERROR(INDEX('Shooter-Squad Assignment'!$A:$A,MATCH(C464&amp;"-"&amp;D464&amp;"-"&amp;E464&amp;"-Pos1",'Shooter-Squad Assignment'!$V:$V,0)),""),IF(E464="Sporting Clays",IFERROR(INDEX('Shooter-Squad Assignment'!$A:$A,MATCH(C464&amp;"-"&amp;D464&amp;"-"&amp;E464&amp;"-Pos1",'Shooter-Squad Assignment'!$Y:$Y,0)),""),"")))</f>
        <v/>
      </c>
      <c r="G464" s="73" t="str">
        <f>IF(ISBLANK(F464),"",IFERROR(INDEX('Tournament List'!$D:$D,MATCH(F464,'Tournament List'!$A:$A,0)),""))</f>
        <v/>
      </c>
      <c r="H464" s="98" t="str">
        <f>IF(E464="Skeet",IFERROR(INDEX('Shooter-Squad Assignment'!$A:$A,MATCH(C464&amp;"-"&amp;D464&amp;"-"&amp;E464&amp;"-Pos2",'Shooter-Squad Assignment'!#REF!,0)),""),IF(E464="Trap",IFERROR(INDEX('Shooter-Squad Assignment'!$A:$A,MATCH(C464&amp;"-"&amp;D464&amp;"-"&amp;E464&amp;"-Pos2",'Shooter-Squad Assignment'!$V:$V,0)),""),IF(E464="Sporting Clays",IFERROR(INDEX('Shooter-Squad Assignment'!$A:$A,MATCH(C464&amp;"-"&amp;D464&amp;"-"&amp;E464&amp;"-Pos2",'Shooter-Squad Assignment'!$Y:$Y,0)),""),"")))</f>
        <v/>
      </c>
      <c r="I464" s="73" t="str">
        <f>IF(ISBLANK(H464),"",IFERROR(INDEX('Tournament List'!$D:$D,MATCH(H464,'Tournament List'!$A:$A,0)),""))</f>
        <v/>
      </c>
      <c r="J464" s="98" t="str">
        <f>IF(E464="Skeet",IFERROR(INDEX('Shooter-Squad Assignment'!$A:$A,MATCH(C464&amp;"-"&amp;D464&amp;"-"&amp;E464&amp;"-Pos3",'Shooter-Squad Assignment'!#REF!,0)),""),IF(E464="Trap",IFERROR(INDEX('Shooter-Squad Assignment'!$A:$A,MATCH(C464&amp;"-"&amp;D464&amp;"-"&amp;E464&amp;"-Pos3",'Shooter-Squad Assignment'!$V:$V,0)),""),IF(E464="Sporting Clays",IFERROR(INDEX('Shooter-Squad Assignment'!$A:$A,MATCH(C464&amp;"-"&amp;D464&amp;"-"&amp;E464&amp;"-Pos3",'Shooter-Squad Assignment'!$Y:$Y,0)),""),"")))</f>
        <v/>
      </c>
      <c r="K464" s="73" t="str">
        <f>IF(ISBLANK(J464),"",IFERROR(INDEX('Tournament List'!$D:$D,MATCH(J464,'Tournament List'!$A:$A,0)),""))</f>
        <v/>
      </c>
      <c r="L464" s="98" t="str">
        <f>IF(E464="Skeet",IFERROR(INDEX('Shooter-Squad Assignment'!$A:$A,MATCH(C464&amp;"-"&amp;D464&amp;"-"&amp;E464&amp;"-Pos4",'Shooter-Squad Assignment'!#REF!,0)),""),IF(E464="Trap",IFERROR(INDEX('Shooter-Squad Assignment'!$A:$A,MATCH(C464&amp;"-"&amp;D464&amp;"-"&amp;E464&amp;"-Pos4",'Shooter-Squad Assignment'!$V:$V,0)),""),IF(E464="Sporting Clays",IFERROR(INDEX('Shooter-Squad Assignment'!$A:$A,MATCH(C464&amp;"-"&amp;D464&amp;"-"&amp;E464&amp;"-Pos4",'Shooter-Squad Assignment'!$Y:$Y,0)),""),"")))</f>
        <v/>
      </c>
      <c r="M464" s="73" t="str">
        <f>IF(ISBLANK(L464),"",IFERROR(INDEX('Tournament List'!$D:$D,MATCH(L464,'Tournament List'!$A:$A,0)),""))</f>
        <v/>
      </c>
      <c r="N464" s="98" t="str">
        <f>IF(E464="Skeet",IFERROR(INDEX('Shooter-Squad Assignment'!$A:$A,MATCH(C464&amp;"-"&amp;D464&amp;"-"&amp;E464&amp;"-Pos5",'Shooter-Squad Assignment'!#REF!,0)),""),IF(E464="Trap",IFERROR(INDEX('Shooter-Squad Assignment'!$A:$A,MATCH(C464&amp;"-"&amp;D464&amp;"-"&amp;E464&amp;"-Pos5",'Shooter-Squad Assignment'!$V:$V,0)),""),IF(E464="Sporting Clays",IFERROR(INDEX('Shooter-Squad Assignment'!$A:$A,MATCH(C464&amp;"-"&amp;D464&amp;"-"&amp;E464&amp;"-Pos5",'Shooter-Squad Assignment'!$Y:$Y,0)),""),"")))</f>
        <v/>
      </c>
      <c r="O464" s="80" t="str">
        <f>IF(ISBLANK(N464),"",IFERROR(INDEX('Tournament List'!$D:$D,MATCH(N464,'Tournament List'!$A:$A,0)),""))</f>
        <v/>
      </c>
    </row>
    <row r="465" spans="1:15" x14ac:dyDescent="0.3">
      <c r="A465" s="79">
        <v>473</v>
      </c>
      <c r="B465" s="73" t="str">
        <f t="shared" si="7"/>
        <v>-Open 2-Trap</v>
      </c>
      <c r="C465" s="73"/>
      <c r="D465" s="73" t="s">
        <v>349</v>
      </c>
      <c r="E465" s="73" t="s">
        <v>147</v>
      </c>
      <c r="F465" s="98" t="str">
        <f>IF(E465="Skeet",IFERROR(INDEX('Shooter-Squad Assignment'!$A:$A,MATCH(C465&amp;"-"&amp;D465&amp;"-"&amp;E465&amp;"-Pos1",'Shooter-Squad Assignment'!#REF!,0)),""),IF(E465="Trap",IFERROR(INDEX('Shooter-Squad Assignment'!$A:$A,MATCH(C465&amp;"-"&amp;D465&amp;"-"&amp;E465&amp;"-Pos1",'Shooter-Squad Assignment'!$V:$V,0)),""),IF(E465="Sporting Clays",IFERROR(INDEX('Shooter-Squad Assignment'!$A:$A,MATCH(C465&amp;"-"&amp;D465&amp;"-"&amp;E465&amp;"-Pos1",'Shooter-Squad Assignment'!$Y:$Y,0)),""),"")))</f>
        <v/>
      </c>
      <c r="G465" s="73" t="str">
        <f>IF(ISBLANK(F465),"",IFERROR(INDEX('Tournament List'!$D:$D,MATCH(F465,'Tournament List'!$A:$A,0)),""))</f>
        <v/>
      </c>
      <c r="H465" s="98" t="str">
        <f>IF(E465="Skeet",IFERROR(INDEX('Shooter-Squad Assignment'!$A:$A,MATCH(C465&amp;"-"&amp;D465&amp;"-"&amp;E465&amp;"-Pos2",'Shooter-Squad Assignment'!#REF!,0)),""),IF(E465="Trap",IFERROR(INDEX('Shooter-Squad Assignment'!$A:$A,MATCH(C465&amp;"-"&amp;D465&amp;"-"&amp;E465&amp;"-Pos2",'Shooter-Squad Assignment'!$V:$V,0)),""),IF(E465="Sporting Clays",IFERROR(INDEX('Shooter-Squad Assignment'!$A:$A,MATCH(C465&amp;"-"&amp;D465&amp;"-"&amp;E465&amp;"-Pos2",'Shooter-Squad Assignment'!$Y:$Y,0)),""),"")))</f>
        <v/>
      </c>
      <c r="I465" s="73" t="str">
        <f>IF(ISBLANK(H465),"",IFERROR(INDEX('Tournament List'!$D:$D,MATCH(H465,'Tournament List'!$A:$A,0)),""))</f>
        <v/>
      </c>
      <c r="J465" s="98" t="str">
        <f>IF(E465="Skeet",IFERROR(INDEX('Shooter-Squad Assignment'!$A:$A,MATCH(C465&amp;"-"&amp;D465&amp;"-"&amp;E465&amp;"-Pos3",'Shooter-Squad Assignment'!#REF!,0)),""),IF(E465="Trap",IFERROR(INDEX('Shooter-Squad Assignment'!$A:$A,MATCH(C465&amp;"-"&amp;D465&amp;"-"&amp;E465&amp;"-Pos3",'Shooter-Squad Assignment'!$V:$V,0)),""),IF(E465="Sporting Clays",IFERROR(INDEX('Shooter-Squad Assignment'!$A:$A,MATCH(C465&amp;"-"&amp;D465&amp;"-"&amp;E465&amp;"-Pos3",'Shooter-Squad Assignment'!$Y:$Y,0)),""),"")))</f>
        <v/>
      </c>
      <c r="K465" s="73" t="str">
        <f>IF(ISBLANK(J465),"",IFERROR(INDEX('Tournament List'!$D:$D,MATCH(J465,'Tournament List'!$A:$A,0)),""))</f>
        <v/>
      </c>
      <c r="L465" s="98" t="str">
        <f>IF(E465="Skeet",IFERROR(INDEX('Shooter-Squad Assignment'!$A:$A,MATCH(C465&amp;"-"&amp;D465&amp;"-"&amp;E465&amp;"-Pos4",'Shooter-Squad Assignment'!#REF!,0)),""),IF(E465="Trap",IFERROR(INDEX('Shooter-Squad Assignment'!$A:$A,MATCH(C465&amp;"-"&amp;D465&amp;"-"&amp;E465&amp;"-Pos4",'Shooter-Squad Assignment'!$V:$V,0)),""),IF(E465="Sporting Clays",IFERROR(INDEX('Shooter-Squad Assignment'!$A:$A,MATCH(C465&amp;"-"&amp;D465&amp;"-"&amp;E465&amp;"-Pos4",'Shooter-Squad Assignment'!$Y:$Y,0)),""),"")))</f>
        <v/>
      </c>
      <c r="M465" s="73" t="str">
        <f>IF(ISBLANK(L465),"",IFERROR(INDEX('Tournament List'!$D:$D,MATCH(L465,'Tournament List'!$A:$A,0)),""))</f>
        <v/>
      </c>
      <c r="N465" s="98" t="str">
        <f>IF(E465="Skeet",IFERROR(INDEX('Shooter-Squad Assignment'!$A:$A,MATCH(C465&amp;"-"&amp;D465&amp;"-"&amp;E465&amp;"-Pos5",'Shooter-Squad Assignment'!#REF!,0)),""),IF(E465="Trap",IFERROR(INDEX('Shooter-Squad Assignment'!$A:$A,MATCH(C465&amp;"-"&amp;D465&amp;"-"&amp;E465&amp;"-Pos5",'Shooter-Squad Assignment'!$V:$V,0)),""),IF(E465="Sporting Clays",IFERROR(INDEX('Shooter-Squad Assignment'!$A:$A,MATCH(C465&amp;"-"&amp;D465&amp;"-"&amp;E465&amp;"-Pos5",'Shooter-Squad Assignment'!$Y:$Y,0)),""),"")))</f>
        <v/>
      </c>
      <c r="O465" s="80" t="str">
        <f>IF(ISBLANK(N465),"",IFERROR(INDEX('Tournament List'!$D:$D,MATCH(N465,'Tournament List'!$A:$A,0)),""))</f>
        <v/>
      </c>
    </row>
    <row r="466" spans="1:15" x14ac:dyDescent="0.3">
      <c r="A466" s="79">
        <v>474</v>
      </c>
      <c r="B466" s="73" t="str">
        <f t="shared" si="7"/>
        <v>-Open 3-Trap</v>
      </c>
      <c r="C466" s="73"/>
      <c r="D466" s="73" t="s">
        <v>355</v>
      </c>
      <c r="E466" s="73" t="s">
        <v>147</v>
      </c>
      <c r="F466" s="98" t="str">
        <f>IF(E466="Skeet",IFERROR(INDEX('Shooter-Squad Assignment'!$A:$A,MATCH(C466&amp;"-"&amp;D466&amp;"-"&amp;E466&amp;"-Pos1",'Shooter-Squad Assignment'!#REF!,0)),""),IF(E466="Trap",IFERROR(INDEX('Shooter-Squad Assignment'!$A:$A,MATCH(C466&amp;"-"&amp;D466&amp;"-"&amp;E466&amp;"-Pos1",'Shooter-Squad Assignment'!$V:$V,0)),""),IF(E466="Sporting Clays",IFERROR(INDEX('Shooter-Squad Assignment'!$A:$A,MATCH(C466&amp;"-"&amp;D466&amp;"-"&amp;E466&amp;"-Pos1",'Shooter-Squad Assignment'!$Y:$Y,0)),""),"")))</f>
        <v/>
      </c>
      <c r="G466" s="73" t="str">
        <f>IF(ISBLANK(F466),"",IFERROR(INDEX('Tournament List'!$D:$D,MATCH(F466,'Tournament List'!$A:$A,0)),""))</f>
        <v/>
      </c>
      <c r="H466" s="98" t="str">
        <f>IF(E466="Skeet",IFERROR(INDEX('Shooter-Squad Assignment'!$A:$A,MATCH(C466&amp;"-"&amp;D466&amp;"-"&amp;E466&amp;"-Pos2",'Shooter-Squad Assignment'!#REF!,0)),""),IF(E466="Trap",IFERROR(INDEX('Shooter-Squad Assignment'!$A:$A,MATCH(C466&amp;"-"&amp;D466&amp;"-"&amp;E466&amp;"-Pos2",'Shooter-Squad Assignment'!$V:$V,0)),""),IF(E466="Sporting Clays",IFERROR(INDEX('Shooter-Squad Assignment'!$A:$A,MATCH(C466&amp;"-"&amp;D466&amp;"-"&amp;E466&amp;"-Pos2",'Shooter-Squad Assignment'!$Y:$Y,0)),""),"")))</f>
        <v/>
      </c>
      <c r="I466" s="73" t="str">
        <f>IF(ISBLANK(H466),"",IFERROR(INDEX('Tournament List'!$D:$D,MATCH(H466,'Tournament List'!$A:$A,0)),""))</f>
        <v/>
      </c>
      <c r="J466" s="98" t="str">
        <f>IF(E466="Skeet",IFERROR(INDEX('Shooter-Squad Assignment'!$A:$A,MATCH(C466&amp;"-"&amp;D466&amp;"-"&amp;E466&amp;"-Pos3",'Shooter-Squad Assignment'!#REF!,0)),""),IF(E466="Trap",IFERROR(INDEX('Shooter-Squad Assignment'!$A:$A,MATCH(C466&amp;"-"&amp;D466&amp;"-"&amp;E466&amp;"-Pos3",'Shooter-Squad Assignment'!$V:$V,0)),""),IF(E466="Sporting Clays",IFERROR(INDEX('Shooter-Squad Assignment'!$A:$A,MATCH(C466&amp;"-"&amp;D466&amp;"-"&amp;E466&amp;"-Pos3",'Shooter-Squad Assignment'!$Y:$Y,0)),""),"")))</f>
        <v/>
      </c>
      <c r="K466" s="73" t="str">
        <f>IF(ISBLANK(J466),"",IFERROR(INDEX('Tournament List'!$D:$D,MATCH(J466,'Tournament List'!$A:$A,0)),""))</f>
        <v/>
      </c>
      <c r="L466" s="98" t="str">
        <f>IF(E466="Skeet",IFERROR(INDEX('Shooter-Squad Assignment'!$A:$A,MATCH(C466&amp;"-"&amp;D466&amp;"-"&amp;E466&amp;"-Pos4",'Shooter-Squad Assignment'!#REF!,0)),""),IF(E466="Trap",IFERROR(INDEX('Shooter-Squad Assignment'!$A:$A,MATCH(C466&amp;"-"&amp;D466&amp;"-"&amp;E466&amp;"-Pos4",'Shooter-Squad Assignment'!$V:$V,0)),""),IF(E466="Sporting Clays",IFERROR(INDEX('Shooter-Squad Assignment'!$A:$A,MATCH(C466&amp;"-"&amp;D466&amp;"-"&amp;E466&amp;"-Pos4",'Shooter-Squad Assignment'!$Y:$Y,0)),""),"")))</f>
        <v/>
      </c>
      <c r="M466" s="73" t="str">
        <f>IF(ISBLANK(L466),"",IFERROR(INDEX('Tournament List'!$D:$D,MATCH(L466,'Tournament List'!$A:$A,0)),""))</f>
        <v/>
      </c>
      <c r="N466" s="98" t="str">
        <f>IF(E466="Skeet",IFERROR(INDEX('Shooter-Squad Assignment'!$A:$A,MATCH(C466&amp;"-"&amp;D466&amp;"-"&amp;E466&amp;"-Pos5",'Shooter-Squad Assignment'!#REF!,0)),""),IF(E466="Trap",IFERROR(INDEX('Shooter-Squad Assignment'!$A:$A,MATCH(C466&amp;"-"&amp;D466&amp;"-"&amp;E466&amp;"-Pos5",'Shooter-Squad Assignment'!$V:$V,0)),""),IF(E466="Sporting Clays",IFERROR(INDEX('Shooter-Squad Assignment'!$A:$A,MATCH(C466&amp;"-"&amp;D466&amp;"-"&amp;E466&amp;"-Pos5",'Shooter-Squad Assignment'!$Y:$Y,0)),""),"")))</f>
        <v/>
      </c>
      <c r="O466" s="80" t="str">
        <f>IF(ISBLANK(N466),"",IFERROR(INDEX('Tournament List'!$D:$D,MATCH(N466,'Tournament List'!$A:$A,0)),""))</f>
        <v/>
      </c>
    </row>
    <row r="467" spans="1:15" x14ac:dyDescent="0.3">
      <c r="A467" s="79">
        <v>475</v>
      </c>
      <c r="B467" s="73" t="str">
        <f t="shared" si="7"/>
        <v>-Varsity 1-Trap</v>
      </c>
      <c r="C467" s="73"/>
      <c r="D467" s="73" t="s">
        <v>342</v>
      </c>
      <c r="E467" s="73" t="s">
        <v>147</v>
      </c>
      <c r="F467" s="98" t="str">
        <f>IF(E467="Skeet",IFERROR(INDEX('Shooter-Squad Assignment'!$A:$A,MATCH(C467&amp;"-"&amp;D467&amp;"-"&amp;E467&amp;"-Pos1",'Shooter-Squad Assignment'!#REF!,0)),""),IF(E467="Trap",IFERROR(INDEX('Shooter-Squad Assignment'!$A:$A,MATCH(C467&amp;"-"&amp;D467&amp;"-"&amp;E467&amp;"-Pos1",'Shooter-Squad Assignment'!$V:$V,0)),""),IF(E467="Sporting Clays",IFERROR(INDEX('Shooter-Squad Assignment'!$A:$A,MATCH(C467&amp;"-"&amp;D467&amp;"-"&amp;E467&amp;"-Pos1",'Shooter-Squad Assignment'!$Y:$Y,0)),""),"")))</f>
        <v/>
      </c>
      <c r="G467" s="73" t="str">
        <f>IF(ISBLANK(F467),"",IFERROR(INDEX('Tournament List'!$D:$D,MATCH(F467,'Tournament List'!$A:$A,0)),""))</f>
        <v/>
      </c>
      <c r="H467" s="98" t="str">
        <f>IF(E467="Skeet",IFERROR(INDEX('Shooter-Squad Assignment'!$A:$A,MATCH(C467&amp;"-"&amp;D467&amp;"-"&amp;E467&amp;"-Pos2",'Shooter-Squad Assignment'!#REF!,0)),""),IF(E467="Trap",IFERROR(INDEX('Shooter-Squad Assignment'!$A:$A,MATCH(C467&amp;"-"&amp;D467&amp;"-"&amp;E467&amp;"-Pos2",'Shooter-Squad Assignment'!$V:$V,0)),""),IF(E467="Sporting Clays",IFERROR(INDEX('Shooter-Squad Assignment'!$A:$A,MATCH(C467&amp;"-"&amp;D467&amp;"-"&amp;E467&amp;"-Pos2",'Shooter-Squad Assignment'!$Y:$Y,0)),""),"")))</f>
        <v/>
      </c>
      <c r="I467" s="73" t="str">
        <f>IF(ISBLANK(H467),"",IFERROR(INDEX('Tournament List'!$D:$D,MATCH(H467,'Tournament List'!$A:$A,0)),""))</f>
        <v/>
      </c>
      <c r="J467" s="98" t="str">
        <f>IF(E467="Skeet",IFERROR(INDEX('Shooter-Squad Assignment'!$A:$A,MATCH(C467&amp;"-"&amp;D467&amp;"-"&amp;E467&amp;"-Pos3",'Shooter-Squad Assignment'!#REF!,0)),""),IF(E467="Trap",IFERROR(INDEX('Shooter-Squad Assignment'!$A:$A,MATCH(C467&amp;"-"&amp;D467&amp;"-"&amp;E467&amp;"-Pos3",'Shooter-Squad Assignment'!$V:$V,0)),""),IF(E467="Sporting Clays",IFERROR(INDEX('Shooter-Squad Assignment'!$A:$A,MATCH(C467&amp;"-"&amp;D467&amp;"-"&amp;E467&amp;"-Pos3",'Shooter-Squad Assignment'!$Y:$Y,0)),""),"")))</f>
        <v/>
      </c>
      <c r="K467" s="73" t="str">
        <f>IF(ISBLANK(J467),"",IFERROR(INDEX('Tournament List'!$D:$D,MATCH(J467,'Tournament List'!$A:$A,0)),""))</f>
        <v/>
      </c>
      <c r="L467" s="98" t="str">
        <f>IF(E467="Skeet",IFERROR(INDEX('Shooter-Squad Assignment'!$A:$A,MATCH(C467&amp;"-"&amp;D467&amp;"-"&amp;E467&amp;"-Pos4",'Shooter-Squad Assignment'!#REF!,0)),""),IF(E467="Trap",IFERROR(INDEX('Shooter-Squad Assignment'!$A:$A,MATCH(C467&amp;"-"&amp;D467&amp;"-"&amp;E467&amp;"-Pos4",'Shooter-Squad Assignment'!$V:$V,0)),""),IF(E467="Sporting Clays",IFERROR(INDEX('Shooter-Squad Assignment'!$A:$A,MATCH(C467&amp;"-"&amp;D467&amp;"-"&amp;E467&amp;"-Pos4",'Shooter-Squad Assignment'!$Y:$Y,0)),""),"")))</f>
        <v/>
      </c>
      <c r="M467" s="73" t="str">
        <f>IF(ISBLANK(L467),"",IFERROR(INDEX('Tournament List'!$D:$D,MATCH(L467,'Tournament List'!$A:$A,0)),""))</f>
        <v/>
      </c>
      <c r="N467" s="98" t="str">
        <f>IF(E467="Skeet",IFERROR(INDEX('Shooter-Squad Assignment'!$A:$A,MATCH(C467&amp;"-"&amp;D467&amp;"-"&amp;E467&amp;"-Pos5",'Shooter-Squad Assignment'!#REF!,0)),""),IF(E467="Trap",IFERROR(INDEX('Shooter-Squad Assignment'!$A:$A,MATCH(C467&amp;"-"&amp;D467&amp;"-"&amp;E467&amp;"-Pos5",'Shooter-Squad Assignment'!$V:$V,0)),""),IF(E467="Sporting Clays",IFERROR(INDEX('Shooter-Squad Assignment'!$A:$A,MATCH(C467&amp;"-"&amp;D467&amp;"-"&amp;E467&amp;"-Pos5",'Shooter-Squad Assignment'!$Y:$Y,0)),""),"")))</f>
        <v/>
      </c>
      <c r="O467" s="80" t="str">
        <f>IF(ISBLANK(N467),"",IFERROR(INDEX('Tournament List'!$D:$D,MATCH(N467,'Tournament List'!$A:$A,0)),""))</f>
        <v/>
      </c>
    </row>
    <row r="468" spans="1:15" x14ac:dyDescent="0.3">
      <c r="A468" s="79">
        <v>476</v>
      </c>
      <c r="B468" s="73" t="str">
        <f t="shared" si="7"/>
        <v>-Varsity 2-Trap</v>
      </c>
      <c r="C468" s="73"/>
      <c r="D468" s="73" t="s">
        <v>348</v>
      </c>
      <c r="E468" s="73" t="s">
        <v>147</v>
      </c>
      <c r="F468" s="98" t="str">
        <f>IF(E468="Skeet",IFERROR(INDEX('Shooter-Squad Assignment'!$A:$A,MATCH(C468&amp;"-"&amp;D468&amp;"-"&amp;E468&amp;"-Pos1",'Shooter-Squad Assignment'!#REF!,0)),""),IF(E468="Trap",IFERROR(INDEX('Shooter-Squad Assignment'!$A:$A,MATCH(C468&amp;"-"&amp;D468&amp;"-"&amp;E468&amp;"-Pos1",'Shooter-Squad Assignment'!$V:$V,0)),""),IF(E468="Sporting Clays",IFERROR(INDEX('Shooter-Squad Assignment'!$A:$A,MATCH(C468&amp;"-"&amp;D468&amp;"-"&amp;E468&amp;"-Pos1",'Shooter-Squad Assignment'!$Y:$Y,0)),""),"")))</f>
        <v/>
      </c>
      <c r="G468" s="73" t="str">
        <f>IF(ISBLANK(F468),"",IFERROR(INDEX('Tournament List'!$D:$D,MATCH(F468,'Tournament List'!$A:$A,0)),""))</f>
        <v/>
      </c>
      <c r="H468" s="98" t="str">
        <f>IF(E468="Skeet",IFERROR(INDEX('Shooter-Squad Assignment'!$A:$A,MATCH(C468&amp;"-"&amp;D468&amp;"-"&amp;E468&amp;"-Pos2",'Shooter-Squad Assignment'!#REF!,0)),""),IF(E468="Trap",IFERROR(INDEX('Shooter-Squad Assignment'!$A:$A,MATCH(C468&amp;"-"&amp;D468&amp;"-"&amp;E468&amp;"-Pos2",'Shooter-Squad Assignment'!$V:$V,0)),""),IF(E468="Sporting Clays",IFERROR(INDEX('Shooter-Squad Assignment'!$A:$A,MATCH(C468&amp;"-"&amp;D468&amp;"-"&amp;E468&amp;"-Pos2",'Shooter-Squad Assignment'!$Y:$Y,0)),""),"")))</f>
        <v/>
      </c>
      <c r="I468" s="73" t="str">
        <f>IF(ISBLANK(H468),"",IFERROR(INDEX('Tournament List'!$D:$D,MATCH(H468,'Tournament List'!$A:$A,0)),""))</f>
        <v/>
      </c>
      <c r="J468" s="98" t="str">
        <f>IF(E468="Skeet",IFERROR(INDEX('Shooter-Squad Assignment'!$A:$A,MATCH(C468&amp;"-"&amp;D468&amp;"-"&amp;E468&amp;"-Pos3",'Shooter-Squad Assignment'!#REF!,0)),""),IF(E468="Trap",IFERROR(INDEX('Shooter-Squad Assignment'!$A:$A,MATCH(C468&amp;"-"&amp;D468&amp;"-"&amp;E468&amp;"-Pos3",'Shooter-Squad Assignment'!$V:$V,0)),""),IF(E468="Sporting Clays",IFERROR(INDEX('Shooter-Squad Assignment'!$A:$A,MATCH(C468&amp;"-"&amp;D468&amp;"-"&amp;E468&amp;"-Pos3",'Shooter-Squad Assignment'!$Y:$Y,0)),""),"")))</f>
        <v/>
      </c>
      <c r="K468" s="73" t="str">
        <f>IF(ISBLANK(J468),"",IFERROR(INDEX('Tournament List'!$D:$D,MATCH(J468,'Tournament List'!$A:$A,0)),""))</f>
        <v/>
      </c>
      <c r="L468" s="98" t="str">
        <f>IF(E468="Skeet",IFERROR(INDEX('Shooter-Squad Assignment'!$A:$A,MATCH(C468&amp;"-"&amp;D468&amp;"-"&amp;E468&amp;"-Pos4",'Shooter-Squad Assignment'!#REF!,0)),""),IF(E468="Trap",IFERROR(INDEX('Shooter-Squad Assignment'!$A:$A,MATCH(C468&amp;"-"&amp;D468&amp;"-"&amp;E468&amp;"-Pos4",'Shooter-Squad Assignment'!$V:$V,0)),""),IF(E468="Sporting Clays",IFERROR(INDEX('Shooter-Squad Assignment'!$A:$A,MATCH(C468&amp;"-"&amp;D468&amp;"-"&amp;E468&amp;"-Pos4",'Shooter-Squad Assignment'!$Y:$Y,0)),""),"")))</f>
        <v/>
      </c>
      <c r="M468" s="73" t="str">
        <f>IF(ISBLANK(L468),"",IFERROR(INDEX('Tournament List'!$D:$D,MATCH(L468,'Tournament List'!$A:$A,0)),""))</f>
        <v/>
      </c>
      <c r="N468" s="98" t="str">
        <f>IF(E468="Skeet",IFERROR(INDEX('Shooter-Squad Assignment'!$A:$A,MATCH(C468&amp;"-"&amp;D468&amp;"-"&amp;E468&amp;"-Pos5",'Shooter-Squad Assignment'!#REF!,0)),""),IF(E468="Trap",IFERROR(INDEX('Shooter-Squad Assignment'!$A:$A,MATCH(C468&amp;"-"&amp;D468&amp;"-"&amp;E468&amp;"-Pos5",'Shooter-Squad Assignment'!$V:$V,0)),""),IF(E468="Sporting Clays",IFERROR(INDEX('Shooter-Squad Assignment'!$A:$A,MATCH(C468&amp;"-"&amp;D468&amp;"-"&amp;E468&amp;"-Pos5",'Shooter-Squad Assignment'!$Y:$Y,0)),""),"")))</f>
        <v/>
      </c>
      <c r="O468" s="80" t="str">
        <f>IF(ISBLANK(N468),"",IFERROR(INDEX('Tournament List'!$D:$D,MATCH(N468,'Tournament List'!$A:$A,0)),""))</f>
        <v/>
      </c>
    </row>
    <row r="469" spans="1:15" x14ac:dyDescent="0.3">
      <c r="A469" s="79">
        <v>477</v>
      </c>
      <c r="B469" s="73" t="str">
        <f t="shared" si="7"/>
        <v>-Varsity 3-Trap</v>
      </c>
      <c r="C469" s="73"/>
      <c r="D469" s="73" t="s">
        <v>354</v>
      </c>
      <c r="E469" s="73" t="s">
        <v>147</v>
      </c>
      <c r="F469" s="98" t="str">
        <f>IF(E469="Skeet",IFERROR(INDEX('Shooter-Squad Assignment'!$A:$A,MATCH(C469&amp;"-"&amp;D469&amp;"-"&amp;E469&amp;"-Pos1",'Shooter-Squad Assignment'!#REF!,0)),""),IF(E469="Trap",IFERROR(INDEX('Shooter-Squad Assignment'!$A:$A,MATCH(C469&amp;"-"&amp;D469&amp;"-"&amp;E469&amp;"-Pos1",'Shooter-Squad Assignment'!$V:$V,0)),""),IF(E469="Sporting Clays",IFERROR(INDEX('Shooter-Squad Assignment'!$A:$A,MATCH(C469&amp;"-"&amp;D469&amp;"-"&amp;E469&amp;"-Pos1",'Shooter-Squad Assignment'!$Y:$Y,0)),""),"")))</f>
        <v/>
      </c>
      <c r="G469" s="73" t="str">
        <f>IF(ISBLANK(F469),"",IFERROR(INDEX('Tournament List'!$D:$D,MATCH(F469,'Tournament List'!$A:$A,0)),""))</f>
        <v/>
      </c>
      <c r="H469" s="98" t="str">
        <f>IF(E469="Skeet",IFERROR(INDEX('Shooter-Squad Assignment'!$A:$A,MATCH(C469&amp;"-"&amp;D469&amp;"-"&amp;E469&amp;"-Pos2",'Shooter-Squad Assignment'!#REF!,0)),""),IF(E469="Trap",IFERROR(INDEX('Shooter-Squad Assignment'!$A:$A,MATCH(C469&amp;"-"&amp;D469&amp;"-"&amp;E469&amp;"-Pos2",'Shooter-Squad Assignment'!$V:$V,0)),""),IF(E469="Sporting Clays",IFERROR(INDEX('Shooter-Squad Assignment'!$A:$A,MATCH(C469&amp;"-"&amp;D469&amp;"-"&amp;E469&amp;"-Pos2",'Shooter-Squad Assignment'!$Y:$Y,0)),""),"")))</f>
        <v/>
      </c>
      <c r="I469" s="73" t="str">
        <f>IF(ISBLANK(H469),"",IFERROR(INDEX('Tournament List'!$D:$D,MATCH(H469,'Tournament List'!$A:$A,0)),""))</f>
        <v/>
      </c>
      <c r="J469" s="98" t="str">
        <f>IF(E469="Skeet",IFERROR(INDEX('Shooter-Squad Assignment'!$A:$A,MATCH(C469&amp;"-"&amp;D469&amp;"-"&amp;E469&amp;"-Pos3",'Shooter-Squad Assignment'!#REF!,0)),""),IF(E469="Trap",IFERROR(INDEX('Shooter-Squad Assignment'!$A:$A,MATCH(C469&amp;"-"&amp;D469&amp;"-"&amp;E469&amp;"-Pos3",'Shooter-Squad Assignment'!$V:$V,0)),""),IF(E469="Sporting Clays",IFERROR(INDEX('Shooter-Squad Assignment'!$A:$A,MATCH(C469&amp;"-"&amp;D469&amp;"-"&amp;E469&amp;"-Pos3",'Shooter-Squad Assignment'!$Y:$Y,0)),""),"")))</f>
        <v/>
      </c>
      <c r="K469" s="73" t="str">
        <f>IF(ISBLANK(J469),"",IFERROR(INDEX('Tournament List'!$D:$D,MATCH(J469,'Tournament List'!$A:$A,0)),""))</f>
        <v/>
      </c>
      <c r="L469" s="98" t="str">
        <f>IF(E469="Skeet",IFERROR(INDEX('Shooter-Squad Assignment'!$A:$A,MATCH(C469&amp;"-"&amp;D469&amp;"-"&amp;E469&amp;"-Pos4",'Shooter-Squad Assignment'!#REF!,0)),""),IF(E469="Trap",IFERROR(INDEX('Shooter-Squad Assignment'!$A:$A,MATCH(C469&amp;"-"&amp;D469&amp;"-"&amp;E469&amp;"-Pos4",'Shooter-Squad Assignment'!$V:$V,0)),""),IF(E469="Sporting Clays",IFERROR(INDEX('Shooter-Squad Assignment'!$A:$A,MATCH(C469&amp;"-"&amp;D469&amp;"-"&amp;E469&amp;"-Pos4",'Shooter-Squad Assignment'!$Y:$Y,0)),""),"")))</f>
        <v/>
      </c>
      <c r="M469" s="73" t="str">
        <f>IF(ISBLANK(L469),"",IFERROR(INDEX('Tournament List'!$D:$D,MATCH(L469,'Tournament List'!$A:$A,0)),""))</f>
        <v/>
      </c>
      <c r="N469" s="98" t="str">
        <f>IF(E469="Skeet",IFERROR(INDEX('Shooter-Squad Assignment'!$A:$A,MATCH(C469&amp;"-"&amp;D469&amp;"-"&amp;E469&amp;"-Pos5",'Shooter-Squad Assignment'!#REF!,0)),""),IF(E469="Trap",IFERROR(INDEX('Shooter-Squad Assignment'!$A:$A,MATCH(C469&amp;"-"&amp;D469&amp;"-"&amp;E469&amp;"-Pos5",'Shooter-Squad Assignment'!$V:$V,0)),""),IF(E469="Sporting Clays",IFERROR(INDEX('Shooter-Squad Assignment'!$A:$A,MATCH(C469&amp;"-"&amp;D469&amp;"-"&amp;E469&amp;"-Pos5",'Shooter-Squad Assignment'!$Y:$Y,0)),""),"")))</f>
        <v/>
      </c>
      <c r="O469" s="80" t="str">
        <f>IF(ISBLANK(N469),"",IFERROR(INDEX('Tournament List'!$D:$D,MATCH(N469,'Tournament List'!$A:$A,0)),""))</f>
        <v/>
      </c>
    </row>
    <row r="470" spans="1:15" x14ac:dyDescent="0.3">
      <c r="A470" s="79">
        <v>478</v>
      </c>
      <c r="B470" s="73" t="str">
        <f t="shared" si="7"/>
        <v>-Collegiate 1-Sporting Clays</v>
      </c>
      <c r="C470" s="73"/>
      <c r="D470" s="73" t="s">
        <v>344</v>
      </c>
      <c r="E470" s="73" t="s">
        <v>148</v>
      </c>
      <c r="F470" s="98" t="str">
        <f>IF(E470="Skeet",IFERROR(INDEX('Shooter-Squad Assignment'!$A:$A,MATCH(C470&amp;"-"&amp;D470&amp;"-"&amp;E470&amp;"-Pos1",'Shooter-Squad Assignment'!#REF!,0)),""),IF(E470="Trap",IFERROR(INDEX('Shooter-Squad Assignment'!$A:$A,MATCH(C470&amp;"-"&amp;D470&amp;"-"&amp;E470&amp;"-Pos1",'Shooter-Squad Assignment'!$V:$V,0)),""),IF(E470="Sporting Clays",IFERROR(INDEX('Shooter-Squad Assignment'!$A:$A,MATCH(C470&amp;"-"&amp;D470&amp;"-"&amp;E470&amp;"-Pos1",'Shooter-Squad Assignment'!$Y:$Y,0)),""),"")))</f>
        <v/>
      </c>
      <c r="G470" s="73" t="str">
        <f>IF(ISBLANK(F470),"",IFERROR(INDEX('Tournament List'!$D:$D,MATCH(F470,'Tournament List'!$A:$A,0)),""))</f>
        <v/>
      </c>
      <c r="H470" s="98" t="str">
        <f>IF(E470="Skeet",IFERROR(INDEX('Shooter-Squad Assignment'!$A:$A,MATCH(C470&amp;"-"&amp;D470&amp;"-"&amp;E470&amp;"-Pos2",'Shooter-Squad Assignment'!#REF!,0)),""),IF(E470="Trap",IFERROR(INDEX('Shooter-Squad Assignment'!$A:$A,MATCH(C470&amp;"-"&amp;D470&amp;"-"&amp;E470&amp;"-Pos2",'Shooter-Squad Assignment'!$V:$V,0)),""),IF(E470="Sporting Clays",IFERROR(INDEX('Shooter-Squad Assignment'!$A:$A,MATCH(C470&amp;"-"&amp;D470&amp;"-"&amp;E470&amp;"-Pos2",'Shooter-Squad Assignment'!$Y:$Y,0)),""),"")))</f>
        <v/>
      </c>
      <c r="I470" s="73" t="str">
        <f>IF(ISBLANK(H470),"",IFERROR(INDEX('Tournament List'!$D:$D,MATCH(H470,'Tournament List'!$A:$A,0)),""))</f>
        <v/>
      </c>
      <c r="J470" s="98" t="str">
        <f>IF(E470="Skeet",IFERROR(INDEX('Shooter-Squad Assignment'!$A:$A,MATCH(C470&amp;"-"&amp;D470&amp;"-"&amp;E470&amp;"-Pos3",'Shooter-Squad Assignment'!#REF!,0)),""),IF(E470="Trap",IFERROR(INDEX('Shooter-Squad Assignment'!$A:$A,MATCH(C470&amp;"-"&amp;D470&amp;"-"&amp;E470&amp;"-Pos3",'Shooter-Squad Assignment'!$V:$V,0)),""),IF(E470="Sporting Clays",IFERROR(INDEX('Shooter-Squad Assignment'!$A:$A,MATCH(C470&amp;"-"&amp;D470&amp;"-"&amp;E470&amp;"-Pos3",'Shooter-Squad Assignment'!$Y:$Y,0)),""),"")))</f>
        <v/>
      </c>
      <c r="K470" s="73" t="str">
        <f>IF(ISBLANK(J470),"",IFERROR(INDEX('Tournament List'!$D:$D,MATCH(J470,'Tournament List'!$A:$A,0)),""))</f>
        <v/>
      </c>
      <c r="L470" s="98" t="str">
        <f>IF(E470="Skeet",IFERROR(INDEX('Shooter-Squad Assignment'!$A:$A,MATCH(C470&amp;"-"&amp;D470&amp;"-"&amp;E470&amp;"-Pos4",'Shooter-Squad Assignment'!#REF!,0)),""),IF(E470="Trap",IFERROR(INDEX('Shooter-Squad Assignment'!$A:$A,MATCH(C470&amp;"-"&amp;D470&amp;"-"&amp;E470&amp;"-Pos4",'Shooter-Squad Assignment'!$V:$V,0)),""),IF(E470="Sporting Clays",IFERROR(INDEX('Shooter-Squad Assignment'!$A:$A,MATCH(C470&amp;"-"&amp;D470&amp;"-"&amp;E470&amp;"-Pos4",'Shooter-Squad Assignment'!$Y:$Y,0)),""),"")))</f>
        <v/>
      </c>
      <c r="M470" s="73" t="str">
        <f>IF(ISBLANK(L470),"",IFERROR(INDEX('Tournament List'!$D:$D,MATCH(L470,'Tournament List'!$A:$A,0)),""))</f>
        <v/>
      </c>
      <c r="N470" s="98" t="str">
        <f>IF(E470="Skeet",IFERROR(INDEX('Shooter-Squad Assignment'!$A:$A,MATCH(C470&amp;"-"&amp;D470&amp;"-"&amp;E470&amp;"-Pos5",'Shooter-Squad Assignment'!#REF!,0)),""),IF(E470="Trap",IFERROR(INDEX('Shooter-Squad Assignment'!$A:$A,MATCH(C470&amp;"-"&amp;D470&amp;"-"&amp;E470&amp;"-Pos5",'Shooter-Squad Assignment'!$V:$V,0)),""),IF(E470="Sporting Clays",IFERROR(INDEX('Shooter-Squad Assignment'!$A:$A,MATCH(C470&amp;"-"&amp;D470&amp;"-"&amp;E470&amp;"-Pos5",'Shooter-Squad Assignment'!$Y:$Y,0)),""),"")))</f>
        <v/>
      </c>
      <c r="O470" s="80" t="str">
        <f>IF(ISBLANK(N470),"",IFERROR(INDEX('Tournament List'!$D:$D,MATCH(N470,'Tournament List'!$A:$A,0)),""))</f>
        <v/>
      </c>
    </row>
    <row r="471" spans="1:15" x14ac:dyDescent="0.3">
      <c r="A471" s="79">
        <v>479</v>
      </c>
      <c r="B471" s="73" t="str">
        <f t="shared" si="7"/>
        <v>-Collegiate 2-Sporting Clays</v>
      </c>
      <c r="C471" s="73"/>
      <c r="D471" s="73" t="s">
        <v>350</v>
      </c>
      <c r="E471" s="73" t="s">
        <v>148</v>
      </c>
      <c r="F471" s="98" t="str">
        <f>IF(E471="Skeet",IFERROR(INDEX('Shooter-Squad Assignment'!$A:$A,MATCH(C471&amp;"-"&amp;D471&amp;"-"&amp;E471&amp;"-Pos1",'Shooter-Squad Assignment'!#REF!,0)),""),IF(E471="Trap",IFERROR(INDEX('Shooter-Squad Assignment'!$A:$A,MATCH(C471&amp;"-"&amp;D471&amp;"-"&amp;E471&amp;"-Pos1",'Shooter-Squad Assignment'!$V:$V,0)),""),IF(E471="Sporting Clays",IFERROR(INDEX('Shooter-Squad Assignment'!$A:$A,MATCH(C471&amp;"-"&amp;D471&amp;"-"&amp;E471&amp;"-Pos1",'Shooter-Squad Assignment'!$Y:$Y,0)),""),"")))</f>
        <v/>
      </c>
      <c r="G471" s="73" t="str">
        <f>IF(ISBLANK(F471),"",IFERROR(INDEX('Tournament List'!$D:$D,MATCH(F471,'Tournament List'!$A:$A,0)),""))</f>
        <v/>
      </c>
      <c r="H471" s="98" t="str">
        <f>IF(E471="Skeet",IFERROR(INDEX('Shooter-Squad Assignment'!$A:$A,MATCH(C471&amp;"-"&amp;D471&amp;"-"&amp;E471&amp;"-Pos2",'Shooter-Squad Assignment'!#REF!,0)),""),IF(E471="Trap",IFERROR(INDEX('Shooter-Squad Assignment'!$A:$A,MATCH(C471&amp;"-"&amp;D471&amp;"-"&amp;E471&amp;"-Pos2",'Shooter-Squad Assignment'!$V:$V,0)),""),IF(E471="Sporting Clays",IFERROR(INDEX('Shooter-Squad Assignment'!$A:$A,MATCH(C471&amp;"-"&amp;D471&amp;"-"&amp;E471&amp;"-Pos2",'Shooter-Squad Assignment'!$Y:$Y,0)),""),"")))</f>
        <v/>
      </c>
      <c r="I471" s="73" t="str">
        <f>IF(ISBLANK(H471),"",IFERROR(INDEX('Tournament List'!$D:$D,MATCH(H471,'Tournament List'!$A:$A,0)),""))</f>
        <v/>
      </c>
      <c r="J471" s="98" t="str">
        <f>IF(E471="Skeet",IFERROR(INDEX('Shooter-Squad Assignment'!$A:$A,MATCH(C471&amp;"-"&amp;D471&amp;"-"&amp;E471&amp;"-Pos3",'Shooter-Squad Assignment'!#REF!,0)),""),IF(E471="Trap",IFERROR(INDEX('Shooter-Squad Assignment'!$A:$A,MATCH(C471&amp;"-"&amp;D471&amp;"-"&amp;E471&amp;"-Pos3",'Shooter-Squad Assignment'!$V:$V,0)),""),IF(E471="Sporting Clays",IFERROR(INDEX('Shooter-Squad Assignment'!$A:$A,MATCH(C471&amp;"-"&amp;D471&amp;"-"&amp;E471&amp;"-Pos3",'Shooter-Squad Assignment'!$Y:$Y,0)),""),"")))</f>
        <v/>
      </c>
      <c r="K471" s="73" t="str">
        <f>IF(ISBLANK(J471),"",IFERROR(INDEX('Tournament List'!$D:$D,MATCH(J471,'Tournament List'!$A:$A,0)),""))</f>
        <v/>
      </c>
      <c r="L471" s="98" t="str">
        <f>IF(E471="Skeet",IFERROR(INDEX('Shooter-Squad Assignment'!$A:$A,MATCH(C471&amp;"-"&amp;D471&amp;"-"&amp;E471&amp;"-Pos4",'Shooter-Squad Assignment'!#REF!,0)),""),IF(E471="Trap",IFERROR(INDEX('Shooter-Squad Assignment'!$A:$A,MATCH(C471&amp;"-"&amp;D471&amp;"-"&amp;E471&amp;"-Pos4",'Shooter-Squad Assignment'!$V:$V,0)),""),IF(E471="Sporting Clays",IFERROR(INDEX('Shooter-Squad Assignment'!$A:$A,MATCH(C471&amp;"-"&amp;D471&amp;"-"&amp;E471&amp;"-Pos4",'Shooter-Squad Assignment'!$Y:$Y,0)),""),"")))</f>
        <v/>
      </c>
      <c r="M471" s="73" t="str">
        <f>IF(ISBLANK(L471),"",IFERROR(INDEX('Tournament List'!$D:$D,MATCH(L471,'Tournament List'!$A:$A,0)),""))</f>
        <v/>
      </c>
      <c r="N471" s="98" t="str">
        <f>IF(E471="Skeet",IFERROR(INDEX('Shooter-Squad Assignment'!$A:$A,MATCH(C471&amp;"-"&amp;D471&amp;"-"&amp;E471&amp;"-Pos5",'Shooter-Squad Assignment'!#REF!,0)),""),IF(E471="Trap",IFERROR(INDEX('Shooter-Squad Assignment'!$A:$A,MATCH(C471&amp;"-"&amp;D471&amp;"-"&amp;E471&amp;"-Pos5",'Shooter-Squad Assignment'!$V:$V,0)),""),IF(E471="Sporting Clays",IFERROR(INDEX('Shooter-Squad Assignment'!$A:$A,MATCH(C471&amp;"-"&amp;D471&amp;"-"&amp;E471&amp;"-Pos5",'Shooter-Squad Assignment'!$Y:$Y,0)),""),"")))</f>
        <v/>
      </c>
      <c r="O471" s="80" t="str">
        <f>IF(ISBLANK(N471),"",IFERROR(INDEX('Tournament List'!$D:$D,MATCH(N471,'Tournament List'!$A:$A,0)),""))</f>
        <v/>
      </c>
    </row>
    <row r="472" spans="1:15" x14ac:dyDescent="0.3">
      <c r="A472" s="79">
        <v>480</v>
      </c>
      <c r="B472" s="73" t="str">
        <f t="shared" si="7"/>
        <v>-Collegiate 3-Sporting Clays</v>
      </c>
      <c r="C472" s="73"/>
      <c r="D472" s="73" t="s">
        <v>356</v>
      </c>
      <c r="E472" s="73" t="s">
        <v>148</v>
      </c>
      <c r="F472" s="98" t="str">
        <f>IF(E472="Skeet",IFERROR(INDEX('Shooter-Squad Assignment'!$A:$A,MATCH(C472&amp;"-"&amp;D472&amp;"-"&amp;E472&amp;"-Pos1",'Shooter-Squad Assignment'!#REF!,0)),""),IF(E472="Trap",IFERROR(INDEX('Shooter-Squad Assignment'!$A:$A,MATCH(C472&amp;"-"&amp;D472&amp;"-"&amp;E472&amp;"-Pos1",'Shooter-Squad Assignment'!$V:$V,0)),""),IF(E472="Sporting Clays",IFERROR(INDEX('Shooter-Squad Assignment'!$A:$A,MATCH(C472&amp;"-"&amp;D472&amp;"-"&amp;E472&amp;"-Pos1",'Shooter-Squad Assignment'!$Y:$Y,0)),""),"")))</f>
        <v/>
      </c>
      <c r="G472" s="73" t="str">
        <f>IF(ISBLANK(F472),"",IFERROR(INDEX('Tournament List'!$D:$D,MATCH(F472,'Tournament List'!$A:$A,0)),""))</f>
        <v/>
      </c>
      <c r="H472" s="98" t="str">
        <f>IF(E472="Skeet",IFERROR(INDEX('Shooter-Squad Assignment'!$A:$A,MATCH(C472&amp;"-"&amp;D472&amp;"-"&amp;E472&amp;"-Pos2",'Shooter-Squad Assignment'!#REF!,0)),""),IF(E472="Trap",IFERROR(INDEX('Shooter-Squad Assignment'!$A:$A,MATCH(C472&amp;"-"&amp;D472&amp;"-"&amp;E472&amp;"-Pos2",'Shooter-Squad Assignment'!$V:$V,0)),""),IF(E472="Sporting Clays",IFERROR(INDEX('Shooter-Squad Assignment'!$A:$A,MATCH(C472&amp;"-"&amp;D472&amp;"-"&amp;E472&amp;"-Pos2",'Shooter-Squad Assignment'!$Y:$Y,0)),""),"")))</f>
        <v/>
      </c>
      <c r="I472" s="73" t="str">
        <f>IF(ISBLANK(H472),"",IFERROR(INDEX('Tournament List'!$D:$D,MATCH(H472,'Tournament List'!$A:$A,0)),""))</f>
        <v/>
      </c>
      <c r="J472" s="98" t="str">
        <f>IF(E472="Skeet",IFERROR(INDEX('Shooter-Squad Assignment'!$A:$A,MATCH(C472&amp;"-"&amp;D472&amp;"-"&amp;E472&amp;"-Pos3",'Shooter-Squad Assignment'!#REF!,0)),""),IF(E472="Trap",IFERROR(INDEX('Shooter-Squad Assignment'!$A:$A,MATCH(C472&amp;"-"&amp;D472&amp;"-"&amp;E472&amp;"-Pos3",'Shooter-Squad Assignment'!$V:$V,0)),""),IF(E472="Sporting Clays",IFERROR(INDEX('Shooter-Squad Assignment'!$A:$A,MATCH(C472&amp;"-"&amp;D472&amp;"-"&amp;E472&amp;"-Pos3",'Shooter-Squad Assignment'!$Y:$Y,0)),""),"")))</f>
        <v/>
      </c>
      <c r="K472" s="73" t="str">
        <f>IF(ISBLANK(J472),"",IFERROR(INDEX('Tournament List'!$D:$D,MATCH(J472,'Tournament List'!$A:$A,0)),""))</f>
        <v/>
      </c>
      <c r="L472" s="98" t="str">
        <f>IF(E472="Skeet",IFERROR(INDEX('Shooter-Squad Assignment'!$A:$A,MATCH(C472&amp;"-"&amp;D472&amp;"-"&amp;E472&amp;"-Pos4",'Shooter-Squad Assignment'!#REF!,0)),""),IF(E472="Trap",IFERROR(INDEX('Shooter-Squad Assignment'!$A:$A,MATCH(C472&amp;"-"&amp;D472&amp;"-"&amp;E472&amp;"-Pos4",'Shooter-Squad Assignment'!$V:$V,0)),""),IF(E472="Sporting Clays",IFERROR(INDEX('Shooter-Squad Assignment'!$A:$A,MATCH(C472&amp;"-"&amp;D472&amp;"-"&amp;E472&amp;"-Pos4",'Shooter-Squad Assignment'!$Y:$Y,0)),""),"")))</f>
        <v/>
      </c>
      <c r="M472" s="73" t="str">
        <f>IF(ISBLANK(L472),"",IFERROR(INDEX('Tournament List'!$D:$D,MATCH(L472,'Tournament List'!$A:$A,0)),""))</f>
        <v/>
      </c>
      <c r="N472" s="98" t="str">
        <f>IF(E472="Skeet",IFERROR(INDEX('Shooter-Squad Assignment'!$A:$A,MATCH(C472&amp;"-"&amp;D472&amp;"-"&amp;E472&amp;"-Pos5",'Shooter-Squad Assignment'!#REF!,0)),""),IF(E472="Trap",IFERROR(INDEX('Shooter-Squad Assignment'!$A:$A,MATCH(C472&amp;"-"&amp;D472&amp;"-"&amp;E472&amp;"-Pos5",'Shooter-Squad Assignment'!$V:$V,0)),""),IF(E472="Sporting Clays",IFERROR(INDEX('Shooter-Squad Assignment'!$A:$A,MATCH(C472&amp;"-"&amp;D472&amp;"-"&amp;E472&amp;"-Pos5",'Shooter-Squad Assignment'!$Y:$Y,0)),""),"")))</f>
        <v/>
      </c>
      <c r="O472" s="80" t="str">
        <f>IF(ISBLANK(N472),"",IFERROR(INDEX('Tournament List'!$D:$D,MATCH(N472,'Tournament List'!$A:$A,0)),""))</f>
        <v/>
      </c>
    </row>
    <row r="473" spans="1:15" x14ac:dyDescent="0.3">
      <c r="A473" s="79">
        <v>481</v>
      </c>
      <c r="B473" s="73" t="str">
        <f t="shared" si="7"/>
        <v>-Intermediate 1-Sporting Clays</v>
      </c>
      <c r="C473" s="73"/>
      <c r="D473" s="73" t="s">
        <v>340</v>
      </c>
      <c r="E473" s="73" t="s">
        <v>148</v>
      </c>
      <c r="F473" s="98" t="str">
        <f>IF(E473="Skeet",IFERROR(INDEX('Shooter-Squad Assignment'!$A:$A,MATCH(C473&amp;"-"&amp;D473&amp;"-"&amp;E473&amp;"-Pos1",'Shooter-Squad Assignment'!#REF!,0)),""),IF(E473="Trap",IFERROR(INDEX('Shooter-Squad Assignment'!$A:$A,MATCH(C473&amp;"-"&amp;D473&amp;"-"&amp;E473&amp;"-Pos1",'Shooter-Squad Assignment'!$V:$V,0)),""),IF(E473="Sporting Clays",IFERROR(INDEX('Shooter-Squad Assignment'!$A:$A,MATCH(C473&amp;"-"&amp;D473&amp;"-"&amp;E473&amp;"-Pos1",'Shooter-Squad Assignment'!$Y:$Y,0)),""),"")))</f>
        <v/>
      </c>
      <c r="G473" s="73" t="str">
        <f>IF(ISBLANK(F473),"",IFERROR(INDEX('Tournament List'!$D:$D,MATCH(F473,'Tournament List'!$A:$A,0)),""))</f>
        <v/>
      </c>
      <c r="H473" s="98" t="str">
        <f>IF(E473="Skeet",IFERROR(INDEX('Shooter-Squad Assignment'!$A:$A,MATCH(C473&amp;"-"&amp;D473&amp;"-"&amp;E473&amp;"-Pos2",'Shooter-Squad Assignment'!#REF!,0)),""),IF(E473="Trap",IFERROR(INDEX('Shooter-Squad Assignment'!$A:$A,MATCH(C473&amp;"-"&amp;D473&amp;"-"&amp;E473&amp;"-Pos2",'Shooter-Squad Assignment'!$V:$V,0)),""),IF(E473="Sporting Clays",IFERROR(INDEX('Shooter-Squad Assignment'!$A:$A,MATCH(C473&amp;"-"&amp;D473&amp;"-"&amp;E473&amp;"-Pos2",'Shooter-Squad Assignment'!$Y:$Y,0)),""),"")))</f>
        <v/>
      </c>
      <c r="I473" s="73" t="str">
        <f>IF(ISBLANK(H473),"",IFERROR(INDEX('Tournament List'!$D:$D,MATCH(H473,'Tournament List'!$A:$A,0)),""))</f>
        <v/>
      </c>
      <c r="J473" s="98" t="str">
        <f>IF(E473="Skeet",IFERROR(INDEX('Shooter-Squad Assignment'!$A:$A,MATCH(C473&amp;"-"&amp;D473&amp;"-"&amp;E473&amp;"-Pos3",'Shooter-Squad Assignment'!#REF!,0)),""),IF(E473="Trap",IFERROR(INDEX('Shooter-Squad Assignment'!$A:$A,MATCH(C473&amp;"-"&amp;D473&amp;"-"&amp;E473&amp;"-Pos3",'Shooter-Squad Assignment'!$V:$V,0)),""),IF(E473="Sporting Clays",IFERROR(INDEX('Shooter-Squad Assignment'!$A:$A,MATCH(C473&amp;"-"&amp;D473&amp;"-"&amp;E473&amp;"-Pos3",'Shooter-Squad Assignment'!$Y:$Y,0)),""),"")))</f>
        <v/>
      </c>
      <c r="K473" s="73" t="str">
        <f>IF(ISBLANK(J473),"",IFERROR(INDEX('Tournament List'!$D:$D,MATCH(J473,'Tournament List'!$A:$A,0)),""))</f>
        <v/>
      </c>
      <c r="L473" s="98" t="str">
        <f>IF(E473="Skeet",IFERROR(INDEX('Shooter-Squad Assignment'!$A:$A,MATCH(C473&amp;"-"&amp;D473&amp;"-"&amp;E473&amp;"-Pos4",'Shooter-Squad Assignment'!#REF!,0)),""),IF(E473="Trap",IFERROR(INDEX('Shooter-Squad Assignment'!$A:$A,MATCH(C473&amp;"-"&amp;D473&amp;"-"&amp;E473&amp;"-Pos4",'Shooter-Squad Assignment'!$V:$V,0)),""),IF(E473="Sporting Clays",IFERROR(INDEX('Shooter-Squad Assignment'!$A:$A,MATCH(C473&amp;"-"&amp;D473&amp;"-"&amp;E473&amp;"-Pos4",'Shooter-Squad Assignment'!$Y:$Y,0)),""),"")))</f>
        <v/>
      </c>
      <c r="M473" s="73" t="str">
        <f>IF(ISBLANK(L473),"",IFERROR(INDEX('Tournament List'!$D:$D,MATCH(L473,'Tournament List'!$A:$A,0)),""))</f>
        <v/>
      </c>
      <c r="N473" s="98" t="str">
        <f>IF(E473="Skeet",IFERROR(INDEX('Shooter-Squad Assignment'!$A:$A,MATCH(C473&amp;"-"&amp;D473&amp;"-"&amp;E473&amp;"-Pos5",'Shooter-Squad Assignment'!#REF!,0)),""),IF(E473="Trap",IFERROR(INDEX('Shooter-Squad Assignment'!$A:$A,MATCH(C473&amp;"-"&amp;D473&amp;"-"&amp;E473&amp;"-Pos5",'Shooter-Squad Assignment'!$V:$V,0)),""),IF(E473="Sporting Clays",IFERROR(INDEX('Shooter-Squad Assignment'!$A:$A,MATCH(C473&amp;"-"&amp;D473&amp;"-"&amp;E473&amp;"-Pos5",'Shooter-Squad Assignment'!$Y:$Y,0)),""),"")))</f>
        <v/>
      </c>
      <c r="O473" s="80" t="str">
        <f>IF(ISBLANK(N473),"",IFERROR(INDEX('Tournament List'!$D:$D,MATCH(N473,'Tournament List'!$A:$A,0)),""))</f>
        <v/>
      </c>
    </row>
    <row r="474" spans="1:15" x14ac:dyDescent="0.3">
      <c r="A474" s="79">
        <v>482</v>
      </c>
      <c r="B474" s="73" t="str">
        <f t="shared" si="7"/>
        <v>-Intermediate 2-Sporting Clays</v>
      </c>
      <c r="C474" s="73"/>
      <c r="D474" s="73" t="s">
        <v>346</v>
      </c>
      <c r="E474" s="73" t="s">
        <v>148</v>
      </c>
      <c r="F474" s="98" t="str">
        <f>IF(E474="Skeet",IFERROR(INDEX('Shooter-Squad Assignment'!$A:$A,MATCH(C474&amp;"-"&amp;D474&amp;"-"&amp;E474&amp;"-Pos1",'Shooter-Squad Assignment'!#REF!,0)),""),IF(E474="Trap",IFERROR(INDEX('Shooter-Squad Assignment'!$A:$A,MATCH(C474&amp;"-"&amp;D474&amp;"-"&amp;E474&amp;"-Pos1",'Shooter-Squad Assignment'!$V:$V,0)),""),IF(E474="Sporting Clays",IFERROR(INDEX('Shooter-Squad Assignment'!$A:$A,MATCH(C474&amp;"-"&amp;D474&amp;"-"&amp;E474&amp;"-Pos1",'Shooter-Squad Assignment'!$Y:$Y,0)),""),"")))</f>
        <v/>
      </c>
      <c r="G474" s="73" t="str">
        <f>IF(ISBLANK(F474),"",IFERROR(INDEX('Tournament List'!$D:$D,MATCH(F474,'Tournament List'!$A:$A,0)),""))</f>
        <v/>
      </c>
      <c r="H474" s="98" t="str">
        <f>IF(E474="Skeet",IFERROR(INDEX('Shooter-Squad Assignment'!$A:$A,MATCH(C474&amp;"-"&amp;D474&amp;"-"&amp;E474&amp;"-Pos2",'Shooter-Squad Assignment'!#REF!,0)),""),IF(E474="Trap",IFERROR(INDEX('Shooter-Squad Assignment'!$A:$A,MATCH(C474&amp;"-"&amp;D474&amp;"-"&amp;E474&amp;"-Pos2",'Shooter-Squad Assignment'!$V:$V,0)),""),IF(E474="Sporting Clays",IFERROR(INDEX('Shooter-Squad Assignment'!$A:$A,MATCH(C474&amp;"-"&amp;D474&amp;"-"&amp;E474&amp;"-Pos2",'Shooter-Squad Assignment'!$Y:$Y,0)),""),"")))</f>
        <v/>
      </c>
      <c r="I474" s="73" t="str">
        <f>IF(ISBLANK(H474),"",IFERROR(INDEX('Tournament List'!$D:$D,MATCH(H474,'Tournament List'!$A:$A,0)),""))</f>
        <v/>
      </c>
      <c r="J474" s="98" t="str">
        <f>IF(E474="Skeet",IFERROR(INDEX('Shooter-Squad Assignment'!$A:$A,MATCH(C474&amp;"-"&amp;D474&amp;"-"&amp;E474&amp;"-Pos3",'Shooter-Squad Assignment'!#REF!,0)),""),IF(E474="Trap",IFERROR(INDEX('Shooter-Squad Assignment'!$A:$A,MATCH(C474&amp;"-"&amp;D474&amp;"-"&amp;E474&amp;"-Pos3",'Shooter-Squad Assignment'!$V:$V,0)),""),IF(E474="Sporting Clays",IFERROR(INDEX('Shooter-Squad Assignment'!$A:$A,MATCH(C474&amp;"-"&amp;D474&amp;"-"&amp;E474&amp;"-Pos3",'Shooter-Squad Assignment'!$Y:$Y,0)),""),"")))</f>
        <v/>
      </c>
      <c r="K474" s="73" t="str">
        <f>IF(ISBLANK(J474),"",IFERROR(INDEX('Tournament List'!$D:$D,MATCH(J474,'Tournament List'!$A:$A,0)),""))</f>
        <v/>
      </c>
      <c r="L474" s="98" t="str">
        <f>IF(E474="Skeet",IFERROR(INDEX('Shooter-Squad Assignment'!$A:$A,MATCH(C474&amp;"-"&amp;D474&amp;"-"&amp;E474&amp;"-Pos4",'Shooter-Squad Assignment'!#REF!,0)),""),IF(E474="Trap",IFERROR(INDEX('Shooter-Squad Assignment'!$A:$A,MATCH(C474&amp;"-"&amp;D474&amp;"-"&amp;E474&amp;"-Pos4",'Shooter-Squad Assignment'!$V:$V,0)),""),IF(E474="Sporting Clays",IFERROR(INDEX('Shooter-Squad Assignment'!$A:$A,MATCH(C474&amp;"-"&amp;D474&amp;"-"&amp;E474&amp;"-Pos4",'Shooter-Squad Assignment'!$Y:$Y,0)),""),"")))</f>
        <v/>
      </c>
      <c r="M474" s="73" t="str">
        <f>IF(ISBLANK(L474),"",IFERROR(INDEX('Tournament List'!$D:$D,MATCH(L474,'Tournament List'!$A:$A,0)),""))</f>
        <v/>
      </c>
      <c r="N474" s="98" t="str">
        <f>IF(E474="Skeet",IFERROR(INDEX('Shooter-Squad Assignment'!$A:$A,MATCH(C474&amp;"-"&amp;D474&amp;"-"&amp;E474&amp;"-Pos5",'Shooter-Squad Assignment'!#REF!,0)),""),IF(E474="Trap",IFERROR(INDEX('Shooter-Squad Assignment'!$A:$A,MATCH(C474&amp;"-"&amp;D474&amp;"-"&amp;E474&amp;"-Pos5",'Shooter-Squad Assignment'!$V:$V,0)),""),IF(E474="Sporting Clays",IFERROR(INDEX('Shooter-Squad Assignment'!$A:$A,MATCH(C474&amp;"-"&amp;D474&amp;"-"&amp;E474&amp;"-Pos5",'Shooter-Squad Assignment'!$Y:$Y,0)),""),"")))</f>
        <v/>
      </c>
      <c r="O474" s="80" t="str">
        <f>IF(ISBLANK(N474),"",IFERROR(INDEX('Tournament List'!$D:$D,MATCH(N474,'Tournament List'!$A:$A,0)),""))</f>
        <v/>
      </c>
    </row>
    <row r="475" spans="1:15" x14ac:dyDescent="0.3">
      <c r="A475" s="79">
        <v>483</v>
      </c>
      <c r="B475" s="73" t="str">
        <f t="shared" si="7"/>
        <v>-Intermediate 3-Sporting Clays</v>
      </c>
      <c r="C475" s="73"/>
      <c r="D475" s="73" t="s">
        <v>352</v>
      </c>
      <c r="E475" s="73" t="s">
        <v>148</v>
      </c>
      <c r="F475" s="98" t="str">
        <f>IF(E475="Skeet",IFERROR(INDEX('Shooter-Squad Assignment'!$A:$A,MATCH(C475&amp;"-"&amp;D475&amp;"-"&amp;E475&amp;"-Pos1",'Shooter-Squad Assignment'!#REF!,0)),""),IF(E475="Trap",IFERROR(INDEX('Shooter-Squad Assignment'!$A:$A,MATCH(C475&amp;"-"&amp;D475&amp;"-"&amp;E475&amp;"-Pos1",'Shooter-Squad Assignment'!$V:$V,0)),""),IF(E475="Sporting Clays",IFERROR(INDEX('Shooter-Squad Assignment'!$A:$A,MATCH(C475&amp;"-"&amp;D475&amp;"-"&amp;E475&amp;"-Pos1",'Shooter-Squad Assignment'!$Y:$Y,0)),""),"")))</f>
        <v/>
      </c>
      <c r="G475" s="73" t="str">
        <f>IF(ISBLANK(F475),"",IFERROR(INDEX('Tournament List'!$D:$D,MATCH(F475,'Tournament List'!$A:$A,0)),""))</f>
        <v/>
      </c>
      <c r="H475" s="98" t="str">
        <f>IF(E475="Skeet",IFERROR(INDEX('Shooter-Squad Assignment'!$A:$A,MATCH(C475&amp;"-"&amp;D475&amp;"-"&amp;E475&amp;"-Pos2",'Shooter-Squad Assignment'!#REF!,0)),""),IF(E475="Trap",IFERROR(INDEX('Shooter-Squad Assignment'!$A:$A,MATCH(C475&amp;"-"&amp;D475&amp;"-"&amp;E475&amp;"-Pos2",'Shooter-Squad Assignment'!$V:$V,0)),""),IF(E475="Sporting Clays",IFERROR(INDEX('Shooter-Squad Assignment'!$A:$A,MATCH(C475&amp;"-"&amp;D475&amp;"-"&amp;E475&amp;"-Pos2",'Shooter-Squad Assignment'!$Y:$Y,0)),""),"")))</f>
        <v/>
      </c>
      <c r="I475" s="73" t="str">
        <f>IF(ISBLANK(H475),"",IFERROR(INDEX('Tournament List'!$D:$D,MATCH(H475,'Tournament List'!$A:$A,0)),""))</f>
        <v/>
      </c>
      <c r="J475" s="98" t="str">
        <f>IF(E475="Skeet",IFERROR(INDEX('Shooter-Squad Assignment'!$A:$A,MATCH(C475&amp;"-"&amp;D475&amp;"-"&amp;E475&amp;"-Pos3",'Shooter-Squad Assignment'!#REF!,0)),""),IF(E475="Trap",IFERROR(INDEX('Shooter-Squad Assignment'!$A:$A,MATCH(C475&amp;"-"&amp;D475&amp;"-"&amp;E475&amp;"-Pos3",'Shooter-Squad Assignment'!$V:$V,0)),""),IF(E475="Sporting Clays",IFERROR(INDEX('Shooter-Squad Assignment'!$A:$A,MATCH(C475&amp;"-"&amp;D475&amp;"-"&amp;E475&amp;"-Pos3",'Shooter-Squad Assignment'!$Y:$Y,0)),""),"")))</f>
        <v/>
      </c>
      <c r="K475" s="73" t="str">
        <f>IF(ISBLANK(J475),"",IFERROR(INDEX('Tournament List'!$D:$D,MATCH(J475,'Tournament List'!$A:$A,0)),""))</f>
        <v/>
      </c>
      <c r="L475" s="98" t="str">
        <f>IF(E475="Skeet",IFERROR(INDEX('Shooter-Squad Assignment'!$A:$A,MATCH(C475&amp;"-"&amp;D475&amp;"-"&amp;E475&amp;"-Pos4",'Shooter-Squad Assignment'!#REF!,0)),""),IF(E475="Trap",IFERROR(INDEX('Shooter-Squad Assignment'!$A:$A,MATCH(C475&amp;"-"&amp;D475&amp;"-"&amp;E475&amp;"-Pos4",'Shooter-Squad Assignment'!$V:$V,0)),""),IF(E475="Sporting Clays",IFERROR(INDEX('Shooter-Squad Assignment'!$A:$A,MATCH(C475&amp;"-"&amp;D475&amp;"-"&amp;E475&amp;"-Pos4",'Shooter-Squad Assignment'!$Y:$Y,0)),""),"")))</f>
        <v/>
      </c>
      <c r="M475" s="73" t="str">
        <f>IF(ISBLANK(L475),"",IFERROR(INDEX('Tournament List'!$D:$D,MATCH(L475,'Tournament List'!$A:$A,0)),""))</f>
        <v/>
      </c>
      <c r="N475" s="98" t="str">
        <f>IF(E475="Skeet",IFERROR(INDEX('Shooter-Squad Assignment'!$A:$A,MATCH(C475&amp;"-"&amp;D475&amp;"-"&amp;E475&amp;"-Pos5",'Shooter-Squad Assignment'!#REF!,0)),""),IF(E475="Trap",IFERROR(INDEX('Shooter-Squad Assignment'!$A:$A,MATCH(C475&amp;"-"&amp;D475&amp;"-"&amp;E475&amp;"-Pos5",'Shooter-Squad Assignment'!$V:$V,0)),""),IF(E475="Sporting Clays",IFERROR(INDEX('Shooter-Squad Assignment'!$A:$A,MATCH(C475&amp;"-"&amp;D475&amp;"-"&amp;E475&amp;"-Pos5",'Shooter-Squad Assignment'!$Y:$Y,0)),""),"")))</f>
        <v/>
      </c>
      <c r="O475" s="80" t="str">
        <f>IF(ISBLANK(N475),"",IFERROR(INDEX('Tournament List'!$D:$D,MATCH(N475,'Tournament List'!$A:$A,0)),""))</f>
        <v/>
      </c>
    </row>
    <row r="476" spans="1:15" x14ac:dyDescent="0.3">
      <c r="A476" s="79">
        <v>484</v>
      </c>
      <c r="B476" s="73" t="str">
        <f t="shared" si="7"/>
        <v>-Junior Varsity 1-Sporting Clays</v>
      </c>
      <c r="C476" s="73"/>
      <c r="D476" s="73" t="s">
        <v>341</v>
      </c>
      <c r="E476" s="73" t="s">
        <v>148</v>
      </c>
      <c r="F476" s="98" t="str">
        <f>IF(E476="Skeet",IFERROR(INDEX('Shooter-Squad Assignment'!$A:$A,MATCH(C476&amp;"-"&amp;D476&amp;"-"&amp;E476&amp;"-Pos1",'Shooter-Squad Assignment'!#REF!,0)),""),IF(E476="Trap",IFERROR(INDEX('Shooter-Squad Assignment'!$A:$A,MATCH(C476&amp;"-"&amp;D476&amp;"-"&amp;E476&amp;"-Pos1",'Shooter-Squad Assignment'!$V:$V,0)),""),IF(E476="Sporting Clays",IFERROR(INDEX('Shooter-Squad Assignment'!$A:$A,MATCH(C476&amp;"-"&amp;D476&amp;"-"&amp;E476&amp;"-Pos1",'Shooter-Squad Assignment'!$Y:$Y,0)),""),"")))</f>
        <v/>
      </c>
      <c r="G476" s="73" t="str">
        <f>IF(ISBLANK(F476),"",IFERROR(INDEX('Tournament List'!$D:$D,MATCH(F476,'Tournament List'!$A:$A,0)),""))</f>
        <v/>
      </c>
      <c r="H476" s="98" t="str">
        <f>IF(E476="Skeet",IFERROR(INDEX('Shooter-Squad Assignment'!$A:$A,MATCH(C476&amp;"-"&amp;D476&amp;"-"&amp;E476&amp;"-Pos2",'Shooter-Squad Assignment'!#REF!,0)),""),IF(E476="Trap",IFERROR(INDEX('Shooter-Squad Assignment'!$A:$A,MATCH(C476&amp;"-"&amp;D476&amp;"-"&amp;E476&amp;"-Pos2",'Shooter-Squad Assignment'!$V:$V,0)),""),IF(E476="Sporting Clays",IFERROR(INDEX('Shooter-Squad Assignment'!$A:$A,MATCH(C476&amp;"-"&amp;D476&amp;"-"&amp;E476&amp;"-Pos2",'Shooter-Squad Assignment'!$Y:$Y,0)),""),"")))</f>
        <v/>
      </c>
      <c r="I476" s="73" t="str">
        <f>IF(ISBLANK(H476),"",IFERROR(INDEX('Tournament List'!$D:$D,MATCH(H476,'Tournament List'!$A:$A,0)),""))</f>
        <v/>
      </c>
      <c r="J476" s="98" t="str">
        <f>IF(E476="Skeet",IFERROR(INDEX('Shooter-Squad Assignment'!$A:$A,MATCH(C476&amp;"-"&amp;D476&amp;"-"&amp;E476&amp;"-Pos3",'Shooter-Squad Assignment'!#REF!,0)),""),IF(E476="Trap",IFERROR(INDEX('Shooter-Squad Assignment'!$A:$A,MATCH(C476&amp;"-"&amp;D476&amp;"-"&amp;E476&amp;"-Pos3",'Shooter-Squad Assignment'!$V:$V,0)),""),IF(E476="Sporting Clays",IFERROR(INDEX('Shooter-Squad Assignment'!$A:$A,MATCH(C476&amp;"-"&amp;D476&amp;"-"&amp;E476&amp;"-Pos3",'Shooter-Squad Assignment'!$Y:$Y,0)),""),"")))</f>
        <v/>
      </c>
      <c r="K476" s="73" t="str">
        <f>IF(ISBLANK(J476),"",IFERROR(INDEX('Tournament List'!$D:$D,MATCH(J476,'Tournament List'!$A:$A,0)),""))</f>
        <v/>
      </c>
      <c r="L476" s="98" t="str">
        <f>IF(E476="Skeet",IFERROR(INDEX('Shooter-Squad Assignment'!$A:$A,MATCH(C476&amp;"-"&amp;D476&amp;"-"&amp;E476&amp;"-Pos4",'Shooter-Squad Assignment'!#REF!,0)),""),IF(E476="Trap",IFERROR(INDEX('Shooter-Squad Assignment'!$A:$A,MATCH(C476&amp;"-"&amp;D476&amp;"-"&amp;E476&amp;"-Pos4",'Shooter-Squad Assignment'!$V:$V,0)),""),IF(E476="Sporting Clays",IFERROR(INDEX('Shooter-Squad Assignment'!$A:$A,MATCH(C476&amp;"-"&amp;D476&amp;"-"&amp;E476&amp;"-Pos4",'Shooter-Squad Assignment'!$Y:$Y,0)),""),"")))</f>
        <v/>
      </c>
      <c r="M476" s="73" t="str">
        <f>IF(ISBLANK(L476),"",IFERROR(INDEX('Tournament List'!$D:$D,MATCH(L476,'Tournament List'!$A:$A,0)),""))</f>
        <v/>
      </c>
      <c r="N476" s="98" t="str">
        <f>IF(E476="Skeet",IFERROR(INDEX('Shooter-Squad Assignment'!$A:$A,MATCH(C476&amp;"-"&amp;D476&amp;"-"&amp;E476&amp;"-Pos5",'Shooter-Squad Assignment'!#REF!,0)),""),IF(E476="Trap",IFERROR(INDEX('Shooter-Squad Assignment'!$A:$A,MATCH(C476&amp;"-"&amp;D476&amp;"-"&amp;E476&amp;"-Pos5",'Shooter-Squad Assignment'!$V:$V,0)),""),IF(E476="Sporting Clays",IFERROR(INDEX('Shooter-Squad Assignment'!$A:$A,MATCH(C476&amp;"-"&amp;D476&amp;"-"&amp;E476&amp;"-Pos5",'Shooter-Squad Assignment'!$Y:$Y,0)),""),"")))</f>
        <v/>
      </c>
      <c r="O476" s="80" t="str">
        <f>IF(ISBLANK(N476),"",IFERROR(INDEX('Tournament List'!$D:$D,MATCH(N476,'Tournament List'!$A:$A,0)),""))</f>
        <v/>
      </c>
    </row>
    <row r="477" spans="1:15" x14ac:dyDescent="0.3">
      <c r="A477" s="79">
        <v>485</v>
      </c>
      <c r="B477" s="73" t="str">
        <f t="shared" si="7"/>
        <v>-Junior Varsity 2-Sporting Clays</v>
      </c>
      <c r="C477" s="73"/>
      <c r="D477" s="73" t="s">
        <v>347</v>
      </c>
      <c r="E477" s="73" t="s">
        <v>148</v>
      </c>
      <c r="F477" s="98" t="str">
        <f>IF(E477="Skeet",IFERROR(INDEX('Shooter-Squad Assignment'!$A:$A,MATCH(C477&amp;"-"&amp;D477&amp;"-"&amp;E477&amp;"-Pos1",'Shooter-Squad Assignment'!#REF!,0)),""),IF(E477="Trap",IFERROR(INDEX('Shooter-Squad Assignment'!$A:$A,MATCH(C477&amp;"-"&amp;D477&amp;"-"&amp;E477&amp;"-Pos1",'Shooter-Squad Assignment'!$V:$V,0)),""),IF(E477="Sporting Clays",IFERROR(INDEX('Shooter-Squad Assignment'!$A:$A,MATCH(C477&amp;"-"&amp;D477&amp;"-"&amp;E477&amp;"-Pos1",'Shooter-Squad Assignment'!$Y:$Y,0)),""),"")))</f>
        <v/>
      </c>
      <c r="G477" s="73" t="str">
        <f>IF(ISBLANK(F477),"",IFERROR(INDEX('Tournament List'!$D:$D,MATCH(F477,'Tournament List'!$A:$A,0)),""))</f>
        <v/>
      </c>
      <c r="H477" s="98" t="str">
        <f>IF(E477="Skeet",IFERROR(INDEX('Shooter-Squad Assignment'!$A:$A,MATCH(C477&amp;"-"&amp;D477&amp;"-"&amp;E477&amp;"-Pos2",'Shooter-Squad Assignment'!#REF!,0)),""),IF(E477="Trap",IFERROR(INDEX('Shooter-Squad Assignment'!$A:$A,MATCH(C477&amp;"-"&amp;D477&amp;"-"&amp;E477&amp;"-Pos2",'Shooter-Squad Assignment'!$V:$V,0)),""),IF(E477="Sporting Clays",IFERROR(INDEX('Shooter-Squad Assignment'!$A:$A,MATCH(C477&amp;"-"&amp;D477&amp;"-"&amp;E477&amp;"-Pos2",'Shooter-Squad Assignment'!$Y:$Y,0)),""),"")))</f>
        <v/>
      </c>
      <c r="I477" s="73" t="str">
        <f>IF(ISBLANK(H477),"",IFERROR(INDEX('Tournament List'!$D:$D,MATCH(H477,'Tournament List'!$A:$A,0)),""))</f>
        <v/>
      </c>
      <c r="J477" s="98" t="str">
        <f>IF(E477="Skeet",IFERROR(INDEX('Shooter-Squad Assignment'!$A:$A,MATCH(C477&amp;"-"&amp;D477&amp;"-"&amp;E477&amp;"-Pos3",'Shooter-Squad Assignment'!#REF!,0)),""),IF(E477="Trap",IFERROR(INDEX('Shooter-Squad Assignment'!$A:$A,MATCH(C477&amp;"-"&amp;D477&amp;"-"&amp;E477&amp;"-Pos3",'Shooter-Squad Assignment'!$V:$V,0)),""),IF(E477="Sporting Clays",IFERROR(INDEX('Shooter-Squad Assignment'!$A:$A,MATCH(C477&amp;"-"&amp;D477&amp;"-"&amp;E477&amp;"-Pos3",'Shooter-Squad Assignment'!$Y:$Y,0)),""),"")))</f>
        <v/>
      </c>
      <c r="K477" s="73" t="str">
        <f>IF(ISBLANK(J477),"",IFERROR(INDEX('Tournament List'!$D:$D,MATCH(J477,'Tournament List'!$A:$A,0)),""))</f>
        <v/>
      </c>
      <c r="L477" s="98" t="str">
        <f>IF(E477="Skeet",IFERROR(INDEX('Shooter-Squad Assignment'!$A:$A,MATCH(C477&amp;"-"&amp;D477&amp;"-"&amp;E477&amp;"-Pos4",'Shooter-Squad Assignment'!#REF!,0)),""),IF(E477="Trap",IFERROR(INDEX('Shooter-Squad Assignment'!$A:$A,MATCH(C477&amp;"-"&amp;D477&amp;"-"&amp;E477&amp;"-Pos4",'Shooter-Squad Assignment'!$V:$V,0)),""),IF(E477="Sporting Clays",IFERROR(INDEX('Shooter-Squad Assignment'!$A:$A,MATCH(C477&amp;"-"&amp;D477&amp;"-"&amp;E477&amp;"-Pos4",'Shooter-Squad Assignment'!$Y:$Y,0)),""),"")))</f>
        <v/>
      </c>
      <c r="M477" s="73" t="str">
        <f>IF(ISBLANK(L477),"",IFERROR(INDEX('Tournament List'!$D:$D,MATCH(L477,'Tournament List'!$A:$A,0)),""))</f>
        <v/>
      </c>
      <c r="N477" s="98" t="str">
        <f>IF(E477="Skeet",IFERROR(INDEX('Shooter-Squad Assignment'!$A:$A,MATCH(C477&amp;"-"&amp;D477&amp;"-"&amp;E477&amp;"-Pos5",'Shooter-Squad Assignment'!#REF!,0)),""),IF(E477="Trap",IFERROR(INDEX('Shooter-Squad Assignment'!$A:$A,MATCH(C477&amp;"-"&amp;D477&amp;"-"&amp;E477&amp;"-Pos5",'Shooter-Squad Assignment'!$V:$V,0)),""),IF(E477="Sporting Clays",IFERROR(INDEX('Shooter-Squad Assignment'!$A:$A,MATCH(C477&amp;"-"&amp;D477&amp;"-"&amp;E477&amp;"-Pos5",'Shooter-Squad Assignment'!$Y:$Y,0)),""),"")))</f>
        <v/>
      </c>
      <c r="O477" s="80" t="str">
        <f>IF(ISBLANK(N477),"",IFERROR(INDEX('Tournament List'!$D:$D,MATCH(N477,'Tournament List'!$A:$A,0)),""))</f>
        <v/>
      </c>
    </row>
    <row r="478" spans="1:15" x14ac:dyDescent="0.3">
      <c r="A478" s="79">
        <v>486</v>
      </c>
      <c r="B478" s="73" t="str">
        <f t="shared" si="7"/>
        <v>-Junior Varsity 3-Sporting Clays</v>
      </c>
      <c r="C478" s="73"/>
      <c r="D478" s="73" t="s">
        <v>353</v>
      </c>
      <c r="E478" s="73" t="s">
        <v>148</v>
      </c>
      <c r="F478" s="98" t="str">
        <f>IF(E478="Skeet",IFERROR(INDEX('Shooter-Squad Assignment'!$A:$A,MATCH(C478&amp;"-"&amp;D478&amp;"-"&amp;E478&amp;"-Pos1",'Shooter-Squad Assignment'!#REF!,0)),""),IF(E478="Trap",IFERROR(INDEX('Shooter-Squad Assignment'!$A:$A,MATCH(C478&amp;"-"&amp;D478&amp;"-"&amp;E478&amp;"-Pos1",'Shooter-Squad Assignment'!$V:$V,0)),""),IF(E478="Sporting Clays",IFERROR(INDEX('Shooter-Squad Assignment'!$A:$A,MATCH(C478&amp;"-"&amp;D478&amp;"-"&amp;E478&amp;"-Pos1",'Shooter-Squad Assignment'!$Y:$Y,0)),""),"")))</f>
        <v/>
      </c>
      <c r="G478" s="73" t="str">
        <f>IF(ISBLANK(F478),"",IFERROR(INDEX('Tournament List'!$D:$D,MATCH(F478,'Tournament List'!$A:$A,0)),""))</f>
        <v/>
      </c>
      <c r="H478" s="98" t="str">
        <f>IF(E478="Skeet",IFERROR(INDEX('Shooter-Squad Assignment'!$A:$A,MATCH(C478&amp;"-"&amp;D478&amp;"-"&amp;E478&amp;"-Pos2",'Shooter-Squad Assignment'!#REF!,0)),""),IF(E478="Trap",IFERROR(INDEX('Shooter-Squad Assignment'!$A:$A,MATCH(C478&amp;"-"&amp;D478&amp;"-"&amp;E478&amp;"-Pos2",'Shooter-Squad Assignment'!$V:$V,0)),""),IF(E478="Sporting Clays",IFERROR(INDEX('Shooter-Squad Assignment'!$A:$A,MATCH(C478&amp;"-"&amp;D478&amp;"-"&amp;E478&amp;"-Pos2",'Shooter-Squad Assignment'!$Y:$Y,0)),""),"")))</f>
        <v/>
      </c>
      <c r="I478" s="73" t="str">
        <f>IF(ISBLANK(H478),"",IFERROR(INDEX('Tournament List'!$D:$D,MATCH(H478,'Tournament List'!$A:$A,0)),""))</f>
        <v/>
      </c>
      <c r="J478" s="98" t="str">
        <f>IF(E478="Skeet",IFERROR(INDEX('Shooter-Squad Assignment'!$A:$A,MATCH(C478&amp;"-"&amp;D478&amp;"-"&amp;E478&amp;"-Pos3",'Shooter-Squad Assignment'!#REF!,0)),""),IF(E478="Trap",IFERROR(INDEX('Shooter-Squad Assignment'!$A:$A,MATCH(C478&amp;"-"&amp;D478&amp;"-"&amp;E478&amp;"-Pos3",'Shooter-Squad Assignment'!$V:$V,0)),""),IF(E478="Sporting Clays",IFERROR(INDEX('Shooter-Squad Assignment'!$A:$A,MATCH(C478&amp;"-"&amp;D478&amp;"-"&amp;E478&amp;"-Pos3",'Shooter-Squad Assignment'!$Y:$Y,0)),""),"")))</f>
        <v/>
      </c>
      <c r="K478" s="73" t="str">
        <f>IF(ISBLANK(J478),"",IFERROR(INDEX('Tournament List'!$D:$D,MATCH(J478,'Tournament List'!$A:$A,0)),""))</f>
        <v/>
      </c>
      <c r="L478" s="98" t="str">
        <f>IF(E478="Skeet",IFERROR(INDEX('Shooter-Squad Assignment'!$A:$A,MATCH(C478&amp;"-"&amp;D478&amp;"-"&amp;E478&amp;"-Pos4",'Shooter-Squad Assignment'!#REF!,0)),""),IF(E478="Trap",IFERROR(INDEX('Shooter-Squad Assignment'!$A:$A,MATCH(C478&amp;"-"&amp;D478&amp;"-"&amp;E478&amp;"-Pos4",'Shooter-Squad Assignment'!$V:$V,0)),""),IF(E478="Sporting Clays",IFERROR(INDEX('Shooter-Squad Assignment'!$A:$A,MATCH(C478&amp;"-"&amp;D478&amp;"-"&amp;E478&amp;"-Pos4",'Shooter-Squad Assignment'!$Y:$Y,0)),""),"")))</f>
        <v/>
      </c>
      <c r="M478" s="73" t="str">
        <f>IF(ISBLANK(L478),"",IFERROR(INDEX('Tournament List'!$D:$D,MATCH(L478,'Tournament List'!$A:$A,0)),""))</f>
        <v/>
      </c>
      <c r="N478" s="98" t="str">
        <f>IF(E478="Skeet",IFERROR(INDEX('Shooter-Squad Assignment'!$A:$A,MATCH(C478&amp;"-"&amp;D478&amp;"-"&amp;E478&amp;"-Pos5",'Shooter-Squad Assignment'!#REF!,0)),""),IF(E478="Trap",IFERROR(INDEX('Shooter-Squad Assignment'!$A:$A,MATCH(C478&amp;"-"&amp;D478&amp;"-"&amp;E478&amp;"-Pos5",'Shooter-Squad Assignment'!$V:$V,0)),""),IF(E478="Sporting Clays",IFERROR(INDEX('Shooter-Squad Assignment'!$A:$A,MATCH(C478&amp;"-"&amp;D478&amp;"-"&amp;E478&amp;"-Pos5",'Shooter-Squad Assignment'!$Y:$Y,0)),""),"")))</f>
        <v/>
      </c>
      <c r="O478" s="80" t="str">
        <f>IF(ISBLANK(N478),"",IFERROR(INDEX('Tournament List'!$D:$D,MATCH(N478,'Tournament List'!$A:$A,0)),""))</f>
        <v/>
      </c>
    </row>
    <row r="479" spans="1:15" x14ac:dyDescent="0.3">
      <c r="A479" s="79">
        <v>487</v>
      </c>
      <c r="B479" s="73" t="str">
        <f t="shared" si="7"/>
        <v>-Novice 1-Sporting Clays</v>
      </c>
      <c r="C479" s="73"/>
      <c r="D479" s="73" t="s">
        <v>339</v>
      </c>
      <c r="E479" s="73" t="s">
        <v>148</v>
      </c>
      <c r="F479" s="98" t="str">
        <f>IF(E479="Skeet",IFERROR(INDEX('Shooter-Squad Assignment'!$A:$A,MATCH(C479&amp;"-"&amp;D479&amp;"-"&amp;E479&amp;"-Pos1",'Shooter-Squad Assignment'!#REF!,0)),""),IF(E479="Trap",IFERROR(INDEX('Shooter-Squad Assignment'!$A:$A,MATCH(C479&amp;"-"&amp;D479&amp;"-"&amp;E479&amp;"-Pos1",'Shooter-Squad Assignment'!$V:$V,0)),""),IF(E479="Sporting Clays",IFERROR(INDEX('Shooter-Squad Assignment'!$A:$A,MATCH(C479&amp;"-"&amp;D479&amp;"-"&amp;E479&amp;"-Pos1",'Shooter-Squad Assignment'!$Y:$Y,0)),""),"")))</f>
        <v/>
      </c>
      <c r="G479" s="73" t="str">
        <f>IF(ISBLANK(F479),"",IFERROR(INDEX('Tournament List'!$D:$D,MATCH(F479,'Tournament List'!$A:$A,0)),""))</f>
        <v/>
      </c>
      <c r="H479" s="98" t="str">
        <f>IF(E479="Skeet",IFERROR(INDEX('Shooter-Squad Assignment'!$A:$A,MATCH(C479&amp;"-"&amp;D479&amp;"-"&amp;E479&amp;"-Pos2",'Shooter-Squad Assignment'!#REF!,0)),""),IF(E479="Trap",IFERROR(INDEX('Shooter-Squad Assignment'!$A:$A,MATCH(C479&amp;"-"&amp;D479&amp;"-"&amp;E479&amp;"-Pos2",'Shooter-Squad Assignment'!$V:$V,0)),""),IF(E479="Sporting Clays",IFERROR(INDEX('Shooter-Squad Assignment'!$A:$A,MATCH(C479&amp;"-"&amp;D479&amp;"-"&amp;E479&amp;"-Pos2",'Shooter-Squad Assignment'!$Y:$Y,0)),""),"")))</f>
        <v/>
      </c>
      <c r="I479" s="73" t="str">
        <f>IF(ISBLANK(H479),"",IFERROR(INDEX('Tournament List'!$D:$D,MATCH(H479,'Tournament List'!$A:$A,0)),""))</f>
        <v/>
      </c>
      <c r="J479" s="98" t="str">
        <f>IF(E479="Skeet",IFERROR(INDEX('Shooter-Squad Assignment'!$A:$A,MATCH(C479&amp;"-"&amp;D479&amp;"-"&amp;E479&amp;"-Pos3",'Shooter-Squad Assignment'!#REF!,0)),""),IF(E479="Trap",IFERROR(INDEX('Shooter-Squad Assignment'!$A:$A,MATCH(C479&amp;"-"&amp;D479&amp;"-"&amp;E479&amp;"-Pos3",'Shooter-Squad Assignment'!$V:$V,0)),""),IF(E479="Sporting Clays",IFERROR(INDEX('Shooter-Squad Assignment'!$A:$A,MATCH(C479&amp;"-"&amp;D479&amp;"-"&amp;E479&amp;"-Pos3",'Shooter-Squad Assignment'!$Y:$Y,0)),""),"")))</f>
        <v/>
      </c>
      <c r="K479" s="73" t="str">
        <f>IF(ISBLANK(J479),"",IFERROR(INDEX('Tournament List'!$D:$D,MATCH(J479,'Tournament List'!$A:$A,0)),""))</f>
        <v/>
      </c>
      <c r="L479" s="98" t="str">
        <f>IF(E479="Skeet",IFERROR(INDEX('Shooter-Squad Assignment'!$A:$A,MATCH(C479&amp;"-"&amp;D479&amp;"-"&amp;E479&amp;"-Pos4",'Shooter-Squad Assignment'!#REF!,0)),""),IF(E479="Trap",IFERROR(INDEX('Shooter-Squad Assignment'!$A:$A,MATCH(C479&amp;"-"&amp;D479&amp;"-"&amp;E479&amp;"-Pos4",'Shooter-Squad Assignment'!$V:$V,0)),""),IF(E479="Sporting Clays",IFERROR(INDEX('Shooter-Squad Assignment'!$A:$A,MATCH(C479&amp;"-"&amp;D479&amp;"-"&amp;E479&amp;"-Pos4",'Shooter-Squad Assignment'!$Y:$Y,0)),""),"")))</f>
        <v/>
      </c>
      <c r="M479" s="73" t="str">
        <f>IF(ISBLANK(L479),"",IFERROR(INDEX('Tournament List'!$D:$D,MATCH(L479,'Tournament List'!$A:$A,0)),""))</f>
        <v/>
      </c>
      <c r="N479" s="98" t="str">
        <f>IF(E479="Skeet",IFERROR(INDEX('Shooter-Squad Assignment'!$A:$A,MATCH(C479&amp;"-"&amp;D479&amp;"-"&amp;E479&amp;"-Pos5",'Shooter-Squad Assignment'!#REF!,0)),""),IF(E479="Trap",IFERROR(INDEX('Shooter-Squad Assignment'!$A:$A,MATCH(C479&amp;"-"&amp;D479&amp;"-"&amp;E479&amp;"-Pos5",'Shooter-Squad Assignment'!$V:$V,0)),""),IF(E479="Sporting Clays",IFERROR(INDEX('Shooter-Squad Assignment'!$A:$A,MATCH(C479&amp;"-"&amp;D479&amp;"-"&amp;E479&amp;"-Pos5",'Shooter-Squad Assignment'!$Y:$Y,0)),""),"")))</f>
        <v/>
      </c>
      <c r="O479" s="80" t="str">
        <f>IF(ISBLANK(N479),"",IFERROR(INDEX('Tournament List'!$D:$D,MATCH(N479,'Tournament List'!$A:$A,0)),""))</f>
        <v/>
      </c>
    </row>
    <row r="480" spans="1:15" x14ac:dyDescent="0.3">
      <c r="A480" s="79">
        <v>488</v>
      </c>
      <c r="B480" s="73" t="str">
        <f t="shared" si="7"/>
        <v>-Novice 2-Sporting Clays</v>
      </c>
      <c r="C480" s="73"/>
      <c r="D480" s="73" t="s">
        <v>345</v>
      </c>
      <c r="E480" s="73" t="s">
        <v>148</v>
      </c>
      <c r="F480" s="98" t="str">
        <f>IF(E480="Skeet",IFERROR(INDEX('Shooter-Squad Assignment'!$A:$A,MATCH(C480&amp;"-"&amp;D480&amp;"-"&amp;E480&amp;"-Pos1",'Shooter-Squad Assignment'!#REF!,0)),""),IF(E480="Trap",IFERROR(INDEX('Shooter-Squad Assignment'!$A:$A,MATCH(C480&amp;"-"&amp;D480&amp;"-"&amp;E480&amp;"-Pos1",'Shooter-Squad Assignment'!$V:$V,0)),""),IF(E480="Sporting Clays",IFERROR(INDEX('Shooter-Squad Assignment'!$A:$A,MATCH(C480&amp;"-"&amp;D480&amp;"-"&amp;E480&amp;"-Pos1",'Shooter-Squad Assignment'!$Y:$Y,0)),""),"")))</f>
        <v/>
      </c>
      <c r="G480" s="73" t="str">
        <f>IF(ISBLANK(F480),"",IFERROR(INDEX('Tournament List'!$D:$D,MATCH(F480,'Tournament List'!$A:$A,0)),""))</f>
        <v/>
      </c>
      <c r="H480" s="98" t="str">
        <f>IF(E480="Skeet",IFERROR(INDEX('Shooter-Squad Assignment'!$A:$A,MATCH(C480&amp;"-"&amp;D480&amp;"-"&amp;E480&amp;"-Pos2",'Shooter-Squad Assignment'!#REF!,0)),""),IF(E480="Trap",IFERROR(INDEX('Shooter-Squad Assignment'!$A:$A,MATCH(C480&amp;"-"&amp;D480&amp;"-"&amp;E480&amp;"-Pos2",'Shooter-Squad Assignment'!$V:$V,0)),""),IF(E480="Sporting Clays",IFERROR(INDEX('Shooter-Squad Assignment'!$A:$A,MATCH(C480&amp;"-"&amp;D480&amp;"-"&amp;E480&amp;"-Pos2",'Shooter-Squad Assignment'!$Y:$Y,0)),""),"")))</f>
        <v/>
      </c>
      <c r="I480" s="73" t="str">
        <f>IF(ISBLANK(H480),"",IFERROR(INDEX('Tournament List'!$D:$D,MATCH(H480,'Tournament List'!$A:$A,0)),""))</f>
        <v/>
      </c>
      <c r="J480" s="98" t="str">
        <f>IF(E480="Skeet",IFERROR(INDEX('Shooter-Squad Assignment'!$A:$A,MATCH(C480&amp;"-"&amp;D480&amp;"-"&amp;E480&amp;"-Pos3",'Shooter-Squad Assignment'!#REF!,0)),""),IF(E480="Trap",IFERROR(INDEX('Shooter-Squad Assignment'!$A:$A,MATCH(C480&amp;"-"&amp;D480&amp;"-"&amp;E480&amp;"-Pos3",'Shooter-Squad Assignment'!$V:$V,0)),""),IF(E480="Sporting Clays",IFERROR(INDEX('Shooter-Squad Assignment'!$A:$A,MATCH(C480&amp;"-"&amp;D480&amp;"-"&amp;E480&amp;"-Pos3",'Shooter-Squad Assignment'!$Y:$Y,0)),""),"")))</f>
        <v/>
      </c>
      <c r="K480" s="73" t="str">
        <f>IF(ISBLANK(J480),"",IFERROR(INDEX('Tournament List'!$D:$D,MATCH(J480,'Tournament List'!$A:$A,0)),""))</f>
        <v/>
      </c>
      <c r="L480" s="98" t="str">
        <f>IF(E480="Skeet",IFERROR(INDEX('Shooter-Squad Assignment'!$A:$A,MATCH(C480&amp;"-"&amp;D480&amp;"-"&amp;E480&amp;"-Pos4",'Shooter-Squad Assignment'!#REF!,0)),""),IF(E480="Trap",IFERROR(INDEX('Shooter-Squad Assignment'!$A:$A,MATCH(C480&amp;"-"&amp;D480&amp;"-"&amp;E480&amp;"-Pos4",'Shooter-Squad Assignment'!$V:$V,0)),""),IF(E480="Sporting Clays",IFERROR(INDEX('Shooter-Squad Assignment'!$A:$A,MATCH(C480&amp;"-"&amp;D480&amp;"-"&amp;E480&amp;"-Pos4",'Shooter-Squad Assignment'!$Y:$Y,0)),""),"")))</f>
        <v/>
      </c>
      <c r="M480" s="73" t="str">
        <f>IF(ISBLANK(L480),"",IFERROR(INDEX('Tournament List'!$D:$D,MATCH(L480,'Tournament List'!$A:$A,0)),""))</f>
        <v/>
      </c>
      <c r="N480" s="98" t="str">
        <f>IF(E480="Skeet",IFERROR(INDEX('Shooter-Squad Assignment'!$A:$A,MATCH(C480&amp;"-"&amp;D480&amp;"-"&amp;E480&amp;"-Pos5",'Shooter-Squad Assignment'!#REF!,0)),""),IF(E480="Trap",IFERROR(INDEX('Shooter-Squad Assignment'!$A:$A,MATCH(C480&amp;"-"&amp;D480&amp;"-"&amp;E480&amp;"-Pos5",'Shooter-Squad Assignment'!$V:$V,0)),""),IF(E480="Sporting Clays",IFERROR(INDEX('Shooter-Squad Assignment'!$A:$A,MATCH(C480&amp;"-"&amp;D480&amp;"-"&amp;E480&amp;"-Pos5",'Shooter-Squad Assignment'!$Y:$Y,0)),""),"")))</f>
        <v/>
      </c>
      <c r="O480" s="80" t="str">
        <f>IF(ISBLANK(N480),"",IFERROR(INDEX('Tournament List'!$D:$D,MATCH(N480,'Tournament List'!$A:$A,0)),""))</f>
        <v/>
      </c>
    </row>
    <row r="481" spans="1:15" x14ac:dyDescent="0.3">
      <c r="A481" s="79">
        <v>489</v>
      </c>
      <c r="B481" s="73" t="str">
        <f t="shared" si="7"/>
        <v>-Novice 3-Sporting Clays</v>
      </c>
      <c r="C481" s="73"/>
      <c r="D481" s="73" t="s">
        <v>351</v>
      </c>
      <c r="E481" s="73" t="s">
        <v>148</v>
      </c>
      <c r="F481" s="98" t="str">
        <f>IF(E481="Skeet",IFERROR(INDEX('Shooter-Squad Assignment'!$A:$A,MATCH(C481&amp;"-"&amp;D481&amp;"-"&amp;E481&amp;"-Pos1",'Shooter-Squad Assignment'!#REF!,0)),""),IF(E481="Trap",IFERROR(INDEX('Shooter-Squad Assignment'!$A:$A,MATCH(C481&amp;"-"&amp;D481&amp;"-"&amp;E481&amp;"-Pos1",'Shooter-Squad Assignment'!$V:$V,0)),""),IF(E481="Sporting Clays",IFERROR(INDEX('Shooter-Squad Assignment'!$A:$A,MATCH(C481&amp;"-"&amp;D481&amp;"-"&amp;E481&amp;"-Pos1",'Shooter-Squad Assignment'!$Y:$Y,0)),""),"")))</f>
        <v/>
      </c>
      <c r="G481" s="73" t="str">
        <f>IF(ISBLANK(F481),"",IFERROR(INDEX('Tournament List'!$D:$D,MATCH(F481,'Tournament List'!$A:$A,0)),""))</f>
        <v/>
      </c>
      <c r="H481" s="98" t="str">
        <f>IF(E481="Skeet",IFERROR(INDEX('Shooter-Squad Assignment'!$A:$A,MATCH(C481&amp;"-"&amp;D481&amp;"-"&amp;E481&amp;"-Pos2",'Shooter-Squad Assignment'!#REF!,0)),""),IF(E481="Trap",IFERROR(INDEX('Shooter-Squad Assignment'!$A:$A,MATCH(C481&amp;"-"&amp;D481&amp;"-"&amp;E481&amp;"-Pos2",'Shooter-Squad Assignment'!$V:$V,0)),""),IF(E481="Sporting Clays",IFERROR(INDEX('Shooter-Squad Assignment'!$A:$A,MATCH(C481&amp;"-"&amp;D481&amp;"-"&amp;E481&amp;"-Pos2",'Shooter-Squad Assignment'!$Y:$Y,0)),""),"")))</f>
        <v/>
      </c>
      <c r="I481" s="73" t="str">
        <f>IF(ISBLANK(H481),"",IFERROR(INDEX('Tournament List'!$D:$D,MATCH(H481,'Tournament List'!$A:$A,0)),""))</f>
        <v/>
      </c>
      <c r="J481" s="98" t="str">
        <f>IF(E481="Skeet",IFERROR(INDEX('Shooter-Squad Assignment'!$A:$A,MATCH(C481&amp;"-"&amp;D481&amp;"-"&amp;E481&amp;"-Pos3",'Shooter-Squad Assignment'!#REF!,0)),""),IF(E481="Trap",IFERROR(INDEX('Shooter-Squad Assignment'!$A:$A,MATCH(C481&amp;"-"&amp;D481&amp;"-"&amp;E481&amp;"-Pos3",'Shooter-Squad Assignment'!$V:$V,0)),""),IF(E481="Sporting Clays",IFERROR(INDEX('Shooter-Squad Assignment'!$A:$A,MATCH(C481&amp;"-"&amp;D481&amp;"-"&amp;E481&amp;"-Pos3",'Shooter-Squad Assignment'!$Y:$Y,0)),""),"")))</f>
        <v/>
      </c>
      <c r="K481" s="73" t="str">
        <f>IF(ISBLANK(J481),"",IFERROR(INDEX('Tournament List'!$D:$D,MATCH(J481,'Tournament List'!$A:$A,0)),""))</f>
        <v/>
      </c>
      <c r="L481" s="98" t="str">
        <f>IF(E481="Skeet",IFERROR(INDEX('Shooter-Squad Assignment'!$A:$A,MATCH(C481&amp;"-"&amp;D481&amp;"-"&amp;E481&amp;"-Pos4",'Shooter-Squad Assignment'!#REF!,0)),""),IF(E481="Trap",IFERROR(INDEX('Shooter-Squad Assignment'!$A:$A,MATCH(C481&amp;"-"&amp;D481&amp;"-"&amp;E481&amp;"-Pos4",'Shooter-Squad Assignment'!$V:$V,0)),""),IF(E481="Sporting Clays",IFERROR(INDEX('Shooter-Squad Assignment'!$A:$A,MATCH(C481&amp;"-"&amp;D481&amp;"-"&amp;E481&amp;"-Pos4",'Shooter-Squad Assignment'!$Y:$Y,0)),""),"")))</f>
        <v/>
      </c>
      <c r="M481" s="73" t="str">
        <f>IF(ISBLANK(L481),"",IFERROR(INDEX('Tournament List'!$D:$D,MATCH(L481,'Tournament List'!$A:$A,0)),""))</f>
        <v/>
      </c>
      <c r="N481" s="98" t="str">
        <f>IF(E481="Skeet",IFERROR(INDEX('Shooter-Squad Assignment'!$A:$A,MATCH(C481&amp;"-"&amp;D481&amp;"-"&amp;E481&amp;"-Pos5",'Shooter-Squad Assignment'!#REF!,0)),""),IF(E481="Trap",IFERROR(INDEX('Shooter-Squad Assignment'!$A:$A,MATCH(C481&amp;"-"&amp;D481&amp;"-"&amp;E481&amp;"-Pos5",'Shooter-Squad Assignment'!$V:$V,0)),""),IF(E481="Sporting Clays",IFERROR(INDEX('Shooter-Squad Assignment'!$A:$A,MATCH(C481&amp;"-"&amp;D481&amp;"-"&amp;E481&amp;"-Pos5",'Shooter-Squad Assignment'!$Y:$Y,0)),""),"")))</f>
        <v/>
      </c>
      <c r="O481" s="80" t="str">
        <f>IF(ISBLANK(N481),"",IFERROR(INDEX('Tournament List'!$D:$D,MATCH(N481,'Tournament List'!$A:$A,0)),""))</f>
        <v/>
      </c>
    </row>
    <row r="482" spans="1:15" x14ac:dyDescent="0.3">
      <c r="A482" s="79">
        <v>490</v>
      </c>
      <c r="B482" s="73" t="str">
        <f t="shared" si="7"/>
        <v>-Open 1-Sporting Clays</v>
      </c>
      <c r="C482" s="73"/>
      <c r="D482" s="73" t="s">
        <v>343</v>
      </c>
      <c r="E482" s="73" t="s">
        <v>148</v>
      </c>
      <c r="F482" s="98" t="str">
        <f>IF(E482="Skeet",IFERROR(INDEX('Shooter-Squad Assignment'!$A:$A,MATCH(C482&amp;"-"&amp;D482&amp;"-"&amp;E482&amp;"-Pos1",'Shooter-Squad Assignment'!#REF!,0)),""),IF(E482="Trap",IFERROR(INDEX('Shooter-Squad Assignment'!$A:$A,MATCH(C482&amp;"-"&amp;D482&amp;"-"&amp;E482&amp;"-Pos1",'Shooter-Squad Assignment'!$V:$V,0)),""),IF(E482="Sporting Clays",IFERROR(INDEX('Shooter-Squad Assignment'!$A:$A,MATCH(C482&amp;"-"&amp;D482&amp;"-"&amp;E482&amp;"-Pos1",'Shooter-Squad Assignment'!$Y:$Y,0)),""),"")))</f>
        <v/>
      </c>
      <c r="G482" s="73" t="str">
        <f>IF(ISBLANK(F482),"",IFERROR(INDEX('Tournament List'!$D:$D,MATCH(F482,'Tournament List'!$A:$A,0)),""))</f>
        <v/>
      </c>
      <c r="H482" s="98" t="str">
        <f>IF(E482="Skeet",IFERROR(INDEX('Shooter-Squad Assignment'!$A:$A,MATCH(C482&amp;"-"&amp;D482&amp;"-"&amp;E482&amp;"-Pos2",'Shooter-Squad Assignment'!#REF!,0)),""),IF(E482="Trap",IFERROR(INDEX('Shooter-Squad Assignment'!$A:$A,MATCH(C482&amp;"-"&amp;D482&amp;"-"&amp;E482&amp;"-Pos2",'Shooter-Squad Assignment'!$V:$V,0)),""),IF(E482="Sporting Clays",IFERROR(INDEX('Shooter-Squad Assignment'!$A:$A,MATCH(C482&amp;"-"&amp;D482&amp;"-"&amp;E482&amp;"-Pos2",'Shooter-Squad Assignment'!$Y:$Y,0)),""),"")))</f>
        <v/>
      </c>
      <c r="I482" s="73" t="str">
        <f>IF(ISBLANK(H482),"",IFERROR(INDEX('Tournament List'!$D:$D,MATCH(H482,'Tournament List'!$A:$A,0)),""))</f>
        <v/>
      </c>
      <c r="J482" s="98" t="str">
        <f>IF(E482="Skeet",IFERROR(INDEX('Shooter-Squad Assignment'!$A:$A,MATCH(C482&amp;"-"&amp;D482&amp;"-"&amp;E482&amp;"-Pos3",'Shooter-Squad Assignment'!#REF!,0)),""),IF(E482="Trap",IFERROR(INDEX('Shooter-Squad Assignment'!$A:$A,MATCH(C482&amp;"-"&amp;D482&amp;"-"&amp;E482&amp;"-Pos3",'Shooter-Squad Assignment'!$V:$V,0)),""),IF(E482="Sporting Clays",IFERROR(INDEX('Shooter-Squad Assignment'!$A:$A,MATCH(C482&amp;"-"&amp;D482&amp;"-"&amp;E482&amp;"-Pos3",'Shooter-Squad Assignment'!$Y:$Y,0)),""),"")))</f>
        <v/>
      </c>
      <c r="K482" s="73" t="str">
        <f>IF(ISBLANK(J482),"",IFERROR(INDEX('Tournament List'!$D:$D,MATCH(J482,'Tournament List'!$A:$A,0)),""))</f>
        <v/>
      </c>
      <c r="L482" s="98" t="str">
        <f>IF(E482="Skeet",IFERROR(INDEX('Shooter-Squad Assignment'!$A:$A,MATCH(C482&amp;"-"&amp;D482&amp;"-"&amp;E482&amp;"-Pos4",'Shooter-Squad Assignment'!#REF!,0)),""),IF(E482="Trap",IFERROR(INDEX('Shooter-Squad Assignment'!$A:$A,MATCH(C482&amp;"-"&amp;D482&amp;"-"&amp;E482&amp;"-Pos4",'Shooter-Squad Assignment'!$V:$V,0)),""),IF(E482="Sporting Clays",IFERROR(INDEX('Shooter-Squad Assignment'!$A:$A,MATCH(C482&amp;"-"&amp;D482&amp;"-"&amp;E482&amp;"-Pos4",'Shooter-Squad Assignment'!$Y:$Y,0)),""),"")))</f>
        <v/>
      </c>
      <c r="M482" s="73" t="str">
        <f>IF(ISBLANK(L482),"",IFERROR(INDEX('Tournament List'!$D:$D,MATCH(L482,'Tournament List'!$A:$A,0)),""))</f>
        <v/>
      </c>
      <c r="N482" s="98" t="str">
        <f>IF(E482="Skeet",IFERROR(INDEX('Shooter-Squad Assignment'!$A:$A,MATCH(C482&amp;"-"&amp;D482&amp;"-"&amp;E482&amp;"-Pos5",'Shooter-Squad Assignment'!#REF!,0)),""),IF(E482="Trap",IFERROR(INDEX('Shooter-Squad Assignment'!$A:$A,MATCH(C482&amp;"-"&amp;D482&amp;"-"&amp;E482&amp;"-Pos5",'Shooter-Squad Assignment'!$V:$V,0)),""),IF(E482="Sporting Clays",IFERROR(INDEX('Shooter-Squad Assignment'!$A:$A,MATCH(C482&amp;"-"&amp;D482&amp;"-"&amp;E482&amp;"-Pos5",'Shooter-Squad Assignment'!$Y:$Y,0)),""),"")))</f>
        <v/>
      </c>
      <c r="O482" s="80" t="str">
        <f>IF(ISBLANK(N482),"",IFERROR(INDEX('Tournament List'!$D:$D,MATCH(N482,'Tournament List'!$A:$A,0)),""))</f>
        <v/>
      </c>
    </row>
    <row r="483" spans="1:15" x14ac:dyDescent="0.3">
      <c r="A483" s="79">
        <v>491</v>
      </c>
      <c r="B483" s="73" t="str">
        <f t="shared" si="7"/>
        <v>-Open 2-Sporting Clays</v>
      </c>
      <c r="C483" s="73"/>
      <c r="D483" s="73" t="s">
        <v>349</v>
      </c>
      <c r="E483" s="73" t="s">
        <v>148</v>
      </c>
      <c r="F483" s="98" t="str">
        <f>IF(E483="Skeet",IFERROR(INDEX('Shooter-Squad Assignment'!$A:$A,MATCH(C483&amp;"-"&amp;D483&amp;"-"&amp;E483&amp;"-Pos1",'Shooter-Squad Assignment'!#REF!,0)),""),IF(E483="Trap",IFERROR(INDEX('Shooter-Squad Assignment'!$A:$A,MATCH(C483&amp;"-"&amp;D483&amp;"-"&amp;E483&amp;"-Pos1",'Shooter-Squad Assignment'!$V:$V,0)),""),IF(E483="Sporting Clays",IFERROR(INDEX('Shooter-Squad Assignment'!$A:$A,MATCH(C483&amp;"-"&amp;D483&amp;"-"&amp;E483&amp;"-Pos1",'Shooter-Squad Assignment'!$Y:$Y,0)),""),"")))</f>
        <v/>
      </c>
      <c r="G483" s="73" t="str">
        <f>IF(ISBLANK(F483),"",IFERROR(INDEX('Tournament List'!$D:$D,MATCH(F483,'Tournament List'!$A:$A,0)),""))</f>
        <v/>
      </c>
      <c r="H483" s="98" t="str">
        <f>IF(E483="Skeet",IFERROR(INDEX('Shooter-Squad Assignment'!$A:$A,MATCH(C483&amp;"-"&amp;D483&amp;"-"&amp;E483&amp;"-Pos2",'Shooter-Squad Assignment'!#REF!,0)),""),IF(E483="Trap",IFERROR(INDEX('Shooter-Squad Assignment'!$A:$A,MATCH(C483&amp;"-"&amp;D483&amp;"-"&amp;E483&amp;"-Pos2",'Shooter-Squad Assignment'!$V:$V,0)),""),IF(E483="Sporting Clays",IFERROR(INDEX('Shooter-Squad Assignment'!$A:$A,MATCH(C483&amp;"-"&amp;D483&amp;"-"&amp;E483&amp;"-Pos2",'Shooter-Squad Assignment'!$Y:$Y,0)),""),"")))</f>
        <v/>
      </c>
      <c r="I483" s="73" t="str">
        <f>IF(ISBLANK(H483),"",IFERROR(INDEX('Tournament List'!$D:$D,MATCH(H483,'Tournament List'!$A:$A,0)),""))</f>
        <v/>
      </c>
      <c r="J483" s="98" t="str">
        <f>IF(E483="Skeet",IFERROR(INDEX('Shooter-Squad Assignment'!$A:$A,MATCH(C483&amp;"-"&amp;D483&amp;"-"&amp;E483&amp;"-Pos3",'Shooter-Squad Assignment'!#REF!,0)),""),IF(E483="Trap",IFERROR(INDEX('Shooter-Squad Assignment'!$A:$A,MATCH(C483&amp;"-"&amp;D483&amp;"-"&amp;E483&amp;"-Pos3",'Shooter-Squad Assignment'!$V:$V,0)),""),IF(E483="Sporting Clays",IFERROR(INDEX('Shooter-Squad Assignment'!$A:$A,MATCH(C483&amp;"-"&amp;D483&amp;"-"&amp;E483&amp;"-Pos3",'Shooter-Squad Assignment'!$Y:$Y,0)),""),"")))</f>
        <v/>
      </c>
      <c r="K483" s="73" t="str">
        <f>IF(ISBLANK(J483),"",IFERROR(INDEX('Tournament List'!$D:$D,MATCH(J483,'Tournament List'!$A:$A,0)),""))</f>
        <v/>
      </c>
      <c r="L483" s="98" t="str">
        <f>IF(E483="Skeet",IFERROR(INDEX('Shooter-Squad Assignment'!$A:$A,MATCH(C483&amp;"-"&amp;D483&amp;"-"&amp;E483&amp;"-Pos4",'Shooter-Squad Assignment'!#REF!,0)),""),IF(E483="Trap",IFERROR(INDEX('Shooter-Squad Assignment'!$A:$A,MATCH(C483&amp;"-"&amp;D483&amp;"-"&amp;E483&amp;"-Pos4",'Shooter-Squad Assignment'!$V:$V,0)),""),IF(E483="Sporting Clays",IFERROR(INDEX('Shooter-Squad Assignment'!$A:$A,MATCH(C483&amp;"-"&amp;D483&amp;"-"&amp;E483&amp;"-Pos4",'Shooter-Squad Assignment'!$Y:$Y,0)),""),"")))</f>
        <v/>
      </c>
      <c r="M483" s="73" t="str">
        <f>IF(ISBLANK(L483),"",IFERROR(INDEX('Tournament List'!$D:$D,MATCH(L483,'Tournament List'!$A:$A,0)),""))</f>
        <v/>
      </c>
      <c r="N483" s="98" t="str">
        <f>IF(E483="Skeet",IFERROR(INDEX('Shooter-Squad Assignment'!$A:$A,MATCH(C483&amp;"-"&amp;D483&amp;"-"&amp;E483&amp;"-Pos5",'Shooter-Squad Assignment'!#REF!,0)),""),IF(E483="Trap",IFERROR(INDEX('Shooter-Squad Assignment'!$A:$A,MATCH(C483&amp;"-"&amp;D483&amp;"-"&amp;E483&amp;"-Pos5",'Shooter-Squad Assignment'!$V:$V,0)),""),IF(E483="Sporting Clays",IFERROR(INDEX('Shooter-Squad Assignment'!$A:$A,MATCH(C483&amp;"-"&amp;D483&amp;"-"&amp;E483&amp;"-Pos5",'Shooter-Squad Assignment'!$Y:$Y,0)),""),"")))</f>
        <v/>
      </c>
      <c r="O483" s="80" t="str">
        <f>IF(ISBLANK(N483),"",IFERROR(INDEX('Tournament List'!$D:$D,MATCH(N483,'Tournament List'!$A:$A,0)),""))</f>
        <v/>
      </c>
    </row>
    <row r="484" spans="1:15" x14ac:dyDescent="0.3">
      <c r="A484" s="79">
        <v>492</v>
      </c>
      <c r="B484" s="73" t="str">
        <f t="shared" si="7"/>
        <v>-Open 3-Sporting Clays</v>
      </c>
      <c r="C484" s="73"/>
      <c r="D484" s="73" t="s">
        <v>355</v>
      </c>
      <c r="E484" s="73" t="s">
        <v>148</v>
      </c>
      <c r="F484" s="98" t="str">
        <f>IF(E484="Skeet",IFERROR(INDEX('Shooter-Squad Assignment'!$A:$A,MATCH(C484&amp;"-"&amp;D484&amp;"-"&amp;E484&amp;"-Pos1",'Shooter-Squad Assignment'!#REF!,0)),""),IF(E484="Trap",IFERROR(INDEX('Shooter-Squad Assignment'!$A:$A,MATCH(C484&amp;"-"&amp;D484&amp;"-"&amp;E484&amp;"-Pos1",'Shooter-Squad Assignment'!$V:$V,0)),""),IF(E484="Sporting Clays",IFERROR(INDEX('Shooter-Squad Assignment'!$A:$A,MATCH(C484&amp;"-"&amp;D484&amp;"-"&amp;E484&amp;"-Pos1",'Shooter-Squad Assignment'!$Y:$Y,0)),""),"")))</f>
        <v/>
      </c>
      <c r="G484" s="73" t="str">
        <f>IF(ISBLANK(F484),"",IFERROR(INDEX('Tournament List'!$D:$D,MATCH(F484,'Tournament List'!$A:$A,0)),""))</f>
        <v/>
      </c>
      <c r="H484" s="98" t="str">
        <f>IF(E484="Skeet",IFERROR(INDEX('Shooter-Squad Assignment'!$A:$A,MATCH(C484&amp;"-"&amp;D484&amp;"-"&amp;E484&amp;"-Pos2",'Shooter-Squad Assignment'!#REF!,0)),""),IF(E484="Trap",IFERROR(INDEX('Shooter-Squad Assignment'!$A:$A,MATCH(C484&amp;"-"&amp;D484&amp;"-"&amp;E484&amp;"-Pos2",'Shooter-Squad Assignment'!$V:$V,0)),""),IF(E484="Sporting Clays",IFERROR(INDEX('Shooter-Squad Assignment'!$A:$A,MATCH(C484&amp;"-"&amp;D484&amp;"-"&amp;E484&amp;"-Pos2",'Shooter-Squad Assignment'!$Y:$Y,0)),""),"")))</f>
        <v/>
      </c>
      <c r="I484" s="73" t="str">
        <f>IF(ISBLANK(H484),"",IFERROR(INDEX('Tournament List'!$D:$D,MATCH(H484,'Tournament List'!$A:$A,0)),""))</f>
        <v/>
      </c>
      <c r="J484" s="98" t="str">
        <f>IF(E484="Skeet",IFERROR(INDEX('Shooter-Squad Assignment'!$A:$A,MATCH(C484&amp;"-"&amp;D484&amp;"-"&amp;E484&amp;"-Pos3",'Shooter-Squad Assignment'!#REF!,0)),""),IF(E484="Trap",IFERROR(INDEX('Shooter-Squad Assignment'!$A:$A,MATCH(C484&amp;"-"&amp;D484&amp;"-"&amp;E484&amp;"-Pos3",'Shooter-Squad Assignment'!$V:$V,0)),""),IF(E484="Sporting Clays",IFERROR(INDEX('Shooter-Squad Assignment'!$A:$A,MATCH(C484&amp;"-"&amp;D484&amp;"-"&amp;E484&amp;"-Pos3",'Shooter-Squad Assignment'!$Y:$Y,0)),""),"")))</f>
        <v/>
      </c>
      <c r="K484" s="73" t="str">
        <f>IF(ISBLANK(J484),"",IFERROR(INDEX('Tournament List'!$D:$D,MATCH(J484,'Tournament List'!$A:$A,0)),""))</f>
        <v/>
      </c>
      <c r="L484" s="98" t="str">
        <f>IF(E484="Skeet",IFERROR(INDEX('Shooter-Squad Assignment'!$A:$A,MATCH(C484&amp;"-"&amp;D484&amp;"-"&amp;E484&amp;"-Pos4",'Shooter-Squad Assignment'!#REF!,0)),""),IF(E484="Trap",IFERROR(INDEX('Shooter-Squad Assignment'!$A:$A,MATCH(C484&amp;"-"&amp;D484&amp;"-"&amp;E484&amp;"-Pos4",'Shooter-Squad Assignment'!$V:$V,0)),""),IF(E484="Sporting Clays",IFERROR(INDEX('Shooter-Squad Assignment'!$A:$A,MATCH(C484&amp;"-"&amp;D484&amp;"-"&amp;E484&amp;"-Pos4",'Shooter-Squad Assignment'!$Y:$Y,0)),""),"")))</f>
        <v/>
      </c>
      <c r="M484" s="73" t="str">
        <f>IF(ISBLANK(L484),"",IFERROR(INDEX('Tournament List'!$D:$D,MATCH(L484,'Tournament List'!$A:$A,0)),""))</f>
        <v/>
      </c>
      <c r="N484" s="98" t="str">
        <f>IF(E484="Skeet",IFERROR(INDEX('Shooter-Squad Assignment'!$A:$A,MATCH(C484&amp;"-"&amp;D484&amp;"-"&amp;E484&amp;"-Pos5",'Shooter-Squad Assignment'!#REF!,0)),""),IF(E484="Trap",IFERROR(INDEX('Shooter-Squad Assignment'!$A:$A,MATCH(C484&amp;"-"&amp;D484&amp;"-"&amp;E484&amp;"-Pos5",'Shooter-Squad Assignment'!$V:$V,0)),""),IF(E484="Sporting Clays",IFERROR(INDEX('Shooter-Squad Assignment'!$A:$A,MATCH(C484&amp;"-"&amp;D484&amp;"-"&amp;E484&amp;"-Pos5",'Shooter-Squad Assignment'!$Y:$Y,0)),""),"")))</f>
        <v/>
      </c>
      <c r="O484" s="80" t="str">
        <f>IF(ISBLANK(N484),"",IFERROR(INDEX('Tournament List'!$D:$D,MATCH(N484,'Tournament List'!$A:$A,0)),""))</f>
        <v/>
      </c>
    </row>
    <row r="485" spans="1:15" x14ac:dyDescent="0.3">
      <c r="A485" s="79">
        <v>493</v>
      </c>
      <c r="B485" s="73" t="str">
        <f t="shared" si="7"/>
        <v>-Varsity 1-Sporting Clays</v>
      </c>
      <c r="C485" s="73"/>
      <c r="D485" s="73" t="s">
        <v>342</v>
      </c>
      <c r="E485" s="73" t="s">
        <v>148</v>
      </c>
      <c r="F485" s="98" t="str">
        <f>IF(E485="Skeet",IFERROR(INDEX('Shooter-Squad Assignment'!$A:$A,MATCH(C485&amp;"-"&amp;D485&amp;"-"&amp;E485&amp;"-Pos1",'Shooter-Squad Assignment'!#REF!,0)),""),IF(E485="Trap",IFERROR(INDEX('Shooter-Squad Assignment'!$A:$A,MATCH(C485&amp;"-"&amp;D485&amp;"-"&amp;E485&amp;"-Pos1",'Shooter-Squad Assignment'!$V:$V,0)),""),IF(E485="Sporting Clays",IFERROR(INDEX('Shooter-Squad Assignment'!$A:$A,MATCH(C485&amp;"-"&amp;D485&amp;"-"&amp;E485&amp;"-Pos1",'Shooter-Squad Assignment'!$Y:$Y,0)),""),"")))</f>
        <v/>
      </c>
      <c r="G485" s="73" t="str">
        <f>IF(ISBLANK(F485),"",IFERROR(INDEX('Tournament List'!$D:$D,MATCH(F485,'Tournament List'!$A:$A,0)),""))</f>
        <v/>
      </c>
      <c r="H485" s="98" t="str">
        <f>IF(E485="Skeet",IFERROR(INDEX('Shooter-Squad Assignment'!$A:$A,MATCH(C485&amp;"-"&amp;D485&amp;"-"&amp;E485&amp;"-Pos2",'Shooter-Squad Assignment'!#REF!,0)),""),IF(E485="Trap",IFERROR(INDEX('Shooter-Squad Assignment'!$A:$A,MATCH(C485&amp;"-"&amp;D485&amp;"-"&amp;E485&amp;"-Pos2",'Shooter-Squad Assignment'!$V:$V,0)),""),IF(E485="Sporting Clays",IFERROR(INDEX('Shooter-Squad Assignment'!$A:$A,MATCH(C485&amp;"-"&amp;D485&amp;"-"&amp;E485&amp;"-Pos2",'Shooter-Squad Assignment'!$Y:$Y,0)),""),"")))</f>
        <v/>
      </c>
      <c r="I485" s="73" t="str">
        <f>IF(ISBLANK(H485),"",IFERROR(INDEX('Tournament List'!$D:$D,MATCH(H485,'Tournament List'!$A:$A,0)),""))</f>
        <v/>
      </c>
      <c r="J485" s="98" t="str">
        <f>IF(E485="Skeet",IFERROR(INDEX('Shooter-Squad Assignment'!$A:$A,MATCH(C485&amp;"-"&amp;D485&amp;"-"&amp;E485&amp;"-Pos3",'Shooter-Squad Assignment'!#REF!,0)),""),IF(E485="Trap",IFERROR(INDEX('Shooter-Squad Assignment'!$A:$A,MATCH(C485&amp;"-"&amp;D485&amp;"-"&amp;E485&amp;"-Pos3",'Shooter-Squad Assignment'!$V:$V,0)),""),IF(E485="Sporting Clays",IFERROR(INDEX('Shooter-Squad Assignment'!$A:$A,MATCH(C485&amp;"-"&amp;D485&amp;"-"&amp;E485&amp;"-Pos3",'Shooter-Squad Assignment'!$Y:$Y,0)),""),"")))</f>
        <v/>
      </c>
      <c r="K485" s="73" t="str">
        <f>IF(ISBLANK(J485),"",IFERROR(INDEX('Tournament List'!$D:$D,MATCH(J485,'Tournament List'!$A:$A,0)),""))</f>
        <v/>
      </c>
      <c r="L485" s="98" t="str">
        <f>IF(E485="Skeet",IFERROR(INDEX('Shooter-Squad Assignment'!$A:$A,MATCH(C485&amp;"-"&amp;D485&amp;"-"&amp;E485&amp;"-Pos4",'Shooter-Squad Assignment'!#REF!,0)),""),IF(E485="Trap",IFERROR(INDEX('Shooter-Squad Assignment'!$A:$A,MATCH(C485&amp;"-"&amp;D485&amp;"-"&amp;E485&amp;"-Pos4",'Shooter-Squad Assignment'!$V:$V,0)),""),IF(E485="Sporting Clays",IFERROR(INDEX('Shooter-Squad Assignment'!$A:$A,MATCH(C485&amp;"-"&amp;D485&amp;"-"&amp;E485&amp;"-Pos4",'Shooter-Squad Assignment'!$Y:$Y,0)),""),"")))</f>
        <v/>
      </c>
      <c r="M485" s="73" t="str">
        <f>IF(ISBLANK(L485),"",IFERROR(INDEX('Tournament List'!$D:$D,MATCH(L485,'Tournament List'!$A:$A,0)),""))</f>
        <v/>
      </c>
      <c r="N485" s="98" t="str">
        <f>IF(E485="Skeet",IFERROR(INDEX('Shooter-Squad Assignment'!$A:$A,MATCH(C485&amp;"-"&amp;D485&amp;"-"&amp;E485&amp;"-Pos5",'Shooter-Squad Assignment'!#REF!,0)),""),IF(E485="Trap",IFERROR(INDEX('Shooter-Squad Assignment'!$A:$A,MATCH(C485&amp;"-"&amp;D485&amp;"-"&amp;E485&amp;"-Pos5",'Shooter-Squad Assignment'!$V:$V,0)),""),IF(E485="Sporting Clays",IFERROR(INDEX('Shooter-Squad Assignment'!$A:$A,MATCH(C485&amp;"-"&amp;D485&amp;"-"&amp;E485&amp;"-Pos5",'Shooter-Squad Assignment'!$Y:$Y,0)),""),"")))</f>
        <v/>
      </c>
      <c r="O485" s="80" t="str">
        <f>IF(ISBLANK(N485),"",IFERROR(INDEX('Tournament List'!$D:$D,MATCH(N485,'Tournament List'!$A:$A,0)),""))</f>
        <v/>
      </c>
    </row>
    <row r="486" spans="1:15" x14ac:dyDescent="0.3">
      <c r="A486" s="79">
        <v>494</v>
      </c>
      <c r="B486" s="73" t="str">
        <f t="shared" si="7"/>
        <v>-Varsity 2-Sporting Clays</v>
      </c>
      <c r="C486" s="73"/>
      <c r="D486" s="73" t="s">
        <v>348</v>
      </c>
      <c r="E486" s="73" t="s">
        <v>148</v>
      </c>
      <c r="F486" s="98" t="str">
        <f>IF(E486="Skeet",IFERROR(INDEX('Shooter-Squad Assignment'!$A:$A,MATCH(C486&amp;"-"&amp;D486&amp;"-"&amp;E486&amp;"-Pos1",'Shooter-Squad Assignment'!#REF!,0)),""),IF(E486="Trap",IFERROR(INDEX('Shooter-Squad Assignment'!$A:$A,MATCH(C486&amp;"-"&amp;D486&amp;"-"&amp;E486&amp;"-Pos1",'Shooter-Squad Assignment'!$V:$V,0)),""),IF(E486="Sporting Clays",IFERROR(INDEX('Shooter-Squad Assignment'!$A:$A,MATCH(C486&amp;"-"&amp;D486&amp;"-"&amp;E486&amp;"-Pos1",'Shooter-Squad Assignment'!$Y:$Y,0)),""),"")))</f>
        <v/>
      </c>
      <c r="G486" s="73" t="str">
        <f>IF(ISBLANK(F486),"",IFERROR(INDEX('Tournament List'!$D:$D,MATCH(F486,'Tournament List'!$A:$A,0)),""))</f>
        <v/>
      </c>
      <c r="H486" s="98" t="str">
        <f>IF(E486="Skeet",IFERROR(INDEX('Shooter-Squad Assignment'!$A:$A,MATCH(C486&amp;"-"&amp;D486&amp;"-"&amp;E486&amp;"-Pos2",'Shooter-Squad Assignment'!#REF!,0)),""),IF(E486="Trap",IFERROR(INDEX('Shooter-Squad Assignment'!$A:$A,MATCH(C486&amp;"-"&amp;D486&amp;"-"&amp;E486&amp;"-Pos2",'Shooter-Squad Assignment'!$V:$V,0)),""),IF(E486="Sporting Clays",IFERROR(INDEX('Shooter-Squad Assignment'!$A:$A,MATCH(C486&amp;"-"&amp;D486&amp;"-"&amp;E486&amp;"-Pos2",'Shooter-Squad Assignment'!$Y:$Y,0)),""),"")))</f>
        <v/>
      </c>
      <c r="I486" s="73" t="str">
        <f>IF(ISBLANK(H486),"",IFERROR(INDEX('Tournament List'!$D:$D,MATCH(H486,'Tournament List'!$A:$A,0)),""))</f>
        <v/>
      </c>
      <c r="J486" s="98" t="str">
        <f>IF(E486="Skeet",IFERROR(INDEX('Shooter-Squad Assignment'!$A:$A,MATCH(C486&amp;"-"&amp;D486&amp;"-"&amp;E486&amp;"-Pos3",'Shooter-Squad Assignment'!#REF!,0)),""),IF(E486="Trap",IFERROR(INDEX('Shooter-Squad Assignment'!$A:$A,MATCH(C486&amp;"-"&amp;D486&amp;"-"&amp;E486&amp;"-Pos3",'Shooter-Squad Assignment'!$V:$V,0)),""),IF(E486="Sporting Clays",IFERROR(INDEX('Shooter-Squad Assignment'!$A:$A,MATCH(C486&amp;"-"&amp;D486&amp;"-"&amp;E486&amp;"-Pos3",'Shooter-Squad Assignment'!$Y:$Y,0)),""),"")))</f>
        <v/>
      </c>
      <c r="K486" s="73" t="str">
        <f>IF(ISBLANK(J486),"",IFERROR(INDEX('Tournament List'!$D:$D,MATCH(J486,'Tournament List'!$A:$A,0)),""))</f>
        <v/>
      </c>
      <c r="L486" s="98" t="str">
        <f>IF(E486="Skeet",IFERROR(INDEX('Shooter-Squad Assignment'!$A:$A,MATCH(C486&amp;"-"&amp;D486&amp;"-"&amp;E486&amp;"-Pos4",'Shooter-Squad Assignment'!#REF!,0)),""),IF(E486="Trap",IFERROR(INDEX('Shooter-Squad Assignment'!$A:$A,MATCH(C486&amp;"-"&amp;D486&amp;"-"&amp;E486&amp;"-Pos4",'Shooter-Squad Assignment'!$V:$V,0)),""),IF(E486="Sporting Clays",IFERROR(INDEX('Shooter-Squad Assignment'!$A:$A,MATCH(C486&amp;"-"&amp;D486&amp;"-"&amp;E486&amp;"-Pos4",'Shooter-Squad Assignment'!$Y:$Y,0)),""),"")))</f>
        <v/>
      </c>
      <c r="M486" s="73" t="str">
        <f>IF(ISBLANK(L486),"",IFERROR(INDEX('Tournament List'!$D:$D,MATCH(L486,'Tournament List'!$A:$A,0)),""))</f>
        <v/>
      </c>
      <c r="N486" s="98" t="str">
        <f>IF(E486="Skeet",IFERROR(INDEX('Shooter-Squad Assignment'!$A:$A,MATCH(C486&amp;"-"&amp;D486&amp;"-"&amp;E486&amp;"-Pos5",'Shooter-Squad Assignment'!#REF!,0)),""),IF(E486="Trap",IFERROR(INDEX('Shooter-Squad Assignment'!$A:$A,MATCH(C486&amp;"-"&amp;D486&amp;"-"&amp;E486&amp;"-Pos5",'Shooter-Squad Assignment'!$V:$V,0)),""),IF(E486="Sporting Clays",IFERROR(INDEX('Shooter-Squad Assignment'!$A:$A,MATCH(C486&amp;"-"&amp;D486&amp;"-"&amp;E486&amp;"-Pos5",'Shooter-Squad Assignment'!$Y:$Y,0)),""),"")))</f>
        <v/>
      </c>
      <c r="O486" s="80" t="str">
        <f>IF(ISBLANK(N486),"",IFERROR(INDEX('Tournament List'!$D:$D,MATCH(N486,'Tournament List'!$A:$A,0)),""))</f>
        <v/>
      </c>
    </row>
    <row r="487" spans="1:15" ht="15" thickBot="1" x14ac:dyDescent="0.35">
      <c r="A487" s="81">
        <v>495</v>
      </c>
      <c r="B487" s="82" t="str">
        <f t="shared" si="7"/>
        <v>-Varsity 3-Sporting Clays</v>
      </c>
      <c r="C487" s="82"/>
      <c r="D487" s="82" t="s">
        <v>354</v>
      </c>
      <c r="E487" s="82" t="s">
        <v>148</v>
      </c>
      <c r="F487" s="99" t="str">
        <f>IF(E487="Skeet",IFERROR(INDEX('Shooter-Squad Assignment'!$A:$A,MATCH(C487&amp;"-"&amp;D487&amp;"-"&amp;E487&amp;"-Pos1",'Shooter-Squad Assignment'!#REF!,0)),""),IF(E487="Trap",IFERROR(INDEX('Shooter-Squad Assignment'!$A:$A,MATCH(C487&amp;"-"&amp;D487&amp;"-"&amp;E487&amp;"-Pos1",'Shooter-Squad Assignment'!$V:$V,0)),""),IF(E487="Sporting Clays",IFERROR(INDEX('Shooter-Squad Assignment'!$A:$A,MATCH(C487&amp;"-"&amp;D487&amp;"-"&amp;E487&amp;"-Pos1",'Shooter-Squad Assignment'!$Y:$Y,0)),""),"")))</f>
        <v/>
      </c>
      <c r="G487" s="82" t="str">
        <f>IF(ISBLANK(F487),"",IFERROR(INDEX('Tournament List'!$D:$D,MATCH(F487,'Tournament List'!$A:$A,0)),""))</f>
        <v/>
      </c>
      <c r="H487" s="99" t="str">
        <f>IF(E487="Skeet",IFERROR(INDEX('Shooter-Squad Assignment'!$A:$A,MATCH(C487&amp;"-"&amp;D487&amp;"-"&amp;E487&amp;"-Pos2",'Shooter-Squad Assignment'!#REF!,0)),""),IF(E487="Trap",IFERROR(INDEX('Shooter-Squad Assignment'!$A:$A,MATCH(C487&amp;"-"&amp;D487&amp;"-"&amp;E487&amp;"-Pos2",'Shooter-Squad Assignment'!$V:$V,0)),""),IF(E487="Sporting Clays",IFERROR(INDEX('Shooter-Squad Assignment'!$A:$A,MATCH(C487&amp;"-"&amp;D487&amp;"-"&amp;E487&amp;"-Pos2",'Shooter-Squad Assignment'!$Y:$Y,0)),""),"")))</f>
        <v/>
      </c>
      <c r="I487" s="82" t="str">
        <f>IF(ISBLANK(H487),"",IFERROR(INDEX('Tournament List'!$D:$D,MATCH(H487,'Tournament List'!$A:$A,0)),""))</f>
        <v/>
      </c>
      <c r="J487" s="99" t="str">
        <f>IF(E487="Skeet",IFERROR(INDEX('Shooter-Squad Assignment'!$A:$A,MATCH(C487&amp;"-"&amp;D487&amp;"-"&amp;E487&amp;"-Pos3",'Shooter-Squad Assignment'!#REF!,0)),""),IF(E487="Trap",IFERROR(INDEX('Shooter-Squad Assignment'!$A:$A,MATCH(C487&amp;"-"&amp;D487&amp;"-"&amp;E487&amp;"-Pos3",'Shooter-Squad Assignment'!$V:$V,0)),""),IF(E487="Sporting Clays",IFERROR(INDEX('Shooter-Squad Assignment'!$A:$A,MATCH(C487&amp;"-"&amp;D487&amp;"-"&amp;E487&amp;"-Pos3",'Shooter-Squad Assignment'!$Y:$Y,0)),""),"")))</f>
        <v/>
      </c>
      <c r="K487" s="82" t="str">
        <f>IF(ISBLANK(J487),"",IFERROR(INDEX('Tournament List'!$D:$D,MATCH(J487,'Tournament List'!$A:$A,0)),""))</f>
        <v/>
      </c>
      <c r="L487" s="99" t="str">
        <f>IF(E487="Skeet",IFERROR(INDEX('Shooter-Squad Assignment'!$A:$A,MATCH(C487&amp;"-"&amp;D487&amp;"-"&amp;E487&amp;"-Pos4",'Shooter-Squad Assignment'!#REF!,0)),""),IF(E487="Trap",IFERROR(INDEX('Shooter-Squad Assignment'!$A:$A,MATCH(C487&amp;"-"&amp;D487&amp;"-"&amp;E487&amp;"-Pos4",'Shooter-Squad Assignment'!$V:$V,0)),""),IF(E487="Sporting Clays",IFERROR(INDEX('Shooter-Squad Assignment'!$A:$A,MATCH(C487&amp;"-"&amp;D487&amp;"-"&amp;E487&amp;"-Pos4",'Shooter-Squad Assignment'!$Y:$Y,0)),""),"")))</f>
        <v/>
      </c>
      <c r="M487" s="82" t="str">
        <f>IF(ISBLANK(L487),"",IFERROR(INDEX('Tournament List'!$D:$D,MATCH(L487,'Tournament List'!$A:$A,0)),""))</f>
        <v/>
      </c>
      <c r="N487" s="99" t="str">
        <f>IF(E487="Skeet",IFERROR(INDEX('Shooter-Squad Assignment'!$A:$A,MATCH(C487&amp;"-"&amp;D487&amp;"-"&amp;E487&amp;"-Pos5",'Shooter-Squad Assignment'!#REF!,0)),""),IF(E487="Trap",IFERROR(INDEX('Shooter-Squad Assignment'!$A:$A,MATCH(C487&amp;"-"&amp;D487&amp;"-"&amp;E487&amp;"-Pos5",'Shooter-Squad Assignment'!$V:$V,0)),""),IF(E487="Sporting Clays",IFERROR(INDEX('Shooter-Squad Assignment'!$A:$A,MATCH(C487&amp;"-"&amp;D487&amp;"-"&amp;E487&amp;"-Pos5",'Shooter-Squad Assignment'!$Y:$Y,0)),""),"")))</f>
        <v/>
      </c>
      <c r="O487" s="83" t="str">
        <f>IF(ISBLANK(N487),"",IFERROR(INDEX('Tournament List'!$D:$D,MATCH(N487,'Tournament List'!$A:$A,0)),""))</f>
        <v/>
      </c>
    </row>
    <row r="488" spans="1:15" x14ac:dyDescent="0.3">
      <c r="A488" s="88">
        <v>496</v>
      </c>
      <c r="B488" s="89" t="str">
        <f t="shared" si="7"/>
        <v>-Collegiate 1-Skeet</v>
      </c>
      <c r="C488" s="89"/>
      <c r="D488" s="89" t="s">
        <v>344</v>
      </c>
      <c r="E488" s="89" t="s">
        <v>143</v>
      </c>
      <c r="F488" s="100" t="str">
        <f>IF(E488="Skeet",IFERROR(INDEX('Shooter-Squad Assignment'!$A:$A,MATCH(C488&amp;"-"&amp;D488&amp;"-"&amp;E488&amp;"-Pos1",'Shooter-Squad Assignment'!#REF!,0)),""),IF(E488="Trap",IFERROR(INDEX('Shooter-Squad Assignment'!$A:$A,MATCH(C488&amp;"-"&amp;D488&amp;"-"&amp;E488&amp;"-Pos1",'Shooter-Squad Assignment'!$V:$V,0)),""),IF(E488="Sporting Clays",IFERROR(INDEX('Shooter-Squad Assignment'!$A:$A,MATCH(C488&amp;"-"&amp;D488&amp;"-"&amp;E488&amp;"-Pos1",'Shooter-Squad Assignment'!$Y:$Y,0)),""),"")))</f>
        <v/>
      </c>
      <c r="G488" s="89" t="str">
        <f>IF(ISBLANK(F488),"",IFERROR(INDEX('Tournament List'!$D:$D,MATCH(F488,'Tournament List'!$A:$A,0)),""))</f>
        <v/>
      </c>
      <c r="H488" s="100" t="str">
        <f>IF(E488="Skeet",IFERROR(INDEX('Shooter-Squad Assignment'!$A:$A,MATCH(C488&amp;"-"&amp;D488&amp;"-"&amp;E488&amp;"-Pos2",'Shooter-Squad Assignment'!#REF!,0)),""),IF(E488="Trap",IFERROR(INDEX('Shooter-Squad Assignment'!$A:$A,MATCH(C488&amp;"-"&amp;D488&amp;"-"&amp;E488&amp;"-Pos2",'Shooter-Squad Assignment'!$V:$V,0)),""),IF(E488="Sporting Clays",IFERROR(INDEX('Shooter-Squad Assignment'!$A:$A,MATCH(C488&amp;"-"&amp;D488&amp;"-"&amp;E488&amp;"-Pos2",'Shooter-Squad Assignment'!$Y:$Y,0)),""),"")))</f>
        <v/>
      </c>
      <c r="I488" s="89" t="str">
        <f>IF(ISBLANK(H488),"",IFERROR(INDEX('Tournament List'!$D:$D,MATCH(H488,'Tournament List'!$A:$A,0)),""))</f>
        <v/>
      </c>
      <c r="J488" s="100" t="str">
        <f>IF(E488="Skeet",IFERROR(INDEX('Shooter-Squad Assignment'!$A:$A,MATCH(C488&amp;"-"&amp;D488&amp;"-"&amp;E488&amp;"-Pos3",'Shooter-Squad Assignment'!#REF!,0)),""),IF(E488="Trap",IFERROR(INDEX('Shooter-Squad Assignment'!$A:$A,MATCH(C488&amp;"-"&amp;D488&amp;"-"&amp;E488&amp;"-Pos3",'Shooter-Squad Assignment'!$V:$V,0)),""),IF(E488="Sporting Clays",IFERROR(INDEX('Shooter-Squad Assignment'!$A:$A,MATCH(C488&amp;"-"&amp;D488&amp;"-"&amp;E488&amp;"-Pos3",'Shooter-Squad Assignment'!$Y:$Y,0)),""),"")))</f>
        <v/>
      </c>
      <c r="K488" s="89" t="str">
        <f>IF(ISBLANK(J488),"",IFERROR(INDEX('Tournament List'!$D:$D,MATCH(J488,'Tournament List'!$A:$A,0)),""))</f>
        <v/>
      </c>
      <c r="L488" s="100" t="str">
        <f>IF(E488="Skeet",IFERROR(INDEX('Shooter-Squad Assignment'!$A:$A,MATCH(C488&amp;"-"&amp;D488&amp;"-"&amp;E488&amp;"-Pos4",'Shooter-Squad Assignment'!#REF!,0)),""),IF(E488="Trap",IFERROR(INDEX('Shooter-Squad Assignment'!$A:$A,MATCH(C488&amp;"-"&amp;D488&amp;"-"&amp;E488&amp;"-Pos4",'Shooter-Squad Assignment'!$V:$V,0)),""),IF(E488="Sporting Clays",IFERROR(INDEX('Shooter-Squad Assignment'!$A:$A,MATCH(C488&amp;"-"&amp;D488&amp;"-"&amp;E488&amp;"-Pos4",'Shooter-Squad Assignment'!$Y:$Y,0)),""),"")))</f>
        <v/>
      </c>
      <c r="M488" s="89" t="str">
        <f>IF(ISBLANK(L488),"",IFERROR(INDEX('Tournament List'!$D:$D,MATCH(L488,'Tournament List'!$A:$A,0)),""))</f>
        <v/>
      </c>
      <c r="N488" s="100" t="str">
        <f>IF(E488="Skeet",IFERROR(INDEX('Shooter-Squad Assignment'!$A:$A,MATCH(C488&amp;"-"&amp;D488&amp;"-"&amp;E488&amp;"-Pos5",'Shooter-Squad Assignment'!#REF!,0)),""),IF(E488="Trap",IFERROR(INDEX('Shooter-Squad Assignment'!$A:$A,MATCH(C488&amp;"-"&amp;D488&amp;"-"&amp;E488&amp;"-Pos5",'Shooter-Squad Assignment'!$V:$V,0)),""),IF(E488="Sporting Clays",IFERROR(INDEX('Shooter-Squad Assignment'!$A:$A,MATCH(C488&amp;"-"&amp;D488&amp;"-"&amp;E488&amp;"-Pos5",'Shooter-Squad Assignment'!$Y:$Y,0)),""),"")))</f>
        <v/>
      </c>
      <c r="O488" s="90" t="str">
        <f>IF(ISBLANK(N488),"",IFERROR(INDEX('Tournament List'!$D:$D,MATCH(N488,'Tournament List'!$A:$A,0)),""))</f>
        <v/>
      </c>
    </row>
    <row r="489" spans="1:15" x14ac:dyDescent="0.3">
      <c r="A489" s="91">
        <v>497</v>
      </c>
      <c r="B489" s="92" t="str">
        <f t="shared" si="7"/>
        <v>-Collegiate 2-Skeet</v>
      </c>
      <c r="C489" s="92"/>
      <c r="D489" s="92" t="s">
        <v>350</v>
      </c>
      <c r="E489" s="92" t="s">
        <v>143</v>
      </c>
      <c r="F489" s="101" t="str">
        <f>IF(E489="Skeet",IFERROR(INDEX('Shooter-Squad Assignment'!$A:$A,MATCH(C489&amp;"-"&amp;D489&amp;"-"&amp;E489&amp;"-Pos1",'Shooter-Squad Assignment'!#REF!,0)),""),IF(E489="Trap",IFERROR(INDEX('Shooter-Squad Assignment'!$A:$A,MATCH(C489&amp;"-"&amp;D489&amp;"-"&amp;E489&amp;"-Pos1",'Shooter-Squad Assignment'!$V:$V,0)),""),IF(E489="Sporting Clays",IFERROR(INDEX('Shooter-Squad Assignment'!$A:$A,MATCH(C489&amp;"-"&amp;D489&amp;"-"&amp;E489&amp;"-Pos1",'Shooter-Squad Assignment'!$Y:$Y,0)),""),"")))</f>
        <v/>
      </c>
      <c r="G489" s="92" t="str">
        <f>IF(ISBLANK(F489),"",IFERROR(INDEX('Tournament List'!$D:$D,MATCH(F489,'Tournament List'!$A:$A,0)),""))</f>
        <v/>
      </c>
      <c r="H489" s="101" t="str">
        <f>IF(E489="Skeet",IFERROR(INDEX('Shooter-Squad Assignment'!$A:$A,MATCH(C489&amp;"-"&amp;D489&amp;"-"&amp;E489&amp;"-Pos2",'Shooter-Squad Assignment'!#REF!,0)),""),IF(E489="Trap",IFERROR(INDEX('Shooter-Squad Assignment'!$A:$A,MATCH(C489&amp;"-"&amp;D489&amp;"-"&amp;E489&amp;"-Pos2",'Shooter-Squad Assignment'!$V:$V,0)),""),IF(E489="Sporting Clays",IFERROR(INDEX('Shooter-Squad Assignment'!$A:$A,MATCH(C489&amp;"-"&amp;D489&amp;"-"&amp;E489&amp;"-Pos2",'Shooter-Squad Assignment'!$Y:$Y,0)),""),"")))</f>
        <v/>
      </c>
      <c r="I489" s="92" t="str">
        <f>IF(ISBLANK(H489),"",IFERROR(INDEX('Tournament List'!$D:$D,MATCH(H489,'Tournament List'!$A:$A,0)),""))</f>
        <v/>
      </c>
      <c r="J489" s="101" t="str">
        <f>IF(E489="Skeet",IFERROR(INDEX('Shooter-Squad Assignment'!$A:$A,MATCH(C489&amp;"-"&amp;D489&amp;"-"&amp;E489&amp;"-Pos3",'Shooter-Squad Assignment'!#REF!,0)),""),IF(E489="Trap",IFERROR(INDEX('Shooter-Squad Assignment'!$A:$A,MATCH(C489&amp;"-"&amp;D489&amp;"-"&amp;E489&amp;"-Pos3",'Shooter-Squad Assignment'!$V:$V,0)),""),IF(E489="Sporting Clays",IFERROR(INDEX('Shooter-Squad Assignment'!$A:$A,MATCH(C489&amp;"-"&amp;D489&amp;"-"&amp;E489&amp;"-Pos3",'Shooter-Squad Assignment'!$Y:$Y,0)),""),"")))</f>
        <v/>
      </c>
      <c r="K489" s="92" t="str">
        <f>IF(ISBLANK(J489),"",IFERROR(INDEX('Tournament List'!$D:$D,MATCH(J489,'Tournament List'!$A:$A,0)),""))</f>
        <v/>
      </c>
      <c r="L489" s="101" t="str">
        <f>IF(E489="Skeet",IFERROR(INDEX('Shooter-Squad Assignment'!$A:$A,MATCH(C489&amp;"-"&amp;D489&amp;"-"&amp;E489&amp;"-Pos4",'Shooter-Squad Assignment'!#REF!,0)),""),IF(E489="Trap",IFERROR(INDEX('Shooter-Squad Assignment'!$A:$A,MATCH(C489&amp;"-"&amp;D489&amp;"-"&amp;E489&amp;"-Pos4",'Shooter-Squad Assignment'!$V:$V,0)),""),IF(E489="Sporting Clays",IFERROR(INDEX('Shooter-Squad Assignment'!$A:$A,MATCH(C489&amp;"-"&amp;D489&amp;"-"&amp;E489&amp;"-Pos4",'Shooter-Squad Assignment'!$Y:$Y,0)),""),"")))</f>
        <v/>
      </c>
      <c r="M489" s="92" t="str">
        <f>IF(ISBLANK(L489),"",IFERROR(INDEX('Tournament List'!$D:$D,MATCH(L489,'Tournament List'!$A:$A,0)),""))</f>
        <v/>
      </c>
      <c r="N489" s="101" t="str">
        <f>IF(E489="Skeet",IFERROR(INDEX('Shooter-Squad Assignment'!$A:$A,MATCH(C489&amp;"-"&amp;D489&amp;"-"&amp;E489&amp;"-Pos5",'Shooter-Squad Assignment'!#REF!,0)),""),IF(E489="Trap",IFERROR(INDEX('Shooter-Squad Assignment'!$A:$A,MATCH(C489&amp;"-"&amp;D489&amp;"-"&amp;E489&amp;"-Pos5",'Shooter-Squad Assignment'!$V:$V,0)),""),IF(E489="Sporting Clays",IFERROR(INDEX('Shooter-Squad Assignment'!$A:$A,MATCH(C489&amp;"-"&amp;D489&amp;"-"&amp;E489&amp;"-Pos5",'Shooter-Squad Assignment'!$Y:$Y,0)),""),"")))</f>
        <v/>
      </c>
      <c r="O489" s="93" t="str">
        <f>IF(ISBLANK(N489),"",IFERROR(INDEX('Tournament List'!$D:$D,MATCH(N489,'Tournament List'!$A:$A,0)),""))</f>
        <v/>
      </c>
    </row>
    <row r="490" spans="1:15" x14ac:dyDescent="0.3">
      <c r="A490" s="91">
        <v>498</v>
      </c>
      <c r="B490" s="92" t="str">
        <f t="shared" si="7"/>
        <v>-Collegiate 3-Skeet</v>
      </c>
      <c r="C490" s="92"/>
      <c r="D490" s="92" t="s">
        <v>356</v>
      </c>
      <c r="E490" s="92" t="s">
        <v>143</v>
      </c>
      <c r="F490" s="101" t="str">
        <f>IF(E490="Skeet",IFERROR(INDEX('Shooter-Squad Assignment'!$A:$A,MATCH(C490&amp;"-"&amp;D490&amp;"-"&amp;E490&amp;"-Pos1",'Shooter-Squad Assignment'!#REF!,0)),""),IF(E490="Trap",IFERROR(INDEX('Shooter-Squad Assignment'!$A:$A,MATCH(C490&amp;"-"&amp;D490&amp;"-"&amp;E490&amp;"-Pos1",'Shooter-Squad Assignment'!$V:$V,0)),""),IF(E490="Sporting Clays",IFERROR(INDEX('Shooter-Squad Assignment'!$A:$A,MATCH(C490&amp;"-"&amp;D490&amp;"-"&amp;E490&amp;"-Pos1",'Shooter-Squad Assignment'!$Y:$Y,0)),""),"")))</f>
        <v/>
      </c>
      <c r="G490" s="92" t="str">
        <f>IF(ISBLANK(F490),"",IFERROR(INDEX('Tournament List'!$D:$D,MATCH(F490,'Tournament List'!$A:$A,0)),""))</f>
        <v/>
      </c>
      <c r="H490" s="101" t="str">
        <f>IF(E490="Skeet",IFERROR(INDEX('Shooter-Squad Assignment'!$A:$A,MATCH(C490&amp;"-"&amp;D490&amp;"-"&amp;E490&amp;"-Pos2",'Shooter-Squad Assignment'!#REF!,0)),""),IF(E490="Trap",IFERROR(INDEX('Shooter-Squad Assignment'!$A:$A,MATCH(C490&amp;"-"&amp;D490&amp;"-"&amp;E490&amp;"-Pos2",'Shooter-Squad Assignment'!$V:$V,0)),""),IF(E490="Sporting Clays",IFERROR(INDEX('Shooter-Squad Assignment'!$A:$A,MATCH(C490&amp;"-"&amp;D490&amp;"-"&amp;E490&amp;"-Pos2",'Shooter-Squad Assignment'!$Y:$Y,0)),""),"")))</f>
        <v/>
      </c>
      <c r="I490" s="92" t="str">
        <f>IF(ISBLANK(H490),"",IFERROR(INDEX('Tournament List'!$D:$D,MATCH(H490,'Tournament List'!$A:$A,0)),""))</f>
        <v/>
      </c>
      <c r="J490" s="101" t="str">
        <f>IF(E490="Skeet",IFERROR(INDEX('Shooter-Squad Assignment'!$A:$A,MATCH(C490&amp;"-"&amp;D490&amp;"-"&amp;E490&amp;"-Pos3",'Shooter-Squad Assignment'!#REF!,0)),""),IF(E490="Trap",IFERROR(INDEX('Shooter-Squad Assignment'!$A:$A,MATCH(C490&amp;"-"&amp;D490&amp;"-"&amp;E490&amp;"-Pos3",'Shooter-Squad Assignment'!$V:$V,0)),""),IF(E490="Sporting Clays",IFERROR(INDEX('Shooter-Squad Assignment'!$A:$A,MATCH(C490&amp;"-"&amp;D490&amp;"-"&amp;E490&amp;"-Pos3",'Shooter-Squad Assignment'!$Y:$Y,0)),""),"")))</f>
        <v/>
      </c>
      <c r="K490" s="92" t="str">
        <f>IF(ISBLANK(J490),"",IFERROR(INDEX('Tournament List'!$D:$D,MATCH(J490,'Tournament List'!$A:$A,0)),""))</f>
        <v/>
      </c>
      <c r="L490" s="101" t="str">
        <f>IF(E490="Skeet",IFERROR(INDEX('Shooter-Squad Assignment'!$A:$A,MATCH(C490&amp;"-"&amp;D490&amp;"-"&amp;E490&amp;"-Pos4",'Shooter-Squad Assignment'!#REF!,0)),""),IF(E490="Trap",IFERROR(INDEX('Shooter-Squad Assignment'!$A:$A,MATCH(C490&amp;"-"&amp;D490&amp;"-"&amp;E490&amp;"-Pos4",'Shooter-Squad Assignment'!$V:$V,0)),""),IF(E490="Sporting Clays",IFERROR(INDEX('Shooter-Squad Assignment'!$A:$A,MATCH(C490&amp;"-"&amp;D490&amp;"-"&amp;E490&amp;"-Pos4",'Shooter-Squad Assignment'!$Y:$Y,0)),""),"")))</f>
        <v/>
      </c>
      <c r="M490" s="92" t="str">
        <f>IF(ISBLANK(L490),"",IFERROR(INDEX('Tournament List'!$D:$D,MATCH(L490,'Tournament List'!$A:$A,0)),""))</f>
        <v/>
      </c>
      <c r="N490" s="101" t="str">
        <f>IF(E490="Skeet",IFERROR(INDEX('Shooter-Squad Assignment'!$A:$A,MATCH(C490&amp;"-"&amp;D490&amp;"-"&amp;E490&amp;"-Pos5",'Shooter-Squad Assignment'!#REF!,0)),""),IF(E490="Trap",IFERROR(INDEX('Shooter-Squad Assignment'!$A:$A,MATCH(C490&amp;"-"&amp;D490&amp;"-"&amp;E490&amp;"-Pos5",'Shooter-Squad Assignment'!$V:$V,0)),""),IF(E490="Sporting Clays",IFERROR(INDEX('Shooter-Squad Assignment'!$A:$A,MATCH(C490&amp;"-"&amp;D490&amp;"-"&amp;E490&amp;"-Pos5",'Shooter-Squad Assignment'!$Y:$Y,0)),""),"")))</f>
        <v/>
      </c>
      <c r="O490" s="93" t="str">
        <f>IF(ISBLANK(N490),"",IFERROR(INDEX('Tournament List'!$D:$D,MATCH(N490,'Tournament List'!$A:$A,0)),""))</f>
        <v/>
      </c>
    </row>
    <row r="491" spans="1:15" x14ac:dyDescent="0.3">
      <c r="A491" s="91">
        <v>499</v>
      </c>
      <c r="B491" s="92" t="str">
        <f t="shared" si="7"/>
        <v>-Intermediate 1-Skeet</v>
      </c>
      <c r="C491" s="92"/>
      <c r="D491" s="92" t="s">
        <v>340</v>
      </c>
      <c r="E491" s="92" t="s">
        <v>143</v>
      </c>
      <c r="F491" s="101" t="str">
        <f>IF(E491="Skeet",IFERROR(INDEX('Shooter-Squad Assignment'!$A:$A,MATCH(C491&amp;"-"&amp;D491&amp;"-"&amp;E491&amp;"-Pos1",'Shooter-Squad Assignment'!#REF!,0)),""),IF(E491="Trap",IFERROR(INDEX('Shooter-Squad Assignment'!$A:$A,MATCH(C491&amp;"-"&amp;D491&amp;"-"&amp;E491&amp;"-Pos1",'Shooter-Squad Assignment'!$V:$V,0)),""),IF(E491="Sporting Clays",IFERROR(INDEX('Shooter-Squad Assignment'!$A:$A,MATCH(C491&amp;"-"&amp;D491&amp;"-"&amp;E491&amp;"-Pos1",'Shooter-Squad Assignment'!$Y:$Y,0)),""),"")))</f>
        <v/>
      </c>
      <c r="G491" s="92" t="str">
        <f>IF(ISBLANK(F491),"",IFERROR(INDEX('Tournament List'!$D:$D,MATCH(F491,'Tournament List'!$A:$A,0)),""))</f>
        <v/>
      </c>
      <c r="H491" s="101" t="str">
        <f>IF(E491="Skeet",IFERROR(INDEX('Shooter-Squad Assignment'!$A:$A,MATCH(C491&amp;"-"&amp;D491&amp;"-"&amp;E491&amp;"-Pos2",'Shooter-Squad Assignment'!#REF!,0)),""),IF(E491="Trap",IFERROR(INDEX('Shooter-Squad Assignment'!$A:$A,MATCH(C491&amp;"-"&amp;D491&amp;"-"&amp;E491&amp;"-Pos2",'Shooter-Squad Assignment'!$V:$V,0)),""),IF(E491="Sporting Clays",IFERROR(INDEX('Shooter-Squad Assignment'!$A:$A,MATCH(C491&amp;"-"&amp;D491&amp;"-"&amp;E491&amp;"-Pos2",'Shooter-Squad Assignment'!$Y:$Y,0)),""),"")))</f>
        <v/>
      </c>
      <c r="I491" s="92" t="str">
        <f>IF(ISBLANK(H491),"",IFERROR(INDEX('Tournament List'!$D:$D,MATCH(H491,'Tournament List'!$A:$A,0)),""))</f>
        <v/>
      </c>
      <c r="J491" s="101" t="str">
        <f>IF(E491="Skeet",IFERROR(INDEX('Shooter-Squad Assignment'!$A:$A,MATCH(C491&amp;"-"&amp;D491&amp;"-"&amp;E491&amp;"-Pos3",'Shooter-Squad Assignment'!#REF!,0)),""),IF(E491="Trap",IFERROR(INDEX('Shooter-Squad Assignment'!$A:$A,MATCH(C491&amp;"-"&amp;D491&amp;"-"&amp;E491&amp;"-Pos3",'Shooter-Squad Assignment'!$V:$V,0)),""),IF(E491="Sporting Clays",IFERROR(INDEX('Shooter-Squad Assignment'!$A:$A,MATCH(C491&amp;"-"&amp;D491&amp;"-"&amp;E491&amp;"-Pos3",'Shooter-Squad Assignment'!$Y:$Y,0)),""),"")))</f>
        <v/>
      </c>
      <c r="K491" s="92" t="str">
        <f>IF(ISBLANK(J491),"",IFERROR(INDEX('Tournament List'!$D:$D,MATCH(J491,'Tournament List'!$A:$A,0)),""))</f>
        <v/>
      </c>
      <c r="L491" s="101" t="str">
        <f>IF(E491="Skeet",IFERROR(INDEX('Shooter-Squad Assignment'!$A:$A,MATCH(C491&amp;"-"&amp;D491&amp;"-"&amp;E491&amp;"-Pos4",'Shooter-Squad Assignment'!#REF!,0)),""),IF(E491="Trap",IFERROR(INDEX('Shooter-Squad Assignment'!$A:$A,MATCH(C491&amp;"-"&amp;D491&amp;"-"&amp;E491&amp;"-Pos4",'Shooter-Squad Assignment'!$V:$V,0)),""),IF(E491="Sporting Clays",IFERROR(INDEX('Shooter-Squad Assignment'!$A:$A,MATCH(C491&amp;"-"&amp;D491&amp;"-"&amp;E491&amp;"-Pos4",'Shooter-Squad Assignment'!$Y:$Y,0)),""),"")))</f>
        <v/>
      </c>
      <c r="M491" s="92" t="str">
        <f>IF(ISBLANK(L491),"",IFERROR(INDEX('Tournament List'!$D:$D,MATCH(L491,'Tournament List'!$A:$A,0)),""))</f>
        <v/>
      </c>
      <c r="N491" s="101" t="str">
        <f>IF(E491="Skeet",IFERROR(INDEX('Shooter-Squad Assignment'!$A:$A,MATCH(C491&amp;"-"&amp;D491&amp;"-"&amp;E491&amp;"-Pos5",'Shooter-Squad Assignment'!#REF!,0)),""),IF(E491="Trap",IFERROR(INDEX('Shooter-Squad Assignment'!$A:$A,MATCH(C491&amp;"-"&amp;D491&amp;"-"&amp;E491&amp;"-Pos5",'Shooter-Squad Assignment'!$V:$V,0)),""),IF(E491="Sporting Clays",IFERROR(INDEX('Shooter-Squad Assignment'!$A:$A,MATCH(C491&amp;"-"&amp;D491&amp;"-"&amp;E491&amp;"-Pos5",'Shooter-Squad Assignment'!$Y:$Y,0)),""),"")))</f>
        <v/>
      </c>
      <c r="O491" s="93" t="str">
        <f>IF(ISBLANK(N491),"",IFERROR(INDEX('Tournament List'!$D:$D,MATCH(N491,'Tournament List'!$A:$A,0)),""))</f>
        <v/>
      </c>
    </row>
    <row r="492" spans="1:15" x14ac:dyDescent="0.3">
      <c r="A492" s="91">
        <v>500</v>
      </c>
      <c r="B492" s="92" t="str">
        <f t="shared" si="7"/>
        <v>-Intermediate 2-Skeet</v>
      </c>
      <c r="C492" s="92"/>
      <c r="D492" s="92" t="s">
        <v>346</v>
      </c>
      <c r="E492" s="92" t="s">
        <v>143</v>
      </c>
      <c r="F492" s="101" t="str">
        <f>IF(E492="Skeet",IFERROR(INDEX('Shooter-Squad Assignment'!$A:$A,MATCH(C492&amp;"-"&amp;D492&amp;"-"&amp;E492&amp;"-Pos1",'Shooter-Squad Assignment'!#REF!,0)),""),IF(E492="Trap",IFERROR(INDEX('Shooter-Squad Assignment'!$A:$A,MATCH(C492&amp;"-"&amp;D492&amp;"-"&amp;E492&amp;"-Pos1",'Shooter-Squad Assignment'!$V:$V,0)),""),IF(E492="Sporting Clays",IFERROR(INDEX('Shooter-Squad Assignment'!$A:$A,MATCH(C492&amp;"-"&amp;D492&amp;"-"&amp;E492&amp;"-Pos1",'Shooter-Squad Assignment'!$Y:$Y,0)),""),"")))</f>
        <v/>
      </c>
      <c r="G492" s="92" t="str">
        <f>IF(ISBLANK(F492),"",IFERROR(INDEX('Tournament List'!$D:$D,MATCH(F492,'Tournament List'!$A:$A,0)),""))</f>
        <v/>
      </c>
      <c r="H492" s="101" t="str">
        <f>IF(E492="Skeet",IFERROR(INDEX('Shooter-Squad Assignment'!$A:$A,MATCH(C492&amp;"-"&amp;D492&amp;"-"&amp;E492&amp;"-Pos2",'Shooter-Squad Assignment'!#REF!,0)),""),IF(E492="Trap",IFERROR(INDEX('Shooter-Squad Assignment'!$A:$A,MATCH(C492&amp;"-"&amp;D492&amp;"-"&amp;E492&amp;"-Pos2",'Shooter-Squad Assignment'!$V:$V,0)),""),IF(E492="Sporting Clays",IFERROR(INDEX('Shooter-Squad Assignment'!$A:$A,MATCH(C492&amp;"-"&amp;D492&amp;"-"&amp;E492&amp;"-Pos2",'Shooter-Squad Assignment'!$Y:$Y,0)),""),"")))</f>
        <v/>
      </c>
      <c r="I492" s="92" t="str">
        <f>IF(ISBLANK(H492),"",IFERROR(INDEX('Tournament List'!$D:$D,MATCH(H492,'Tournament List'!$A:$A,0)),""))</f>
        <v/>
      </c>
      <c r="J492" s="101" t="str">
        <f>IF(E492="Skeet",IFERROR(INDEX('Shooter-Squad Assignment'!$A:$A,MATCH(C492&amp;"-"&amp;D492&amp;"-"&amp;E492&amp;"-Pos3",'Shooter-Squad Assignment'!#REF!,0)),""),IF(E492="Trap",IFERROR(INDEX('Shooter-Squad Assignment'!$A:$A,MATCH(C492&amp;"-"&amp;D492&amp;"-"&amp;E492&amp;"-Pos3",'Shooter-Squad Assignment'!$V:$V,0)),""),IF(E492="Sporting Clays",IFERROR(INDEX('Shooter-Squad Assignment'!$A:$A,MATCH(C492&amp;"-"&amp;D492&amp;"-"&amp;E492&amp;"-Pos3",'Shooter-Squad Assignment'!$Y:$Y,0)),""),"")))</f>
        <v/>
      </c>
      <c r="K492" s="92" t="str">
        <f>IF(ISBLANK(J492),"",IFERROR(INDEX('Tournament List'!$D:$D,MATCH(J492,'Tournament List'!$A:$A,0)),""))</f>
        <v/>
      </c>
      <c r="L492" s="101" t="str">
        <f>IF(E492="Skeet",IFERROR(INDEX('Shooter-Squad Assignment'!$A:$A,MATCH(C492&amp;"-"&amp;D492&amp;"-"&amp;E492&amp;"-Pos4",'Shooter-Squad Assignment'!#REF!,0)),""),IF(E492="Trap",IFERROR(INDEX('Shooter-Squad Assignment'!$A:$A,MATCH(C492&amp;"-"&amp;D492&amp;"-"&amp;E492&amp;"-Pos4",'Shooter-Squad Assignment'!$V:$V,0)),""),IF(E492="Sporting Clays",IFERROR(INDEX('Shooter-Squad Assignment'!$A:$A,MATCH(C492&amp;"-"&amp;D492&amp;"-"&amp;E492&amp;"-Pos4",'Shooter-Squad Assignment'!$Y:$Y,0)),""),"")))</f>
        <v/>
      </c>
      <c r="M492" s="92" t="str">
        <f>IF(ISBLANK(L492),"",IFERROR(INDEX('Tournament List'!$D:$D,MATCH(L492,'Tournament List'!$A:$A,0)),""))</f>
        <v/>
      </c>
      <c r="N492" s="101" t="str">
        <f>IF(E492="Skeet",IFERROR(INDEX('Shooter-Squad Assignment'!$A:$A,MATCH(C492&amp;"-"&amp;D492&amp;"-"&amp;E492&amp;"-Pos5",'Shooter-Squad Assignment'!#REF!,0)),""),IF(E492="Trap",IFERROR(INDEX('Shooter-Squad Assignment'!$A:$A,MATCH(C492&amp;"-"&amp;D492&amp;"-"&amp;E492&amp;"-Pos5",'Shooter-Squad Assignment'!$V:$V,0)),""),IF(E492="Sporting Clays",IFERROR(INDEX('Shooter-Squad Assignment'!$A:$A,MATCH(C492&amp;"-"&amp;D492&amp;"-"&amp;E492&amp;"-Pos5",'Shooter-Squad Assignment'!$Y:$Y,0)),""),"")))</f>
        <v/>
      </c>
      <c r="O492" s="93" t="str">
        <f>IF(ISBLANK(N492),"",IFERROR(INDEX('Tournament List'!$D:$D,MATCH(N492,'Tournament List'!$A:$A,0)),""))</f>
        <v/>
      </c>
    </row>
    <row r="493" spans="1:15" x14ac:dyDescent="0.3">
      <c r="A493" s="91">
        <v>501</v>
      </c>
      <c r="B493" s="92" t="str">
        <f t="shared" si="7"/>
        <v>-Intermediate 3-Skeet</v>
      </c>
      <c r="C493" s="92"/>
      <c r="D493" s="92" t="s">
        <v>352</v>
      </c>
      <c r="E493" s="92" t="s">
        <v>143</v>
      </c>
      <c r="F493" s="101" t="str">
        <f>IF(E493="Skeet",IFERROR(INDEX('Shooter-Squad Assignment'!$A:$A,MATCH(C493&amp;"-"&amp;D493&amp;"-"&amp;E493&amp;"-Pos1",'Shooter-Squad Assignment'!#REF!,0)),""),IF(E493="Trap",IFERROR(INDEX('Shooter-Squad Assignment'!$A:$A,MATCH(C493&amp;"-"&amp;D493&amp;"-"&amp;E493&amp;"-Pos1",'Shooter-Squad Assignment'!$V:$V,0)),""),IF(E493="Sporting Clays",IFERROR(INDEX('Shooter-Squad Assignment'!$A:$A,MATCH(C493&amp;"-"&amp;D493&amp;"-"&amp;E493&amp;"-Pos1",'Shooter-Squad Assignment'!$Y:$Y,0)),""),"")))</f>
        <v/>
      </c>
      <c r="G493" s="92" t="str">
        <f>IF(ISBLANK(F493),"",IFERROR(INDEX('Tournament List'!$D:$D,MATCH(F493,'Tournament List'!$A:$A,0)),""))</f>
        <v/>
      </c>
      <c r="H493" s="101" t="str">
        <f>IF(E493="Skeet",IFERROR(INDEX('Shooter-Squad Assignment'!$A:$A,MATCH(C493&amp;"-"&amp;D493&amp;"-"&amp;E493&amp;"-Pos2",'Shooter-Squad Assignment'!#REF!,0)),""),IF(E493="Trap",IFERROR(INDEX('Shooter-Squad Assignment'!$A:$A,MATCH(C493&amp;"-"&amp;D493&amp;"-"&amp;E493&amp;"-Pos2",'Shooter-Squad Assignment'!$V:$V,0)),""),IF(E493="Sporting Clays",IFERROR(INDEX('Shooter-Squad Assignment'!$A:$A,MATCH(C493&amp;"-"&amp;D493&amp;"-"&amp;E493&amp;"-Pos2",'Shooter-Squad Assignment'!$Y:$Y,0)),""),"")))</f>
        <v/>
      </c>
      <c r="I493" s="92" t="str">
        <f>IF(ISBLANK(H493),"",IFERROR(INDEX('Tournament List'!$D:$D,MATCH(H493,'Tournament List'!$A:$A,0)),""))</f>
        <v/>
      </c>
      <c r="J493" s="101" t="str">
        <f>IF(E493="Skeet",IFERROR(INDEX('Shooter-Squad Assignment'!$A:$A,MATCH(C493&amp;"-"&amp;D493&amp;"-"&amp;E493&amp;"-Pos3",'Shooter-Squad Assignment'!#REF!,0)),""),IF(E493="Trap",IFERROR(INDEX('Shooter-Squad Assignment'!$A:$A,MATCH(C493&amp;"-"&amp;D493&amp;"-"&amp;E493&amp;"-Pos3",'Shooter-Squad Assignment'!$V:$V,0)),""),IF(E493="Sporting Clays",IFERROR(INDEX('Shooter-Squad Assignment'!$A:$A,MATCH(C493&amp;"-"&amp;D493&amp;"-"&amp;E493&amp;"-Pos3",'Shooter-Squad Assignment'!$Y:$Y,0)),""),"")))</f>
        <v/>
      </c>
      <c r="K493" s="92" t="str">
        <f>IF(ISBLANK(J493),"",IFERROR(INDEX('Tournament List'!$D:$D,MATCH(J493,'Tournament List'!$A:$A,0)),""))</f>
        <v/>
      </c>
      <c r="L493" s="101" t="str">
        <f>IF(E493="Skeet",IFERROR(INDEX('Shooter-Squad Assignment'!$A:$A,MATCH(C493&amp;"-"&amp;D493&amp;"-"&amp;E493&amp;"-Pos4",'Shooter-Squad Assignment'!#REF!,0)),""),IF(E493="Trap",IFERROR(INDEX('Shooter-Squad Assignment'!$A:$A,MATCH(C493&amp;"-"&amp;D493&amp;"-"&amp;E493&amp;"-Pos4",'Shooter-Squad Assignment'!$V:$V,0)),""),IF(E493="Sporting Clays",IFERROR(INDEX('Shooter-Squad Assignment'!$A:$A,MATCH(C493&amp;"-"&amp;D493&amp;"-"&amp;E493&amp;"-Pos4",'Shooter-Squad Assignment'!$Y:$Y,0)),""),"")))</f>
        <v/>
      </c>
      <c r="M493" s="92" t="str">
        <f>IF(ISBLANK(L493),"",IFERROR(INDEX('Tournament List'!$D:$D,MATCH(L493,'Tournament List'!$A:$A,0)),""))</f>
        <v/>
      </c>
      <c r="N493" s="101" t="str">
        <f>IF(E493="Skeet",IFERROR(INDEX('Shooter-Squad Assignment'!$A:$A,MATCH(C493&amp;"-"&amp;D493&amp;"-"&amp;E493&amp;"-Pos5",'Shooter-Squad Assignment'!#REF!,0)),""),IF(E493="Trap",IFERROR(INDEX('Shooter-Squad Assignment'!$A:$A,MATCH(C493&amp;"-"&amp;D493&amp;"-"&amp;E493&amp;"-Pos5",'Shooter-Squad Assignment'!$V:$V,0)),""),IF(E493="Sporting Clays",IFERROR(INDEX('Shooter-Squad Assignment'!$A:$A,MATCH(C493&amp;"-"&amp;D493&amp;"-"&amp;E493&amp;"-Pos5",'Shooter-Squad Assignment'!$Y:$Y,0)),""),"")))</f>
        <v/>
      </c>
      <c r="O493" s="93" t="str">
        <f>IF(ISBLANK(N493),"",IFERROR(INDEX('Tournament List'!$D:$D,MATCH(N493,'Tournament List'!$A:$A,0)),""))</f>
        <v/>
      </c>
    </row>
    <row r="494" spans="1:15" x14ac:dyDescent="0.3">
      <c r="A494" s="91">
        <v>502</v>
      </c>
      <c r="B494" s="92" t="str">
        <f t="shared" si="7"/>
        <v>-Junior Varsity 1-Skeet</v>
      </c>
      <c r="C494" s="92"/>
      <c r="D494" s="92" t="s">
        <v>341</v>
      </c>
      <c r="E494" s="92" t="s">
        <v>143</v>
      </c>
      <c r="F494" s="101" t="str">
        <f>IF(E494="Skeet",IFERROR(INDEX('Shooter-Squad Assignment'!$A:$A,MATCH(C494&amp;"-"&amp;D494&amp;"-"&amp;E494&amp;"-Pos1",'Shooter-Squad Assignment'!#REF!,0)),""),IF(E494="Trap",IFERROR(INDEX('Shooter-Squad Assignment'!$A:$A,MATCH(C494&amp;"-"&amp;D494&amp;"-"&amp;E494&amp;"-Pos1",'Shooter-Squad Assignment'!$V:$V,0)),""),IF(E494="Sporting Clays",IFERROR(INDEX('Shooter-Squad Assignment'!$A:$A,MATCH(C494&amp;"-"&amp;D494&amp;"-"&amp;E494&amp;"-Pos1",'Shooter-Squad Assignment'!$Y:$Y,0)),""),"")))</f>
        <v/>
      </c>
      <c r="G494" s="92" t="str">
        <f>IF(ISBLANK(F494),"",IFERROR(INDEX('Tournament List'!$D:$D,MATCH(F494,'Tournament List'!$A:$A,0)),""))</f>
        <v/>
      </c>
      <c r="H494" s="101" t="str">
        <f>IF(E494="Skeet",IFERROR(INDEX('Shooter-Squad Assignment'!$A:$A,MATCH(C494&amp;"-"&amp;D494&amp;"-"&amp;E494&amp;"-Pos2",'Shooter-Squad Assignment'!#REF!,0)),""),IF(E494="Trap",IFERROR(INDEX('Shooter-Squad Assignment'!$A:$A,MATCH(C494&amp;"-"&amp;D494&amp;"-"&amp;E494&amp;"-Pos2",'Shooter-Squad Assignment'!$V:$V,0)),""),IF(E494="Sporting Clays",IFERROR(INDEX('Shooter-Squad Assignment'!$A:$A,MATCH(C494&amp;"-"&amp;D494&amp;"-"&amp;E494&amp;"-Pos2",'Shooter-Squad Assignment'!$Y:$Y,0)),""),"")))</f>
        <v/>
      </c>
      <c r="I494" s="92" t="str">
        <f>IF(ISBLANK(H494),"",IFERROR(INDEX('Tournament List'!$D:$D,MATCH(H494,'Tournament List'!$A:$A,0)),""))</f>
        <v/>
      </c>
      <c r="J494" s="101" t="str">
        <f>IF(E494="Skeet",IFERROR(INDEX('Shooter-Squad Assignment'!$A:$A,MATCH(C494&amp;"-"&amp;D494&amp;"-"&amp;E494&amp;"-Pos3",'Shooter-Squad Assignment'!#REF!,0)),""),IF(E494="Trap",IFERROR(INDEX('Shooter-Squad Assignment'!$A:$A,MATCH(C494&amp;"-"&amp;D494&amp;"-"&amp;E494&amp;"-Pos3",'Shooter-Squad Assignment'!$V:$V,0)),""),IF(E494="Sporting Clays",IFERROR(INDEX('Shooter-Squad Assignment'!$A:$A,MATCH(C494&amp;"-"&amp;D494&amp;"-"&amp;E494&amp;"-Pos3",'Shooter-Squad Assignment'!$Y:$Y,0)),""),"")))</f>
        <v/>
      </c>
      <c r="K494" s="92" t="str">
        <f>IF(ISBLANK(J494),"",IFERROR(INDEX('Tournament List'!$D:$D,MATCH(J494,'Tournament List'!$A:$A,0)),""))</f>
        <v/>
      </c>
      <c r="L494" s="101" t="str">
        <f>IF(E494="Skeet",IFERROR(INDEX('Shooter-Squad Assignment'!$A:$A,MATCH(C494&amp;"-"&amp;D494&amp;"-"&amp;E494&amp;"-Pos4",'Shooter-Squad Assignment'!#REF!,0)),""),IF(E494="Trap",IFERROR(INDEX('Shooter-Squad Assignment'!$A:$A,MATCH(C494&amp;"-"&amp;D494&amp;"-"&amp;E494&amp;"-Pos4",'Shooter-Squad Assignment'!$V:$V,0)),""),IF(E494="Sporting Clays",IFERROR(INDEX('Shooter-Squad Assignment'!$A:$A,MATCH(C494&amp;"-"&amp;D494&amp;"-"&amp;E494&amp;"-Pos4",'Shooter-Squad Assignment'!$Y:$Y,0)),""),"")))</f>
        <v/>
      </c>
      <c r="M494" s="92" t="str">
        <f>IF(ISBLANK(L494),"",IFERROR(INDEX('Tournament List'!$D:$D,MATCH(L494,'Tournament List'!$A:$A,0)),""))</f>
        <v/>
      </c>
      <c r="N494" s="101" t="str">
        <f>IF(E494="Skeet",IFERROR(INDEX('Shooter-Squad Assignment'!$A:$A,MATCH(C494&amp;"-"&amp;D494&amp;"-"&amp;E494&amp;"-Pos5",'Shooter-Squad Assignment'!#REF!,0)),""),IF(E494="Trap",IFERROR(INDEX('Shooter-Squad Assignment'!$A:$A,MATCH(C494&amp;"-"&amp;D494&amp;"-"&amp;E494&amp;"-Pos5",'Shooter-Squad Assignment'!$V:$V,0)),""),IF(E494="Sporting Clays",IFERROR(INDEX('Shooter-Squad Assignment'!$A:$A,MATCH(C494&amp;"-"&amp;D494&amp;"-"&amp;E494&amp;"-Pos5",'Shooter-Squad Assignment'!$Y:$Y,0)),""),"")))</f>
        <v/>
      </c>
      <c r="O494" s="93" t="str">
        <f>IF(ISBLANK(N494),"",IFERROR(INDEX('Tournament List'!$D:$D,MATCH(N494,'Tournament List'!$A:$A,0)),""))</f>
        <v/>
      </c>
    </row>
    <row r="495" spans="1:15" x14ac:dyDescent="0.3">
      <c r="A495" s="91">
        <v>503</v>
      </c>
      <c r="B495" s="92" t="str">
        <f t="shared" si="7"/>
        <v>-Junior Varsity 2-Skeet</v>
      </c>
      <c r="C495" s="92"/>
      <c r="D495" s="92" t="s">
        <v>347</v>
      </c>
      <c r="E495" s="92" t="s">
        <v>143</v>
      </c>
      <c r="F495" s="101" t="str">
        <f>IF(E495="Skeet",IFERROR(INDEX('Shooter-Squad Assignment'!$A:$A,MATCH(C495&amp;"-"&amp;D495&amp;"-"&amp;E495&amp;"-Pos1",'Shooter-Squad Assignment'!#REF!,0)),""),IF(E495="Trap",IFERROR(INDEX('Shooter-Squad Assignment'!$A:$A,MATCH(C495&amp;"-"&amp;D495&amp;"-"&amp;E495&amp;"-Pos1",'Shooter-Squad Assignment'!$V:$V,0)),""),IF(E495="Sporting Clays",IFERROR(INDEX('Shooter-Squad Assignment'!$A:$A,MATCH(C495&amp;"-"&amp;D495&amp;"-"&amp;E495&amp;"-Pos1",'Shooter-Squad Assignment'!$Y:$Y,0)),""),"")))</f>
        <v/>
      </c>
      <c r="G495" s="92" t="str">
        <f>IF(ISBLANK(F495),"",IFERROR(INDEX('Tournament List'!$D:$D,MATCH(F495,'Tournament List'!$A:$A,0)),""))</f>
        <v/>
      </c>
      <c r="H495" s="101" t="str">
        <f>IF(E495="Skeet",IFERROR(INDEX('Shooter-Squad Assignment'!$A:$A,MATCH(C495&amp;"-"&amp;D495&amp;"-"&amp;E495&amp;"-Pos2",'Shooter-Squad Assignment'!#REF!,0)),""),IF(E495="Trap",IFERROR(INDEX('Shooter-Squad Assignment'!$A:$A,MATCH(C495&amp;"-"&amp;D495&amp;"-"&amp;E495&amp;"-Pos2",'Shooter-Squad Assignment'!$V:$V,0)),""),IF(E495="Sporting Clays",IFERROR(INDEX('Shooter-Squad Assignment'!$A:$A,MATCH(C495&amp;"-"&amp;D495&amp;"-"&amp;E495&amp;"-Pos2",'Shooter-Squad Assignment'!$Y:$Y,0)),""),"")))</f>
        <v/>
      </c>
      <c r="I495" s="92" t="str">
        <f>IF(ISBLANK(H495),"",IFERROR(INDEX('Tournament List'!$D:$D,MATCH(H495,'Tournament List'!$A:$A,0)),""))</f>
        <v/>
      </c>
      <c r="J495" s="101" t="str">
        <f>IF(E495="Skeet",IFERROR(INDEX('Shooter-Squad Assignment'!$A:$A,MATCH(C495&amp;"-"&amp;D495&amp;"-"&amp;E495&amp;"-Pos3",'Shooter-Squad Assignment'!#REF!,0)),""),IF(E495="Trap",IFERROR(INDEX('Shooter-Squad Assignment'!$A:$A,MATCH(C495&amp;"-"&amp;D495&amp;"-"&amp;E495&amp;"-Pos3",'Shooter-Squad Assignment'!$V:$V,0)),""),IF(E495="Sporting Clays",IFERROR(INDEX('Shooter-Squad Assignment'!$A:$A,MATCH(C495&amp;"-"&amp;D495&amp;"-"&amp;E495&amp;"-Pos3",'Shooter-Squad Assignment'!$Y:$Y,0)),""),"")))</f>
        <v/>
      </c>
      <c r="K495" s="92" t="str">
        <f>IF(ISBLANK(J495),"",IFERROR(INDEX('Tournament List'!$D:$D,MATCH(J495,'Tournament List'!$A:$A,0)),""))</f>
        <v/>
      </c>
      <c r="L495" s="101" t="str">
        <f>IF(E495="Skeet",IFERROR(INDEX('Shooter-Squad Assignment'!$A:$A,MATCH(C495&amp;"-"&amp;D495&amp;"-"&amp;E495&amp;"-Pos4",'Shooter-Squad Assignment'!#REF!,0)),""),IF(E495="Trap",IFERROR(INDEX('Shooter-Squad Assignment'!$A:$A,MATCH(C495&amp;"-"&amp;D495&amp;"-"&amp;E495&amp;"-Pos4",'Shooter-Squad Assignment'!$V:$V,0)),""),IF(E495="Sporting Clays",IFERROR(INDEX('Shooter-Squad Assignment'!$A:$A,MATCH(C495&amp;"-"&amp;D495&amp;"-"&amp;E495&amp;"-Pos4",'Shooter-Squad Assignment'!$Y:$Y,0)),""),"")))</f>
        <v/>
      </c>
      <c r="M495" s="92" t="str">
        <f>IF(ISBLANK(L495),"",IFERROR(INDEX('Tournament List'!$D:$D,MATCH(L495,'Tournament List'!$A:$A,0)),""))</f>
        <v/>
      </c>
      <c r="N495" s="101" t="str">
        <f>IF(E495="Skeet",IFERROR(INDEX('Shooter-Squad Assignment'!$A:$A,MATCH(C495&amp;"-"&amp;D495&amp;"-"&amp;E495&amp;"-Pos5",'Shooter-Squad Assignment'!#REF!,0)),""),IF(E495="Trap",IFERROR(INDEX('Shooter-Squad Assignment'!$A:$A,MATCH(C495&amp;"-"&amp;D495&amp;"-"&amp;E495&amp;"-Pos5",'Shooter-Squad Assignment'!$V:$V,0)),""),IF(E495="Sporting Clays",IFERROR(INDEX('Shooter-Squad Assignment'!$A:$A,MATCH(C495&amp;"-"&amp;D495&amp;"-"&amp;E495&amp;"-Pos5",'Shooter-Squad Assignment'!$Y:$Y,0)),""),"")))</f>
        <v/>
      </c>
      <c r="O495" s="93" t="str">
        <f>IF(ISBLANK(N495),"",IFERROR(INDEX('Tournament List'!$D:$D,MATCH(N495,'Tournament List'!$A:$A,0)),""))</f>
        <v/>
      </c>
    </row>
    <row r="496" spans="1:15" x14ac:dyDescent="0.3">
      <c r="A496" s="91">
        <v>504</v>
      </c>
      <c r="B496" s="92" t="str">
        <f t="shared" si="7"/>
        <v>-Junior Varsity 3-Skeet</v>
      </c>
      <c r="C496" s="92"/>
      <c r="D496" s="92" t="s">
        <v>353</v>
      </c>
      <c r="E496" s="92" t="s">
        <v>143</v>
      </c>
      <c r="F496" s="101" t="str">
        <f>IF(E496="Skeet",IFERROR(INDEX('Shooter-Squad Assignment'!$A:$A,MATCH(C496&amp;"-"&amp;D496&amp;"-"&amp;E496&amp;"-Pos1",'Shooter-Squad Assignment'!#REF!,0)),""),IF(E496="Trap",IFERROR(INDEX('Shooter-Squad Assignment'!$A:$A,MATCH(C496&amp;"-"&amp;D496&amp;"-"&amp;E496&amp;"-Pos1",'Shooter-Squad Assignment'!$V:$V,0)),""),IF(E496="Sporting Clays",IFERROR(INDEX('Shooter-Squad Assignment'!$A:$A,MATCH(C496&amp;"-"&amp;D496&amp;"-"&amp;E496&amp;"-Pos1",'Shooter-Squad Assignment'!$Y:$Y,0)),""),"")))</f>
        <v/>
      </c>
      <c r="G496" s="92" t="str">
        <f>IF(ISBLANK(F496),"",IFERROR(INDEX('Tournament List'!$D:$D,MATCH(F496,'Tournament List'!$A:$A,0)),""))</f>
        <v/>
      </c>
      <c r="H496" s="101" t="str">
        <f>IF(E496="Skeet",IFERROR(INDEX('Shooter-Squad Assignment'!$A:$A,MATCH(C496&amp;"-"&amp;D496&amp;"-"&amp;E496&amp;"-Pos2",'Shooter-Squad Assignment'!#REF!,0)),""),IF(E496="Trap",IFERROR(INDEX('Shooter-Squad Assignment'!$A:$A,MATCH(C496&amp;"-"&amp;D496&amp;"-"&amp;E496&amp;"-Pos2",'Shooter-Squad Assignment'!$V:$V,0)),""),IF(E496="Sporting Clays",IFERROR(INDEX('Shooter-Squad Assignment'!$A:$A,MATCH(C496&amp;"-"&amp;D496&amp;"-"&amp;E496&amp;"-Pos2",'Shooter-Squad Assignment'!$Y:$Y,0)),""),"")))</f>
        <v/>
      </c>
      <c r="I496" s="92" t="str">
        <f>IF(ISBLANK(H496),"",IFERROR(INDEX('Tournament List'!$D:$D,MATCH(H496,'Tournament List'!$A:$A,0)),""))</f>
        <v/>
      </c>
      <c r="J496" s="101" t="str">
        <f>IF(E496="Skeet",IFERROR(INDEX('Shooter-Squad Assignment'!$A:$A,MATCH(C496&amp;"-"&amp;D496&amp;"-"&amp;E496&amp;"-Pos3",'Shooter-Squad Assignment'!#REF!,0)),""),IF(E496="Trap",IFERROR(INDEX('Shooter-Squad Assignment'!$A:$A,MATCH(C496&amp;"-"&amp;D496&amp;"-"&amp;E496&amp;"-Pos3",'Shooter-Squad Assignment'!$V:$V,0)),""),IF(E496="Sporting Clays",IFERROR(INDEX('Shooter-Squad Assignment'!$A:$A,MATCH(C496&amp;"-"&amp;D496&amp;"-"&amp;E496&amp;"-Pos3",'Shooter-Squad Assignment'!$Y:$Y,0)),""),"")))</f>
        <v/>
      </c>
      <c r="K496" s="92" t="str">
        <f>IF(ISBLANK(J496),"",IFERROR(INDEX('Tournament List'!$D:$D,MATCH(J496,'Tournament List'!$A:$A,0)),""))</f>
        <v/>
      </c>
      <c r="L496" s="101" t="str">
        <f>IF(E496="Skeet",IFERROR(INDEX('Shooter-Squad Assignment'!$A:$A,MATCH(C496&amp;"-"&amp;D496&amp;"-"&amp;E496&amp;"-Pos4",'Shooter-Squad Assignment'!#REF!,0)),""),IF(E496="Trap",IFERROR(INDEX('Shooter-Squad Assignment'!$A:$A,MATCH(C496&amp;"-"&amp;D496&amp;"-"&amp;E496&amp;"-Pos4",'Shooter-Squad Assignment'!$V:$V,0)),""),IF(E496="Sporting Clays",IFERROR(INDEX('Shooter-Squad Assignment'!$A:$A,MATCH(C496&amp;"-"&amp;D496&amp;"-"&amp;E496&amp;"-Pos4",'Shooter-Squad Assignment'!$Y:$Y,0)),""),"")))</f>
        <v/>
      </c>
      <c r="M496" s="92" t="str">
        <f>IF(ISBLANK(L496),"",IFERROR(INDEX('Tournament List'!$D:$D,MATCH(L496,'Tournament List'!$A:$A,0)),""))</f>
        <v/>
      </c>
      <c r="N496" s="101" t="str">
        <f>IF(E496="Skeet",IFERROR(INDEX('Shooter-Squad Assignment'!$A:$A,MATCH(C496&amp;"-"&amp;D496&amp;"-"&amp;E496&amp;"-Pos5",'Shooter-Squad Assignment'!#REF!,0)),""),IF(E496="Trap",IFERROR(INDEX('Shooter-Squad Assignment'!$A:$A,MATCH(C496&amp;"-"&amp;D496&amp;"-"&amp;E496&amp;"-Pos5",'Shooter-Squad Assignment'!$V:$V,0)),""),IF(E496="Sporting Clays",IFERROR(INDEX('Shooter-Squad Assignment'!$A:$A,MATCH(C496&amp;"-"&amp;D496&amp;"-"&amp;E496&amp;"-Pos5",'Shooter-Squad Assignment'!$Y:$Y,0)),""),"")))</f>
        <v/>
      </c>
      <c r="O496" s="93" t="str">
        <f>IF(ISBLANK(N496),"",IFERROR(INDEX('Tournament List'!$D:$D,MATCH(N496,'Tournament List'!$A:$A,0)),""))</f>
        <v/>
      </c>
    </row>
    <row r="497" spans="1:15" x14ac:dyDescent="0.3">
      <c r="A497" s="91">
        <v>505</v>
      </c>
      <c r="B497" s="92" t="str">
        <f t="shared" si="7"/>
        <v>-Novice 1-Skeet</v>
      </c>
      <c r="C497" s="92"/>
      <c r="D497" s="92" t="s">
        <v>339</v>
      </c>
      <c r="E497" s="92" t="s">
        <v>143</v>
      </c>
      <c r="F497" s="101" t="str">
        <f>IF(E497="Skeet",IFERROR(INDEX('Shooter-Squad Assignment'!$A:$A,MATCH(C497&amp;"-"&amp;D497&amp;"-"&amp;E497&amp;"-Pos1",'Shooter-Squad Assignment'!#REF!,0)),""),IF(E497="Trap",IFERROR(INDEX('Shooter-Squad Assignment'!$A:$A,MATCH(C497&amp;"-"&amp;D497&amp;"-"&amp;E497&amp;"-Pos1",'Shooter-Squad Assignment'!$V:$V,0)),""),IF(E497="Sporting Clays",IFERROR(INDEX('Shooter-Squad Assignment'!$A:$A,MATCH(C497&amp;"-"&amp;D497&amp;"-"&amp;E497&amp;"-Pos1",'Shooter-Squad Assignment'!$Y:$Y,0)),""),"")))</f>
        <v/>
      </c>
      <c r="G497" s="92" t="str">
        <f>IF(ISBLANK(F497),"",IFERROR(INDEX('Tournament List'!$D:$D,MATCH(F497,'Tournament List'!$A:$A,0)),""))</f>
        <v/>
      </c>
      <c r="H497" s="101" t="str">
        <f>IF(E497="Skeet",IFERROR(INDEX('Shooter-Squad Assignment'!$A:$A,MATCH(C497&amp;"-"&amp;D497&amp;"-"&amp;E497&amp;"-Pos2",'Shooter-Squad Assignment'!#REF!,0)),""),IF(E497="Trap",IFERROR(INDEX('Shooter-Squad Assignment'!$A:$A,MATCH(C497&amp;"-"&amp;D497&amp;"-"&amp;E497&amp;"-Pos2",'Shooter-Squad Assignment'!$V:$V,0)),""),IF(E497="Sporting Clays",IFERROR(INDEX('Shooter-Squad Assignment'!$A:$A,MATCH(C497&amp;"-"&amp;D497&amp;"-"&amp;E497&amp;"-Pos2",'Shooter-Squad Assignment'!$Y:$Y,0)),""),"")))</f>
        <v/>
      </c>
      <c r="I497" s="92" t="str">
        <f>IF(ISBLANK(H497),"",IFERROR(INDEX('Tournament List'!$D:$D,MATCH(H497,'Tournament List'!$A:$A,0)),""))</f>
        <v/>
      </c>
      <c r="J497" s="101" t="str">
        <f>IF(E497="Skeet",IFERROR(INDEX('Shooter-Squad Assignment'!$A:$A,MATCH(C497&amp;"-"&amp;D497&amp;"-"&amp;E497&amp;"-Pos3",'Shooter-Squad Assignment'!#REF!,0)),""),IF(E497="Trap",IFERROR(INDEX('Shooter-Squad Assignment'!$A:$A,MATCH(C497&amp;"-"&amp;D497&amp;"-"&amp;E497&amp;"-Pos3",'Shooter-Squad Assignment'!$V:$V,0)),""),IF(E497="Sporting Clays",IFERROR(INDEX('Shooter-Squad Assignment'!$A:$A,MATCH(C497&amp;"-"&amp;D497&amp;"-"&amp;E497&amp;"-Pos3",'Shooter-Squad Assignment'!$Y:$Y,0)),""),"")))</f>
        <v/>
      </c>
      <c r="K497" s="92" t="str">
        <f>IF(ISBLANK(J497),"",IFERROR(INDEX('Tournament List'!$D:$D,MATCH(J497,'Tournament List'!$A:$A,0)),""))</f>
        <v/>
      </c>
      <c r="L497" s="101" t="str">
        <f>IF(E497="Skeet",IFERROR(INDEX('Shooter-Squad Assignment'!$A:$A,MATCH(C497&amp;"-"&amp;D497&amp;"-"&amp;E497&amp;"-Pos4",'Shooter-Squad Assignment'!#REF!,0)),""),IF(E497="Trap",IFERROR(INDEX('Shooter-Squad Assignment'!$A:$A,MATCH(C497&amp;"-"&amp;D497&amp;"-"&amp;E497&amp;"-Pos4",'Shooter-Squad Assignment'!$V:$V,0)),""),IF(E497="Sporting Clays",IFERROR(INDEX('Shooter-Squad Assignment'!$A:$A,MATCH(C497&amp;"-"&amp;D497&amp;"-"&amp;E497&amp;"-Pos4",'Shooter-Squad Assignment'!$Y:$Y,0)),""),"")))</f>
        <v/>
      </c>
      <c r="M497" s="92" t="str">
        <f>IF(ISBLANK(L497),"",IFERROR(INDEX('Tournament List'!$D:$D,MATCH(L497,'Tournament List'!$A:$A,0)),""))</f>
        <v/>
      </c>
      <c r="N497" s="101" t="str">
        <f>IF(E497="Skeet",IFERROR(INDEX('Shooter-Squad Assignment'!$A:$A,MATCH(C497&amp;"-"&amp;D497&amp;"-"&amp;E497&amp;"-Pos5",'Shooter-Squad Assignment'!#REF!,0)),""),IF(E497="Trap",IFERROR(INDEX('Shooter-Squad Assignment'!$A:$A,MATCH(C497&amp;"-"&amp;D497&amp;"-"&amp;E497&amp;"-Pos5",'Shooter-Squad Assignment'!$V:$V,0)),""),IF(E497="Sporting Clays",IFERROR(INDEX('Shooter-Squad Assignment'!$A:$A,MATCH(C497&amp;"-"&amp;D497&amp;"-"&amp;E497&amp;"-Pos5",'Shooter-Squad Assignment'!$Y:$Y,0)),""),"")))</f>
        <v/>
      </c>
      <c r="O497" s="93" t="str">
        <f>IF(ISBLANK(N497),"",IFERROR(INDEX('Tournament List'!$D:$D,MATCH(N497,'Tournament List'!$A:$A,0)),""))</f>
        <v/>
      </c>
    </row>
    <row r="498" spans="1:15" x14ac:dyDescent="0.3">
      <c r="A498" s="91">
        <v>506</v>
      </c>
      <c r="B498" s="92" t="str">
        <f t="shared" si="7"/>
        <v>-Novice 2-Skeet</v>
      </c>
      <c r="C498" s="92"/>
      <c r="D498" s="92" t="s">
        <v>345</v>
      </c>
      <c r="E498" s="92" t="s">
        <v>143</v>
      </c>
      <c r="F498" s="101" t="str">
        <f>IF(E498="Skeet",IFERROR(INDEX('Shooter-Squad Assignment'!$A:$A,MATCH(C498&amp;"-"&amp;D498&amp;"-"&amp;E498&amp;"-Pos1",'Shooter-Squad Assignment'!#REF!,0)),""),IF(E498="Trap",IFERROR(INDEX('Shooter-Squad Assignment'!$A:$A,MATCH(C498&amp;"-"&amp;D498&amp;"-"&amp;E498&amp;"-Pos1",'Shooter-Squad Assignment'!$V:$V,0)),""),IF(E498="Sporting Clays",IFERROR(INDEX('Shooter-Squad Assignment'!$A:$A,MATCH(C498&amp;"-"&amp;D498&amp;"-"&amp;E498&amp;"-Pos1",'Shooter-Squad Assignment'!$Y:$Y,0)),""),"")))</f>
        <v/>
      </c>
      <c r="G498" s="92" t="str">
        <f>IF(ISBLANK(F498),"",IFERROR(INDEX('Tournament List'!$D:$D,MATCH(F498,'Tournament List'!$A:$A,0)),""))</f>
        <v/>
      </c>
      <c r="H498" s="101" t="str">
        <f>IF(E498="Skeet",IFERROR(INDEX('Shooter-Squad Assignment'!$A:$A,MATCH(C498&amp;"-"&amp;D498&amp;"-"&amp;E498&amp;"-Pos2",'Shooter-Squad Assignment'!#REF!,0)),""),IF(E498="Trap",IFERROR(INDEX('Shooter-Squad Assignment'!$A:$A,MATCH(C498&amp;"-"&amp;D498&amp;"-"&amp;E498&amp;"-Pos2",'Shooter-Squad Assignment'!$V:$V,0)),""),IF(E498="Sporting Clays",IFERROR(INDEX('Shooter-Squad Assignment'!$A:$A,MATCH(C498&amp;"-"&amp;D498&amp;"-"&amp;E498&amp;"-Pos2",'Shooter-Squad Assignment'!$Y:$Y,0)),""),"")))</f>
        <v/>
      </c>
      <c r="I498" s="92" t="str">
        <f>IF(ISBLANK(H498),"",IFERROR(INDEX('Tournament List'!$D:$D,MATCH(H498,'Tournament List'!$A:$A,0)),""))</f>
        <v/>
      </c>
      <c r="J498" s="101" t="str">
        <f>IF(E498="Skeet",IFERROR(INDEX('Shooter-Squad Assignment'!$A:$A,MATCH(C498&amp;"-"&amp;D498&amp;"-"&amp;E498&amp;"-Pos3",'Shooter-Squad Assignment'!#REF!,0)),""),IF(E498="Trap",IFERROR(INDEX('Shooter-Squad Assignment'!$A:$A,MATCH(C498&amp;"-"&amp;D498&amp;"-"&amp;E498&amp;"-Pos3",'Shooter-Squad Assignment'!$V:$V,0)),""),IF(E498="Sporting Clays",IFERROR(INDEX('Shooter-Squad Assignment'!$A:$A,MATCH(C498&amp;"-"&amp;D498&amp;"-"&amp;E498&amp;"-Pos3",'Shooter-Squad Assignment'!$Y:$Y,0)),""),"")))</f>
        <v/>
      </c>
      <c r="K498" s="92" t="str">
        <f>IF(ISBLANK(J498),"",IFERROR(INDEX('Tournament List'!$D:$D,MATCH(J498,'Tournament List'!$A:$A,0)),""))</f>
        <v/>
      </c>
      <c r="L498" s="101" t="str">
        <f>IF(E498="Skeet",IFERROR(INDEX('Shooter-Squad Assignment'!$A:$A,MATCH(C498&amp;"-"&amp;D498&amp;"-"&amp;E498&amp;"-Pos4",'Shooter-Squad Assignment'!#REF!,0)),""),IF(E498="Trap",IFERROR(INDEX('Shooter-Squad Assignment'!$A:$A,MATCH(C498&amp;"-"&amp;D498&amp;"-"&amp;E498&amp;"-Pos4",'Shooter-Squad Assignment'!$V:$V,0)),""),IF(E498="Sporting Clays",IFERROR(INDEX('Shooter-Squad Assignment'!$A:$A,MATCH(C498&amp;"-"&amp;D498&amp;"-"&amp;E498&amp;"-Pos4",'Shooter-Squad Assignment'!$Y:$Y,0)),""),"")))</f>
        <v/>
      </c>
      <c r="M498" s="92" t="str">
        <f>IF(ISBLANK(L498),"",IFERROR(INDEX('Tournament List'!$D:$D,MATCH(L498,'Tournament List'!$A:$A,0)),""))</f>
        <v/>
      </c>
      <c r="N498" s="101" t="str">
        <f>IF(E498="Skeet",IFERROR(INDEX('Shooter-Squad Assignment'!$A:$A,MATCH(C498&amp;"-"&amp;D498&amp;"-"&amp;E498&amp;"-Pos5",'Shooter-Squad Assignment'!#REF!,0)),""),IF(E498="Trap",IFERROR(INDEX('Shooter-Squad Assignment'!$A:$A,MATCH(C498&amp;"-"&amp;D498&amp;"-"&amp;E498&amp;"-Pos5",'Shooter-Squad Assignment'!$V:$V,0)),""),IF(E498="Sporting Clays",IFERROR(INDEX('Shooter-Squad Assignment'!$A:$A,MATCH(C498&amp;"-"&amp;D498&amp;"-"&amp;E498&amp;"-Pos5",'Shooter-Squad Assignment'!$Y:$Y,0)),""),"")))</f>
        <v/>
      </c>
      <c r="O498" s="93" t="str">
        <f>IF(ISBLANK(N498),"",IFERROR(INDEX('Tournament List'!$D:$D,MATCH(N498,'Tournament List'!$A:$A,0)),""))</f>
        <v/>
      </c>
    </row>
    <row r="499" spans="1:15" x14ac:dyDescent="0.3">
      <c r="A499" s="91">
        <v>507</v>
      </c>
      <c r="B499" s="92" t="str">
        <f t="shared" si="7"/>
        <v>-Novice 3-Skeet</v>
      </c>
      <c r="C499" s="92"/>
      <c r="D499" s="92" t="s">
        <v>351</v>
      </c>
      <c r="E499" s="92" t="s">
        <v>143</v>
      </c>
      <c r="F499" s="101" t="str">
        <f>IF(E499="Skeet",IFERROR(INDEX('Shooter-Squad Assignment'!$A:$A,MATCH(C499&amp;"-"&amp;D499&amp;"-"&amp;E499&amp;"-Pos1",'Shooter-Squad Assignment'!#REF!,0)),""),IF(E499="Trap",IFERROR(INDEX('Shooter-Squad Assignment'!$A:$A,MATCH(C499&amp;"-"&amp;D499&amp;"-"&amp;E499&amp;"-Pos1",'Shooter-Squad Assignment'!$V:$V,0)),""),IF(E499="Sporting Clays",IFERROR(INDEX('Shooter-Squad Assignment'!$A:$A,MATCH(C499&amp;"-"&amp;D499&amp;"-"&amp;E499&amp;"-Pos1",'Shooter-Squad Assignment'!$Y:$Y,0)),""),"")))</f>
        <v/>
      </c>
      <c r="G499" s="92" t="str">
        <f>IF(ISBLANK(F499),"",IFERROR(INDEX('Tournament List'!$D:$D,MATCH(F499,'Tournament List'!$A:$A,0)),""))</f>
        <v/>
      </c>
      <c r="H499" s="101" t="str">
        <f>IF(E499="Skeet",IFERROR(INDEX('Shooter-Squad Assignment'!$A:$A,MATCH(C499&amp;"-"&amp;D499&amp;"-"&amp;E499&amp;"-Pos2",'Shooter-Squad Assignment'!#REF!,0)),""),IF(E499="Trap",IFERROR(INDEX('Shooter-Squad Assignment'!$A:$A,MATCH(C499&amp;"-"&amp;D499&amp;"-"&amp;E499&amp;"-Pos2",'Shooter-Squad Assignment'!$V:$V,0)),""),IF(E499="Sporting Clays",IFERROR(INDEX('Shooter-Squad Assignment'!$A:$A,MATCH(C499&amp;"-"&amp;D499&amp;"-"&amp;E499&amp;"-Pos2",'Shooter-Squad Assignment'!$Y:$Y,0)),""),"")))</f>
        <v/>
      </c>
      <c r="I499" s="92" t="str">
        <f>IF(ISBLANK(H499),"",IFERROR(INDEX('Tournament List'!$D:$D,MATCH(H499,'Tournament List'!$A:$A,0)),""))</f>
        <v/>
      </c>
      <c r="J499" s="101" t="str">
        <f>IF(E499="Skeet",IFERROR(INDEX('Shooter-Squad Assignment'!$A:$A,MATCH(C499&amp;"-"&amp;D499&amp;"-"&amp;E499&amp;"-Pos3",'Shooter-Squad Assignment'!#REF!,0)),""),IF(E499="Trap",IFERROR(INDEX('Shooter-Squad Assignment'!$A:$A,MATCH(C499&amp;"-"&amp;D499&amp;"-"&amp;E499&amp;"-Pos3",'Shooter-Squad Assignment'!$V:$V,0)),""),IF(E499="Sporting Clays",IFERROR(INDEX('Shooter-Squad Assignment'!$A:$A,MATCH(C499&amp;"-"&amp;D499&amp;"-"&amp;E499&amp;"-Pos3",'Shooter-Squad Assignment'!$Y:$Y,0)),""),"")))</f>
        <v/>
      </c>
      <c r="K499" s="92" t="str">
        <f>IF(ISBLANK(J499),"",IFERROR(INDEX('Tournament List'!$D:$D,MATCH(J499,'Tournament List'!$A:$A,0)),""))</f>
        <v/>
      </c>
      <c r="L499" s="101" t="str">
        <f>IF(E499="Skeet",IFERROR(INDEX('Shooter-Squad Assignment'!$A:$A,MATCH(C499&amp;"-"&amp;D499&amp;"-"&amp;E499&amp;"-Pos4",'Shooter-Squad Assignment'!#REF!,0)),""),IF(E499="Trap",IFERROR(INDEX('Shooter-Squad Assignment'!$A:$A,MATCH(C499&amp;"-"&amp;D499&amp;"-"&amp;E499&amp;"-Pos4",'Shooter-Squad Assignment'!$V:$V,0)),""),IF(E499="Sporting Clays",IFERROR(INDEX('Shooter-Squad Assignment'!$A:$A,MATCH(C499&amp;"-"&amp;D499&amp;"-"&amp;E499&amp;"-Pos4",'Shooter-Squad Assignment'!$Y:$Y,0)),""),"")))</f>
        <v/>
      </c>
      <c r="M499" s="92" t="str">
        <f>IF(ISBLANK(L499),"",IFERROR(INDEX('Tournament List'!$D:$D,MATCH(L499,'Tournament List'!$A:$A,0)),""))</f>
        <v/>
      </c>
      <c r="N499" s="101" t="str">
        <f>IF(E499="Skeet",IFERROR(INDEX('Shooter-Squad Assignment'!$A:$A,MATCH(C499&amp;"-"&amp;D499&amp;"-"&amp;E499&amp;"-Pos5",'Shooter-Squad Assignment'!#REF!,0)),""),IF(E499="Trap",IFERROR(INDEX('Shooter-Squad Assignment'!$A:$A,MATCH(C499&amp;"-"&amp;D499&amp;"-"&amp;E499&amp;"-Pos5",'Shooter-Squad Assignment'!$V:$V,0)),""),IF(E499="Sporting Clays",IFERROR(INDEX('Shooter-Squad Assignment'!$A:$A,MATCH(C499&amp;"-"&amp;D499&amp;"-"&amp;E499&amp;"-Pos5",'Shooter-Squad Assignment'!$Y:$Y,0)),""),"")))</f>
        <v/>
      </c>
      <c r="O499" s="93" t="str">
        <f>IF(ISBLANK(N499),"",IFERROR(INDEX('Tournament List'!$D:$D,MATCH(N499,'Tournament List'!$A:$A,0)),""))</f>
        <v/>
      </c>
    </row>
    <row r="500" spans="1:15" x14ac:dyDescent="0.3">
      <c r="A500" s="91">
        <v>508</v>
      </c>
      <c r="B500" s="92" t="str">
        <f t="shared" si="7"/>
        <v>-Open 1-Skeet</v>
      </c>
      <c r="C500" s="92"/>
      <c r="D500" s="92" t="s">
        <v>343</v>
      </c>
      <c r="E500" s="92" t="s">
        <v>143</v>
      </c>
      <c r="F500" s="101" t="str">
        <f>IF(E500="Skeet",IFERROR(INDEX('Shooter-Squad Assignment'!$A:$A,MATCH(C500&amp;"-"&amp;D500&amp;"-"&amp;E500&amp;"-Pos1",'Shooter-Squad Assignment'!#REF!,0)),""),IF(E500="Trap",IFERROR(INDEX('Shooter-Squad Assignment'!$A:$A,MATCH(C500&amp;"-"&amp;D500&amp;"-"&amp;E500&amp;"-Pos1",'Shooter-Squad Assignment'!$V:$V,0)),""),IF(E500="Sporting Clays",IFERROR(INDEX('Shooter-Squad Assignment'!$A:$A,MATCH(C500&amp;"-"&amp;D500&amp;"-"&amp;E500&amp;"-Pos1",'Shooter-Squad Assignment'!$Y:$Y,0)),""),"")))</f>
        <v/>
      </c>
      <c r="G500" s="92" t="str">
        <f>IF(ISBLANK(F500),"",IFERROR(INDEX('Tournament List'!$D:$D,MATCH(F500,'Tournament List'!$A:$A,0)),""))</f>
        <v/>
      </c>
      <c r="H500" s="101" t="str">
        <f>IF(E500="Skeet",IFERROR(INDEX('Shooter-Squad Assignment'!$A:$A,MATCH(C500&amp;"-"&amp;D500&amp;"-"&amp;E500&amp;"-Pos2",'Shooter-Squad Assignment'!#REF!,0)),""),IF(E500="Trap",IFERROR(INDEX('Shooter-Squad Assignment'!$A:$A,MATCH(C500&amp;"-"&amp;D500&amp;"-"&amp;E500&amp;"-Pos2",'Shooter-Squad Assignment'!$V:$V,0)),""),IF(E500="Sporting Clays",IFERROR(INDEX('Shooter-Squad Assignment'!$A:$A,MATCH(C500&amp;"-"&amp;D500&amp;"-"&amp;E500&amp;"-Pos2",'Shooter-Squad Assignment'!$Y:$Y,0)),""),"")))</f>
        <v/>
      </c>
      <c r="I500" s="92" t="str">
        <f>IF(ISBLANK(H500),"",IFERROR(INDEX('Tournament List'!$D:$D,MATCH(H500,'Tournament List'!$A:$A,0)),""))</f>
        <v/>
      </c>
      <c r="J500" s="101" t="str">
        <f>IF(E500="Skeet",IFERROR(INDEX('Shooter-Squad Assignment'!$A:$A,MATCH(C500&amp;"-"&amp;D500&amp;"-"&amp;E500&amp;"-Pos3",'Shooter-Squad Assignment'!#REF!,0)),""),IF(E500="Trap",IFERROR(INDEX('Shooter-Squad Assignment'!$A:$A,MATCH(C500&amp;"-"&amp;D500&amp;"-"&amp;E500&amp;"-Pos3",'Shooter-Squad Assignment'!$V:$V,0)),""),IF(E500="Sporting Clays",IFERROR(INDEX('Shooter-Squad Assignment'!$A:$A,MATCH(C500&amp;"-"&amp;D500&amp;"-"&amp;E500&amp;"-Pos3",'Shooter-Squad Assignment'!$Y:$Y,0)),""),"")))</f>
        <v/>
      </c>
      <c r="K500" s="92" t="str">
        <f>IF(ISBLANK(J500),"",IFERROR(INDEX('Tournament List'!$D:$D,MATCH(J500,'Tournament List'!$A:$A,0)),""))</f>
        <v/>
      </c>
      <c r="L500" s="101" t="str">
        <f>IF(E500="Skeet",IFERROR(INDEX('Shooter-Squad Assignment'!$A:$A,MATCH(C500&amp;"-"&amp;D500&amp;"-"&amp;E500&amp;"-Pos4",'Shooter-Squad Assignment'!#REF!,0)),""),IF(E500="Trap",IFERROR(INDEX('Shooter-Squad Assignment'!$A:$A,MATCH(C500&amp;"-"&amp;D500&amp;"-"&amp;E500&amp;"-Pos4",'Shooter-Squad Assignment'!$V:$V,0)),""),IF(E500="Sporting Clays",IFERROR(INDEX('Shooter-Squad Assignment'!$A:$A,MATCH(C500&amp;"-"&amp;D500&amp;"-"&amp;E500&amp;"-Pos4",'Shooter-Squad Assignment'!$Y:$Y,0)),""),"")))</f>
        <v/>
      </c>
      <c r="M500" s="92" t="str">
        <f>IF(ISBLANK(L500),"",IFERROR(INDEX('Tournament List'!$D:$D,MATCH(L500,'Tournament List'!$A:$A,0)),""))</f>
        <v/>
      </c>
      <c r="N500" s="101" t="str">
        <f>IF(E500="Skeet",IFERROR(INDEX('Shooter-Squad Assignment'!$A:$A,MATCH(C500&amp;"-"&amp;D500&amp;"-"&amp;E500&amp;"-Pos5",'Shooter-Squad Assignment'!#REF!,0)),""),IF(E500="Trap",IFERROR(INDEX('Shooter-Squad Assignment'!$A:$A,MATCH(C500&amp;"-"&amp;D500&amp;"-"&amp;E500&amp;"-Pos5",'Shooter-Squad Assignment'!$V:$V,0)),""),IF(E500="Sporting Clays",IFERROR(INDEX('Shooter-Squad Assignment'!$A:$A,MATCH(C500&amp;"-"&amp;D500&amp;"-"&amp;E500&amp;"-Pos5",'Shooter-Squad Assignment'!$Y:$Y,0)),""),"")))</f>
        <v/>
      </c>
      <c r="O500" s="93" t="str">
        <f>IF(ISBLANK(N500),"",IFERROR(INDEX('Tournament List'!$D:$D,MATCH(N500,'Tournament List'!$A:$A,0)),""))</f>
        <v/>
      </c>
    </row>
    <row r="501" spans="1:15" x14ac:dyDescent="0.3">
      <c r="A501" s="91">
        <v>509</v>
      </c>
      <c r="B501" s="92" t="str">
        <f t="shared" si="7"/>
        <v>-Open 2-Skeet</v>
      </c>
      <c r="C501" s="92"/>
      <c r="D501" s="92" t="s">
        <v>349</v>
      </c>
      <c r="E501" s="92" t="s">
        <v>143</v>
      </c>
      <c r="F501" s="101" t="str">
        <f>IF(E501="Skeet",IFERROR(INDEX('Shooter-Squad Assignment'!$A:$A,MATCH(C501&amp;"-"&amp;D501&amp;"-"&amp;E501&amp;"-Pos1",'Shooter-Squad Assignment'!#REF!,0)),""),IF(E501="Trap",IFERROR(INDEX('Shooter-Squad Assignment'!$A:$A,MATCH(C501&amp;"-"&amp;D501&amp;"-"&amp;E501&amp;"-Pos1",'Shooter-Squad Assignment'!$V:$V,0)),""),IF(E501="Sporting Clays",IFERROR(INDEX('Shooter-Squad Assignment'!$A:$A,MATCH(C501&amp;"-"&amp;D501&amp;"-"&amp;E501&amp;"-Pos1",'Shooter-Squad Assignment'!$Y:$Y,0)),""),"")))</f>
        <v/>
      </c>
      <c r="G501" s="92" t="str">
        <f>IF(ISBLANK(F501),"",IFERROR(INDEX('Tournament List'!$D:$D,MATCH(F501,'Tournament List'!$A:$A,0)),""))</f>
        <v/>
      </c>
      <c r="H501" s="101" t="str">
        <f>IF(E501="Skeet",IFERROR(INDEX('Shooter-Squad Assignment'!$A:$A,MATCH(C501&amp;"-"&amp;D501&amp;"-"&amp;E501&amp;"-Pos2",'Shooter-Squad Assignment'!#REF!,0)),""),IF(E501="Trap",IFERROR(INDEX('Shooter-Squad Assignment'!$A:$A,MATCH(C501&amp;"-"&amp;D501&amp;"-"&amp;E501&amp;"-Pos2",'Shooter-Squad Assignment'!$V:$V,0)),""),IF(E501="Sporting Clays",IFERROR(INDEX('Shooter-Squad Assignment'!$A:$A,MATCH(C501&amp;"-"&amp;D501&amp;"-"&amp;E501&amp;"-Pos2",'Shooter-Squad Assignment'!$Y:$Y,0)),""),"")))</f>
        <v/>
      </c>
      <c r="I501" s="92" t="str">
        <f>IF(ISBLANK(H501),"",IFERROR(INDEX('Tournament List'!$D:$D,MATCH(H501,'Tournament List'!$A:$A,0)),""))</f>
        <v/>
      </c>
      <c r="J501" s="101" t="str">
        <f>IF(E501="Skeet",IFERROR(INDEX('Shooter-Squad Assignment'!$A:$A,MATCH(C501&amp;"-"&amp;D501&amp;"-"&amp;E501&amp;"-Pos3",'Shooter-Squad Assignment'!#REF!,0)),""),IF(E501="Trap",IFERROR(INDEX('Shooter-Squad Assignment'!$A:$A,MATCH(C501&amp;"-"&amp;D501&amp;"-"&amp;E501&amp;"-Pos3",'Shooter-Squad Assignment'!$V:$V,0)),""),IF(E501="Sporting Clays",IFERROR(INDEX('Shooter-Squad Assignment'!$A:$A,MATCH(C501&amp;"-"&amp;D501&amp;"-"&amp;E501&amp;"-Pos3",'Shooter-Squad Assignment'!$Y:$Y,0)),""),"")))</f>
        <v/>
      </c>
      <c r="K501" s="92" t="str">
        <f>IF(ISBLANK(J501),"",IFERROR(INDEX('Tournament List'!$D:$D,MATCH(J501,'Tournament List'!$A:$A,0)),""))</f>
        <v/>
      </c>
      <c r="L501" s="101" t="str">
        <f>IF(E501="Skeet",IFERROR(INDEX('Shooter-Squad Assignment'!$A:$A,MATCH(C501&amp;"-"&amp;D501&amp;"-"&amp;E501&amp;"-Pos4",'Shooter-Squad Assignment'!#REF!,0)),""),IF(E501="Trap",IFERROR(INDEX('Shooter-Squad Assignment'!$A:$A,MATCH(C501&amp;"-"&amp;D501&amp;"-"&amp;E501&amp;"-Pos4",'Shooter-Squad Assignment'!$V:$V,0)),""),IF(E501="Sporting Clays",IFERROR(INDEX('Shooter-Squad Assignment'!$A:$A,MATCH(C501&amp;"-"&amp;D501&amp;"-"&amp;E501&amp;"-Pos4",'Shooter-Squad Assignment'!$Y:$Y,0)),""),"")))</f>
        <v/>
      </c>
      <c r="M501" s="92" t="str">
        <f>IF(ISBLANK(L501),"",IFERROR(INDEX('Tournament List'!$D:$D,MATCH(L501,'Tournament List'!$A:$A,0)),""))</f>
        <v/>
      </c>
      <c r="N501" s="101" t="str">
        <f>IF(E501="Skeet",IFERROR(INDEX('Shooter-Squad Assignment'!$A:$A,MATCH(C501&amp;"-"&amp;D501&amp;"-"&amp;E501&amp;"-Pos5",'Shooter-Squad Assignment'!#REF!,0)),""),IF(E501="Trap",IFERROR(INDEX('Shooter-Squad Assignment'!$A:$A,MATCH(C501&amp;"-"&amp;D501&amp;"-"&amp;E501&amp;"-Pos5",'Shooter-Squad Assignment'!$V:$V,0)),""),IF(E501="Sporting Clays",IFERROR(INDEX('Shooter-Squad Assignment'!$A:$A,MATCH(C501&amp;"-"&amp;D501&amp;"-"&amp;E501&amp;"-Pos5",'Shooter-Squad Assignment'!$Y:$Y,0)),""),"")))</f>
        <v/>
      </c>
      <c r="O501" s="93" t="str">
        <f>IF(ISBLANK(N501),"",IFERROR(INDEX('Tournament List'!$D:$D,MATCH(N501,'Tournament List'!$A:$A,0)),""))</f>
        <v/>
      </c>
    </row>
    <row r="502" spans="1:15" x14ac:dyDescent="0.3">
      <c r="A502" s="91">
        <v>510</v>
      </c>
      <c r="B502" s="92" t="str">
        <f t="shared" si="7"/>
        <v>-Open 3-Skeet</v>
      </c>
      <c r="C502" s="92"/>
      <c r="D502" s="92" t="s">
        <v>355</v>
      </c>
      <c r="E502" s="92" t="s">
        <v>143</v>
      </c>
      <c r="F502" s="101" t="str">
        <f>IF(E502="Skeet",IFERROR(INDEX('Shooter-Squad Assignment'!$A:$A,MATCH(C502&amp;"-"&amp;D502&amp;"-"&amp;E502&amp;"-Pos1",'Shooter-Squad Assignment'!#REF!,0)),""),IF(E502="Trap",IFERROR(INDEX('Shooter-Squad Assignment'!$A:$A,MATCH(C502&amp;"-"&amp;D502&amp;"-"&amp;E502&amp;"-Pos1",'Shooter-Squad Assignment'!$V:$V,0)),""),IF(E502="Sporting Clays",IFERROR(INDEX('Shooter-Squad Assignment'!$A:$A,MATCH(C502&amp;"-"&amp;D502&amp;"-"&amp;E502&amp;"-Pos1",'Shooter-Squad Assignment'!$Y:$Y,0)),""),"")))</f>
        <v/>
      </c>
      <c r="G502" s="92" t="str">
        <f>IF(ISBLANK(F502),"",IFERROR(INDEX('Tournament List'!$D:$D,MATCH(F502,'Tournament List'!$A:$A,0)),""))</f>
        <v/>
      </c>
      <c r="H502" s="101" t="str">
        <f>IF(E502="Skeet",IFERROR(INDEX('Shooter-Squad Assignment'!$A:$A,MATCH(C502&amp;"-"&amp;D502&amp;"-"&amp;E502&amp;"-Pos2",'Shooter-Squad Assignment'!#REF!,0)),""),IF(E502="Trap",IFERROR(INDEX('Shooter-Squad Assignment'!$A:$A,MATCH(C502&amp;"-"&amp;D502&amp;"-"&amp;E502&amp;"-Pos2",'Shooter-Squad Assignment'!$V:$V,0)),""),IF(E502="Sporting Clays",IFERROR(INDEX('Shooter-Squad Assignment'!$A:$A,MATCH(C502&amp;"-"&amp;D502&amp;"-"&amp;E502&amp;"-Pos2",'Shooter-Squad Assignment'!$Y:$Y,0)),""),"")))</f>
        <v/>
      </c>
      <c r="I502" s="92" t="str">
        <f>IF(ISBLANK(H502),"",IFERROR(INDEX('Tournament List'!$D:$D,MATCH(H502,'Tournament List'!$A:$A,0)),""))</f>
        <v/>
      </c>
      <c r="J502" s="101" t="str">
        <f>IF(E502="Skeet",IFERROR(INDEX('Shooter-Squad Assignment'!$A:$A,MATCH(C502&amp;"-"&amp;D502&amp;"-"&amp;E502&amp;"-Pos3",'Shooter-Squad Assignment'!#REF!,0)),""),IF(E502="Trap",IFERROR(INDEX('Shooter-Squad Assignment'!$A:$A,MATCH(C502&amp;"-"&amp;D502&amp;"-"&amp;E502&amp;"-Pos3",'Shooter-Squad Assignment'!$V:$V,0)),""),IF(E502="Sporting Clays",IFERROR(INDEX('Shooter-Squad Assignment'!$A:$A,MATCH(C502&amp;"-"&amp;D502&amp;"-"&amp;E502&amp;"-Pos3",'Shooter-Squad Assignment'!$Y:$Y,0)),""),"")))</f>
        <v/>
      </c>
      <c r="K502" s="92" t="str">
        <f>IF(ISBLANK(J502),"",IFERROR(INDEX('Tournament List'!$D:$D,MATCH(J502,'Tournament List'!$A:$A,0)),""))</f>
        <v/>
      </c>
      <c r="L502" s="101" t="str">
        <f>IF(E502="Skeet",IFERROR(INDEX('Shooter-Squad Assignment'!$A:$A,MATCH(C502&amp;"-"&amp;D502&amp;"-"&amp;E502&amp;"-Pos4",'Shooter-Squad Assignment'!#REF!,0)),""),IF(E502="Trap",IFERROR(INDEX('Shooter-Squad Assignment'!$A:$A,MATCH(C502&amp;"-"&amp;D502&amp;"-"&amp;E502&amp;"-Pos4",'Shooter-Squad Assignment'!$V:$V,0)),""),IF(E502="Sporting Clays",IFERROR(INDEX('Shooter-Squad Assignment'!$A:$A,MATCH(C502&amp;"-"&amp;D502&amp;"-"&amp;E502&amp;"-Pos4",'Shooter-Squad Assignment'!$Y:$Y,0)),""),"")))</f>
        <v/>
      </c>
      <c r="M502" s="92" t="str">
        <f>IF(ISBLANK(L502),"",IFERROR(INDEX('Tournament List'!$D:$D,MATCH(L502,'Tournament List'!$A:$A,0)),""))</f>
        <v/>
      </c>
      <c r="N502" s="101" t="str">
        <f>IF(E502="Skeet",IFERROR(INDEX('Shooter-Squad Assignment'!$A:$A,MATCH(C502&amp;"-"&amp;D502&amp;"-"&amp;E502&amp;"-Pos5",'Shooter-Squad Assignment'!#REF!,0)),""),IF(E502="Trap",IFERROR(INDEX('Shooter-Squad Assignment'!$A:$A,MATCH(C502&amp;"-"&amp;D502&amp;"-"&amp;E502&amp;"-Pos5",'Shooter-Squad Assignment'!$V:$V,0)),""),IF(E502="Sporting Clays",IFERROR(INDEX('Shooter-Squad Assignment'!$A:$A,MATCH(C502&amp;"-"&amp;D502&amp;"-"&amp;E502&amp;"-Pos5",'Shooter-Squad Assignment'!$Y:$Y,0)),""),"")))</f>
        <v/>
      </c>
      <c r="O502" s="93" t="str">
        <f>IF(ISBLANK(N502),"",IFERROR(INDEX('Tournament List'!$D:$D,MATCH(N502,'Tournament List'!$A:$A,0)),""))</f>
        <v/>
      </c>
    </row>
    <row r="503" spans="1:15" x14ac:dyDescent="0.3">
      <c r="A503" s="91">
        <v>511</v>
      </c>
      <c r="B503" s="92" t="str">
        <f t="shared" si="7"/>
        <v>-Varsity 1-Skeet</v>
      </c>
      <c r="C503" s="92"/>
      <c r="D503" s="92" t="s">
        <v>342</v>
      </c>
      <c r="E503" s="92" t="s">
        <v>143</v>
      </c>
      <c r="F503" s="101" t="str">
        <f>IF(E503="Skeet",IFERROR(INDEX('Shooter-Squad Assignment'!$A:$A,MATCH(C503&amp;"-"&amp;D503&amp;"-"&amp;E503&amp;"-Pos1",'Shooter-Squad Assignment'!#REF!,0)),""),IF(E503="Trap",IFERROR(INDEX('Shooter-Squad Assignment'!$A:$A,MATCH(C503&amp;"-"&amp;D503&amp;"-"&amp;E503&amp;"-Pos1",'Shooter-Squad Assignment'!$V:$V,0)),""),IF(E503="Sporting Clays",IFERROR(INDEX('Shooter-Squad Assignment'!$A:$A,MATCH(C503&amp;"-"&amp;D503&amp;"-"&amp;E503&amp;"-Pos1",'Shooter-Squad Assignment'!$Y:$Y,0)),""),"")))</f>
        <v/>
      </c>
      <c r="G503" s="92" t="str">
        <f>IF(ISBLANK(F503),"",IFERROR(INDEX('Tournament List'!$D:$D,MATCH(F503,'Tournament List'!$A:$A,0)),""))</f>
        <v/>
      </c>
      <c r="H503" s="101" t="str">
        <f>IF(E503="Skeet",IFERROR(INDEX('Shooter-Squad Assignment'!$A:$A,MATCH(C503&amp;"-"&amp;D503&amp;"-"&amp;E503&amp;"-Pos2",'Shooter-Squad Assignment'!#REF!,0)),""),IF(E503="Trap",IFERROR(INDEX('Shooter-Squad Assignment'!$A:$A,MATCH(C503&amp;"-"&amp;D503&amp;"-"&amp;E503&amp;"-Pos2",'Shooter-Squad Assignment'!$V:$V,0)),""),IF(E503="Sporting Clays",IFERROR(INDEX('Shooter-Squad Assignment'!$A:$A,MATCH(C503&amp;"-"&amp;D503&amp;"-"&amp;E503&amp;"-Pos2",'Shooter-Squad Assignment'!$Y:$Y,0)),""),"")))</f>
        <v/>
      </c>
      <c r="I503" s="92" t="str">
        <f>IF(ISBLANK(H503),"",IFERROR(INDEX('Tournament List'!$D:$D,MATCH(H503,'Tournament List'!$A:$A,0)),""))</f>
        <v/>
      </c>
      <c r="J503" s="101" t="str">
        <f>IF(E503="Skeet",IFERROR(INDEX('Shooter-Squad Assignment'!$A:$A,MATCH(C503&amp;"-"&amp;D503&amp;"-"&amp;E503&amp;"-Pos3",'Shooter-Squad Assignment'!#REF!,0)),""),IF(E503="Trap",IFERROR(INDEX('Shooter-Squad Assignment'!$A:$A,MATCH(C503&amp;"-"&amp;D503&amp;"-"&amp;E503&amp;"-Pos3",'Shooter-Squad Assignment'!$V:$V,0)),""),IF(E503="Sporting Clays",IFERROR(INDEX('Shooter-Squad Assignment'!$A:$A,MATCH(C503&amp;"-"&amp;D503&amp;"-"&amp;E503&amp;"-Pos3",'Shooter-Squad Assignment'!$Y:$Y,0)),""),"")))</f>
        <v/>
      </c>
      <c r="K503" s="92" t="str">
        <f>IF(ISBLANK(J503),"",IFERROR(INDEX('Tournament List'!$D:$D,MATCH(J503,'Tournament List'!$A:$A,0)),""))</f>
        <v/>
      </c>
      <c r="L503" s="101" t="str">
        <f>IF(E503="Skeet",IFERROR(INDEX('Shooter-Squad Assignment'!$A:$A,MATCH(C503&amp;"-"&amp;D503&amp;"-"&amp;E503&amp;"-Pos4",'Shooter-Squad Assignment'!#REF!,0)),""),IF(E503="Trap",IFERROR(INDEX('Shooter-Squad Assignment'!$A:$A,MATCH(C503&amp;"-"&amp;D503&amp;"-"&amp;E503&amp;"-Pos4",'Shooter-Squad Assignment'!$V:$V,0)),""),IF(E503="Sporting Clays",IFERROR(INDEX('Shooter-Squad Assignment'!$A:$A,MATCH(C503&amp;"-"&amp;D503&amp;"-"&amp;E503&amp;"-Pos4",'Shooter-Squad Assignment'!$Y:$Y,0)),""),"")))</f>
        <v/>
      </c>
      <c r="M503" s="92" t="str">
        <f>IF(ISBLANK(L503),"",IFERROR(INDEX('Tournament List'!$D:$D,MATCH(L503,'Tournament List'!$A:$A,0)),""))</f>
        <v/>
      </c>
      <c r="N503" s="101" t="str">
        <f>IF(E503="Skeet",IFERROR(INDEX('Shooter-Squad Assignment'!$A:$A,MATCH(C503&amp;"-"&amp;D503&amp;"-"&amp;E503&amp;"-Pos5",'Shooter-Squad Assignment'!#REF!,0)),""),IF(E503="Trap",IFERROR(INDEX('Shooter-Squad Assignment'!$A:$A,MATCH(C503&amp;"-"&amp;D503&amp;"-"&amp;E503&amp;"-Pos5",'Shooter-Squad Assignment'!$V:$V,0)),""),IF(E503="Sporting Clays",IFERROR(INDEX('Shooter-Squad Assignment'!$A:$A,MATCH(C503&amp;"-"&amp;D503&amp;"-"&amp;E503&amp;"-Pos5",'Shooter-Squad Assignment'!$Y:$Y,0)),""),"")))</f>
        <v/>
      </c>
      <c r="O503" s="93" t="str">
        <f>IF(ISBLANK(N503),"",IFERROR(INDEX('Tournament List'!$D:$D,MATCH(N503,'Tournament List'!$A:$A,0)),""))</f>
        <v/>
      </c>
    </row>
    <row r="504" spans="1:15" x14ac:dyDescent="0.3">
      <c r="A504" s="91">
        <v>512</v>
      </c>
      <c r="B504" s="92" t="str">
        <f t="shared" si="7"/>
        <v>-Varsity 2-Skeet</v>
      </c>
      <c r="C504" s="92"/>
      <c r="D504" s="92" t="s">
        <v>348</v>
      </c>
      <c r="E504" s="92" t="s">
        <v>143</v>
      </c>
      <c r="F504" s="101" t="str">
        <f>IF(E504="Skeet",IFERROR(INDEX('Shooter-Squad Assignment'!$A:$A,MATCH(C504&amp;"-"&amp;D504&amp;"-"&amp;E504&amp;"-Pos1",'Shooter-Squad Assignment'!#REF!,0)),""),IF(E504="Trap",IFERROR(INDEX('Shooter-Squad Assignment'!$A:$A,MATCH(C504&amp;"-"&amp;D504&amp;"-"&amp;E504&amp;"-Pos1",'Shooter-Squad Assignment'!$V:$V,0)),""),IF(E504="Sporting Clays",IFERROR(INDEX('Shooter-Squad Assignment'!$A:$A,MATCH(C504&amp;"-"&amp;D504&amp;"-"&amp;E504&amp;"-Pos1",'Shooter-Squad Assignment'!$Y:$Y,0)),""),"")))</f>
        <v/>
      </c>
      <c r="G504" s="92" t="str">
        <f>IF(ISBLANK(F504),"",IFERROR(INDEX('Tournament List'!$D:$D,MATCH(F504,'Tournament List'!$A:$A,0)),""))</f>
        <v/>
      </c>
      <c r="H504" s="101" t="str">
        <f>IF(E504="Skeet",IFERROR(INDEX('Shooter-Squad Assignment'!$A:$A,MATCH(C504&amp;"-"&amp;D504&amp;"-"&amp;E504&amp;"-Pos2",'Shooter-Squad Assignment'!#REF!,0)),""),IF(E504="Trap",IFERROR(INDEX('Shooter-Squad Assignment'!$A:$A,MATCH(C504&amp;"-"&amp;D504&amp;"-"&amp;E504&amp;"-Pos2",'Shooter-Squad Assignment'!$V:$V,0)),""),IF(E504="Sporting Clays",IFERROR(INDEX('Shooter-Squad Assignment'!$A:$A,MATCH(C504&amp;"-"&amp;D504&amp;"-"&amp;E504&amp;"-Pos2",'Shooter-Squad Assignment'!$Y:$Y,0)),""),"")))</f>
        <v/>
      </c>
      <c r="I504" s="92" t="str">
        <f>IF(ISBLANK(H504),"",IFERROR(INDEX('Tournament List'!$D:$D,MATCH(H504,'Tournament List'!$A:$A,0)),""))</f>
        <v/>
      </c>
      <c r="J504" s="101" t="str">
        <f>IF(E504="Skeet",IFERROR(INDEX('Shooter-Squad Assignment'!$A:$A,MATCH(C504&amp;"-"&amp;D504&amp;"-"&amp;E504&amp;"-Pos3",'Shooter-Squad Assignment'!#REF!,0)),""),IF(E504="Trap",IFERROR(INDEX('Shooter-Squad Assignment'!$A:$A,MATCH(C504&amp;"-"&amp;D504&amp;"-"&amp;E504&amp;"-Pos3",'Shooter-Squad Assignment'!$V:$V,0)),""),IF(E504="Sporting Clays",IFERROR(INDEX('Shooter-Squad Assignment'!$A:$A,MATCH(C504&amp;"-"&amp;D504&amp;"-"&amp;E504&amp;"-Pos3",'Shooter-Squad Assignment'!$Y:$Y,0)),""),"")))</f>
        <v/>
      </c>
      <c r="K504" s="92" t="str">
        <f>IF(ISBLANK(J504),"",IFERROR(INDEX('Tournament List'!$D:$D,MATCH(J504,'Tournament List'!$A:$A,0)),""))</f>
        <v/>
      </c>
      <c r="L504" s="101" t="str">
        <f>IF(E504="Skeet",IFERROR(INDEX('Shooter-Squad Assignment'!$A:$A,MATCH(C504&amp;"-"&amp;D504&amp;"-"&amp;E504&amp;"-Pos4",'Shooter-Squad Assignment'!#REF!,0)),""),IF(E504="Trap",IFERROR(INDEX('Shooter-Squad Assignment'!$A:$A,MATCH(C504&amp;"-"&amp;D504&amp;"-"&amp;E504&amp;"-Pos4",'Shooter-Squad Assignment'!$V:$V,0)),""),IF(E504="Sporting Clays",IFERROR(INDEX('Shooter-Squad Assignment'!$A:$A,MATCH(C504&amp;"-"&amp;D504&amp;"-"&amp;E504&amp;"-Pos4",'Shooter-Squad Assignment'!$Y:$Y,0)),""),"")))</f>
        <v/>
      </c>
      <c r="M504" s="92" t="str">
        <f>IF(ISBLANK(L504),"",IFERROR(INDEX('Tournament List'!$D:$D,MATCH(L504,'Tournament List'!$A:$A,0)),""))</f>
        <v/>
      </c>
      <c r="N504" s="101" t="str">
        <f>IF(E504="Skeet",IFERROR(INDEX('Shooter-Squad Assignment'!$A:$A,MATCH(C504&amp;"-"&amp;D504&amp;"-"&amp;E504&amp;"-Pos5",'Shooter-Squad Assignment'!#REF!,0)),""),IF(E504="Trap",IFERROR(INDEX('Shooter-Squad Assignment'!$A:$A,MATCH(C504&amp;"-"&amp;D504&amp;"-"&amp;E504&amp;"-Pos5",'Shooter-Squad Assignment'!$V:$V,0)),""),IF(E504="Sporting Clays",IFERROR(INDEX('Shooter-Squad Assignment'!$A:$A,MATCH(C504&amp;"-"&amp;D504&amp;"-"&amp;E504&amp;"-Pos5",'Shooter-Squad Assignment'!$Y:$Y,0)),""),"")))</f>
        <v/>
      </c>
      <c r="O504" s="93" t="str">
        <f>IF(ISBLANK(N504),"",IFERROR(INDEX('Tournament List'!$D:$D,MATCH(N504,'Tournament List'!$A:$A,0)),""))</f>
        <v/>
      </c>
    </row>
    <row r="505" spans="1:15" x14ac:dyDescent="0.3">
      <c r="A505" s="91">
        <v>513</v>
      </c>
      <c r="B505" s="92" t="str">
        <f t="shared" si="7"/>
        <v>-Varsity 3-Skeet</v>
      </c>
      <c r="C505" s="92"/>
      <c r="D505" s="92" t="s">
        <v>354</v>
      </c>
      <c r="E505" s="92" t="s">
        <v>143</v>
      </c>
      <c r="F505" s="101" t="str">
        <f>IF(E505="Skeet",IFERROR(INDEX('Shooter-Squad Assignment'!$A:$A,MATCH(C505&amp;"-"&amp;D505&amp;"-"&amp;E505&amp;"-Pos1",'Shooter-Squad Assignment'!#REF!,0)),""),IF(E505="Trap",IFERROR(INDEX('Shooter-Squad Assignment'!$A:$A,MATCH(C505&amp;"-"&amp;D505&amp;"-"&amp;E505&amp;"-Pos1",'Shooter-Squad Assignment'!$V:$V,0)),""),IF(E505="Sporting Clays",IFERROR(INDEX('Shooter-Squad Assignment'!$A:$A,MATCH(C505&amp;"-"&amp;D505&amp;"-"&amp;E505&amp;"-Pos1",'Shooter-Squad Assignment'!$Y:$Y,0)),""),"")))</f>
        <v/>
      </c>
      <c r="G505" s="92" t="str">
        <f>IF(ISBLANK(F505),"",IFERROR(INDEX('Tournament List'!$D:$D,MATCH(F505,'Tournament List'!$A:$A,0)),""))</f>
        <v/>
      </c>
      <c r="H505" s="101" t="str">
        <f>IF(E505="Skeet",IFERROR(INDEX('Shooter-Squad Assignment'!$A:$A,MATCH(C505&amp;"-"&amp;D505&amp;"-"&amp;E505&amp;"-Pos2",'Shooter-Squad Assignment'!#REF!,0)),""),IF(E505="Trap",IFERROR(INDEX('Shooter-Squad Assignment'!$A:$A,MATCH(C505&amp;"-"&amp;D505&amp;"-"&amp;E505&amp;"-Pos2",'Shooter-Squad Assignment'!$V:$V,0)),""),IF(E505="Sporting Clays",IFERROR(INDEX('Shooter-Squad Assignment'!$A:$A,MATCH(C505&amp;"-"&amp;D505&amp;"-"&amp;E505&amp;"-Pos2",'Shooter-Squad Assignment'!$Y:$Y,0)),""),"")))</f>
        <v/>
      </c>
      <c r="I505" s="92" t="str">
        <f>IF(ISBLANK(H505),"",IFERROR(INDEX('Tournament List'!$D:$D,MATCH(H505,'Tournament List'!$A:$A,0)),""))</f>
        <v/>
      </c>
      <c r="J505" s="101" t="str">
        <f>IF(E505="Skeet",IFERROR(INDEX('Shooter-Squad Assignment'!$A:$A,MATCH(C505&amp;"-"&amp;D505&amp;"-"&amp;E505&amp;"-Pos3",'Shooter-Squad Assignment'!#REF!,0)),""),IF(E505="Trap",IFERROR(INDEX('Shooter-Squad Assignment'!$A:$A,MATCH(C505&amp;"-"&amp;D505&amp;"-"&amp;E505&amp;"-Pos3",'Shooter-Squad Assignment'!$V:$V,0)),""),IF(E505="Sporting Clays",IFERROR(INDEX('Shooter-Squad Assignment'!$A:$A,MATCH(C505&amp;"-"&amp;D505&amp;"-"&amp;E505&amp;"-Pos3",'Shooter-Squad Assignment'!$Y:$Y,0)),""),"")))</f>
        <v/>
      </c>
      <c r="K505" s="92" t="str">
        <f>IF(ISBLANK(J505),"",IFERROR(INDEX('Tournament List'!$D:$D,MATCH(J505,'Tournament List'!$A:$A,0)),""))</f>
        <v/>
      </c>
      <c r="L505" s="101" t="str">
        <f>IF(E505="Skeet",IFERROR(INDEX('Shooter-Squad Assignment'!$A:$A,MATCH(C505&amp;"-"&amp;D505&amp;"-"&amp;E505&amp;"-Pos4",'Shooter-Squad Assignment'!#REF!,0)),""),IF(E505="Trap",IFERROR(INDEX('Shooter-Squad Assignment'!$A:$A,MATCH(C505&amp;"-"&amp;D505&amp;"-"&amp;E505&amp;"-Pos4",'Shooter-Squad Assignment'!$V:$V,0)),""),IF(E505="Sporting Clays",IFERROR(INDEX('Shooter-Squad Assignment'!$A:$A,MATCH(C505&amp;"-"&amp;D505&amp;"-"&amp;E505&amp;"-Pos4",'Shooter-Squad Assignment'!$Y:$Y,0)),""),"")))</f>
        <v/>
      </c>
      <c r="M505" s="92" t="str">
        <f>IF(ISBLANK(L505),"",IFERROR(INDEX('Tournament List'!$D:$D,MATCH(L505,'Tournament List'!$A:$A,0)),""))</f>
        <v/>
      </c>
      <c r="N505" s="101" t="str">
        <f>IF(E505="Skeet",IFERROR(INDEX('Shooter-Squad Assignment'!$A:$A,MATCH(C505&amp;"-"&amp;D505&amp;"-"&amp;E505&amp;"-Pos5",'Shooter-Squad Assignment'!#REF!,0)),""),IF(E505="Trap",IFERROR(INDEX('Shooter-Squad Assignment'!$A:$A,MATCH(C505&amp;"-"&amp;D505&amp;"-"&amp;E505&amp;"-Pos5",'Shooter-Squad Assignment'!$V:$V,0)),""),IF(E505="Sporting Clays",IFERROR(INDEX('Shooter-Squad Assignment'!$A:$A,MATCH(C505&amp;"-"&amp;D505&amp;"-"&amp;E505&amp;"-Pos5",'Shooter-Squad Assignment'!$Y:$Y,0)),""),"")))</f>
        <v/>
      </c>
      <c r="O505" s="93" t="str">
        <f>IF(ISBLANK(N505),"",IFERROR(INDEX('Tournament List'!$D:$D,MATCH(N505,'Tournament List'!$A:$A,0)),""))</f>
        <v/>
      </c>
    </row>
    <row r="506" spans="1:15" x14ac:dyDescent="0.3">
      <c r="A506" s="91">
        <v>514</v>
      </c>
      <c r="B506" s="92" t="str">
        <f t="shared" si="7"/>
        <v>-Collegiate 1-Trap</v>
      </c>
      <c r="C506" s="92"/>
      <c r="D506" s="92" t="s">
        <v>344</v>
      </c>
      <c r="E506" s="92" t="s">
        <v>147</v>
      </c>
      <c r="F506" s="101" t="str">
        <f>IF(E506="Skeet",IFERROR(INDEX('Shooter-Squad Assignment'!$A:$A,MATCH(C506&amp;"-"&amp;D506&amp;"-"&amp;E506&amp;"-Pos1",'Shooter-Squad Assignment'!#REF!,0)),""),IF(E506="Trap",IFERROR(INDEX('Shooter-Squad Assignment'!$A:$A,MATCH(C506&amp;"-"&amp;D506&amp;"-"&amp;E506&amp;"-Pos1",'Shooter-Squad Assignment'!$V:$V,0)),""),IF(E506="Sporting Clays",IFERROR(INDEX('Shooter-Squad Assignment'!$A:$A,MATCH(C506&amp;"-"&amp;D506&amp;"-"&amp;E506&amp;"-Pos1",'Shooter-Squad Assignment'!$Y:$Y,0)),""),"")))</f>
        <v/>
      </c>
      <c r="G506" s="92" t="str">
        <f>IF(ISBLANK(F506),"",IFERROR(INDEX('Tournament List'!$D:$D,MATCH(F506,'Tournament List'!$A:$A,0)),""))</f>
        <v/>
      </c>
      <c r="H506" s="101" t="str">
        <f>IF(E506="Skeet",IFERROR(INDEX('Shooter-Squad Assignment'!$A:$A,MATCH(C506&amp;"-"&amp;D506&amp;"-"&amp;E506&amp;"-Pos2",'Shooter-Squad Assignment'!#REF!,0)),""),IF(E506="Trap",IFERROR(INDEX('Shooter-Squad Assignment'!$A:$A,MATCH(C506&amp;"-"&amp;D506&amp;"-"&amp;E506&amp;"-Pos2",'Shooter-Squad Assignment'!$V:$V,0)),""),IF(E506="Sporting Clays",IFERROR(INDEX('Shooter-Squad Assignment'!$A:$A,MATCH(C506&amp;"-"&amp;D506&amp;"-"&amp;E506&amp;"-Pos2",'Shooter-Squad Assignment'!$Y:$Y,0)),""),"")))</f>
        <v/>
      </c>
      <c r="I506" s="92" t="str">
        <f>IF(ISBLANK(H506),"",IFERROR(INDEX('Tournament List'!$D:$D,MATCH(H506,'Tournament List'!$A:$A,0)),""))</f>
        <v/>
      </c>
      <c r="J506" s="101" t="str">
        <f>IF(E506="Skeet",IFERROR(INDEX('Shooter-Squad Assignment'!$A:$A,MATCH(C506&amp;"-"&amp;D506&amp;"-"&amp;E506&amp;"-Pos3",'Shooter-Squad Assignment'!#REF!,0)),""),IF(E506="Trap",IFERROR(INDEX('Shooter-Squad Assignment'!$A:$A,MATCH(C506&amp;"-"&amp;D506&amp;"-"&amp;E506&amp;"-Pos3",'Shooter-Squad Assignment'!$V:$V,0)),""),IF(E506="Sporting Clays",IFERROR(INDEX('Shooter-Squad Assignment'!$A:$A,MATCH(C506&amp;"-"&amp;D506&amp;"-"&amp;E506&amp;"-Pos3",'Shooter-Squad Assignment'!$Y:$Y,0)),""),"")))</f>
        <v/>
      </c>
      <c r="K506" s="92" t="str">
        <f>IF(ISBLANK(J506),"",IFERROR(INDEX('Tournament List'!$D:$D,MATCH(J506,'Tournament List'!$A:$A,0)),""))</f>
        <v/>
      </c>
      <c r="L506" s="101" t="str">
        <f>IF(E506="Skeet",IFERROR(INDEX('Shooter-Squad Assignment'!$A:$A,MATCH(C506&amp;"-"&amp;D506&amp;"-"&amp;E506&amp;"-Pos4",'Shooter-Squad Assignment'!#REF!,0)),""),IF(E506="Trap",IFERROR(INDEX('Shooter-Squad Assignment'!$A:$A,MATCH(C506&amp;"-"&amp;D506&amp;"-"&amp;E506&amp;"-Pos4",'Shooter-Squad Assignment'!$V:$V,0)),""),IF(E506="Sporting Clays",IFERROR(INDEX('Shooter-Squad Assignment'!$A:$A,MATCH(C506&amp;"-"&amp;D506&amp;"-"&amp;E506&amp;"-Pos4",'Shooter-Squad Assignment'!$Y:$Y,0)),""),"")))</f>
        <v/>
      </c>
      <c r="M506" s="92" t="str">
        <f>IF(ISBLANK(L506),"",IFERROR(INDEX('Tournament List'!$D:$D,MATCH(L506,'Tournament List'!$A:$A,0)),""))</f>
        <v/>
      </c>
      <c r="N506" s="101" t="str">
        <f>IF(E506="Skeet",IFERROR(INDEX('Shooter-Squad Assignment'!$A:$A,MATCH(C506&amp;"-"&amp;D506&amp;"-"&amp;E506&amp;"-Pos5",'Shooter-Squad Assignment'!#REF!,0)),""),IF(E506="Trap",IFERROR(INDEX('Shooter-Squad Assignment'!$A:$A,MATCH(C506&amp;"-"&amp;D506&amp;"-"&amp;E506&amp;"-Pos5",'Shooter-Squad Assignment'!$V:$V,0)),""),IF(E506="Sporting Clays",IFERROR(INDEX('Shooter-Squad Assignment'!$A:$A,MATCH(C506&amp;"-"&amp;D506&amp;"-"&amp;E506&amp;"-Pos5",'Shooter-Squad Assignment'!$Y:$Y,0)),""),"")))</f>
        <v/>
      </c>
      <c r="O506" s="93" t="str">
        <f>IF(ISBLANK(N506),"",IFERROR(INDEX('Tournament List'!$D:$D,MATCH(N506,'Tournament List'!$A:$A,0)),""))</f>
        <v/>
      </c>
    </row>
    <row r="507" spans="1:15" x14ac:dyDescent="0.3">
      <c r="A507" s="91">
        <v>515</v>
      </c>
      <c r="B507" s="92" t="str">
        <f t="shared" si="7"/>
        <v>-Collegiate 2-Trap</v>
      </c>
      <c r="C507" s="92"/>
      <c r="D507" s="92" t="s">
        <v>350</v>
      </c>
      <c r="E507" s="92" t="s">
        <v>147</v>
      </c>
      <c r="F507" s="101" t="str">
        <f>IF(E507="Skeet",IFERROR(INDEX('Shooter-Squad Assignment'!$A:$A,MATCH(C507&amp;"-"&amp;D507&amp;"-"&amp;E507&amp;"-Pos1",'Shooter-Squad Assignment'!#REF!,0)),""),IF(E507="Trap",IFERROR(INDEX('Shooter-Squad Assignment'!$A:$A,MATCH(C507&amp;"-"&amp;D507&amp;"-"&amp;E507&amp;"-Pos1",'Shooter-Squad Assignment'!$V:$V,0)),""),IF(E507="Sporting Clays",IFERROR(INDEX('Shooter-Squad Assignment'!$A:$A,MATCH(C507&amp;"-"&amp;D507&amp;"-"&amp;E507&amp;"-Pos1",'Shooter-Squad Assignment'!$Y:$Y,0)),""),"")))</f>
        <v/>
      </c>
      <c r="G507" s="92" t="str">
        <f>IF(ISBLANK(F507),"",IFERROR(INDEX('Tournament List'!$D:$D,MATCH(F507,'Tournament List'!$A:$A,0)),""))</f>
        <v/>
      </c>
      <c r="H507" s="101" t="str">
        <f>IF(E507="Skeet",IFERROR(INDEX('Shooter-Squad Assignment'!$A:$A,MATCH(C507&amp;"-"&amp;D507&amp;"-"&amp;E507&amp;"-Pos2",'Shooter-Squad Assignment'!#REF!,0)),""),IF(E507="Trap",IFERROR(INDEX('Shooter-Squad Assignment'!$A:$A,MATCH(C507&amp;"-"&amp;D507&amp;"-"&amp;E507&amp;"-Pos2",'Shooter-Squad Assignment'!$V:$V,0)),""),IF(E507="Sporting Clays",IFERROR(INDEX('Shooter-Squad Assignment'!$A:$A,MATCH(C507&amp;"-"&amp;D507&amp;"-"&amp;E507&amp;"-Pos2",'Shooter-Squad Assignment'!$Y:$Y,0)),""),"")))</f>
        <v/>
      </c>
      <c r="I507" s="92" t="str">
        <f>IF(ISBLANK(H507),"",IFERROR(INDEX('Tournament List'!$D:$D,MATCH(H507,'Tournament List'!$A:$A,0)),""))</f>
        <v/>
      </c>
      <c r="J507" s="101" t="str">
        <f>IF(E507="Skeet",IFERROR(INDEX('Shooter-Squad Assignment'!$A:$A,MATCH(C507&amp;"-"&amp;D507&amp;"-"&amp;E507&amp;"-Pos3",'Shooter-Squad Assignment'!#REF!,0)),""),IF(E507="Trap",IFERROR(INDEX('Shooter-Squad Assignment'!$A:$A,MATCH(C507&amp;"-"&amp;D507&amp;"-"&amp;E507&amp;"-Pos3",'Shooter-Squad Assignment'!$V:$V,0)),""),IF(E507="Sporting Clays",IFERROR(INDEX('Shooter-Squad Assignment'!$A:$A,MATCH(C507&amp;"-"&amp;D507&amp;"-"&amp;E507&amp;"-Pos3",'Shooter-Squad Assignment'!$Y:$Y,0)),""),"")))</f>
        <v/>
      </c>
      <c r="K507" s="92" t="str">
        <f>IF(ISBLANK(J507),"",IFERROR(INDEX('Tournament List'!$D:$D,MATCH(J507,'Tournament List'!$A:$A,0)),""))</f>
        <v/>
      </c>
      <c r="L507" s="101" t="str">
        <f>IF(E507="Skeet",IFERROR(INDEX('Shooter-Squad Assignment'!$A:$A,MATCH(C507&amp;"-"&amp;D507&amp;"-"&amp;E507&amp;"-Pos4",'Shooter-Squad Assignment'!#REF!,0)),""),IF(E507="Trap",IFERROR(INDEX('Shooter-Squad Assignment'!$A:$A,MATCH(C507&amp;"-"&amp;D507&amp;"-"&amp;E507&amp;"-Pos4",'Shooter-Squad Assignment'!$V:$V,0)),""),IF(E507="Sporting Clays",IFERROR(INDEX('Shooter-Squad Assignment'!$A:$A,MATCH(C507&amp;"-"&amp;D507&amp;"-"&amp;E507&amp;"-Pos4",'Shooter-Squad Assignment'!$Y:$Y,0)),""),"")))</f>
        <v/>
      </c>
      <c r="M507" s="92" t="str">
        <f>IF(ISBLANK(L507),"",IFERROR(INDEX('Tournament List'!$D:$D,MATCH(L507,'Tournament List'!$A:$A,0)),""))</f>
        <v/>
      </c>
      <c r="N507" s="101" t="str">
        <f>IF(E507="Skeet",IFERROR(INDEX('Shooter-Squad Assignment'!$A:$A,MATCH(C507&amp;"-"&amp;D507&amp;"-"&amp;E507&amp;"-Pos5",'Shooter-Squad Assignment'!#REF!,0)),""),IF(E507="Trap",IFERROR(INDEX('Shooter-Squad Assignment'!$A:$A,MATCH(C507&amp;"-"&amp;D507&amp;"-"&amp;E507&amp;"-Pos5",'Shooter-Squad Assignment'!$V:$V,0)),""),IF(E507="Sporting Clays",IFERROR(INDEX('Shooter-Squad Assignment'!$A:$A,MATCH(C507&amp;"-"&amp;D507&amp;"-"&amp;E507&amp;"-Pos5",'Shooter-Squad Assignment'!$Y:$Y,0)),""),"")))</f>
        <v/>
      </c>
      <c r="O507" s="93" t="str">
        <f>IF(ISBLANK(N507),"",IFERROR(INDEX('Tournament List'!$D:$D,MATCH(N507,'Tournament List'!$A:$A,0)),""))</f>
        <v/>
      </c>
    </row>
    <row r="508" spans="1:15" x14ac:dyDescent="0.3">
      <c r="A508" s="91">
        <v>516</v>
      </c>
      <c r="B508" s="92" t="str">
        <f t="shared" si="7"/>
        <v>-Collegiate 3-Trap</v>
      </c>
      <c r="C508" s="92"/>
      <c r="D508" s="92" t="s">
        <v>356</v>
      </c>
      <c r="E508" s="92" t="s">
        <v>147</v>
      </c>
      <c r="F508" s="101" t="str">
        <f>IF(E508="Skeet",IFERROR(INDEX('Shooter-Squad Assignment'!$A:$A,MATCH(C508&amp;"-"&amp;D508&amp;"-"&amp;E508&amp;"-Pos1",'Shooter-Squad Assignment'!#REF!,0)),""),IF(E508="Trap",IFERROR(INDEX('Shooter-Squad Assignment'!$A:$A,MATCH(C508&amp;"-"&amp;D508&amp;"-"&amp;E508&amp;"-Pos1",'Shooter-Squad Assignment'!$V:$V,0)),""),IF(E508="Sporting Clays",IFERROR(INDEX('Shooter-Squad Assignment'!$A:$A,MATCH(C508&amp;"-"&amp;D508&amp;"-"&amp;E508&amp;"-Pos1",'Shooter-Squad Assignment'!$Y:$Y,0)),""),"")))</f>
        <v/>
      </c>
      <c r="G508" s="92" t="str">
        <f>IF(ISBLANK(F508),"",IFERROR(INDEX('Tournament List'!$D:$D,MATCH(F508,'Tournament List'!$A:$A,0)),""))</f>
        <v/>
      </c>
      <c r="H508" s="101" t="str">
        <f>IF(E508="Skeet",IFERROR(INDEX('Shooter-Squad Assignment'!$A:$A,MATCH(C508&amp;"-"&amp;D508&amp;"-"&amp;E508&amp;"-Pos2",'Shooter-Squad Assignment'!#REF!,0)),""),IF(E508="Trap",IFERROR(INDEX('Shooter-Squad Assignment'!$A:$A,MATCH(C508&amp;"-"&amp;D508&amp;"-"&amp;E508&amp;"-Pos2",'Shooter-Squad Assignment'!$V:$V,0)),""),IF(E508="Sporting Clays",IFERROR(INDEX('Shooter-Squad Assignment'!$A:$A,MATCH(C508&amp;"-"&amp;D508&amp;"-"&amp;E508&amp;"-Pos2",'Shooter-Squad Assignment'!$Y:$Y,0)),""),"")))</f>
        <v/>
      </c>
      <c r="I508" s="92" t="str">
        <f>IF(ISBLANK(H508),"",IFERROR(INDEX('Tournament List'!$D:$D,MATCH(H508,'Tournament List'!$A:$A,0)),""))</f>
        <v/>
      </c>
      <c r="J508" s="101" t="str">
        <f>IF(E508="Skeet",IFERROR(INDEX('Shooter-Squad Assignment'!$A:$A,MATCH(C508&amp;"-"&amp;D508&amp;"-"&amp;E508&amp;"-Pos3",'Shooter-Squad Assignment'!#REF!,0)),""),IF(E508="Trap",IFERROR(INDEX('Shooter-Squad Assignment'!$A:$A,MATCH(C508&amp;"-"&amp;D508&amp;"-"&amp;E508&amp;"-Pos3",'Shooter-Squad Assignment'!$V:$V,0)),""),IF(E508="Sporting Clays",IFERROR(INDEX('Shooter-Squad Assignment'!$A:$A,MATCH(C508&amp;"-"&amp;D508&amp;"-"&amp;E508&amp;"-Pos3",'Shooter-Squad Assignment'!$Y:$Y,0)),""),"")))</f>
        <v/>
      </c>
      <c r="K508" s="92" t="str">
        <f>IF(ISBLANK(J508),"",IFERROR(INDEX('Tournament List'!$D:$D,MATCH(J508,'Tournament List'!$A:$A,0)),""))</f>
        <v/>
      </c>
      <c r="L508" s="101" t="str">
        <f>IF(E508="Skeet",IFERROR(INDEX('Shooter-Squad Assignment'!$A:$A,MATCH(C508&amp;"-"&amp;D508&amp;"-"&amp;E508&amp;"-Pos4",'Shooter-Squad Assignment'!#REF!,0)),""),IF(E508="Trap",IFERROR(INDEX('Shooter-Squad Assignment'!$A:$A,MATCH(C508&amp;"-"&amp;D508&amp;"-"&amp;E508&amp;"-Pos4",'Shooter-Squad Assignment'!$V:$V,0)),""),IF(E508="Sporting Clays",IFERROR(INDEX('Shooter-Squad Assignment'!$A:$A,MATCH(C508&amp;"-"&amp;D508&amp;"-"&amp;E508&amp;"-Pos4",'Shooter-Squad Assignment'!$Y:$Y,0)),""),"")))</f>
        <v/>
      </c>
      <c r="M508" s="92" t="str">
        <f>IF(ISBLANK(L508),"",IFERROR(INDEX('Tournament List'!$D:$D,MATCH(L508,'Tournament List'!$A:$A,0)),""))</f>
        <v/>
      </c>
      <c r="N508" s="101" t="str">
        <f>IF(E508="Skeet",IFERROR(INDEX('Shooter-Squad Assignment'!$A:$A,MATCH(C508&amp;"-"&amp;D508&amp;"-"&amp;E508&amp;"-Pos5",'Shooter-Squad Assignment'!#REF!,0)),""),IF(E508="Trap",IFERROR(INDEX('Shooter-Squad Assignment'!$A:$A,MATCH(C508&amp;"-"&amp;D508&amp;"-"&amp;E508&amp;"-Pos5",'Shooter-Squad Assignment'!$V:$V,0)),""),IF(E508="Sporting Clays",IFERROR(INDEX('Shooter-Squad Assignment'!$A:$A,MATCH(C508&amp;"-"&amp;D508&amp;"-"&amp;E508&amp;"-Pos5",'Shooter-Squad Assignment'!$Y:$Y,0)),""),"")))</f>
        <v/>
      </c>
      <c r="O508" s="93" t="str">
        <f>IF(ISBLANK(N508),"",IFERROR(INDEX('Tournament List'!$D:$D,MATCH(N508,'Tournament List'!$A:$A,0)),""))</f>
        <v/>
      </c>
    </row>
    <row r="509" spans="1:15" x14ac:dyDescent="0.3">
      <c r="A509" s="91">
        <v>517</v>
      </c>
      <c r="B509" s="92" t="str">
        <f t="shared" si="7"/>
        <v>-Intermediate 1-Trap</v>
      </c>
      <c r="C509" s="92"/>
      <c r="D509" s="92" t="s">
        <v>340</v>
      </c>
      <c r="E509" s="92" t="s">
        <v>147</v>
      </c>
      <c r="F509" s="101" t="str">
        <f>IF(E509="Skeet",IFERROR(INDEX('Shooter-Squad Assignment'!$A:$A,MATCH(C509&amp;"-"&amp;D509&amp;"-"&amp;E509&amp;"-Pos1",'Shooter-Squad Assignment'!#REF!,0)),""),IF(E509="Trap",IFERROR(INDEX('Shooter-Squad Assignment'!$A:$A,MATCH(C509&amp;"-"&amp;D509&amp;"-"&amp;E509&amp;"-Pos1",'Shooter-Squad Assignment'!$V:$V,0)),""),IF(E509="Sporting Clays",IFERROR(INDEX('Shooter-Squad Assignment'!$A:$A,MATCH(C509&amp;"-"&amp;D509&amp;"-"&amp;E509&amp;"-Pos1",'Shooter-Squad Assignment'!$Y:$Y,0)),""),"")))</f>
        <v/>
      </c>
      <c r="G509" s="92" t="str">
        <f>IF(ISBLANK(F509),"",IFERROR(INDEX('Tournament List'!$D:$D,MATCH(F509,'Tournament List'!$A:$A,0)),""))</f>
        <v/>
      </c>
      <c r="H509" s="101" t="str">
        <f>IF(E509="Skeet",IFERROR(INDEX('Shooter-Squad Assignment'!$A:$A,MATCH(C509&amp;"-"&amp;D509&amp;"-"&amp;E509&amp;"-Pos2",'Shooter-Squad Assignment'!#REF!,0)),""),IF(E509="Trap",IFERROR(INDEX('Shooter-Squad Assignment'!$A:$A,MATCH(C509&amp;"-"&amp;D509&amp;"-"&amp;E509&amp;"-Pos2",'Shooter-Squad Assignment'!$V:$V,0)),""),IF(E509="Sporting Clays",IFERROR(INDEX('Shooter-Squad Assignment'!$A:$A,MATCH(C509&amp;"-"&amp;D509&amp;"-"&amp;E509&amp;"-Pos2",'Shooter-Squad Assignment'!$Y:$Y,0)),""),"")))</f>
        <v/>
      </c>
      <c r="I509" s="92" t="str">
        <f>IF(ISBLANK(H509),"",IFERROR(INDEX('Tournament List'!$D:$D,MATCH(H509,'Tournament List'!$A:$A,0)),""))</f>
        <v/>
      </c>
      <c r="J509" s="101" t="str">
        <f>IF(E509="Skeet",IFERROR(INDEX('Shooter-Squad Assignment'!$A:$A,MATCH(C509&amp;"-"&amp;D509&amp;"-"&amp;E509&amp;"-Pos3",'Shooter-Squad Assignment'!#REF!,0)),""),IF(E509="Trap",IFERROR(INDEX('Shooter-Squad Assignment'!$A:$A,MATCH(C509&amp;"-"&amp;D509&amp;"-"&amp;E509&amp;"-Pos3",'Shooter-Squad Assignment'!$V:$V,0)),""),IF(E509="Sporting Clays",IFERROR(INDEX('Shooter-Squad Assignment'!$A:$A,MATCH(C509&amp;"-"&amp;D509&amp;"-"&amp;E509&amp;"-Pos3",'Shooter-Squad Assignment'!$Y:$Y,0)),""),"")))</f>
        <v/>
      </c>
      <c r="K509" s="92" t="str">
        <f>IF(ISBLANK(J509),"",IFERROR(INDEX('Tournament List'!$D:$D,MATCH(J509,'Tournament List'!$A:$A,0)),""))</f>
        <v/>
      </c>
      <c r="L509" s="101" t="str">
        <f>IF(E509="Skeet",IFERROR(INDEX('Shooter-Squad Assignment'!$A:$A,MATCH(C509&amp;"-"&amp;D509&amp;"-"&amp;E509&amp;"-Pos4",'Shooter-Squad Assignment'!#REF!,0)),""),IF(E509="Trap",IFERROR(INDEX('Shooter-Squad Assignment'!$A:$A,MATCH(C509&amp;"-"&amp;D509&amp;"-"&amp;E509&amp;"-Pos4",'Shooter-Squad Assignment'!$V:$V,0)),""),IF(E509="Sporting Clays",IFERROR(INDEX('Shooter-Squad Assignment'!$A:$A,MATCH(C509&amp;"-"&amp;D509&amp;"-"&amp;E509&amp;"-Pos4",'Shooter-Squad Assignment'!$Y:$Y,0)),""),"")))</f>
        <v/>
      </c>
      <c r="M509" s="92" t="str">
        <f>IF(ISBLANK(L509),"",IFERROR(INDEX('Tournament List'!$D:$D,MATCH(L509,'Tournament List'!$A:$A,0)),""))</f>
        <v/>
      </c>
      <c r="N509" s="101" t="str">
        <f>IF(E509="Skeet",IFERROR(INDEX('Shooter-Squad Assignment'!$A:$A,MATCH(C509&amp;"-"&amp;D509&amp;"-"&amp;E509&amp;"-Pos5",'Shooter-Squad Assignment'!#REF!,0)),""),IF(E509="Trap",IFERROR(INDEX('Shooter-Squad Assignment'!$A:$A,MATCH(C509&amp;"-"&amp;D509&amp;"-"&amp;E509&amp;"-Pos5",'Shooter-Squad Assignment'!$V:$V,0)),""),IF(E509="Sporting Clays",IFERROR(INDEX('Shooter-Squad Assignment'!$A:$A,MATCH(C509&amp;"-"&amp;D509&amp;"-"&amp;E509&amp;"-Pos5",'Shooter-Squad Assignment'!$Y:$Y,0)),""),"")))</f>
        <v/>
      </c>
      <c r="O509" s="93" t="str">
        <f>IF(ISBLANK(N509),"",IFERROR(INDEX('Tournament List'!$D:$D,MATCH(N509,'Tournament List'!$A:$A,0)),""))</f>
        <v/>
      </c>
    </row>
    <row r="510" spans="1:15" x14ac:dyDescent="0.3">
      <c r="A510" s="91">
        <v>518</v>
      </c>
      <c r="B510" s="92" t="str">
        <f t="shared" si="7"/>
        <v>-Intermediate 2-Trap</v>
      </c>
      <c r="C510" s="92"/>
      <c r="D510" s="92" t="s">
        <v>346</v>
      </c>
      <c r="E510" s="92" t="s">
        <v>147</v>
      </c>
      <c r="F510" s="101" t="str">
        <f>IF(E510="Skeet",IFERROR(INDEX('Shooter-Squad Assignment'!$A:$A,MATCH(C510&amp;"-"&amp;D510&amp;"-"&amp;E510&amp;"-Pos1",'Shooter-Squad Assignment'!#REF!,0)),""),IF(E510="Trap",IFERROR(INDEX('Shooter-Squad Assignment'!$A:$A,MATCH(C510&amp;"-"&amp;D510&amp;"-"&amp;E510&amp;"-Pos1",'Shooter-Squad Assignment'!$V:$V,0)),""),IF(E510="Sporting Clays",IFERROR(INDEX('Shooter-Squad Assignment'!$A:$A,MATCH(C510&amp;"-"&amp;D510&amp;"-"&amp;E510&amp;"-Pos1",'Shooter-Squad Assignment'!$Y:$Y,0)),""),"")))</f>
        <v/>
      </c>
      <c r="G510" s="92" t="str">
        <f>IF(ISBLANK(F510),"",IFERROR(INDEX('Tournament List'!$D:$D,MATCH(F510,'Tournament List'!$A:$A,0)),""))</f>
        <v/>
      </c>
      <c r="H510" s="101" t="str">
        <f>IF(E510="Skeet",IFERROR(INDEX('Shooter-Squad Assignment'!$A:$A,MATCH(C510&amp;"-"&amp;D510&amp;"-"&amp;E510&amp;"-Pos2",'Shooter-Squad Assignment'!#REF!,0)),""),IF(E510="Trap",IFERROR(INDEX('Shooter-Squad Assignment'!$A:$A,MATCH(C510&amp;"-"&amp;D510&amp;"-"&amp;E510&amp;"-Pos2",'Shooter-Squad Assignment'!$V:$V,0)),""),IF(E510="Sporting Clays",IFERROR(INDEX('Shooter-Squad Assignment'!$A:$A,MATCH(C510&amp;"-"&amp;D510&amp;"-"&amp;E510&amp;"-Pos2",'Shooter-Squad Assignment'!$Y:$Y,0)),""),"")))</f>
        <v/>
      </c>
      <c r="I510" s="92" t="str">
        <f>IF(ISBLANK(H510),"",IFERROR(INDEX('Tournament List'!$D:$D,MATCH(H510,'Tournament List'!$A:$A,0)),""))</f>
        <v/>
      </c>
      <c r="J510" s="101" t="str">
        <f>IF(E510="Skeet",IFERROR(INDEX('Shooter-Squad Assignment'!$A:$A,MATCH(C510&amp;"-"&amp;D510&amp;"-"&amp;E510&amp;"-Pos3",'Shooter-Squad Assignment'!#REF!,0)),""),IF(E510="Trap",IFERROR(INDEX('Shooter-Squad Assignment'!$A:$A,MATCH(C510&amp;"-"&amp;D510&amp;"-"&amp;E510&amp;"-Pos3",'Shooter-Squad Assignment'!$V:$V,0)),""),IF(E510="Sporting Clays",IFERROR(INDEX('Shooter-Squad Assignment'!$A:$A,MATCH(C510&amp;"-"&amp;D510&amp;"-"&amp;E510&amp;"-Pos3",'Shooter-Squad Assignment'!$Y:$Y,0)),""),"")))</f>
        <v/>
      </c>
      <c r="K510" s="92" t="str">
        <f>IF(ISBLANK(J510),"",IFERROR(INDEX('Tournament List'!$D:$D,MATCH(J510,'Tournament List'!$A:$A,0)),""))</f>
        <v/>
      </c>
      <c r="L510" s="101" t="str">
        <f>IF(E510="Skeet",IFERROR(INDEX('Shooter-Squad Assignment'!$A:$A,MATCH(C510&amp;"-"&amp;D510&amp;"-"&amp;E510&amp;"-Pos4",'Shooter-Squad Assignment'!#REF!,0)),""),IF(E510="Trap",IFERROR(INDEX('Shooter-Squad Assignment'!$A:$A,MATCH(C510&amp;"-"&amp;D510&amp;"-"&amp;E510&amp;"-Pos4",'Shooter-Squad Assignment'!$V:$V,0)),""),IF(E510="Sporting Clays",IFERROR(INDEX('Shooter-Squad Assignment'!$A:$A,MATCH(C510&amp;"-"&amp;D510&amp;"-"&amp;E510&amp;"-Pos4",'Shooter-Squad Assignment'!$Y:$Y,0)),""),"")))</f>
        <v/>
      </c>
      <c r="M510" s="92" t="str">
        <f>IF(ISBLANK(L510),"",IFERROR(INDEX('Tournament List'!$D:$D,MATCH(L510,'Tournament List'!$A:$A,0)),""))</f>
        <v/>
      </c>
      <c r="N510" s="101" t="str">
        <f>IF(E510="Skeet",IFERROR(INDEX('Shooter-Squad Assignment'!$A:$A,MATCH(C510&amp;"-"&amp;D510&amp;"-"&amp;E510&amp;"-Pos5",'Shooter-Squad Assignment'!#REF!,0)),""),IF(E510="Trap",IFERROR(INDEX('Shooter-Squad Assignment'!$A:$A,MATCH(C510&amp;"-"&amp;D510&amp;"-"&amp;E510&amp;"-Pos5",'Shooter-Squad Assignment'!$V:$V,0)),""),IF(E510="Sporting Clays",IFERROR(INDEX('Shooter-Squad Assignment'!$A:$A,MATCH(C510&amp;"-"&amp;D510&amp;"-"&amp;E510&amp;"-Pos5",'Shooter-Squad Assignment'!$Y:$Y,0)),""),"")))</f>
        <v/>
      </c>
      <c r="O510" s="93" t="str">
        <f>IF(ISBLANK(N510),"",IFERROR(INDEX('Tournament List'!$D:$D,MATCH(N510,'Tournament List'!$A:$A,0)),""))</f>
        <v/>
      </c>
    </row>
    <row r="511" spans="1:15" x14ac:dyDescent="0.3">
      <c r="A511" s="91">
        <v>519</v>
      </c>
      <c r="B511" s="92" t="str">
        <f t="shared" si="7"/>
        <v>-Intermediate 3-Trap</v>
      </c>
      <c r="C511" s="92"/>
      <c r="D511" s="92" t="s">
        <v>352</v>
      </c>
      <c r="E511" s="92" t="s">
        <v>147</v>
      </c>
      <c r="F511" s="101" t="str">
        <f>IF(E511="Skeet",IFERROR(INDEX('Shooter-Squad Assignment'!$A:$A,MATCH(C511&amp;"-"&amp;D511&amp;"-"&amp;E511&amp;"-Pos1",'Shooter-Squad Assignment'!#REF!,0)),""),IF(E511="Trap",IFERROR(INDEX('Shooter-Squad Assignment'!$A:$A,MATCH(C511&amp;"-"&amp;D511&amp;"-"&amp;E511&amp;"-Pos1",'Shooter-Squad Assignment'!$V:$V,0)),""),IF(E511="Sporting Clays",IFERROR(INDEX('Shooter-Squad Assignment'!$A:$A,MATCH(C511&amp;"-"&amp;D511&amp;"-"&amp;E511&amp;"-Pos1",'Shooter-Squad Assignment'!$Y:$Y,0)),""),"")))</f>
        <v/>
      </c>
      <c r="G511" s="92" t="str">
        <f>IF(ISBLANK(F511),"",IFERROR(INDEX('Tournament List'!$D:$D,MATCH(F511,'Tournament List'!$A:$A,0)),""))</f>
        <v/>
      </c>
      <c r="H511" s="101" t="str">
        <f>IF(E511="Skeet",IFERROR(INDEX('Shooter-Squad Assignment'!$A:$A,MATCH(C511&amp;"-"&amp;D511&amp;"-"&amp;E511&amp;"-Pos2",'Shooter-Squad Assignment'!#REF!,0)),""),IF(E511="Trap",IFERROR(INDEX('Shooter-Squad Assignment'!$A:$A,MATCH(C511&amp;"-"&amp;D511&amp;"-"&amp;E511&amp;"-Pos2",'Shooter-Squad Assignment'!$V:$V,0)),""),IF(E511="Sporting Clays",IFERROR(INDEX('Shooter-Squad Assignment'!$A:$A,MATCH(C511&amp;"-"&amp;D511&amp;"-"&amp;E511&amp;"-Pos2",'Shooter-Squad Assignment'!$Y:$Y,0)),""),"")))</f>
        <v/>
      </c>
      <c r="I511" s="92" t="str">
        <f>IF(ISBLANK(H511),"",IFERROR(INDEX('Tournament List'!$D:$D,MATCH(H511,'Tournament List'!$A:$A,0)),""))</f>
        <v/>
      </c>
      <c r="J511" s="101" t="str">
        <f>IF(E511="Skeet",IFERROR(INDEX('Shooter-Squad Assignment'!$A:$A,MATCH(C511&amp;"-"&amp;D511&amp;"-"&amp;E511&amp;"-Pos3",'Shooter-Squad Assignment'!#REF!,0)),""),IF(E511="Trap",IFERROR(INDEX('Shooter-Squad Assignment'!$A:$A,MATCH(C511&amp;"-"&amp;D511&amp;"-"&amp;E511&amp;"-Pos3",'Shooter-Squad Assignment'!$V:$V,0)),""),IF(E511="Sporting Clays",IFERROR(INDEX('Shooter-Squad Assignment'!$A:$A,MATCH(C511&amp;"-"&amp;D511&amp;"-"&amp;E511&amp;"-Pos3",'Shooter-Squad Assignment'!$Y:$Y,0)),""),"")))</f>
        <v/>
      </c>
      <c r="K511" s="92" t="str">
        <f>IF(ISBLANK(J511),"",IFERROR(INDEX('Tournament List'!$D:$D,MATCH(J511,'Tournament List'!$A:$A,0)),""))</f>
        <v/>
      </c>
      <c r="L511" s="101" t="str">
        <f>IF(E511="Skeet",IFERROR(INDEX('Shooter-Squad Assignment'!$A:$A,MATCH(C511&amp;"-"&amp;D511&amp;"-"&amp;E511&amp;"-Pos4",'Shooter-Squad Assignment'!#REF!,0)),""),IF(E511="Trap",IFERROR(INDEX('Shooter-Squad Assignment'!$A:$A,MATCH(C511&amp;"-"&amp;D511&amp;"-"&amp;E511&amp;"-Pos4",'Shooter-Squad Assignment'!$V:$V,0)),""),IF(E511="Sporting Clays",IFERROR(INDEX('Shooter-Squad Assignment'!$A:$A,MATCH(C511&amp;"-"&amp;D511&amp;"-"&amp;E511&amp;"-Pos4",'Shooter-Squad Assignment'!$Y:$Y,0)),""),"")))</f>
        <v/>
      </c>
      <c r="M511" s="92" t="str">
        <f>IF(ISBLANK(L511),"",IFERROR(INDEX('Tournament List'!$D:$D,MATCH(L511,'Tournament List'!$A:$A,0)),""))</f>
        <v/>
      </c>
      <c r="N511" s="101" t="str">
        <f>IF(E511="Skeet",IFERROR(INDEX('Shooter-Squad Assignment'!$A:$A,MATCH(C511&amp;"-"&amp;D511&amp;"-"&amp;E511&amp;"-Pos5",'Shooter-Squad Assignment'!#REF!,0)),""),IF(E511="Trap",IFERROR(INDEX('Shooter-Squad Assignment'!$A:$A,MATCH(C511&amp;"-"&amp;D511&amp;"-"&amp;E511&amp;"-Pos5",'Shooter-Squad Assignment'!$V:$V,0)),""),IF(E511="Sporting Clays",IFERROR(INDEX('Shooter-Squad Assignment'!$A:$A,MATCH(C511&amp;"-"&amp;D511&amp;"-"&amp;E511&amp;"-Pos5",'Shooter-Squad Assignment'!$Y:$Y,0)),""),"")))</f>
        <v/>
      </c>
      <c r="O511" s="93" t="str">
        <f>IF(ISBLANK(N511),"",IFERROR(INDEX('Tournament List'!$D:$D,MATCH(N511,'Tournament List'!$A:$A,0)),""))</f>
        <v/>
      </c>
    </row>
    <row r="512" spans="1:15" x14ac:dyDescent="0.3">
      <c r="A512" s="91">
        <v>520</v>
      </c>
      <c r="B512" s="92" t="str">
        <f t="shared" si="7"/>
        <v>-Junior Varsity 1-Trap</v>
      </c>
      <c r="C512" s="92"/>
      <c r="D512" s="92" t="s">
        <v>341</v>
      </c>
      <c r="E512" s="92" t="s">
        <v>147</v>
      </c>
      <c r="F512" s="101" t="str">
        <f>IF(E512="Skeet",IFERROR(INDEX('Shooter-Squad Assignment'!$A:$A,MATCH(C512&amp;"-"&amp;D512&amp;"-"&amp;E512&amp;"-Pos1",'Shooter-Squad Assignment'!#REF!,0)),""),IF(E512="Trap",IFERROR(INDEX('Shooter-Squad Assignment'!$A:$A,MATCH(C512&amp;"-"&amp;D512&amp;"-"&amp;E512&amp;"-Pos1",'Shooter-Squad Assignment'!$V:$V,0)),""),IF(E512="Sporting Clays",IFERROR(INDEX('Shooter-Squad Assignment'!$A:$A,MATCH(C512&amp;"-"&amp;D512&amp;"-"&amp;E512&amp;"-Pos1",'Shooter-Squad Assignment'!$Y:$Y,0)),""),"")))</f>
        <v/>
      </c>
      <c r="G512" s="92" t="str">
        <f>IF(ISBLANK(F512),"",IFERROR(INDEX('Tournament List'!$D:$D,MATCH(F512,'Tournament List'!$A:$A,0)),""))</f>
        <v/>
      </c>
      <c r="H512" s="101" t="str">
        <f>IF(E512="Skeet",IFERROR(INDEX('Shooter-Squad Assignment'!$A:$A,MATCH(C512&amp;"-"&amp;D512&amp;"-"&amp;E512&amp;"-Pos2",'Shooter-Squad Assignment'!#REF!,0)),""),IF(E512="Trap",IFERROR(INDEX('Shooter-Squad Assignment'!$A:$A,MATCH(C512&amp;"-"&amp;D512&amp;"-"&amp;E512&amp;"-Pos2",'Shooter-Squad Assignment'!$V:$V,0)),""),IF(E512="Sporting Clays",IFERROR(INDEX('Shooter-Squad Assignment'!$A:$A,MATCH(C512&amp;"-"&amp;D512&amp;"-"&amp;E512&amp;"-Pos2",'Shooter-Squad Assignment'!$Y:$Y,0)),""),"")))</f>
        <v/>
      </c>
      <c r="I512" s="92" t="str">
        <f>IF(ISBLANK(H512),"",IFERROR(INDEX('Tournament List'!$D:$D,MATCH(H512,'Tournament List'!$A:$A,0)),""))</f>
        <v/>
      </c>
      <c r="J512" s="101" t="str">
        <f>IF(E512="Skeet",IFERROR(INDEX('Shooter-Squad Assignment'!$A:$A,MATCH(C512&amp;"-"&amp;D512&amp;"-"&amp;E512&amp;"-Pos3",'Shooter-Squad Assignment'!#REF!,0)),""),IF(E512="Trap",IFERROR(INDEX('Shooter-Squad Assignment'!$A:$A,MATCH(C512&amp;"-"&amp;D512&amp;"-"&amp;E512&amp;"-Pos3",'Shooter-Squad Assignment'!$V:$V,0)),""),IF(E512="Sporting Clays",IFERROR(INDEX('Shooter-Squad Assignment'!$A:$A,MATCH(C512&amp;"-"&amp;D512&amp;"-"&amp;E512&amp;"-Pos3",'Shooter-Squad Assignment'!$Y:$Y,0)),""),"")))</f>
        <v/>
      </c>
      <c r="K512" s="92" t="str">
        <f>IF(ISBLANK(J512),"",IFERROR(INDEX('Tournament List'!$D:$D,MATCH(J512,'Tournament List'!$A:$A,0)),""))</f>
        <v/>
      </c>
      <c r="L512" s="101" t="str">
        <f>IF(E512="Skeet",IFERROR(INDEX('Shooter-Squad Assignment'!$A:$A,MATCH(C512&amp;"-"&amp;D512&amp;"-"&amp;E512&amp;"-Pos4",'Shooter-Squad Assignment'!#REF!,0)),""),IF(E512="Trap",IFERROR(INDEX('Shooter-Squad Assignment'!$A:$A,MATCH(C512&amp;"-"&amp;D512&amp;"-"&amp;E512&amp;"-Pos4",'Shooter-Squad Assignment'!$V:$V,0)),""),IF(E512="Sporting Clays",IFERROR(INDEX('Shooter-Squad Assignment'!$A:$A,MATCH(C512&amp;"-"&amp;D512&amp;"-"&amp;E512&amp;"-Pos4",'Shooter-Squad Assignment'!$Y:$Y,0)),""),"")))</f>
        <v/>
      </c>
      <c r="M512" s="92" t="str">
        <f>IF(ISBLANK(L512),"",IFERROR(INDEX('Tournament List'!$D:$D,MATCH(L512,'Tournament List'!$A:$A,0)),""))</f>
        <v/>
      </c>
      <c r="N512" s="101" t="str">
        <f>IF(E512="Skeet",IFERROR(INDEX('Shooter-Squad Assignment'!$A:$A,MATCH(C512&amp;"-"&amp;D512&amp;"-"&amp;E512&amp;"-Pos5",'Shooter-Squad Assignment'!#REF!,0)),""),IF(E512="Trap",IFERROR(INDEX('Shooter-Squad Assignment'!$A:$A,MATCH(C512&amp;"-"&amp;D512&amp;"-"&amp;E512&amp;"-Pos5",'Shooter-Squad Assignment'!$V:$V,0)),""),IF(E512="Sporting Clays",IFERROR(INDEX('Shooter-Squad Assignment'!$A:$A,MATCH(C512&amp;"-"&amp;D512&amp;"-"&amp;E512&amp;"-Pos5",'Shooter-Squad Assignment'!$Y:$Y,0)),""),"")))</f>
        <v/>
      </c>
      <c r="O512" s="93" t="str">
        <f>IF(ISBLANK(N512),"",IFERROR(INDEX('Tournament List'!$D:$D,MATCH(N512,'Tournament List'!$A:$A,0)),""))</f>
        <v/>
      </c>
    </row>
    <row r="513" spans="1:15" x14ac:dyDescent="0.3">
      <c r="A513" s="91">
        <v>521</v>
      </c>
      <c r="B513" s="92" t="str">
        <f t="shared" si="7"/>
        <v>-Junior Varsity 2-Trap</v>
      </c>
      <c r="C513" s="92"/>
      <c r="D513" s="92" t="s">
        <v>347</v>
      </c>
      <c r="E513" s="92" t="s">
        <v>147</v>
      </c>
      <c r="F513" s="101" t="str">
        <f>IF(E513="Skeet",IFERROR(INDEX('Shooter-Squad Assignment'!$A:$A,MATCH(C513&amp;"-"&amp;D513&amp;"-"&amp;E513&amp;"-Pos1",'Shooter-Squad Assignment'!#REF!,0)),""),IF(E513="Trap",IFERROR(INDEX('Shooter-Squad Assignment'!$A:$A,MATCH(C513&amp;"-"&amp;D513&amp;"-"&amp;E513&amp;"-Pos1",'Shooter-Squad Assignment'!$V:$V,0)),""),IF(E513="Sporting Clays",IFERROR(INDEX('Shooter-Squad Assignment'!$A:$A,MATCH(C513&amp;"-"&amp;D513&amp;"-"&amp;E513&amp;"-Pos1",'Shooter-Squad Assignment'!$Y:$Y,0)),""),"")))</f>
        <v/>
      </c>
      <c r="G513" s="92" t="str">
        <f>IF(ISBLANK(F513),"",IFERROR(INDEX('Tournament List'!$D:$D,MATCH(F513,'Tournament List'!$A:$A,0)),""))</f>
        <v/>
      </c>
      <c r="H513" s="101" t="str">
        <f>IF(E513="Skeet",IFERROR(INDEX('Shooter-Squad Assignment'!$A:$A,MATCH(C513&amp;"-"&amp;D513&amp;"-"&amp;E513&amp;"-Pos2",'Shooter-Squad Assignment'!#REF!,0)),""),IF(E513="Trap",IFERROR(INDEX('Shooter-Squad Assignment'!$A:$A,MATCH(C513&amp;"-"&amp;D513&amp;"-"&amp;E513&amp;"-Pos2",'Shooter-Squad Assignment'!$V:$V,0)),""),IF(E513="Sporting Clays",IFERROR(INDEX('Shooter-Squad Assignment'!$A:$A,MATCH(C513&amp;"-"&amp;D513&amp;"-"&amp;E513&amp;"-Pos2",'Shooter-Squad Assignment'!$Y:$Y,0)),""),"")))</f>
        <v/>
      </c>
      <c r="I513" s="92" t="str">
        <f>IF(ISBLANK(H513),"",IFERROR(INDEX('Tournament List'!$D:$D,MATCH(H513,'Tournament List'!$A:$A,0)),""))</f>
        <v/>
      </c>
      <c r="J513" s="101" t="str">
        <f>IF(E513="Skeet",IFERROR(INDEX('Shooter-Squad Assignment'!$A:$A,MATCH(C513&amp;"-"&amp;D513&amp;"-"&amp;E513&amp;"-Pos3",'Shooter-Squad Assignment'!#REF!,0)),""),IF(E513="Trap",IFERROR(INDEX('Shooter-Squad Assignment'!$A:$A,MATCH(C513&amp;"-"&amp;D513&amp;"-"&amp;E513&amp;"-Pos3",'Shooter-Squad Assignment'!$V:$V,0)),""),IF(E513="Sporting Clays",IFERROR(INDEX('Shooter-Squad Assignment'!$A:$A,MATCH(C513&amp;"-"&amp;D513&amp;"-"&amp;E513&amp;"-Pos3",'Shooter-Squad Assignment'!$Y:$Y,0)),""),"")))</f>
        <v/>
      </c>
      <c r="K513" s="92" t="str">
        <f>IF(ISBLANK(J513),"",IFERROR(INDEX('Tournament List'!$D:$D,MATCH(J513,'Tournament List'!$A:$A,0)),""))</f>
        <v/>
      </c>
      <c r="L513" s="101" t="str">
        <f>IF(E513="Skeet",IFERROR(INDEX('Shooter-Squad Assignment'!$A:$A,MATCH(C513&amp;"-"&amp;D513&amp;"-"&amp;E513&amp;"-Pos4",'Shooter-Squad Assignment'!#REF!,0)),""),IF(E513="Trap",IFERROR(INDEX('Shooter-Squad Assignment'!$A:$A,MATCH(C513&amp;"-"&amp;D513&amp;"-"&amp;E513&amp;"-Pos4",'Shooter-Squad Assignment'!$V:$V,0)),""),IF(E513="Sporting Clays",IFERROR(INDEX('Shooter-Squad Assignment'!$A:$A,MATCH(C513&amp;"-"&amp;D513&amp;"-"&amp;E513&amp;"-Pos4",'Shooter-Squad Assignment'!$Y:$Y,0)),""),"")))</f>
        <v/>
      </c>
      <c r="M513" s="92" t="str">
        <f>IF(ISBLANK(L513),"",IFERROR(INDEX('Tournament List'!$D:$D,MATCH(L513,'Tournament List'!$A:$A,0)),""))</f>
        <v/>
      </c>
      <c r="N513" s="101" t="str">
        <f>IF(E513="Skeet",IFERROR(INDEX('Shooter-Squad Assignment'!$A:$A,MATCH(C513&amp;"-"&amp;D513&amp;"-"&amp;E513&amp;"-Pos5",'Shooter-Squad Assignment'!#REF!,0)),""),IF(E513="Trap",IFERROR(INDEX('Shooter-Squad Assignment'!$A:$A,MATCH(C513&amp;"-"&amp;D513&amp;"-"&amp;E513&amp;"-Pos5",'Shooter-Squad Assignment'!$V:$V,0)),""),IF(E513="Sporting Clays",IFERROR(INDEX('Shooter-Squad Assignment'!$A:$A,MATCH(C513&amp;"-"&amp;D513&amp;"-"&amp;E513&amp;"-Pos5",'Shooter-Squad Assignment'!$Y:$Y,0)),""),"")))</f>
        <v/>
      </c>
      <c r="O513" s="93" t="str">
        <f>IF(ISBLANK(N513),"",IFERROR(INDEX('Tournament List'!$D:$D,MATCH(N513,'Tournament List'!$A:$A,0)),""))</f>
        <v/>
      </c>
    </row>
    <row r="514" spans="1:15" x14ac:dyDescent="0.3">
      <c r="A514" s="91">
        <v>522</v>
      </c>
      <c r="B514" s="92" t="str">
        <f t="shared" si="7"/>
        <v>-Junior Varsity 3-Trap</v>
      </c>
      <c r="C514" s="92"/>
      <c r="D514" s="92" t="s">
        <v>353</v>
      </c>
      <c r="E514" s="92" t="s">
        <v>147</v>
      </c>
      <c r="F514" s="101" t="str">
        <f>IF(E514="Skeet",IFERROR(INDEX('Shooter-Squad Assignment'!$A:$A,MATCH(C514&amp;"-"&amp;D514&amp;"-"&amp;E514&amp;"-Pos1",'Shooter-Squad Assignment'!#REF!,0)),""),IF(E514="Trap",IFERROR(INDEX('Shooter-Squad Assignment'!$A:$A,MATCH(C514&amp;"-"&amp;D514&amp;"-"&amp;E514&amp;"-Pos1",'Shooter-Squad Assignment'!$V:$V,0)),""),IF(E514="Sporting Clays",IFERROR(INDEX('Shooter-Squad Assignment'!$A:$A,MATCH(C514&amp;"-"&amp;D514&amp;"-"&amp;E514&amp;"-Pos1",'Shooter-Squad Assignment'!$Y:$Y,0)),""),"")))</f>
        <v/>
      </c>
      <c r="G514" s="92" t="str">
        <f>IF(ISBLANK(F514),"",IFERROR(INDEX('Tournament List'!$D:$D,MATCH(F514,'Tournament List'!$A:$A,0)),""))</f>
        <v/>
      </c>
      <c r="H514" s="101" t="str">
        <f>IF(E514="Skeet",IFERROR(INDEX('Shooter-Squad Assignment'!$A:$A,MATCH(C514&amp;"-"&amp;D514&amp;"-"&amp;E514&amp;"-Pos2",'Shooter-Squad Assignment'!#REF!,0)),""),IF(E514="Trap",IFERROR(INDEX('Shooter-Squad Assignment'!$A:$A,MATCH(C514&amp;"-"&amp;D514&amp;"-"&amp;E514&amp;"-Pos2",'Shooter-Squad Assignment'!$V:$V,0)),""),IF(E514="Sporting Clays",IFERROR(INDEX('Shooter-Squad Assignment'!$A:$A,MATCH(C514&amp;"-"&amp;D514&amp;"-"&amp;E514&amp;"-Pos2",'Shooter-Squad Assignment'!$Y:$Y,0)),""),"")))</f>
        <v/>
      </c>
      <c r="I514" s="92" t="str">
        <f>IF(ISBLANK(H514),"",IFERROR(INDEX('Tournament List'!$D:$D,MATCH(H514,'Tournament List'!$A:$A,0)),""))</f>
        <v/>
      </c>
      <c r="J514" s="101" t="str">
        <f>IF(E514="Skeet",IFERROR(INDEX('Shooter-Squad Assignment'!$A:$A,MATCH(C514&amp;"-"&amp;D514&amp;"-"&amp;E514&amp;"-Pos3",'Shooter-Squad Assignment'!#REF!,0)),""),IF(E514="Trap",IFERROR(INDEX('Shooter-Squad Assignment'!$A:$A,MATCH(C514&amp;"-"&amp;D514&amp;"-"&amp;E514&amp;"-Pos3",'Shooter-Squad Assignment'!$V:$V,0)),""),IF(E514="Sporting Clays",IFERROR(INDEX('Shooter-Squad Assignment'!$A:$A,MATCH(C514&amp;"-"&amp;D514&amp;"-"&amp;E514&amp;"-Pos3",'Shooter-Squad Assignment'!$Y:$Y,0)),""),"")))</f>
        <v/>
      </c>
      <c r="K514" s="92" t="str">
        <f>IF(ISBLANK(J514),"",IFERROR(INDEX('Tournament List'!$D:$D,MATCH(J514,'Tournament List'!$A:$A,0)),""))</f>
        <v/>
      </c>
      <c r="L514" s="101" t="str">
        <f>IF(E514="Skeet",IFERROR(INDEX('Shooter-Squad Assignment'!$A:$A,MATCH(C514&amp;"-"&amp;D514&amp;"-"&amp;E514&amp;"-Pos4",'Shooter-Squad Assignment'!#REF!,0)),""),IF(E514="Trap",IFERROR(INDEX('Shooter-Squad Assignment'!$A:$A,MATCH(C514&amp;"-"&amp;D514&amp;"-"&amp;E514&amp;"-Pos4",'Shooter-Squad Assignment'!$V:$V,0)),""),IF(E514="Sporting Clays",IFERROR(INDEX('Shooter-Squad Assignment'!$A:$A,MATCH(C514&amp;"-"&amp;D514&amp;"-"&amp;E514&amp;"-Pos4",'Shooter-Squad Assignment'!$Y:$Y,0)),""),"")))</f>
        <v/>
      </c>
      <c r="M514" s="92" t="str">
        <f>IF(ISBLANK(L514),"",IFERROR(INDEX('Tournament List'!$D:$D,MATCH(L514,'Tournament List'!$A:$A,0)),""))</f>
        <v/>
      </c>
      <c r="N514" s="101" t="str">
        <f>IF(E514="Skeet",IFERROR(INDEX('Shooter-Squad Assignment'!$A:$A,MATCH(C514&amp;"-"&amp;D514&amp;"-"&amp;E514&amp;"-Pos5",'Shooter-Squad Assignment'!#REF!,0)),""),IF(E514="Trap",IFERROR(INDEX('Shooter-Squad Assignment'!$A:$A,MATCH(C514&amp;"-"&amp;D514&amp;"-"&amp;E514&amp;"-Pos5",'Shooter-Squad Assignment'!$V:$V,0)),""),IF(E514="Sporting Clays",IFERROR(INDEX('Shooter-Squad Assignment'!$A:$A,MATCH(C514&amp;"-"&amp;D514&amp;"-"&amp;E514&amp;"-Pos5",'Shooter-Squad Assignment'!$Y:$Y,0)),""),"")))</f>
        <v/>
      </c>
      <c r="O514" s="93" t="str">
        <f>IF(ISBLANK(N514),"",IFERROR(INDEX('Tournament List'!$D:$D,MATCH(N514,'Tournament List'!$A:$A,0)),""))</f>
        <v/>
      </c>
    </row>
    <row r="515" spans="1:15" x14ac:dyDescent="0.3">
      <c r="A515" s="91">
        <v>523</v>
      </c>
      <c r="B515" s="92" t="str">
        <f t="shared" ref="B515:B578" si="8">C515&amp;"-"&amp;D515&amp;"-"&amp;E515</f>
        <v>-Novice 1-Trap</v>
      </c>
      <c r="C515" s="92"/>
      <c r="D515" s="92" t="s">
        <v>339</v>
      </c>
      <c r="E515" s="92" t="s">
        <v>147</v>
      </c>
      <c r="F515" s="101" t="str">
        <f>IF(E515="Skeet",IFERROR(INDEX('Shooter-Squad Assignment'!$A:$A,MATCH(C515&amp;"-"&amp;D515&amp;"-"&amp;E515&amp;"-Pos1",'Shooter-Squad Assignment'!#REF!,0)),""),IF(E515="Trap",IFERROR(INDEX('Shooter-Squad Assignment'!$A:$A,MATCH(C515&amp;"-"&amp;D515&amp;"-"&amp;E515&amp;"-Pos1",'Shooter-Squad Assignment'!$V:$V,0)),""),IF(E515="Sporting Clays",IFERROR(INDEX('Shooter-Squad Assignment'!$A:$A,MATCH(C515&amp;"-"&amp;D515&amp;"-"&amp;E515&amp;"-Pos1",'Shooter-Squad Assignment'!$Y:$Y,0)),""),"")))</f>
        <v/>
      </c>
      <c r="G515" s="92" t="str">
        <f>IF(ISBLANK(F515),"",IFERROR(INDEX('Tournament List'!$D:$D,MATCH(F515,'Tournament List'!$A:$A,0)),""))</f>
        <v/>
      </c>
      <c r="H515" s="101" t="str">
        <f>IF(E515="Skeet",IFERROR(INDEX('Shooter-Squad Assignment'!$A:$A,MATCH(C515&amp;"-"&amp;D515&amp;"-"&amp;E515&amp;"-Pos2",'Shooter-Squad Assignment'!#REF!,0)),""),IF(E515="Trap",IFERROR(INDEX('Shooter-Squad Assignment'!$A:$A,MATCH(C515&amp;"-"&amp;D515&amp;"-"&amp;E515&amp;"-Pos2",'Shooter-Squad Assignment'!$V:$V,0)),""),IF(E515="Sporting Clays",IFERROR(INDEX('Shooter-Squad Assignment'!$A:$A,MATCH(C515&amp;"-"&amp;D515&amp;"-"&amp;E515&amp;"-Pos2",'Shooter-Squad Assignment'!$Y:$Y,0)),""),"")))</f>
        <v/>
      </c>
      <c r="I515" s="92" t="str">
        <f>IF(ISBLANK(H515),"",IFERROR(INDEX('Tournament List'!$D:$D,MATCH(H515,'Tournament List'!$A:$A,0)),""))</f>
        <v/>
      </c>
      <c r="J515" s="101" t="str">
        <f>IF(E515="Skeet",IFERROR(INDEX('Shooter-Squad Assignment'!$A:$A,MATCH(C515&amp;"-"&amp;D515&amp;"-"&amp;E515&amp;"-Pos3",'Shooter-Squad Assignment'!#REF!,0)),""),IF(E515="Trap",IFERROR(INDEX('Shooter-Squad Assignment'!$A:$A,MATCH(C515&amp;"-"&amp;D515&amp;"-"&amp;E515&amp;"-Pos3",'Shooter-Squad Assignment'!$V:$V,0)),""),IF(E515="Sporting Clays",IFERROR(INDEX('Shooter-Squad Assignment'!$A:$A,MATCH(C515&amp;"-"&amp;D515&amp;"-"&amp;E515&amp;"-Pos3",'Shooter-Squad Assignment'!$Y:$Y,0)),""),"")))</f>
        <v/>
      </c>
      <c r="K515" s="92" t="str">
        <f>IF(ISBLANK(J515),"",IFERROR(INDEX('Tournament List'!$D:$D,MATCH(J515,'Tournament List'!$A:$A,0)),""))</f>
        <v/>
      </c>
      <c r="L515" s="101" t="str">
        <f>IF(E515="Skeet",IFERROR(INDEX('Shooter-Squad Assignment'!$A:$A,MATCH(C515&amp;"-"&amp;D515&amp;"-"&amp;E515&amp;"-Pos4",'Shooter-Squad Assignment'!#REF!,0)),""),IF(E515="Trap",IFERROR(INDEX('Shooter-Squad Assignment'!$A:$A,MATCH(C515&amp;"-"&amp;D515&amp;"-"&amp;E515&amp;"-Pos4",'Shooter-Squad Assignment'!$V:$V,0)),""),IF(E515="Sporting Clays",IFERROR(INDEX('Shooter-Squad Assignment'!$A:$A,MATCH(C515&amp;"-"&amp;D515&amp;"-"&amp;E515&amp;"-Pos4",'Shooter-Squad Assignment'!$Y:$Y,0)),""),"")))</f>
        <v/>
      </c>
      <c r="M515" s="92" t="str">
        <f>IF(ISBLANK(L515),"",IFERROR(INDEX('Tournament List'!$D:$D,MATCH(L515,'Tournament List'!$A:$A,0)),""))</f>
        <v/>
      </c>
      <c r="N515" s="101" t="str">
        <f>IF(E515="Skeet",IFERROR(INDEX('Shooter-Squad Assignment'!$A:$A,MATCH(C515&amp;"-"&amp;D515&amp;"-"&amp;E515&amp;"-Pos5",'Shooter-Squad Assignment'!#REF!,0)),""),IF(E515="Trap",IFERROR(INDEX('Shooter-Squad Assignment'!$A:$A,MATCH(C515&amp;"-"&amp;D515&amp;"-"&amp;E515&amp;"-Pos5",'Shooter-Squad Assignment'!$V:$V,0)),""),IF(E515="Sporting Clays",IFERROR(INDEX('Shooter-Squad Assignment'!$A:$A,MATCH(C515&amp;"-"&amp;D515&amp;"-"&amp;E515&amp;"-Pos5",'Shooter-Squad Assignment'!$Y:$Y,0)),""),"")))</f>
        <v/>
      </c>
      <c r="O515" s="93" t="str">
        <f>IF(ISBLANK(N515),"",IFERROR(INDEX('Tournament List'!$D:$D,MATCH(N515,'Tournament List'!$A:$A,0)),""))</f>
        <v/>
      </c>
    </row>
    <row r="516" spans="1:15" x14ac:dyDescent="0.3">
      <c r="A516" s="91">
        <v>524</v>
      </c>
      <c r="B516" s="92" t="str">
        <f t="shared" si="8"/>
        <v>-Novice 2-Trap</v>
      </c>
      <c r="C516" s="92"/>
      <c r="D516" s="92" t="s">
        <v>345</v>
      </c>
      <c r="E516" s="92" t="s">
        <v>147</v>
      </c>
      <c r="F516" s="101" t="str">
        <f>IF(E516="Skeet",IFERROR(INDEX('Shooter-Squad Assignment'!$A:$A,MATCH(C516&amp;"-"&amp;D516&amp;"-"&amp;E516&amp;"-Pos1",'Shooter-Squad Assignment'!#REF!,0)),""),IF(E516="Trap",IFERROR(INDEX('Shooter-Squad Assignment'!$A:$A,MATCH(C516&amp;"-"&amp;D516&amp;"-"&amp;E516&amp;"-Pos1",'Shooter-Squad Assignment'!$V:$V,0)),""),IF(E516="Sporting Clays",IFERROR(INDEX('Shooter-Squad Assignment'!$A:$A,MATCH(C516&amp;"-"&amp;D516&amp;"-"&amp;E516&amp;"-Pos1",'Shooter-Squad Assignment'!$Y:$Y,0)),""),"")))</f>
        <v/>
      </c>
      <c r="G516" s="92" t="str">
        <f>IF(ISBLANK(F516),"",IFERROR(INDEX('Tournament List'!$D:$D,MATCH(F516,'Tournament List'!$A:$A,0)),""))</f>
        <v/>
      </c>
      <c r="H516" s="101" t="str">
        <f>IF(E516="Skeet",IFERROR(INDEX('Shooter-Squad Assignment'!$A:$A,MATCH(C516&amp;"-"&amp;D516&amp;"-"&amp;E516&amp;"-Pos2",'Shooter-Squad Assignment'!#REF!,0)),""),IF(E516="Trap",IFERROR(INDEX('Shooter-Squad Assignment'!$A:$A,MATCH(C516&amp;"-"&amp;D516&amp;"-"&amp;E516&amp;"-Pos2",'Shooter-Squad Assignment'!$V:$V,0)),""),IF(E516="Sporting Clays",IFERROR(INDEX('Shooter-Squad Assignment'!$A:$A,MATCH(C516&amp;"-"&amp;D516&amp;"-"&amp;E516&amp;"-Pos2",'Shooter-Squad Assignment'!$Y:$Y,0)),""),"")))</f>
        <v/>
      </c>
      <c r="I516" s="92" t="str">
        <f>IF(ISBLANK(H516),"",IFERROR(INDEX('Tournament List'!$D:$D,MATCH(H516,'Tournament List'!$A:$A,0)),""))</f>
        <v/>
      </c>
      <c r="J516" s="101" t="str">
        <f>IF(E516="Skeet",IFERROR(INDEX('Shooter-Squad Assignment'!$A:$A,MATCH(C516&amp;"-"&amp;D516&amp;"-"&amp;E516&amp;"-Pos3",'Shooter-Squad Assignment'!#REF!,0)),""),IF(E516="Trap",IFERROR(INDEX('Shooter-Squad Assignment'!$A:$A,MATCH(C516&amp;"-"&amp;D516&amp;"-"&amp;E516&amp;"-Pos3",'Shooter-Squad Assignment'!$V:$V,0)),""),IF(E516="Sporting Clays",IFERROR(INDEX('Shooter-Squad Assignment'!$A:$A,MATCH(C516&amp;"-"&amp;D516&amp;"-"&amp;E516&amp;"-Pos3",'Shooter-Squad Assignment'!$Y:$Y,0)),""),"")))</f>
        <v/>
      </c>
      <c r="K516" s="92" t="str">
        <f>IF(ISBLANK(J516),"",IFERROR(INDEX('Tournament List'!$D:$D,MATCH(J516,'Tournament List'!$A:$A,0)),""))</f>
        <v/>
      </c>
      <c r="L516" s="101" t="str">
        <f>IF(E516="Skeet",IFERROR(INDEX('Shooter-Squad Assignment'!$A:$A,MATCH(C516&amp;"-"&amp;D516&amp;"-"&amp;E516&amp;"-Pos4",'Shooter-Squad Assignment'!#REF!,0)),""),IF(E516="Trap",IFERROR(INDEX('Shooter-Squad Assignment'!$A:$A,MATCH(C516&amp;"-"&amp;D516&amp;"-"&amp;E516&amp;"-Pos4",'Shooter-Squad Assignment'!$V:$V,0)),""),IF(E516="Sporting Clays",IFERROR(INDEX('Shooter-Squad Assignment'!$A:$A,MATCH(C516&amp;"-"&amp;D516&amp;"-"&amp;E516&amp;"-Pos4",'Shooter-Squad Assignment'!$Y:$Y,0)),""),"")))</f>
        <v/>
      </c>
      <c r="M516" s="92" t="str">
        <f>IF(ISBLANK(L516),"",IFERROR(INDEX('Tournament List'!$D:$D,MATCH(L516,'Tournament List'!$A:$A,0)),""))</f>
        <v/>
      </c>
      <c r="N516" s="101" t="str">
        <f>IF(E516="Skeet",IFERROR(INDEX('Shooter-Squad Assignment'!$A:$A,MATCH(C516&amp;"-"&amp;D516&amp;"-"&amp;E516&amp;"-Pos5",'Shooter-Squad Assignment'!#REF!,0)),""),IF(E516="Trap",IFERROR(INDEX('Shooter-Squad Assignment'!$A:$A,MATCH(C516&amp;"-"&amp;D516&amp;"-"&amp;E516&amp;"-Pos5",'Shooter-Squad Assignment'!$V:$V,0)),""),IF(E516="Sporting Clays",IFERROR(INDEX('Shooter-Squad Assignment'!$A:$A,MATCH(C516&amp;"-"&amp;D516&amp;"-"&amp;E516&amp;"-Pos5",'Shooter-Squad Assignment'!$Y:$Y,0)),""),"")))</f>
        <v/>
      </c>
      <c r="O516" s="93" t="str">
        <f>IF(ISBLANK(N516),"",IFERROR(INDEX('Tournament List'!$D:$D,MATCH(N516,'Tournament List'!$A:$A,0)),""))</f>
        <v/>
      </c>
    </row>
    <row r="517" spans="1:15" x14ac:dyDescent="0.3">
      <c r="A517" s="91">
        <v>525</v>
      </c>
      <c r="B517" s="92" t="str">
        <f t="shared" si="8"/>
        <v>-Novice 3-Trap</v>
      </c>
      <c r="C517" s="92"/>
      <c r="D517" s="92" t="s">
        <v>351</v>
      </c>
      <c r="E517" s="92" t="s">
        <v>147</v>
      </c>
      <c r="F517" s="101" t="str">
        <f>IF(E517="Skeet",IFERROR(INDEX('Shooter-Squad Assignment'!$A:$A,MATCH(C517&amp;"-"&amp;D517&amp;"-"&amp;E517&amp;"-Pos1",'Shooter-Squad Assignment'!#REF!,0)),""),IF(E517="Trap",IFERROR(INDEX('Shooter-Squad Assignment'!$A:$A,MATCH(C517&amp;"-"&amp;D517&amp;"-"&amp;E517&amp;"-Pos1",'Shooter-Squad Assignment'!$V:$V,0)),""),IF(E517="Sporting Clays",IFERROR(INDEX('Shooter-Squad Assignment'!$A:$A,MATCH(C517&amp;"-"&amp;D517&amp;"-"&amp;E517&amp;"-Pos1",'Shooter-Squad Assignment'!$Y:$Y,0)),""),"")))</f>
        <v/>
      </c>
      <c r="G517" s="92" t="str">
        <f>IF(ISBLANK(F517),"",IFERROR(INDEX('Tournament List'!$D:$D,MATCH(F517,'Tournament List'!$A:$A,0)),""))</f>
        <v/>
      </c>
      <c r="H517" s="101" t="str">
        <f>IF(E517="Skeet",IFERROR(INDEX('Shooter-Squad Assignment'!$A:$A,MATCH(C517&amp;"-"&amp;D517&amp;"-"&amp;E517&amp;"-Pos2",'Shooter-Squad Assignment'!#REF!,0)),""),IF(E517="Trap",IFERROR(INDEX('Shooter-Squad Assignment'!$A:$A,MATCH(C517&amp;"-"&amp;D517&amp;"-"&amp;E517&amp;"-Pos2",'Shooter-Squad Assignment'!$V:$V,0)),""),IF(E517="Sporting Clays",IFERROR(INDEX('Shooter-Squad Assignment'!$A:$A,MATCH(C517&amp;"-"&amp;D517&amp;"-"&amp;E517&amp;"-Pos2",'Shooter-Squad Assignment'!$Y:$Y,0)),""),"")))</f>
        <v/>
      </c>
      <c r="I517" s="92" t="str">
        <f>IF(ISBLANK(H517),"",IFERROR(INDEX('Tournament List'!$D:$D,MATCH(H517,'Tournament List'!$A:$A,0)),""))</f>
        <v/>
      </c>
      <c r="J517" s="101" t="str">
        <f>IF(E517="Skeet",IFERROR(INDEX('Shooter-Squad Assignment'!$A:$A,MATCH(C517&amp;"-"&amp;D517&amp;"-"&amp;E517&amp;"-Pos3",'Shooter-Squad Assignment'!#REF!,0)),""),IF(E517="Trap",IFERROR(INDEX('Shooter-Squad Assignment'!$A:$A,MATCH(C517&amp;"-"&amp;D517&amp;"-"&amp;E517&amp;"-Pos3",'Shooter-Squad Assignment'!$V:$V,0)),""),IF(E517="Sporting Clays",IFERROR(INDEX('Shooter-Squad Assignment'!$A:$A,MATCH(C517&amp;"-"&amp;D517&amp;"-"&amp;E517&amp;"-Pos3",'Shooter-Squad Assignment'!$Y:$Y,0)),""),"")))</f>
        <v/>
      </c>
      <c r="K517" s="92" t="str">
        <f>IF(ISBLANK(J517),"",IFERROR(INDEX('Tournament List'!$D:$D,MATCH(J517,'Tournament List'!$A:$A,0)),""))</f>
        <v/>
      </c>
      <c r="L517" s="101" t="str">
        <f>IF(E517="Skeet",IFERROR(INDEX('Shooter-Squad Assignment'!$A:$A,MATCH(C517&amp;"-"&amp;D517&amp;"-"&amp;E517&amp;"-Pos4",'Shooter-Squad Assignment'!#REF!,0)),""),IF(E517="Trap",IFERROR(INDEX('Shooter-Squad Assignment'!$A:$A,MATCH(C517&amp;"-"&amp;D517&amp;"-"&amp;E517&amp;"-Pos4",'Shooter-Squad Assignment'!$V:$V,0)),""),IF(E517="Sporting Clays",IFERROR(INDEX('Shooter-Squad Assignment'!$A:$A,MATCH(C517&amp;"-"&amp;D517&amp;"-"&amp;E517&amp;"-Pos4",'Shooter-Squad Assignment'!$Y:$Y,0)),""),"")))</f>
        <v/>
      </c>
      <c r="M517" s="92" t="str">
        <f>IF(ISBLANK(L517),"",IFERROR(INDEX('Tournament List'!$D:$D,MATCH(L517,'Tournament List'!$A:$A,0)),""))</f>
        <v/>
      </c>
      <c r="N517" s="101" t="str">
        <f>IF(E517="Skeet",IFERROR(INDEX('Shooter-Squad Assignment'!$A:$A,MATCH(C517&amp;"-"&amp;D517&amp;"-"&amp;E517&amp;"-Pos5",'Shooter-Squad Assignment'!#REF!,0)),""),IF(E517="Trap",IFERROR(INDEX('Shooter-Squad Assignment'!$A:$A,MATCH(C517&amp;"-"&amp;D517&amp;"-"&amp;E517&amp;"-Pos5",'Shooter-Squad Assignment'!$V:$V,0)),""),IF(E517="Sporting Clays",IFERROR(INDEX('Shooter-Squad Assignment'!$A:$A,MATCH(C517&amp;"-"&amp;D517&amp;"-"&amp;E517&amp;"-Pos5",'Shooter-Squad Assignment'!$Y:$Y,0)),""),"")))</f>
        <v/>
      </c>
      <c r="O517" s="93" t="str">
        <f>IF(ISBLANK(N517),"",IFERROR(INDEX('Tournament List'!$D:$D,MATCH(N517,'Tournament List'!$A:$A,0)),""))</f>
        <v/>
      </c>
    </row>
    <row r="518" spans="1:15" x14ac:dyDescent="0.3">
      <c r="A518" s="91">
        <v>526</v>
      </c>
      <c r="B518" s="92" t="str">
        <f t="shared" si="8"/>
        <v>-Open 1-Trap</v>
      </c>
      <c r="C518" s="92"/>
      <c r="D518" s="92" t="s">
        <v>343</v>
      </c>
      <c r="E518" s="92" t="s">
        <v>147</v>
      </c>
      <c r="F518" s="101" t="str">
        <f>IF(E518="Skeet",IFERROR(INDEX('Shooter-Squad Assignment'!$A:$A,MATCH(C518&amp;"-"&amp;D518&amp;"-"&amp;E518&amp;"-Pos1",'Shooter-Squad Assignment'!#REF!,0)),""),IF(E518="Trap",IFERROR(INDEX('Shooter-Squad Assignment'!$A:$A,MATCH(C518&amp;"-"&amp;D518&amp;"-"&amp;E518&amp;"-Pos1",'Shooter-Squad Assignment'!$V:$V,0)),""),IF(E518="Sporting Clays",IFERROR(INDEX('Shooter-Squad Assignment'!$A:$A,MATCH(C518&amp;"-"&amp;D518&amp;"-"&amp;E518&amp;"-Pos1",'Shooter-Squad Assignment'!$Y:$Y,0)),""),"")))</f>
        <v/>
      </c>
      <c r="G518" s="92" t="str">
        <f>IF(ISBLANK(F518),"",IFERROR(INDEX('Tournament List'!$D:$D,MATCH(F518,'Tournament List'!$A:$A,0)),""))</f>
        <v/>
      </c>
      <c r="H518" s="101" t="str">
        <f>IF(E518="Skeet",IFERROR(INDEX('Shooter-Squad Assignment'!$A:$A,MATCH(C518&amp;"-"&amp;D518&amp;"-"&amp;E518&amp;"-Pos2",'Shooter-Squad Assignment'!#REF!,0)),""),IF(E518="Trap",IFERROR(INDEX('Shooter-Squad Assignment'!$A:$A,MATCH(C518&amp;"-"&amp;D518&amp;"-"&amp;E518&amp;"-Pos2",'Shooter-Squad Assignment'!$V:$V,0)),""),IF(E518="Sporting Clays",IFERROR(INDEX('Shooter-Squad Assignment'!$A:$A,MATCH(C518&amp;"-"&amp;D518&amp;"-"&amp;E518&amp;"-Pos2",'Shooter-Squad Assignment'!$Y:$Y,0)),""),"")))</f>
        <v/>
      </c>
      <c r="I518" s="92" t="str">
        <f>IF(ISBLANK(H518),"",IFERROR(INDEX('Tournament List'!$D:$D,MATCH(H518,'Tournament List'!$A:$A,0)),""))</f>
        <v/>
      </c>
      <c r="J518" s="101" t="str">
        <f>IF(E518="Skeet",IFERROR(INDEX('Shooter-Squad Assignment'!$A:$A,MATCH(C518&amp;"-"&amp;D518&amp;"-"&amp;E518&amp;"-Pos3",'Shooter-Squad Assignment'!#REF!,0)),""),IF(E518="Trap",IFERROR(INDEX('Shooter-Squad Assignment'!$A:$A,MATCH(C518&amp;"-"&amp;D518&amp;"-"&amp;E518&amp;"-Pos3",'Shooter-Squad Assignment'!$V:$V,0)),""),IF(E518="Sporting Clays",IFERROR(INDEX('Shooter-Squad Assignment'!$A:$A,MATCH(C518&amp;"-"&amp;D518&amp;"-"&amp;E518&amp;"-Pos3",'Shooter-Squad Assignment'!$Y:$Y,0)),""),"")))</f>
        <v/>
      </c>
      <c r="K518" s="92" t="str">
        <f>IF(ISBLANK(J518),"",IFERROR(INDEX('Tournament List'!$D:$D,MATCH(J518,'Tournament List'!$A:$A,0)),""))</f>
        <v/>
      </c>
      <c r="L518" s="101" t="str">
        <f>IF(E518="Skeet",IFERROR(INDEX('Shooter-Squad Assignment'!$A:$A,MATCH(C518&amp;"-"&amp;D518&amp;"-"&amp;E518&amp;"-Pos4",'Shooter-Squad Assignment'!#REF!,0)),""),IF(E518="Trap",IFERROR(INDEX('Shooter-Squad Assignment'!$A:$A,MATCH(C518&amp;"-"&amp;D518&amp;"-"&amp;E518&amp;"-Pos4",'Shooter-Squad Assignment'!$V:$V,0)),""),IF(E518="Sporting Clays",IFERROR(INDEX('Shooter-Squad Assignment'!$A:$A,MATCH(C518&amp;"-"&amp;D518&amp;"-"&amp;E518&amp;"-Pos4",'Shooter-Squad Assignment'!$Y:$Y,0)),""),"")))</f>
        <v/>
      </c>
      <c r="M518" s="92" t="str">
        <f>IF(ISBLANK(L518),"",IFERROR(INDEX('Tournament List'!$D:$D,MATCH(L518,'Tournament List'!$A:$A,0)),""))</f>
        <v/>
      </c>
      <c r="N518" s="101" t="str">
        <f>IF(E518="Skeet",IFERROR(INDEX('Shooter-Squad Assignment'!$A:$A,MATCH(C518&amp;"-"&amp;D518&amp;"-"&amp;E518&amp;"-Pos5",'Shooter-Squad Assignment'!#REF!,0)),""),IF(E518="Trap",IFERROR(INDEX('Shooter-Squad Assignment'!$A:$A,MATCH(C518&amp;"-"&amp;D518&amp;"-"&amp;E518&amp;"-Pos5",'Shooter-Squad Assignment'!$V:$V,0)),""),IF(E518="Sporting Clays",IFERROR(INDEX('Shooter-Squad Assignment'!$A:$A,MATCH(C518&amp;"-"&amp;D518&amp;"-"&amp;E518&amp;"-Pos5",'Shooter-Squad Assignment'!$Y:$Y,0)),""),"")))</f>
        <v/>
      </c>
      <c r="O518" s="93" t="str">
        <f>IF(ISBLANK(N518),"",IFERROR(INDEX('Tournament List'!$D:$D,MATCH(N518,'Tournament List'!$A:$A,0)),""))</f>
        <v/>
      </c>
    </row>
    <row r="519" spans="1:15" x14ac:dyDescent="0.3">
      <c r="A519" s="91">
        <v>527</v>
      </c>
      <c r="B519" s="92" t="str">
        <f t="shared" si="8"/>
        <v>-Open 2-Trap</v>
      </c>
      <c r="C519" s="92"/>
      <c r="D519" s="92" t="s">
        <v>349</v>
      </c>
      <c r="E519" s="92" t="s">
        <v>147</v>
      </c>
      <c r="F519" s="101" t="str">
        <f>IF(E519="Skeet",IFERROR(INDEX('Shooter-Squad Assignment'!$A:$A,MATCH(C519&amp;"-"&amp;D519&amp;"-"&amp;E519&amp;"-Pos1",'Shooter-Squad Assignment'!#REF!,0)),""),IF(E519="Trap",IFERROR(INDEX('Shooter-Squad Assignment'!$A:$A,MATCH(C519&amp;"-"&amp;D519&amp;"-"&amp;E519&amp;"-Pos1",'Shooter-Squad Assignment'!$V:$V,0)),""),IF(E519="Sporting Clays",IFERROR(INDEX('Shooter-Squad Assignment'!$A:$A,MATCH(C519&amp;"-"&amp;D519&amp;"-"&amp;E519&amp;"-Pos1",'Shooter-Squad Assignment'!$Y:$Y,0)),""),"")))</f>
        <v/>
      </c>
      <c r="G519" s="92" t="str">
        <f>IF(ISBLANK(F519),"",IFERROR(INDEX('Tournament List'!$D:$D,MATCH(F519,'Tournament List'!$A:$A,0)),""))</f>
        <v/>
      </c>
      <c r="H519" s="101" t="str">
        <f>IF(E519="Skeet",IFERROR(INDEX('Shooter-Squad Assignment'!$A:$A,MATCH(C519&amp;"-"&amp;D519&amp;"-"&amp;E519&amp;"-Pos2",'Shooter-Squad Assignment'!#REF!,0)),""),IF(E519="Trap",IFERROR(INDEX('Shooter-Squad Assignment'!$A:$A,MATCH(C519&amp;"-"&amp;D519&amp;"-"&amp;E519&amp;"-Pos2",'Shooter-Squad Assignment'!$V:$V,0)),""),IF(E519="Sporting Clays",IFERROR(INDEX('Shooter-Squad Assignment'!$A:$A,MATCH(C519&amp;"-"&amp;D519&amp;"-"&amp;E519&amp;"-Pos2",'Shooter-Squad Assignment'!$Y:$Y,0)),""),"")))</f>
        <v/>
      </c>
      <c r="I519" s="92" t="str">
        <f>IF(ISBLANK(H519),"",IFERROR(INDEX('Tournament List'!$D:$D,MATCH(H519,'Tournament List'!$A:$A,0)),""))</f>
        <v/>
      </c>
      <c r="J519" s="101" t="str">
        <f>IF(E519="Skeet",IFERROR(INDEX('Shooter-Squad Assignment'!$A:$A,MATCH(C519&amp;"-"&amp;D519&amp;"-"&amp;E519&amp;"-Pos3",'Shooter-Squad Assignment'!#REF!,0)),""),IF(E519="Trap",IFERROR(INDEX('Shooter-Squad Assignment'!$A:$A,MATCH(C519&amp;"-"&amp;D519&amp;"-"&amp;E519&amp;"-Pos3",'Shooter-Squad Assignment'!$V:$V,0)),""),IF(E519="Sporting Clays",IFERROR(INDEX('Shooter-Squad Assignment'!$A:$A,MATCH(C519&amp;"-"&amp;D519&amp;"-"&amp;E519&amp;"-Pos3",'Shooter-Squad Assignment'!$Y:$Y,0)),""),"")))</f>
        <v/>
      </c>
      <c r="K519" s="92" t="str">
        <f>IF(ISBLANK(J519),"",IFERROR(INDEX('Tournament List'!$D:$D,MATCH(J519,'Tournament List'!$A:$A,0)),""))</f>
        <v/>
      </c>
      <c r="L519" s="101" t="str">
        <f>IF(E519="Skeet",IFERROR(INDEX('Shooter-Squad Assignment'!$A:$A,MATCH(C519&amp;"-"&amp;D519&amp;"-"&amp;E519&amp;"-Pos4",'Shooter-Squad Assignment'!#REF!,0)),""),IF(E519="Trap",IFERROR(INDEX('Shooter-Squad Assignment'!$A:$A,MATCH(C519&amp;"-"&amp;D519&amp;"-"&amp;E519&amp;"-Pos4",'Shooter-Squad Assignment'!$V:$V,0)),""),IF(E519="Sporting Clays",IFERROR(INDEX('Shooter-Squad Assignment'!$A:$A,MATCH(C519&amp;"-"&amp;D519&amp;"-"&amp;E519&amp;"-Pos4",'Shooter-Squad Assignment'!$Y:$Y,0)),""),"")))</f>
        <v/>
      </c>
      <c r="M519" s="92" t="str">
        <f>IF(ISBLANK(L519),"",IFERROR(INDEX('Tournament List'!$D:$D,MATCH(L519,'Tournament List'!$A:$A,0)),""))</f>
        <v/>
      </c>
      <c r="N519" s="101" t="str">
        <f>IF(E519="Skeet",IFERROR(INDEX('Shooter-Squad Assignment'!$A:$A,MATCH(C519&amp;"-"&amp;D519&amp;"-"&amp;E519&amp;"-Pos5",'Shooter-Squad Assignment'!#REF!,0)),""),IF(E519="Trap",IFERROR(INDEX('Shooter-Squad Assignment'!$A:$A,MATCH(C519&amp;"-"&amp;D519&amp;"-"&amp;E519&amp;"-Pos5",'Shooter-Squad Assignment'!$V:$V,0)),""),IF(E519="Sporting Clays",IFERROR(INDEX('Shooter-Squad Assignment'!$A:$A,MATCH(C519&amp;"-"&amp;D519&amp;"-"&amp;E519&amp;"-Pos5",'Shooter-Squad Assignment'!$Y:$Y,0)),""),"")))</f>
        <v/>
      </c>
      <c r="O519" s="93" t="str">
        <f>IF(ISBLANK(N519),"",IFERROR(INDEX('Tournament List'!$D:$D,MATCH(N519,'Tournament List'!$A:$A,0)),""))</f>
        <v/>
      </c>
    </row>
    <row r="520" spans="1:15" x14ac:dyDescent="0.3">
      <c r="A520" s="91">
        <v>528</v>
      </c>
      <c r="B520" s="92" t="str">
        <f t="shared" si="8"/>
        <v>-Open 3-Trap</v>
      </c>
      <c r="C520" s="92"/>
      <c r="D520" s="92" t="s">
        <v>355</v>
      </c>
      <c r="E520" s="92" t="s">
        <v>147</v>
      </c>
      <c r="F520" s="101" t="str">
        <f>IF(E520="Skeet",IFERROR(INDEX('Shooter-Squad Assignment'!$A:$A,MATCH(C520&amp;"-"&amp;D520&amp;"-"&amp;E520&amp;"-Pos1",'Shooter-Squad Assignment'!#REF!,0)),""),IF(E520="Trap",IFERROR(INDEX('Shooter-Squad Assignment'!$A:$A,MATCH(C520&amp;"-"&amp;D520&amp;"-"&amp;E520&amp;"-Pos1",'Shooter-Squad Assignment'!$V:$V,0)),""),IF(E520="Sporting Clays",IFERROR(INDEX('Shooter-Squad Assignment'!$A:$A,MATCH(C520&amp;"-"&amp;D520&amp;"-"&amp;E520&amp;"-Pos1",'Shooter-Squad Assignment'!$Y:$Y,0)),""),"")))</f>
        <v/>
      </c>
      <c r="G520" s="92" t="str">
        <f>IF(ISBLANK(F520),"",IFERROR(INDEX('Tournament List'!$D:$D,MATCH(F520,'Tournament List'!$A:$A,0)),""))</f>
        <v/>
      </c>
      <c r="H520" s="101" t="str">
        <f>IF(E520="Skeet",IFERROR(INDEX('Shooter-Squad Assignment'!$A:$A,MATCH(C520&amp;"-"&amp;D520&amp;"-"&amp;E520&amp;"-Pos2",'Shooter-Squad Assignment'!#REF!,0)),""),IF(E520="Trap",IFERROR(INDEX('Shooter-Squad Assignment'!$A:$A,MATCH(C520&amp;"-"&amp;D520&amp;"-"&amp;E520&amp;"-Pos2",'Shooter-Squad Assignment'!$V:$V,0)),""),IF(E520="Sporting Clays",IFERROR(INDEX('Shooter-Squad Assignment'!$A:$A,MATCH(C520&amp;"-"&amp;D520&amp;"-"&amp;E520&amp;"-Pos2",'Shooter-Squad Assignment'!$Y:$Y,0)),""),"")))</f>
        <v/>
      </c>
      <c r="I520" s="92" t="str">
        <f>IF(ISBLANK(H520),"",IFERROR(INDEX('Tournament List'!$D:$D,MATCH(H520,'Tournament List'!$A:$A,0)),""))</f>
        <v/>
      </c>
      <c r="J520" s="101" t="str">
        <f>IF(E520="Skeet",IFERROR(INDEX('Shooter-Squad Assignment'!$A:$A,MATCH(C520&amp;"-"&amp;D520&amp;"-"&amp;E520&amp;"-Pos3",'Shooter-Squad Assignment'!#REF!,0)),""),IF(E520="Trap",IFERROR(INDEX('Shooter-Squad Assignment'!$A:$A,MATCH(C520&amp;"-"&amp;D520&amp;"-"&amp;E520&amp;"-Pos3",'Shooter-Squad Assignment'!$V:$V,0)),""),IF(E520="Sporting Clays",IFERROR(INDEX('Shooter-Squad Assignment'!$A:$A,MATCH(C520&amp;"-"&amp;D520&amp;"-"&amp;E520&amp;"-Pos3",'Shooter-Squad Assignment'!$Y:$Y,0)),""),"")))</f>
        <v/>
      </c>
      <c r="K520" s="92" t="str">
        <f>IF(ISBLANK(J520),"",IFERROR(INDEX('Tournament List'!$D:$D,MATCH(J520,'Tournament List'!$A:$A,0)),""))</f>
        <v/>
      </c>
      <c r="L520" s="101" t="str">
        <f>IF(E520="Skeet",IFERROR(INDEX('Shooter-Squad Assignment'!$A:$A,MATCH(C520&amp;"-"&amp;D520&amp;"-"&amp;E520&amp;"-Pos4",'Shooter-Squad Assignment'!#REF!,0)),""),IF(E520="Trap",IFERROR(INDEX('Shooter-Squad Assignment'!$A:$A,MATCH(C520&amp;"-"&amp;D520&amp;"-"&amp;E520&amp;"-Pos4",'Shooter-Squad Assignment'!$V:$V,0)),""),IF(E520="Sporting Clays",IFERROR(INDEX('Shooter-Squad Assignment'!$A:$A,MATCH(C520&amp;"-"&amp;D520&amp;"-"&amp;E520&amp;"-Pos4",'Shooter-Squad Assignment'!$Y:$Y,0)),""),"")))</f>
        <v/>
      </c>
      <c r="M520" s="92" t="str">
        <f>IF(ISBLANK(L520),"",IFERROR(INDEX('Tournament List'!$D:$D,MATCH(L520,'Tournament List'!$A:$A,0)),""))</f>
        <v/>
      </c>
      <c r="N520" s="101" t="str">
        <f>IF(E520="Skeet",IFERROR(INDEX('Shooter-Squad Assignment'!$A:$A,MATCH(C520&amp;"-"&amp;D520&amp;"-"&amp;E520&amp;"-Pos5",'Shooter-Squad Assignment'!#REF!,0)),""),IF(E520="Trap",IFERROR(INDEX('Shooter-Squad Assignment'!$A:$A,MATCH(C520&amp;"-"&amp;D520&amp;"-"&amp;E520&amp;"-Pos5",'Shooter-Squad Assignment'!$V:$V,0)),""),IF(E520="Sporting Clays",IFERROR(INDEX('Shooter-Squad Assignment'!$A:$A,MATCH(C520&amp;"-"&amp;D520&amp;"-"&amp;E520&amp;"-Pos5",'Shooter-Squad Assignment'!$Y:$Y,0)),""),"")))</f>
        <v/>
      </c>
      <c r="O520" s="93" t="str">
        <f>IF(ISBLANK(N520),"",IFERROR(INDEX('Tournament List'!$D:$D,MATCH(N520,'Tournament List'!$A:$A,0)),""))</f>
        <v/>
      </c>
    </row>
    <row r="521" spans="1:15" x14ac:dyDescent="0.3">
      <c r="A521" s="91">
        <v>529</v>
      </c>
      <c r="B521" s="92" t="str">
        <f t="shared" si="8"/>
        <v>-Varsity 1-Trap</v>
      </c>
      <c r="C521" s="92"/>
      <c r="D521" s="92" t="s">
        <v>342</v>
      </c>
      <c r="E521" s="92" t="s">
        <v>147</v>
      </c>
      <c r="F521" s="101" t="str">
        <f>IF(E521="Skeet",IFERROR(INDEX('Shooter-Squad Assignment'!$A:$A,MATCH(C521&amp;"-"&amp;D521&amp;"-"&amp;E521&amp;"-Pos1",'Shooter-Squad Assignment'!#REF!,0)),""),IF(E521="Trap",IFERROR(INDEX('Shooter-Squad Assignment'!$A:$A,MATCH(C521&amp;"-"&amp;D521&amp;"-"&amp;E521&amp;"-Pos1",'Shooter-Squad Assignment'!$V:$V,0)),""),IF(E521="Sporting Clays",IFERROR(INDEX('Shooter-Squad Assignment'!$A:$A,MATCH(C521&amp;"-"&amp;D521&amp;"-"&amp;E521&amp;"-Pos1",'Shooter-Squad Assignment'!$Y:$Y,0)),""),"")))</f>
        <v/>
      </c>
      <c r="G521" s="92" t="str">
        <f>IF(ISBLANK(F521),"",IFERROR(INDEX('Tournament List'!$D:$D,MATCH(F521,'Tournament List'!$A:$A,0)),""))</f>
        <v/>
      </c>
      <c r="H521" s="101" t="str">
        <f>IF(E521="Skeet",IFERROR(INDEX('Shooter-Squad Assignment'!$A:$A,MATCH(C521&amp;"-"&amp;D521&amp;"-"&amp;E521&amp;"-Pos2",'Shooter-Squad Assignment'!#REF!,0)),""),IF(E521="Trap",IFERROR(INDEX('Shooter-Squad Assignment'!$A:$A,MATCH(C521&amp;"-"&amp;D521&amp;"-"&amp;E521&amp;"-Pos2",'Shooter-Squad Assignment'!$V:$V,0)),""),IF(E521="Sporting Clays",IFERROR(INDEX('Shooter-Squad Assignment'!$A:$A,MATCH(C521&amp;"-"&amp;D521&amp;"-"&amp;E521&amp;"-Pos2",'Shooter-Squad Assignment'!$Y:$Y,0)),""),"")))</f>
        <v/>
      </c>
      <c r="I521" s="92" t="str">
        <f>IF(ISBLANK(H521),"",IFERROR(INDEX('Tournament List'!$D:$D,MATCH(H521,'Tournament List'!$A:$A,0)),""))</f>
        <v/>
      </c>
      <c r="J521" s="101" t="str">
        <f>IF(E521="Skeet",IFERROR(INDEX('Shooter-Squad Assignment'!$A:$A,MATCH(C521&amp;"-"&amp;D521&amp;"-"&amp;E521&amp;"-Pos3",'Shooter-Squad Assignment'!#REF!,0)),""),IF(E521="Trap",IFERROR(INDEX('Shooter-Squad Assignment'!$A:$A,MATCH(C521&amp;"-"&amp;D521&amp;"-"&amp;E521&amp;"-Pos3",'Shooter-Squad Assignment'!$V:$V,0)),""),IF(E521="Sporting Clays",IFERROR(INDEX('Shooter-Squad Assignment'!$A:$A,MATCH(C521&amp;"-"&amp;D521&amp;"-"&amp;E521&amp;"-Pos3",'Shooter-Squad Assignment'!$Y:$Y,0)),""),"")))</f>
        <v/>
      </c>
      <c r="K521" s="92" t="str">
        <f>IF(ISBLANK(J521),"",IFERROR(INDEX('Tournament List'!$D:$D,MATCH(J521,'Tournament List'!$A:$A,0)),""))</f>
        <v/>
      </c>
      <c r="L521" s="101" t="str">
        <f>IF(E521="Skeet",IFERROR(INDEX('Shooter-Squad Assignment'!$A:$A,MATCH(C521&amp;"-"&amp;D521&amp;"-"&amp;E521&amp;"-Pos4",'Shooter-Squad Assignment'!#REF!,0)),""),IF(E521="Trap",IFERROR(INDEX('Shooter-Squad Assignment'!$A:$A,MATCH(C521&amp;"-"&amp;D521&amp;"-"&amp;E521&amp;"-Pos4",'Shooter-Squad Assignment'!$V:$V,0)),""),IF(E521="Sporting Clays",IFERROR(INDEX('Shooter-Squad Assignment'!$A:$A,MATCH(C521&amp;"-"&amp;D521&amp;"-"&amp;E521&amp;"-Pos4",'Shooter-Squad Assignment'!$Y:$Y,0)),""),"")))</f>
        <v/>
      </c>
      <c r="M521" s="92" t="str">
        <f>IF(ISBLANK(L521),"",IFERROR(INDEX('Tournament List'!$D:$D,MATCH(L521,'Tournament List'!$A:$A,0)),""))</f>
        <v/>
      </c>
      <c r="N521" s="101" t="str">
        <f>IF(E521="Skeet",IFERROR(INDEX('Shooter-Squad Assignment'!$A:$A,MATCH(C521&amp;"-"&amp;D521&amp;"-"&amp;E521&amp;"-Pos5",'Shooter-Squad Assignment'!#REF!,0)),""),IF(E521="Trap",IFERROR(INDEX('Shooter-Squad Assignment'!$A:$A,MATCH(C521&amp;"-"&amp;D521&amp;"-"&amp;E521&amp;"-Pos5",'Shooter-Squad Assignment'!$V:$V,0)),""),IF(E521="Sporting Clays",IFERROR(INDEX('Shooter-Squad Assignment'!$A:$A,MATCH(C521&amp;"-"&amp;D521&amp;"-"&amp;E521&amp;"-Pos5",'Shooter-Squad Assignment'!$Y:$Y,0)),""),"")))</f>
        <v/>
      </c>
      <c r="O521" s="93" t="str">
        <f>IF(ISBLANK(N521),"",IFERROR(INDEX('Tournament List'!$D:$D,MATCH(N521,'Tournament List'!$A:$A,0)),""))</f>
        <v/>
      </c>
    </row>
    <row r="522" spans="1:15" x14ac:dyDescent="0.3">
      <c r="A522" s="91">
        <v>530</v>
      </c>
      <c r="B522" s="92" t="str">
        <f t="shared" si="8"/>
        <v>-Varsity 2-Trap</v>
      </c>
      <c r="C522" s="92"/>
      <c r="D522" s="92" t="s">
        <v>348</v>
      </c>
      <c r="E522" s="92" t="s">
        <v>147</v>
      </c>
      <c r="F522" s="101" t="str">
        <f>IF(E522="Skeet",IFERROR(INDEX('Shooter-Squad Assignment'!$A:$A,MATCH(C522&amp;"-"&amp;D522&amp;"-"&amp;E522&amp;"-Pos1",'Shooter-Squad Assignment'!#REF!,0)),""),IF(E522="Trap",IFERROR(INDEX('Shooter-Squad Assignment'!$A:$A,MATCH(C522&amp;"-"&amp;D522&amp;"-"&amp;E522&amp;"-Pos1",'Shooter-Squad Assignment'!$V:$V,0)),""),IF(E522="Sporting Clays",IFERROR(INDEX('Shooter-Squad Assignment'!$A:$A,MATCH(C522&amp;"-"&amp;D522&amp;"-"&amp;E522&amp;"-Pos1",'Shooter-Squad Assignment'!$Y:$Y,0)),""),"")))</f>
        <v/>
      </c>
      <c r="G522" s="92" t="str">
        <f>IF(ISBLANK(F522),"",IFERROR(INDEX('Tournament List'!$D:$D,MATCH(F522,'Tournament List'!$A:$A,0)),""))</f>
        <v/>
      </c>
      <c r="H522" s="101" t="str">
        <f>IF(E522="Skeet",IFERROR(INDEX('Shooter-Squad Assignment'!$A:$A,MATCH(C522&amp;"-"&amp;D522&amp;"-"&amp;E522&amp;"-Pos2",'Shooter-Squad Assignment'!#REF!,0)),""),IF(E522="Trap",IFERROR(INDEX('Shooter-Squad Assignment'!$A:$A,MATCH(C522&amp;"-"&amp;D522&amp;"-"&amp;E522&amp;"-Pos2",'Shooter-Squad Assignment'!$V:$V,0)),""),IF(E522="Sporting Clays",IFERROR(INDEX('Shooter-Squad Assignment'!$A:$A,MATCH(C522&amp;"-"&amp;D522&amp;"-"&amp;E522&amp;"-Pos2",'Shooter-Squad Assignment'!$Y:$Y,0)),""),"")))</f>
        <v/>
      </c>
      <c r="I522" s="92" t="str">
        <f>IF(ISBLANK(H522),"",IFERROR(INDEX('Tournament List'!$D:$D,MATCH(H522,'Tournament List'!$A:$A,0)),""))</f>
        <v/>
      </c>
      <c r="J522" s="101" t="str">
        <f>IF(E522="Skeet",IFERROR(INDEX('Shooter-Squad Assignment'!$A:$A,MATCH(C522&amp;"-"&amp;D522&amp;"-"&amp;E522&amp;"-Pos3",'Shooter-Squad Assignment'!#REF!,0)),""),IF(E522="Trap",IFERROR(INDEX('Shooter-Squad Assignment'!$A:$A,MATCH(C522&amp;"-"&amp;D522&amp;"-"&amp;E522&amp;"-Pos3",'Shooter-Squad Assignment'!$V:$V,0)),""),IF(E522="Sporting Clays",IFERROR(INDEX('Shooter-Squad Assignment'!$A:$A,MATCH(C522&amp;"-"&amp;D522&amp;"-"&amp;E522&amp;"-Pos3",'Shooter-Squad Assignment'!$Y:$Y,0)),""),"")))</f>
        <v/>
      </c>
      <c r="K522" s="92" t="str">
        <f>IF(ISBLANK(J522),"",IFERROR(INDEX('Tournament List'!$D:$D,MATCH(J522,'Tournament List'!$A:$A,0)),""))</f>
        <v/>
      </c>
      <c r="L522" s="101" t="str">
        <f>IF(E522="Skeet",IFERROR(INDEX('Shooter-Squad Assignment'!$A:$A,MATCH(C522&amp;"-"&amp;D522&amp;"-"&amp;E522&amp;"-Pos4",'Shooter-Squad Assignment'!#REF!,0)),""),IF(E522="Trap",IFERROR(INDEX('Shooter-Squad Assignment'!$A:$A,MATCH(C522&amp;"-"&amp;D522&amp;"-"&amp;E522&amp;"-Pos4",'Shooter-Squad Assignment'!$V:$V,0)),""),IF(E522="Sporting Clays",IFERROR(INDEX('Shooter-Squad Assignment'!$A:$A,MATCH(C522&amp;"-"&amp;D522&amp;"-"&amp;E522&amp;"-Pos4",'Shooter-Squad Assignment'!$Y:$Y,0)),""),"")))</f>
        <v/>
      </c>
      <c r="M522" s="92" t="str">
        <f>IF(ISBLANK(L522),"",IFERROR(INDEX('Tournament List'!$D:$D,MATCH(L522,'Tournament List'!$A:$A,0)),""))</f>
        <v/>
      </c>
      <c r="N522" s="101" t="str">
        <f>IF(E522="Skeet",IFERROR(INDEX('Shooter-Squad Assignment'!$A:$A,MATCH(C522&amp;"-"&amp;D522&amp;"-"&amp;E522&amp;"-Pos5",'Shooter-Squad Assignment'!#REF!,0)),""),IF(E522="Trap",IFERROR(INDEX('Shooter-Squad Assignment'!$A:$A,MATCH(C522&amp;"-"&amp;D522&amp;"-"&amp;E522&amp;"-Pos5",'Shooter-Squad Assignment'!$V:$V,0)),""),IF(E522="Sporting Clays",IFERROR(INDEX('Shooter-Squad Assignment'!$A:$A,MATCH(C522&amp;"-"&amp;D522&amp;"-"&amp;E522&amp;"-Pos5",'Shooter-Squad Assignment'!$Y:$Y,0)),""),"")))</f>
        <v/>
      </c>
      <c r="O522" s="93" t="str">
        <f>IF(ISBLANK(N522),"",IFERROR(INDEX('Tournament List'!$D:$D,MATCH(N522,'Tournament List'!$A:$A,0)),""))</f>
        <v/>
      </c>
    </row>
    <row r="523" spans="1:15" x14ac:dyDescent="0.3">
      <c r="A523" s="91">
        <v>531</v>
      </c>
      <c r="B523" s="92" t="str">
        <f t="shared" si="8"/>
        <v>-Varsity 3-Trap</v>
      </c>
      <c r="C523" s="92"/>
      <c r="D523" s="92" t="s">
        <v>354</v>
      </c>
      <c r="E523" s="92" t="s">
        <v>147</v>
      </c>
      <c r="F523" s="101" t="str">
        <f>IF(E523="Skeet",IFERROR(INDEX('Shooter-Squad Assignment'!$A:$A,MATCH(C523&amp;"-"&amp;D523&amp;"-"&amp;E523&amp;"-Pos1",'Shooter-Squad Assignment'!#REF!,0)),""),IF(E523="Trap",IFERROR(INDEX('Shooter-Squad Assignment'!$A:$A,MATCH(C523&amp;"-"&amp;D523&amp;"-"&amp;E523&amp;"-Pos1",'Shooter-Squad Assignment'!$V:$V,0)),""),IF(E523="Sporting Clays",IFERROR(INDEX('Shooter-Squad Assignment'!$A:$A,MATCH(C523&amp;"-"&amp;D523&amp;"-"&amp;E523&amp;"-Pos1",'Shooter-Squad Assignment'!$Y:$Y,0)),""),"")))</f>
        <v/>
      </c>
      <c r="G523" s="92" t="str">
        <f>IF(ISBLANK(F523),"",IFERROR(INDEX('Tournament List'!$D:$D,MATCH(F523,'Tournament List'!$A:$A,0)),""))</f>
        <v/>
      </c>
      <c r="H523" s="101" t="str">
        <f>IF(E523="Skeet",IFERROR(INDEX('Shooter-Squad Assignment'!$A:$A,MATCH(C523&amp;"-"&amp;D523&amp;"-"&amp;E523&amp;"-Pos2",'Shooter-Squad Assignment'!#REF!,0)),""),IF(E523="Trap",IFERROR(INDEX('Shooter-Squad Assignment'!$A:$A,MATCH(C523&amp;"-"&amp;D523&amp;"-"&amp;E523&amp;"-Pos2",'Shooter-Squad Assignment'!$V:$V,0)),""),IF(E523="Sporting Clays",IFERROR(INDEX('Shooter-Squad Assignment'!$A:$A,MATCH(C523&amp;"-"&amp;D523&amp;"-"&amp;E523&amp;"-Pos2",'Shooter-Squad Assignment'!$Y:$Y,0)),""),"")))</f>
        <v/>
      </c>
      <c r="I523" s="92" t="str">
        <f>IF(ISBLANK(H523),"",IFERROR(INDEX('Tournament List'!$D:$D,MATCH(H523,'Tournament List'!$A:$A,0)),""))</f>
        <v/>
      </c>
      <c r="J523" s="101" t="str">
        <f>IF(E523="Skeet",IFERROR(INDEX('Shooter-Squad Assignment'!$A:$A,MATCH(C523&amp;"-"&amp;D523&amp;"-"&amp;E523&amp;"-Pos3",'Shooter-Squad Assignment'!#REF!,0)),""),IF(E523="Trap",IFERROR(INDEX('Shooter-Squad Assignment'!$A:$A,MATCH(C523&amp;"-"&amp;D523&amp;"-"&amp;E523&amp;"-Pos3",'Shooter-Squad Assignment'!$V:$V,0)),""),IF(E523="Sporting Clays",IFERROR(INDEX('Shooter-Squad Assignment'!$A:$A,MATCH(C523&amp;"-"&amp;D523&amp;"-"&amp;E523&amp;"-Pos3",'Shooter-Squad Assignment'!$Y:$Y,0)),""),"")))</f>
        <v/>
      </c>
      <c r="K523" s="92" t="str">
        <f>IF(ISBLANK(J523),"",IFERROR(INDEX('Tournament List'!$D:$D,MATCH(J523,'Tournament List'!$A:$A,0)),""))</f>
        <v/>
      </c>
      <c r="L523" s="101" t="str">
        <f>IF(E523="Skeet",IFERROR(INDEX('Shooter-Squad Assignment'!$A:$A,MATCH(C523&amp;"-"&amp;D523&amp;"-"&amp;E523&amp;"-Pos4",'Shooter-Squad Assignment'!#REF!,0)),""),IF(E523="Trap",IFERROR(INDEX('Shooter-Squad Assignment'!$A:$A,MATCH(C523&amp;"-"&amp;D523&amp;"-"&amp;E523&amp;"-Pos4",'Shooter-Squad Assignment'!$V:$V,0)),""),IF(E523="Sporting Clays",IFERROR(INDEX('Shooter-Squad Assignment'!$A:$A,MATCH(C523&amp;"-"&amp;D523&amp;"-"&amp;E523&amp;"-Pos4",'Shooter-Squad Assignment'!$Y:$Y,0)),""),"")))</f>
        <v/>
      </c>
      <c r="M523" s="92" t="str">
        <f>IF(ISBLANK(L523),"",IFERROR(INDEX('Tournament List'!$D:$D,MATCH(L523,'Tournament List'!$A:$A,0)),""))</f>
        <v/>
      </c>
      <c r="N523" s="101" t="str">
        <f>IF(E523="Skeet",IFERROR(INDEX('Shooter-Squad Assignment'!$A:$A,MATCH(C523&amp;"-"&amp;D523&amp;"-"&amp;E523&amp;"-Pos5",'Shooter-Squad Assignment'!#REF!,0)),""),IF(E523="Trap",IFERROR(INDEX('Shooter-Squad Assignment'!$A:$A,MATCH(C523&amp;"-"&amp;D523&amp;"-"&amp;E523&amp;"-Pos5",'Shooter-Squad Assignment'!$V:$V,0)),""),IF(E523="Sporting Clays",IFERROR(INDEX('Shooter-Squad Assignment'!$A:$A,MATCH(C523&amp;"-"&amp;D523&amp;"-"&amp;E523&amp;"-Pos5",'Shooter-Squad Assignment'!$Y:$Y,0)),""),"")))</f>
        <v/>
      </c>
      <c r="O523" s="93" t="str">
        <f>IF(ISBLANK(N523),"",IFERROR(INDEX('Tournament List'!$D:$D,MATCH(N523,'Tournament List'!$A:$A,0)),""))</f>
        <v/>
      </c>
    </row>
    <row r="524" spans="1:15" x14ac:dyDescent="0.3">
      <c r="A524" s="91">
        <v>532</v>
      </c>
      <c r="B524" s="92" t="str">
        <f t="shared" si="8"/>
        <v>-Collegiate 1-Sporting Clays</v>
      </c>
      <c r="C524" s="92"/>
      <c r="D524" s="92" t="s">
        <v>344</v>
      </c>
      <c r="E524" s="92" t="s">
        <v>148</v>
      </c>
      <c r="F524" s="101" t="str">
        <f>IF(E524="Skeet",IFERROR(INDEX('Shooter-Squad Assignment'!$A:$A,MATCH(C524&amp;"-"&amp;D524&amp;"-"&amp;E524&amp;"-Pos1",'Shooter-Squad Assignment'!#REF!,0)),""),IF(E524="Trap",IFERROR(INDEX('Shooter-Squad Assignment'!$A:$A,MATCH(C524&amp;"-"&amp;D524&amp;"-"&amp;E524&amp;"-Pos1",'Shooter-Squad Assignment'!$V:$V,0)),""),IF(E524="Sporting Clays",IFERROR(INDEX('Shooter-Squad Assignment'!$A:$A,MATCH(C524&amp;"-"&amp;D524&amp;"-"&amp;E524&amp;"-Pos1",'Shooter-Squad Assignment'!$Y:$Y,0)),""),"")))</f>
        <v/>
      </c>
      <c r="G524" s="92" t="str">
        <f>IF(ISBLANK(F524),"",IFERROR(INDEX('Tournament List'!$D:$D,MATCH(F524,'Tournament List'!$A:$A,0)),""))</f>
        <v/>
      </c>
      <c r="H524" s="101" t="str">
        <f>IF(E524="Skeet",IFERROR(INDEX('Shooter-Squad Assignment'!$A:$A,MATCH(C524&amp;"-"&amp;D524&amp;"-"&amp;E524&amp;"-Pos2",'Shooter-Squad Assignment'!#REF!,0)),""),IF(E524="Trap",IFERROR(INDEX('Shooter-Squad Assignment'!$A:$A,MATCH(C524&amp;"-"&amp;D524&amp;"-"&amp;E524&amp;"-Pos2",'Shooter-Squad Assignment'!$V:$V,0)),""),IF(E524="Sporting Clays",IFERROR(INDEX('Shooter-Squad Assignment'!$A:$A,MATCH(C524&amp;"-"&amp;D524&amp;"-"&amp;E524&amp;"-Pos2",'Shooter-Squad Assignment'!$Y:$Y,0)),""),"")))</f>
        <v/>
      </c>
      <c r="I524" s="92" t="str">
        <f>IF(ISBLANK(H524),"",IFERROR(INDEX('Tournament List'!$D:$D,MATCH(H524,'Tournament List'!$A:$A,0)),""))</f>
        <v/>
      </c>
      <c r="J524" s="101" t="str">
        <f>IF(E524="Skeet",IFERROR(INDEX('Shooter-Squad Assignment'!$A:$A,MATCH(C524&amp;"-"&amp;D524&amp;"-"&amp;E524&amp;"-Pos3",'Shooter-Squad Assignment'!#REF!,0)),""),IF(E524="Trap",IFERROR(INDEX('Shooter-Squad Assignment'!$A:$A,MATCH(C524&amp;"-"&amp;D524&amp;"-"&amp;E524&amp;"-Pos3",'Shooter-Squad Assignment'!$V:$V,0)),""),IF(E524="Sporting Clays",IFERROR(INDEX('Shooter-Squad Assignment'!$A:$A,MATCH(C524&amp;"-"&amp;D524&amp;"-"&amp;E524&amp;"-Pos3",'Shooter-Squad Assignment'!$Y:$Y,0)),""),"")))</f>
        <v/>
      </c>
      <c r="K524" s="92" t="str">
        <f>IF(ISBLANK(J524),"",IFERROR(INDEX('Tournament List'!$D:$D,MATCH(J524,'Tournament List'!$A:$A,0)),""))</f>
        <v/>
      </c>
      <c r="L524" s="101" t="str">
        <f>IF(E524="Skeet",IFERROR(INDEX('Shooter-Squad Assignment'!$A:$A,MATCH(C524&amp;"-"&amp;D524&amp;"-"&amp;E524&amp;"-Pos4",'Shooter-Squad Assignment'!#REF!,0)),""),IF(E524="Trap",IFERROR(INDEX('Shooter-Squad Assignment'!$A:$A,MATCH(C524&amp;"-"&amp;D524&amp;"-"&amp;E524&amp;"-Pos4",'Shooter-Squad Assignment'!$V:$V,0)),""),IF(E524="Sporting Clays",IFERROR(INDEX('Shooter-Squad Assignment'!$A:$A,MATCH(C524&amp;"-"&amp;D524&amp;"-"&amp;E524&amp;"-Pos4",'Shooter-Squad Assignment'!$Y:$Y,0)),""),"")))</f>
        <v/>
      </c>
      <c r="M524" s="92" t="str">
        <f>IF(ISBLANK(L524),"",IFERROR(INDEX('Tournament List'!$D:$D,MATCH(L524,'Tournament List'!$A:$A,0)),""))</f>
        <v/>
      </c>
      <c r="N524" s="101" t="str">
        <f>IF(E524="Skeet",IFERROR(INDEX('Shooter-Squad Assignment'!$A:$A,MATCH(C524&amp;"-"&amp;D524&amp;"-"&amp;E524&amp;"-Pos5",'Shooter-Squad Assignment'!#REF!,0)),""),IF(E524="Trap",IFERROR(INDEX('Shooter-Squad Assignment'!$A:$A,MATCH(C524&amp;"-"&amp;D524&amp;"-"&amp;E524&amp;"-Pos5",'Shooter-Squad Assignment'!$V:$V,0)),""),IF(E524="Sporting Clays",IFERROR(INDEX('Shooter-Squad Assignment'!$A:$A,MATCH(C524&amp;"-"&amp;D524&amp;"-"&amp;E524&amp;"-Pos5",'Shooter-Squad Assignment'!$Y:$Y,0)),""),"")))</f>
        <v/>
      </c>
      <c r="O524" s="93" t="str">
        <f>IF(ISBLANK(N524),"",IFERROR(INDEX('Tournament List'!$D:$D,MATCH(N524,'Tournament List'!$A:$A,0)),""))</f>
        <v/>
      </c>
    </row>
    <row r="525" spans="1:15" x14ac:dyDescent="0.3">
      <c r="A525" s="91">
        <v>533</v>
      </c>
      <c r="B525" s="92" t="str">
        <f t="shared" si="8"/>
        <v>-Collegiate 2-Sporting Clays</v>
      </c>
      <c r="C525" s="92"/>
      <c r="D525" s="92" t="s">
        <v>350</v>
      </c>
      <c r="E525" s="92" t="s">
        <v>148</v>
      </c>
      <c r="F525" s="101" t="str">
        <f>IF(E525="Skeet",IFERROR(INDEX('Shooter-Squad Assignment'!$A:$A,MATCH(C525&amp;"-"&amp;D525&amp;"-"&amp;E525&amp;"-Pos1",'Shooter-Squad Assignment'!#REF!,0)),""),IF(E525="Trap",IFERROR(INDEX('Shooter-Squad Assignment'!$A:$A,MATCH(C525&amp;"-"&amp;D525&amp;"-"&amp;E525&amp;"-Pos1",'Shooter-Squad Assignment'!$V:$V,0)),""),IF(E525="Sporting Clays",IFERROR(INDEX('Shooter-Squad Assignment'!$A:$A,MATCH(C525&amp;"-"&amp;D525&amp;"-"&amp;E525&amp;"-Pos1",'Shooter-Squad Assignment'!$Y:$Y,0)),""),"")))</f>
        <v/>
      </c>
      <c r="G525" s="92" t="str">
        <f>IF(ISBLANK(F525),"",IFERROR(INDEX('Tournament List'!$D:$D,MATCH(F525,'Tournament List'!$A:$A,0)),""))</f>
        <v/>
      </c>
      <c r="H525" s="101" t="str">
        <f>IF(E525="Skeet",IFERROR(INDEX('Shooter-Squad Assignment'!$A:$A,MATCH(C525&amp;"-"&amp;D525&amp;"-"&amp;E525&amp;"-Pos2",'Shooter-Squad Assignment'!#REF!,0)),""),IF(E525="Trap",IFERROR(INDEX('Shooter-Squad Assignment'!$A:$A,MATCH(C525&amp;"-"&amp;D525&amp;"-"&amp;E525&amp;"-Pos2",'Shooter-Squad Assignment'!$V:$V,0)),""),IF(E525="Sporting Clays",IFERROR(INDEX('Shooter-Squad Assignment'!$A:$A,MATCH(C525&amp;"-"&amp;D525&amp;"-"&amp;E525&amp;"-Pos2",'Shooter-Squad Assignment'!$Y:$Y,0)),""),"")))</f>
        <v/>
      </c>
      <c r="I525" s="92" t="str">
        <f>IF(ISBLANK(H525),"",IFERROR(INDEX('Tournament List'!$D:$D,MATCH(H525,'Tournament List'!$A:$A,0)),""))</f>
        <v/>
      </c>
      <c r="J525" s="101" t="str">
        <f>IF(E525="Skeet",IFERROR(INDEX('Shooter-Squad Assignment'!$A:$A,MATCH(C525&amp;"-"&amp;D525&amp;"-"&amp;E525&amp;"-Pos3",'Shooter-Squad Assignment'!#REF!,0)),""),IF(E525="Trap",IFERROR(INDEX('Shooter-Squad Assignment'!$A:$A,MATCH(C525&amp;"-"&amp;D525&amp;"-"&amp;E525&amp;"-Pos3",'Shooter-Squad Assignment'!$V:$V,0)),""),IF(E525="Sporting Clays",IFERROR(INDEX('Shooter-Squad Assignment'!$A:$A,MATCH(C525&amp;"-"&amp;D525&amp;"-"&amp;E525&amp;"-Pos3",'Shooter-Squad Assignment'!$Y:$Y,0)),""),"")))</f>
        <v/>
      </c>
      <c r="K525" s="92" t="str">
        <f>IF(ISBLANK(J525),"",IFERROR(INDEX('Tournament List'!$D:$D,MATCH(J525,'Tournament List'!$A:$A,0)),""))</f>
        <v/>
      </c>
      <c r="L525" s="101" t="str">
        <f>IF(E525="Skeet",IFERROR(INDEX('Shooter-Squad Assignment'!$A:$A,MATCH(C525&amp;"-"&amp;D525&amp;"-"&amp;E525&amp;"-Pos4",'Shooter-Squad Assignment'!#REF!,0)),""),IF(E525="Trap",IFERROR(INDEX('Shooter-Squad Assignment'!$A:$A,MATCH(C525&amp;"-"&amp;D525&amp;"-"&amp;E525&amp;"-Pos4",'Shooter-Squad Assignment'!$V:$V,0)),""),IF(E525="Sporting Clays",IFERROR(INDEX('Shooter-Squad Assignment'!$A:$A,MATCH(C525&amp;"-"&amp;D525&amp;"-"&amp;E525&amp;"-Pos4",'Shooter-Squad Assignment'!$Y:$Y,0)),""),"")))</f>
        <v/>
      </c>
      <c r="M525" s="92" t="str">
        <f>IF(ISBLANK(L525),"",IFERROR(INDEX('Tournament List'!$D:$D,MATCH(L525,'Tournament List'!$A:$A,0)),""))</f>
        <v/>
      </c>
      <c r="N525" s="101" t="str">
        <f>IF(E525="Skeet",IFERROR(INDEX('Shooter-Squad Assignment'!$A:$A,MATCH(C525&amp;"-"&amp;D525&amp;"-"&amp;E525&amp;"-Pos5",'Shooter-Squad Assignment'!#REF!,0)),""),IF(E525="Trap",IFERROR(INDEX('Shooter-Squad Assignment'!$A:$A,MATCH(C525&amp;"-"&amp;D525&amp;"-"&amp;E525&amp;"-Pos5",'Shooter-Squad Assignment'!$V:$V,0)),""),IF(E525="Sporting Clays",IFERROR(INDEX('Shooter-Squad Assignment'!$A:$A,MATCH(C525&amp;"-"&amp;D525&amp;"-"&amp;E525&amp;"-Pos5",'Shooter-Squad Assignment'!$Y:$Y,0)),""),"")))</f>
        <v/>
      </c>
      <c r="O525" s="93" t="str">
        <f>IF(ISBLANK(N525),"",IFERROR(INDEX('Tournament List'!$D:$D,MATCH(N525,'Tournament List'!$A:$A,0)),""))</f>
        <v/>
      </c>
    </row>
    <row r="526" spans="1:15" x14ac:dyDescent="0.3">
      <c r="A526" s="91">
        <v>534</v>
      </c>
      <c r="B526" s="92" t="str">
        <f t="shared" si="8"/>
        <v>-Collegiate 3-Sporting Clays</v>
      </c>
      <c r="C526" s="92"/>
      <c r="D526" s="92" t="s">
        <v>356</v>
      </c>
      <c r="E526" s="92" t="s">
        <v>148</v>
      </c>
      <c r="F526" s="101" t="str">
        <f>IF(E526="Skeet",IFERROR(INDEX('Shooter-Squad Assignment'!$A:$A,MATCH(C526&amp;"-"&amp;D526&amp;"-"&amp;E526&amp;"-Pos1",'Shooter-Squad Assignment'!#REF!,0)),""),IF(E526="Trap",IFERROR(INDEX('Shooter-Squad Assignment'!$A:$A,MATCH(C526&amp;"-"&amp;D526&amp;"-"&amp;E526&amp;"-Pos1",'Shooter-Squad Assignment'!$V:$V,0)),""),IF(E526="Sporting Clays",IFERROR(INDEX('Shooter-Squad Assignment'!$A:$A,MATCH(C526&amp;"-"&amp;D526&amp;"-"&amp;E526&amp;"-Pos1",'Shooter-Squad Assignment'!$Y:$Y,0)),""),"")))</f>
        <v/>
      </c>
      <c r="G526" s="92" t="str">
        <f>IF(ISBLANK(F526),"",IFERROR(INDEX('Tournament List'!$D:$D,MATCH(F526,'Tournament List'!$A:$A,0)),""))</f>
        <v/>
      </c>
      <c r="H526" s="101" t="str">
        <f>IF(E526="Skeet",IFERROR(INDEX('Shooter-Squad Assignment'!$A:$A,MATCH(C526&amp;"-"&amp;D526&amp;"-"&amp;E526&amp;"-Pos2",'Shooter-Squad Assignment'!#REF!,0)),""),IF(E526="Trap",IFERROR(INDEX('Shooter-Squad Assignment'!$A:$A,MATCH(C526&amp;"-"&amp;D526&amp;"-"&amp;E526&amp;"-Pos2",'Shooter-Squad Assignment'!$V:$V,0)),""),IF(E526="Sporting Clays",IFERROR(INDEX('Shooter-Squad Assignment'!$A:$A,MATCH(C526&amp;"-"&amp;D526&amp;"-"&amp;E526&amp;"-Pos2",'Shooter-Squad Assignment'!$Y:$Y,0)),""),"")))</f>
        <v/>
      </c>
      <c r="I526" s="92" t="str">
        <f>IF(ISBLANK(H526),"",IFERROR(INDEX('Tournament List'!$D:$D,MATCH(H526,'Tournament List'!$A:$A,0)),""))</f>
        <v/>
      </c>
      <c r="J526" s="101" t="str">
        <f>IF(E526="Skeet",IFERROR(INDEX('Shooter-Squad Assignment'!$A:$A,MATCH(C526&amp;"-"&amp;D526&amp;"-"&amp;E526&amp;"-Pos3",'Shooter-Squad Assignment'!#REF!,0)),""),IF(E526="Trap",IFERROR(INDEX('Shooter-Squad Assignment'!$A:$A,MATCH(C526&amp;"-"&amp;D526&amp;"-"&amp;E526&amp;"-Pos3",'Shooter-Squad Assignment'!$V:$V,0)),""),IF(E526="Sporting Clays",IFERROR(INDEX('Shooter-Squad Assignment'!$A:$A,MATCH(C526&amp;"-"&amp;D526&amp;"-"&amp;E526&amp;"-Pos3",'Shooter-Squad Assignment'!$Y:$Y,0)),""),"")))</f>
        <v/>
      </c>
      <c r="K526" s="92" t="str">
        <f>IF(ISBLANK(J526),"",IFERROR(INDEX('Tournament List'!$D:$D,MATCH(J526,'Tournament List'!$A:$A,0)),""))</f>
        <v/>
      </c>
      <c r="L526" s="101" t="str">
        <f>IF(E526="Skeet",IFERROR(INDEX('Shooter-Squad Assignment'!$A:$A,MATCH(C526&amp;"-"&amp;D526&amp;"-"&amp;E526&amp;"-Pos4",'Shooter-Squad Assignment'!#REF!,0)),""),IF(E526="Trap",IFERROR(INDEX('Shooter-Squad Assignment'!$A:$A,MATCH(C526&amp;"-"&amp;D526&amp;"-"&amp;E526&amp;"-Pos4",'Shooter-Squad Assignment'!$V:$V,0)),""),IF(E526="Sporting Clays",IFERROR(INDEX('Shooter-Squad Assignment'!$A:$A,MATCH(C526&amp;"-"&amp;D526&amp;"-"&amp;E526&amp;"-Pos4",'Shooter-Squad Assignment'!$Y:$Y,0)),""),"")))</f>
        <v/>
      </c>
      <c r="M526" s="92" t="str">
        <f>IF(ISBLANK(L526),"",IFERROR(INDEX('Tournament List'!$D:$D,MATCH(L526,'Tournament List'!$A:$A,0)),""))</f>
        <v/>
      </c>
      <c r="N526" s="101" t="str">
        <f>IF(E526="Skeet",IFERROR(INDEX('Shooter-Squad Assignment'!$A:$A,MATCH(C526&amp;"-"&amp;D526&amp;"-"&amp;E526&amp;"-Pos5",'Shooter-Squad Assignment'!#REF!,0)),""),IF(E526="Trap",IFERROR(INDEX('Shooter-Squad Assignment'!$A:$A,MATCH(C526&amp;"-"&amp;D526&amp;"-"&amp;E526&amp;"-Pos5",'Shooter-Squad Assignment'!$V:$V,0)),""),IF(E526="Sporting Clays",IFERROR(INDEX('Shooter-Squad Assignment'!$A:$A,MATCH(C526&amp;"-"&amp;D526&amp;"-"&amp;E526&amp;"-Pos5",'Shooter-Squad Assignment'!$Y:$Y,0)),""),"")))</f>
        <v/>
      </c>
      <c r="O526" s="93" t="str">
        <f>IF(ISBLANK(N526),"",IFERROR(INDEX('Tournament List'!$D:$D,MATCH(N526,'Tournament List'!$A:$A,0)),""))</f>
        <v/>
      </c>
    </row>
    <row r="527" spans="1:15" x14ac:dyDescent="0.3">
      <c r="A527" s="91">
        <v>535</v>
      </c>
      <c r="B527" s="92" t="str">
        <f t="shared" si="8"/>
        <v>-Intermediate 1-Sporting Clays</v>
      </c>
      <c r="C527" s="92"/>
      <c r="D527" s="92" t="s">
        <v>340</v>
      </c>
      <c r="E527" s="92" t="s">
        <v>148</v>
      </c>
      <c r="F527" s="101" t="str">
        <f>IF(E527="Skeet",IFERROR(INDEX('Shooter-Squad Assignment'!$A:$A,MATCH(C527&amp;"-"&amp;D527&amp;"-"&amp;E527&amp;"-Pos1",'Shooter-Squad Assignment'!#REF!,0)),""),IF(E527="Trap",IFERROR(INDEX('Shooter-Squad Assignment'!$A:$A,MATCH(C527&amp;"-"&amp;D527&amp;"-"&amp;E527&amp;"-Pos1",'Shooter-Squad Assignment'!$V:$V,0)),""),IF(E527="Sporting Clays",IFERROR(INDEX('Shooter-Squad Assignment'!$A:$A,MATCH(C527&amp;"-"&amp;D527&amp;"-"&amp;E527&amp;"-Pos1",'Shooter-Squad Assignment'!$Y:$Y,0)),""),"")))</f>
        <v/>
      </c>
      <c r="G527" s="92" t="str">
        <f>IF(ISBLANK(F527),"",IFERROR(INDEX('Tournament List'!$D:$D,MATCH(F527,'Tournament List'!$A:$A,0)),""))</f>
        <v/>
      </c>
      <c r="H527" s="101" t="str">
        <f>IF(E527="Skeet",IFERROR(INDEX('Shooter-Squad Assignment'!$A:$A,MATCH(C527&amp;"-"&amp;D527&amp;"-"&amp;E527&amp;"-Pos2",'Shooter-Squad Assignment'!#REF!,0)),""),IF(E527="Trap",IFERROR(INDEX('Shooter-Squad Assignment'!$A:$A,MATCH(C527&amp;"-"&amp;D527&amp;"-"&amp;E527&amp;"-Pos2",'Shooter-Squad Assignment'!$V:$V,0)),""),IF(E527="Sporting Clays",IFERROR(INDEX('Shooter-Squad Assignment'!$A:$A,MATCH(C527&amp;"-"&amp;D527&amp;"-"&amp;E527&amp;"-Pos2",'Shooter-Squad Assignment'!$Y:$Y,0)),""),"")))</f>
        <v/>
      </c>
      <c r="I527" s="92" t="str">
        <f>IF(ISBLANK(H527),"",IFERROR(INDEX('Tournament List'!$D:$D,MATCH(H527,'Tournament List'!$A:$A,0)),""))</f>
        <v/>
      </c>
      <c r="J527" s="101" t="str">
        <f>IF(E527="Skeet",IFERROR(INDEX('Shooter-Squad Assignment'!$A:$A,MATCH(C527&amp;"-"&amp;D527&amp;"-"&amp;E527&amp;"-Pos3",'Shooter-Squad Assignment'!#REF!,0)),""),IF(E527="Trap",IFERROR(INDEX('Shooter-Squad Assignment'!$A:$A,MATCH(C527&amp;"-"&amp;D527&amp;"-"&amp;E527&amp;"-Pos3",'Shooter-Squad Assignment'!$V:$V,0)),""),IF(E527="Sporting Clays",IFERROR(INDEX('Shooter-Squad Assignment'!$A:$A,MATCH(C527&amp;"-"&amp;D527&amp;"-"&amp;E527&amp;"-Pos3",'Shooter-Squad Assignment'!$Y:$Y,0)),""),"")))</f>
        <v/>
      </c>
      <c r="K527" s="92" t="str">
        <f>IF(ISBLANK(J527),"",IFERROR(INDEX('Tournament List'!$D:$D,MATCH(J527,'Tournament List'!$A:$A,0)),""))</f>
        <v/>
      </c>
      <c r="L527" s="101" t="str">
        <f>IF(E527="Skeet",IFERROR(INDEX('Shooter-Squad Assignment'!$A:$A,MATCH(C527&amp;"-"&amp;D527&amp;"-"&amp;E527&amp;"-Pos4",'Shooter-Squad Assignment'!#REF!,0)),""),IF(E527="Trap",IFERROR(INDEX('Shooter-Squad Assignment'!$A:$A,MATCH(C527&amp;"-"&amp;D527&amp;"-"&amp;E527&amp;"-Pos4",'Shooter-Squad Assignment'!$V:$V,0)),""),IF(E527="Sporting Clays",IFERROR(INDEX('Shooter-Squad Assignment'!$A:$A,MATCH(C527&amp;"-"&amp;D527&amp;"-"&amp;E527&amp;"-Pos4",'Shooter-Squad Assignment'!$Y:$Y,0)),""),"")))</f>
        <v/>
      </c>
      <c r="M527" s="92" t="str">
        <f>IF(ISBLANK(L527),"",IFERROR(INDEX('Tournament List'!$D:$D,MATCH(L527,'Tournament List'!$A:$A,0)),""))</f>
        <v/>
      </c>
      <c r="N527" s="101" t="str">
        <f>IF(E527="Skeet",IFERROR(INDEX('Shooter-Squad Assignment'!$A:$A,MATCH(C527&amp;"-"&amp;D527&amp;"-"&amp;E527&amp;"-Pos5",'Shooter-Squad Assignment'!#REF!,0)),""),IF(E527="Trap",IFERROR(INDEX('Shooter-Squad Assignment'!$A:$A,MATCH(C527&amp;"-"&amp;D527&amp;"-"&amp;E527&amp;"-Pos5",'Shooter-Squad Assignment'!$V:$V,0)),""),IF(E527="Sporting Clays",IFERROR(INDEX('Shooter-Squad Assignment'!$A:$A,MATCH(C527&amp;"-"&amp;D527&amp;"-"&amp;E527&amp;"-Pos5",'Shooter-Squad Assignment'!$Y:$Y,0)),""),"")))</f>
        <v/>
      </c>
      <c r="O527" s="93" t="str">
        <f>IF(ISBLANK(N527),"",IFERROR(INDEX('Tournament List'!$D:$D,MATCH(N527,'Tournament List'!$A:$A,0)),""))</f>
        <v/>
      </c>
    </row>
    <row r="528" spans="1:15" x14ac:dyDescent="0.3">
      <c r="A528" s="91">
        <v>536</v>
      </c>
      <c r="B528" s="92" t="str">
        <f t="shared" si="8"/>
        <v>-Intermediate 2-Sporting Clays</v>
      </c>
      <c r="C528" s="92"/>
      <c r="D528" s="92" t="s">
        <v>346</v>
      </c>
      <c r="E528" s="92" t="s">
        <v>148</v>
      </c>
      <c r="F528" s="101" t="str">
        <f>IF(E528="Skeet",IFERROR(INDEX('Shooter-Squad Assignment'!$A:$A,MATCH(C528&amp;"-"&amp;D528&amp;"-"&amp;E528&amp;"-Pos1",'Shooter-Squad Assignment'!#REF!,0)),""),IF(E528="Trap",IFERROR(INDEX('Shooter-Squad Assignment'!$A:$A,MATCH(C528&amp;"-"&amp;D528&amp;"-"&amp;E528&amp;"-Pos1",'Shooter-Squad Assignment'!$V:$V,0)),""),IF(E528="Sporting Clays",IFERROR(INDEX('Shooter-Squad Assignment'!$A:$A,MATCH(C528&amp;"-"&amp;D528&amp;"-"&amp;E528&amp;"-Pos1",'Shooter-Squad Assignment'!$Y:$Y,0)),""),"")))</f>
        <v/>
      </c>
      <c r="G528" s="92" t="str">
        <f>IF(ISBLANK(F528),"",IFERROR(INDEX('Tournament List'!$D:$D,MATCH(F528,'Tournament List'!$A:$A,0)),""))</f>
        <v/>
      </c>
      <c r="H528" s="101" t="str">
        <f>IF(E528="Skeet",IFERROR(INDEX('Shooter-Squad Assignment'!$A:$A,MATCH(C528&amp;"-"&amp;D528&amp;"-"&amp;E528&amp;"-Pos2",'Shooter-Squad Assignment'!#REF!,0)),""),IF(E528="Trap",IFERROR(INDEX('Shooter-Squad Assignment'!$A:$A,MATCH(C528&amp;"-"&amp;D528&amp;"-"&amp;E528&amp;"-Pos2",'Shooter-Squad Assignment'!$V:$V,0)),""),IF(E528="Sporting Clays",IFERROR(INDEX('Shooter-Squad Assignment'!$A:$A,MATCH(C528&amp;"-"&amp;D528&amp;"-"&amp;E528&amp;"-Pos2",'Shooter-Squad Assignment'!$Y:$Y,0)),""),"")))</f>
        <v/>
      </c>
      <c r="I528" s="92" t="str">
        <f>IF(ISBLANK(H528),"",IFERROR(INDEX('Tournament List'!$D:$D,MATCH(H528,'Tournament List'!$A:$A,0)),""))</f>
        <v/>
      </c>
      <c r="J528" s="101" t="str">
        <f>IF(E528="Skeet",IFERROR(INDEX('Shooter-Squad Assignment'!$A:$A,MATCH(C528&amp;"-"&amp;D528&amp;"-"&amp;E528&amp;"-Pos3",'Shooter-Squad Assignment'!#REF!,0)),""),IF(E528="Trap",IFERROR(INDEX('Shooter-Squad Assignment'!$A:$A,MATCH(C528&amp;"-"&amp;D528&amp;"-"&amp;E528&amp;"-Pos3",'Shooter-Squad Assignment'!$V:$V,0)),""),IF(E528="Sporting Clays",IFERROR(INDEX('Shooter-Squad Assignment'!$A:$A,MATCH(C528&amp;"-"&amp;D528&amp;"-"&amp;E528&amp;"-Pos3",'Shooter-Squad Assignment'!$Y:$Y,0)),""),"")))</f>
        <v/>
      </c>
      <c r="K528" s="92" t="str">
        <f>IF(ISBLANK(J528),"",IFERROR(INDEX('Tournament List'!$D:$D,MATCH(J528,'Tournament List'!$A:$A,0)),""))</f>
        <v/>
      </c>
      <c r="L528" s="101" t="str">
        <f>IF(E528="Skeet",IFERROR(INDEX('Shooter-Squad Assignment'!$A:$A,MATCH(C528&amp;"-"&amp;D528&amp;"-"&amp;E528&amp;"-Pos4",'Shooter-Squad Assignment'!#REF!,0)),""),IF(E528="Trap",IFERROR(INDEX('Shooter-Squad Assignment'!$A:$A,MATCH(C528&amp;"-"&amp;D528&amp;"-"&amp;E528&amp;"-Pos4",'Shooter-Squad Assignment'!$V:$V,0)),""),IF(E528="Sporting Clays",IFERROR(INDEX('Shooter-Squad Assignment'!$A:$A,MATCH(C528&amp;"-"&amp;D528&amp;"-"&amp;E528&amp;"-Pos4",'Shooter-Squad Assignment'!$Y:$Y,0)),""),"")))</f>
        <v/>
      </c>
      <c r="M528" s="92" t="str">
        <f>IF(ISBLANK(L528),"",IFERROR(INDEX('Tournament List'!$D:$D,MATCH(L528,'Tournament List'!$A:$A,0)),""))</f>
        <v/>
      </c>
      <c r="N528" s="101" t="str">
        <f>IF(E528="Skeet",IFERROR(INDEX('Shooter-Squad Assignment'!$A:$A,MATCH(C528&amp;"-"&amp;D528&amp;"-"&amp;E528&amp;"-Pos5",'Shooter-Squad Assignment'!#REF!,0)),""),IF(E528="Trap",IFERROR(INDEX('Shooter-Squad Assignment'!$A:$A,MATCH(C528&amp;"-"&amp;D528&amp;"-"&amp;E528&amp;"-Pos5",'Shooter-Squad Assignment'!$V:$V,0)),""),IF(E528="Sporting Clays",IFERROR(INDEX('Shooter-Squad Assignment'!$A:$A,MATCH(C528&amp;"-"&amp;D528&amp;"-"&amp;E528&amp;"-Pos5",'Shooter-Squad Assignment'!$Y:$Y,0)),""),"")))</f>
        <v/>
      </c>
      <c r="O528" s="93" t="str">
        <f>IF(ISBLANK(N528),"",IFERROR(INDEX('Tournament List'!$D:$D,MATCH(N528,'Tournament List'!$A:$A,0)),""))</f>
        <v/>
      </c>
    </row>
    <row r="529" spans="1:15" x14ac:dyDescent="0.3">
      <c r="A529" s="91">
        <v>537</v>
      </c>
      <c r="B529" s="92" t="str">
        <f t="shared" si="8"/>
        <v>-Intermediate 3-Sporting Clays</v>
      </c>
      <c r="C529" s="92"/>
      <c r="D529" s="92" t="s">
        <v>352</v>
      </c>
      <c r="E529" s="92" t="s">
        <v>148</v>
      </c>
      <c r="F529" s="101" t="str">
        <f>IF(E529="Skeet",IFERROR(INDEX('Shooter-Squad Assignment'!$A:$A,MATCH(C529&amp;"-"&amp;D529&amp;"-"&amp;E529&amp;"-Pos1",'Shooter-Squad Assignment'!#REF!,0)),""),IF(E529="Trap",IFERROR(INDEX('Shooter-Squad Assignment'!$A:$A,MATCH(C529&amp;"-"&amp;D529&amp;"-"&amp;E529&amp;"-Pos1",'Shooter-Squad Assignment'!$V:$V,0)),""),IF(E529="Sporting Clays",IFERROR(INDEX('Shooter-Squad Assignment'!$A:$A,MATCH(C529&amp;"-"&amp;D529&amp;"-"&amp;E529&amp;"-Pos1",'Shooter-Squad Assignment'!$Y:$Y,0)),""),"")))</f>
        <v/>
      </c>
      <c r="G529" s="92" t="str">
        <f>IF(ISBLANK(F529),"",IFERROR(INDEX('Tournament List'!$D:$D,MATCH(F529,'Tournament List'!$A:$A,0)),""))</f>
        <v/>
      </c>
      <c r="H529" s="101" t="str">
        <f>IF(E529="Skeet",IFERROR(INDEX('Shooter-Squad Assignment'!$A:$A,MATCH(C529&amp;"-"&amp;D529&amp;"-"&amp;E529&amp;"-Pos2",'Shooter-Squad Assignment'!#REF!,0)),""),IF(E529="Trap",IFERROR(INDEX('Shooter-Squad Assignment'!$A:$A,MATCH(C529&amp;"-"&amp;D529&amp;"-"&amp;E529&amp;"-Pos2",'Shooter-Squad Assignment'!$V:$V,0)),""),IF(E529="Sporting Clays",IFERROR(INDEX('Shooter-Squad Assignment'!$A:$A,MATCH(C529&amp;"-"&amp;D529&amp;"-"&amp;E529&amp;"-Pos2",'Shooter-Squad Assignment'!$Y:$Y,0)),""),"")))</f>
        <v/>
      </c>
      <c r="I529" s="92" t="str">
        <f>IF(ISBLANK(H529),"",IFERROR(INDEX('Tournament List'!$D:$D,MATCH(H529,'Tournament List'!$A:$A,0)),""))</f>
        <v/>
      </c>
      <c r="J529" s="101" t="str">
        <f>IF(E529="Skeet",IFERROR(INDEX('Shooter-Squad Assignment'!$A:$A,MATCH(C529&amp;"-"&amp;D529&amp;"-"&amp;E529&amp;"-Pos3",'Shooter-Squad Assignment'!#REF!,0)),""),IF(E529="Trap",IFERROR(INDEX('Shooter-Squad Assignment'!$A:$A,MATCH(C529&amp;"-"&amp;D529&amp;"-"&amp;E529&amp;"-Pos3",'Shooter-Squad Assignment'!$V:$V,0)),""),IF(E529="Sporting Clays",IFERROR(INDEX('Shooter-Squad Assignment'!$A:$A,MATCH(C529&amp;"-"&amp;D529&amp;"-"&amp;E529&amp;"-Pos3",'Shooter-Squad Assignment'!$Y:$Y,0)),""),"")))</f>
        <v/>
      </c>
      <c r="K529" s="92" t="str">
        <f>IF(ISBLANK(J529),"",IFERROR(INDEX('Tournament List'!$D:$D,MATCH(J529,'Tournament List'!$A:$A,0)),""))</f>
        <v/>
      </c>
      <c r="L529" s="101" t="str">
        <f>IF(E529="Skeet",IFERROR(INDEX('Shooter-Squad Assignment'!$A:$A,MATCH(C529&amp;"-"&amp;D529&amp;"-"&amp;E529&amp;"-Pos4",'Shooter-Squad Assignment'!#REF!,0)),""),IF(E529="Trap",IFERROR(INDEX('Shooter-Squad Assignment'!$A:$A,MATCH(C529&amp;"-"&amp;D529&amp;"-"&amp;E529&amp;"-Pos4",'Shooter-Squad Assignment'!$V:$V,0)),""),IF(E529="Sporting Clays",IFERROR(INDEX('Shooter-Squad Assignment'!$A:$A,MATCH(C529&amp;"-"&amp;D529&amp;"-"&amp;E529&amp;"-Pos4",'Shooter-Squad Assignment'!$Y:$Y,0)),""),"")))</f>
        <v/>
      </c>
      <c r="M529" s="92" t="str">
        <f>IF(ISBLANK(L529),"",IFERROR(INDEX('Tournament List'!$D:$D,MATCH(L529,'Tournament List'!$A:$A,0)),""))</f>
        <v/>
      </c>
      <c r="N529" s="101" t="str">
        <f>IF(E529="Skeet",IFERROR(INDEX('Shooter-Squad Assignment'!$A:$A,MATCH(C529&amp;"-"&amp;D529&amp;"-"&amp;E529&amp;"-Pos5",'Shooter-Squad Assignment'!#REF!,0)),""),IF(E529="Trap",IFERROR(INDEX('Shooter-Squad Assignment'!$A:$A,MATCH(C529&amp;"-"&amp;D529&amp;"-"&amp;E529&amp;"-Pos5",'Shooter-Squad Assignment'!$V:$V,0)),""),IF(E529="Sporting Clays",IFERROR(INDEX('Shooter-Squad Assignment'!$A:$A,MATCH(C529&amp;"-"&amp;D529&amp;"-"&amp;E529&amp;"-Pos5",'Shooter-Squad Assignment'!$Y:$Y,0)),""),"")))</f>
        <v/>
      </c>
      <c r="O529" s="93" t="str">
        <f>IF(ISBLANK(N529),"",IFERROR(INDEX('Tournament List'!$D:$D,MATCH(N529,'Tournament List'!$A:$A,0)),""))</f>
        <v/>
      </c>
    </row>
    <row r="530" spans="1:15" x14ac:dyDescent="0.3">
      <c r="A530" s="91">
        <v>538</v>
      </c>
      <c r="B530" s="92" t="str">
        <f t="shared" si="8"/>
        <v>-Junior Varsity 1-Sporting Clays</v>
      </c>
      <c r="C530" s="92"/>
      <c r="D530" s="92" t="s">
        <v>341</v>
      </c>
      <c r="E530" s="92" t="s">
        <v>148</v>
      </c>
      <c r="F530" s="101" t="str">
        <f>IF(E530="Skeet",IFERROR(INDEX('Shooter-Squad Assignment'!$A:$A,MATCH(C530&amp;"-"&amp;D530&amp;"-"&amp;E530&amp;"-Pos1",'Shooter-Squad Assignment'!#REF!,0)),""),IF(E530="Trap",IFERROR(INDEX('Shooter-Squad Assignment'!$A:$A,MATCH(C530&amp;"-"&amp;D530&amp;"-"&amp;E530&amp;"-Pos1",'Shooter-Squad Assignment'!$V:$V,0)),""),IF(E530="Sporting Clays",IFERROR(INDEX('Shooter-Squad Assignment'!$A:$A,MATCH(C530&amp;"-"&amp;D530&amp;"-"&amp;E530&amp;"-Pos1",'Shooter-Squad Assignment'!$Y:$Y,0)),""),"")))</f>
        <v/>
      </c>
      <c r="G530" s="92" t="str">
        <f>IF(ISBLANK(F530),"",IFERROR(INDEX('Tournament List'!$D:$D,MATCH(F530,'Tournament List'!$A:$A,0)),""))</f>
        <v/>
      </c>
      <c r="H530" s="101" t="str">
        <f>IF(E530="Skeet",IFERROR(INDEX('Shooter-Squad Assignment'!$A:$A,MATCH(C530&amp;"-"&amp;D530&amp;"-"&amp;E530&amp;"-Pos2",'Shooter-Squad Assignment'!#REF!,0)),""),IF(E530="Trap",IFERROR(INDEX('Shooter-Squad Assignment'!$A:$A,MATCH(C530&amp;"-"&amp;D530&amp;"-"&amp;E530&amp;"-Pos2",'Shooter-Squad Assignment'!$V:$V,0)),""),IF(E530="Sporting Clays",IFERROR(INDEX('Shooter-Squad Assignment'!$A:$A,MATCH(C530&amp;"-"&amp;D530&amp;"-"&amp;E530&amp;"-Pos2",'Shooter-Squad Assignment'!$Y:$Y,0)),""),"")))</f>
        <v/>
      </c>
      <c r="I530" s="92" t="str">
        <f>IF(ISBLANK(H530),"",IFERROR(INDEX('Tournament List'!$D:$D,MATCH(H530,'Tournament List'!$A:$A,0)),""))</f>
        <v/>
      </c>
      <c r="J530" s="101" t="str">
        <f>IF(E530="Skeet",IFERROR(INDEX('Shooter-Squad Assignment'!$A:$A,MATCH(C530&amp;"-"&amp;D530&amp;"-"&amp;E530&amp;"-Pos3",'Shooter-Squad Assignment'!#REF!,0)),""),IF(E530="Trap",IFERROR(INDEX('Shooter-Squad Assignment'!$A:$A,MATCH(C530&amp;"-"&amp;D530&amp;"-"&amp;E530&amp;"-Pos3",'Shooter-Squad Assignment'!$V:$V,0)),""),IF(E530="Sporting Clays",IFERROR(INDEX('Shooter-Squad Assignment'!$A:$A,MATCH(C530&amp;"-"&amp;D530&amp;"-"&amp;E530&amp;"-Pos3",'Shooter-Squad Assignment'!$Y:$Y,0)),""),"")))</f>
        <v/>
      </c>
      <c r="K530" s="92" t="str">
        <f>IF(ISBLANK(J530),"",IFERROR(INDEX('Tournament List'!$D:$D,MATCH(J530,'Tournament List'!$A:$A,0)),""))</f>
        <v/>
      </c>
      <c r="L530" s="101" t="str">
        <f>IF(E530="Skeet",IFERROR(INDEX('Shooter-Squad Assignment'!$A:$A,MATCH(C530&amp;"-"&amp;D530&amp;"-"&amp;E530&amp;"-Pos4",'Shooter-Squad Assignment'!#REF!,0)),""),IF(E530="Trap",IFERROR(INDEX('Shooter-Squad Assignment'!$A:$A,MATCH(C530&amp;"-"&amp;D530&amp;"-"&amp;E530&amp;"-Pos4",'Shooter-Squad Assignment'!$V:$V,0)),""),IF(E530="Sporting Clays",IFERROR(INDEX('Shooter-Squad Assignment'!$A:$A,MATCH(C530&amp;"-"&amp;D530&amp;"-"&amp;E530&amp;"-Pos4",'Shooter-Squad Assignment'!$Y:$Y,0)),""),"")))</f>
        <v/>
      </c>
      <c r="M530" s="92" t="str">
        <f>IF(ISBLANK(L530),"",IFERROR(INDEX('Tournament List'!$D:$D,MATCH(L530,'Tournament List'!$A:$A,0)),""))</f>
        <v/>
      </c>
      <c r="N530" s="101" t="str">
        <f>IF(E530="Skeet",IFERROR(INDEX('Shooter-Squad Assignment'!$A:$A,MATCH(C530&amp;"-"&amp;D530&amp;"-"&amp;E530&amp;"-Pos5",'Shooter-Squad Assignment'!#REF!,0)),""),IF(E530="Trap",IFERROR(INDEX('Shooter-Squad Assignment'!$A:$A,MATCH(C530&amp;"-"&amp;D530&amp;"-"&amp;E530&amp;"-Pos5",'Shooter-Squad Assignment'!$V:$V,0)),""),IF(E530="Sporting Clays",IFERROR(INDEX('Shooter-Squad Assignment'!$A:$A,MATCH(C530&amp;"-"&amp;D530&amp;"-"&amp;E530&amp;"-Pos5",'Shooter-Squad Assignment'!$Y:$Y,0)),""),"")))</f>
        <v/>
      </c>
      <c r="O530" s="93" t="str">
        <f>IF(ISBLANK(N530),"",IFERROR(INDEX('Tournament List'!$D:$D,MATCH(N530,'Tournament List'!$A:$A,0)),""))</f>
        <v/>
      </c>
    </row>
    <row r="531" spans="1:15" x14ac:dyDescent="0.3">
      <c r="A531" s="91">
        <v>539</v>
      </c>
      <c r="B531" s="92" t="str">
        <f t="shared" si="8"/>
        <v>-Junior Varsity 2-Sporting Clays</v>
      </c>
      <c r="C531" s="92"/>
      <c r="D531" s="92" t="s">
        <v>347</v>
      </c>
      <c r="E531" s="92" t="s">
        <v>148</v>
      </c>
      <c r="F531" s="101" t="str">
        <f>IF(E531="Skeet",IFERROR(INDEX('Shooter-Squad Assignment'!$A:$A,MATCH(C531&amp;"-"&amp;D531&amp;"-"&amp;E531&amp;"-Pos1",'Shooter-Squad Assignment'!#REF!,0)),""),IF(E531="Trap",IFERROR(INDEX('Shooter-Squad Assignment'!$A:$A,MATCH(C531&amp;"-"&amp;D531&amp;"-"&amp;E531&amp;"-Pos1",'Shooter-Squad Assignment'!$V:$V,0)),""),IF(E531="Sporting Clays",IFERROR(INDEX('Shooter-Squad Assignment'!$A:$A,MATCH(C531&amp;"-"&amp;D531&amp;"-"&amp;E531&amp;"-Pos1",'Shooter-Squad Assignment'!$Y:$Y,0)),""),"")))</f>
        <v/>
      </c>
      <c r="G531" s="92" t="str">
        <f>IF(ISBLANK(F531),"",IFERROR(INDEX('Tournament List'!$D:$D,MATCH(F531,'Tournament List'!$A:$A,0)),""))</f>
        <v/>
      </c>
      <c r="H531" s="101" t="str">
        <f>IF(E531="Skeet",IFERROR(INDEX('Shooter-Squad Assignment'!$A:$A,MATCH(C531&amp;"-"&amp;D531&amp;"-"&amp;E531&amp;"-Pos2",'Shooter-Squad Assignment'!#REF!,0)),""),IF(E531="Trap",IFERROR(INDEX('Shooter-Squad Assignment'!$A:$A,MATCH(C531&amp;"-"&amp;D531&amp;"-"&amp;E531&amp;"-Pos2",'Shooter-Squad Assignment'!$V:$V,0)),""),IF(E531="Sporting Clays",IFERROR(INDEX('Shooter-Squad Assignment'!$A:$A,MATCH(C531&amp;"-"&amp;D531&amp;"-"&amp;E531&amp;"-Pos2",'Shooter-Squad Assignment'!$Y:$Y,0)),""),"")))</f>
        <v/>
      </c>
      <c r="I531" s="92" t="str">
        <f>IF(ISBLANK(H531),"",IFERROR(INDEX('Tournament List'!$D:$D,MATCH(H531,'Tournament List'!$A:$A,0)),""))</f>
        <v/>
      </c>
      <c r="J531" s="101" t="str">
        <f>IF(E531="Skeet",IFERROR(INDEX('Shooter-Squad Assignment'!$A:$A,MATCH(C531&amp;"-"&amp;D531&amp;"-"&amp;E531&amp;"-Pos3",'Shooter-Squad Assignment'!#REF!,0)),""),IF(E531="Trap",IFERROR(INDEX('Shooter-Squad Assignment'!$A:$A,MATCH(C531&amp;"-"&amp;D531&amp;"-"&amp;E531&amp;"-Pos3",'Shooter-Squad Assignment'!$V:$V,0)),""),IF(E531="Sporting Clays",IFERROR(INDEX('Shooter-Squad Assignment'!$A:$A,MATCH(C531&amp;"-"&amp;D531&amp;"-"&amp;E531&amp;"-Pos3",'Shooter-Squad Assignment'!$Y:$Y,0)),""),"")))</f>
        <v/>
      </c>
      <c r="K531" s="92" t="str">
        <f>IF(ISBLANK(J531),"",IFERROR(INDEX('Tournament List'!$D:$D,MATCH(J531,'Tournament List'!$A:$A,0)),""))</f>
        <v/>
      </c>
      <c r="L531" s="101" t="str">
        <f>IF(E531="Skeet",IFERROR(INDEX('Shooter-Squad Assignment'!$A:$A,MATCH(C531&amp;"-"&amp;D531&amp;"-"&amp;E531&amp;"-Pos4",'Shooter-Squad Assignment'!#REF!,0)),""),IF(E531="Trap",IFERROR(INDEX('Shooter-Squad Assignment'!$A:$A,MATCH(C531&amp;"-"&amp;D531&amp;"-"&amp;E531&amp;"-Pos4",'Shooter-Squad Assignment'!$V:$V,0)),""),IF(E531="Sporting Clays",IFERROR(INDEX('Shooter-Squad Assignment'!$A:$A,MATCH(C531&amp;"-"&amp;D531&amp;"-"&amp;E531&amp;"-Pos4",'Shooter-Squad Assignment'!$Y:$Y,0)),""),"")))</f>
        <v/>
      </c>
      <c r="M531" s="92" t="str">
        <f>IF(ISBLANK(L531),"",IFERROR(INDEX('Tournament List'!$D:$D,MATCH(L531,'Tournament List'!$A:$A,0)),""))</f>
        <v/>
      </c>
      <c r="N531" s="101" t="str">
        <f>IF(E531="Skeet",IFERROR(INDEX('Shooter-Squad Assignment'!$A:$A,MATCH(C531&amp;"-"&amp;D531&amp;"-"&amp;E531&amp;"-Pos5",'Shooter-Squad Assignment'!#REF!,0)),""),IF(E531="Trap",IFERROR(INDEX('Shooter-Squad Assignment'!$A:$A,MATCH(C531&amp;"-"&amp;D531&amp;"-"&amp;E531&amp;"-Pos5",'Shooter-Squad Assignment'!$V:$V,0)),""),IF(E531="Sporting Clays",IFERROR(INDEX('Shooter-Squad Assignment'!$A:$A,MATCH(C531&amp;"-"&amp;D531&amp;"-"&amp;E531&amp;"-Pos5",'Shooter-Squad Assignment'!$Y:$Y,0)),""),"")))</f>
        <v/>
      </c>
      <c r="O531" s="93" t="str">
        <f>IF(ISBLANK(N531),"",IFERROR(INDEX('Tournament List'!$D:$D,MATCH(N531,'Tournament List'!$A:$A,0)),""))</f>
        <v/>
      </c>
    </row>
    <row r="532" spans="1:15" x14ac:dyDescent="0.3">
      <c r="A532" s="91">
        <v>540</v>
      </c>
      <c r="B532" s="92" t="str">
        <f t="shared" si="8"/>
        <v>-Junior Varsity 3-Sporting Clays</v>
      </c>
      <c r="C532" s="92"/>
      <c r="D532" s="92" t="s">
        <v>353</v>
      </c>
      <c r="E532" s="92" t="s">
        <v>148</v>
      </c>
      <c r="F532" s="101" t="str">
        <f>IF(E532="Skeet",IFERROR(INDEX('Shooter-Squad Assignment'!$A:$A,MATCH(C532&amp;"-"&amp;D532&amp;"-"&amp;E532&amp;"-Pos1",'Shooter-Squad Assignment'!#REF!,0)),""),IF(E532="Trap",IFERROR(INDEX('Shooter-Squad Assignment'!$A:$A,MATCH(C532&amp;"-"&amp;D532&amp;"-"&amp;E532&amp;"-Pos1",'Shooter-Squad Assignment'!$V:$V,0)),""),IF(E532="Sporting Clays",IFERROR(INDEX('Shooter-Squad Assignment'!$A:$A,MATCH(C532&amp;"-"&amp;D532&amp;"-"&amp;E532&amp;"-Pos1",'Shooter-Squad Assignment'!$Y:$Y,0)),""),"")))</f>
        <v/>
      </c>
      <c r="G532" s="92" t="str">
        <f>IF(ISBLANK(F532),"",IFERROR(INDEX('Tournament List'!$D:$D,MATCH(F532,'Tournament List'!$A:$A,0)),""))</f>
        <v/>
      </c>
      <c r="H532" s="101" t="str">
        <f>IF(E532="Skeet",IFERROR(INDEX('Shooter-Squad Assignment'!$A:$A,MATCH(C532&amp;"-"&amp;D532&amp;"-"&amp;E532&amp;"-Pos2",'Shooter-Squad Assignment'!#REF!,0)),""),IF(E532="Trap",IFERROR(INDEX('Shooter-Squad Assignment'!$A:$A,MATCH(C532&amp;"-"&amp;D532&amp;"-"&amp;E532&amp;"-Pos2",'Shooter-Squad Assignment'!$V:$V,0)),""),IF(E532="Sporting Clays",IFERROR(INDEX('Shooter-Squad Assignment'!$A:$A,MATCH(C532&amp;"-"&amp;D532&amp;"-"&amp;E532&amp;"-Pos2",'Shooter-Squad Assignment'!$Y:$Y,0)),""),"")))</f>
        <v/>
      </c>
      <c r="I532" s="92" t="str">
        <f>IF(ISBLANK(H532),"",IFERROR(INDEX('Tournament List'!$D:$D,MATCH(H532,'Tournament List'!$A:$A,0)),""))</f>
        <v/>
      </c>
      <c r="J532" s="101" t="str">
        <f>IF(E532="Skeet",IFERROR(INDEX('Shooter-Squad Assignment'!$A:$A,MATCH(C532&amp;"-"&amp;D532&amp;"-"&amp;E532&amp;"-Pos3",'Shooter-Squad Assignment'!#REF!,0)),""),IF(E532="Trap",IFERROR(INDEX('Shooter-Squad Assignment'!$A:$A,MATCH(C532&amp;"-"&amp;D532&amp;"-"&amp;E532&amp;"-Pos3",'Shooter-Squad Assignment'!$V:$V,0)),""),IF(E532="Sporting Clays",IFERROR(INDEX('Shooter-Squad Assignment'!$A:$A,MATCH(C532&amp;"-"&amp;D532&amp;"-"&amp;E532&amp;"-Pos3",'Shooter-Squad Assignment'!$Y:$Y,0)),""),"")))</f>
        <v/>
      </c>
      <c r="K532" s="92" t="str">
        <f>IF(ISBLANK(J532),"",IFERROR(INDEX('Tournament List'!$D:$D,MATCH(J532,'Tournament List'!$A:$A,0)),""))</f>
        <v/>
      </c>
      <c r="L532" s="101" t="str">
        <f>IF(E532="Skeet",IFERROR(INDEX('Shooter-Squad Assignment'!$A:$A,MATCH(C532&amp;"-"&amp;D532&amp;"-"&amp;E532&amp;"-Pos4",'Shooter-Squad Assignment'!#REF!,0)),""),IF(E532="Trap",IFERROR(INDEX('Shooter-Squad Assignment'!$A:$A,MATCH(C532&amp;"-"&amp;D532&amp;"-"&amp;E532&amp;"-Pos4",'Shooter-Squad Assignment'!$V:$V,0)),""),IF(E532="Sporting Clays",IFERROR(INDEX('Shooter-Squad Assignment'!$A:$A,MATCH(C532&amp;"-"&amp;D532&amp;"-"&amp;E532&amp;"-Pos4",'Shooter-Squad Assignment'!$Y:$Y,0)),""),"")))</f>
        <v/>
      </c>
      <c r="M532" s="92" t="str">
        <f>IF(ISBLANK(L532),"",IFERROR(INDEX('Tournament List'!$D:$D,MATCH(L532,'Tournament List'!$A:$A,0)),""))</f>
        <v/>
      </c>
      <c r="N532" s="101" t="str">
        <f>IF(E532="Skeet",IFERROR(INDEX('Shooter-Squad Assignment'!$A:$A,MATCH(C532&amp;"-"&amp;D532&amp;"-"&amp;E532&amp;"-Pos5",'Shooter-Squad Assignment'!#REF!,0)),""),IF(E532="Trap",IFERROR(INDEX('Shooter-Squad Assignment'!$A:$A,MATCH(C532&amp;"-"&amp;D532&amp;"-"&amp;E532&amp;"-Pos5",'Shooter-Squad Assignment'!$V:$V,0)),""),IF(E532="Sporting Clays",IFERROR(INDEX('Shooter-Squad Assignment'!$A:$A,MATCH(C532&amp;"-"&amp;D532&amp;"-"&amp;E532&amp;"-Pos5",'Shooter-Squad Assignment'!$Y:$Y,0)),""),"")))</f>
        <v/>
      </c>
      <c r="O532" s="93" t="str">
        <f>IF(ISBLANK(N532),"",IFERROR(INDEX('Tournament List'!$D:$D,MATCH(N532,'Tournament List'!$A:$A,0)),""))</f>
        <v/>
      </c>
    </row>
    <row r="533" spans="1:15" x14ac:dyDescent="0.3">
      <c r="A533" s="91">
        <v>541</v>
      </c>
      <c r="B533" s="92" t="str">
        <f t="shared" si="8"/>
        <v>-Novice 1-Sporting Clays</v>
      </c>
      <c r="C533" s="92"/>
      <c r="D533" s="92" t="s">
        <v>339</v>
      </c>
      <c r="E533" s="92" t="s">
        <v>148</v>
      </c>
      <c r="F533" s="101" t="str">
        <f>IF(E533="Skeet",IFERROR(INDEX('Shooter-Squad Assignment'!$A:$A,MATCH(C533&amp;"-"&amp;D533&amp;"-"&amp;E533&amp;"-Pos1",'Shooter-Squad Assignment'!#REF!,0)),""),IF(E533="Trap",IFERROR(INDEX('Shooter-Squad Assignment'!$A:$A,MATCH(C533&amp;"-"&amp;D533&amp;"-"&amp;E533&amp;"-Pos1",'Shooter-Squad Assignment'!$V:$V,0)),""),IF(E533="Sporting Clays",IFERROR(INDEX('Shooter-Squad Assignment'!$A:$A,MATCH(C533&amp;"-"&amp;D533&amp;"-"&amp;E533&amp;"-Pos1",'Shooter-Squad Assignment'!$Y:$Y,0)),""),"")))</f>
        <v/>
      </c>
      <c r="G533" s="92" t="str">
        <f>IF(ISBLANK(F533),"",IFERROR(INDEX('Tournament List'!$D:$D,MATCH(F533,'Tournament List'!$A:$A,0)),""))</f>
        <v/>
      </c>
      <c r="H533" s="101" t="str">
        <f>IF(E533="Skeet",IFERROR(INDEX('Shooter-Squad Assignment'!$A:$A,MATCH(C533&amp;"-"&amp;D533&amp;"-"&amp;E533&amp;"-Pos2",'Shooter-Squad Assignment'!#REF!,0)),""),IF(E533="Trap",IFERROR(INDEX('Shooter-Squad Assignment'!$A:$A,MATCH(C533&amp;"-"&amp;D533&amp;"-"&amp;E533&amp;"-Pos2",'Shooter-Squad Assignment'!$V:$V,0)),""),IF(E533="Sporting Clays",IFERROR(INDEX('Shooter-Squad Assignment'!$A:$A,MATCH(C533&amp;"-"&amp;D533&amp;"-"&amp;E533&amp;"-Pos2",'Shooter-Squad Assignment'!$Y:$Y,0)),""),"")))</f>
        <v/>
      </c>
      <c r="I533" s="92" t="str">
        <f>IF(ISBLANK(H533),"",IFERROR(INDEX('Tournament List'!$D:$D,MATCH(H533,'Tournament List'!$A:$A,0)),""))</f>
        <v/>
      </c>
      <c r="J533" s="101" t="str">
        <f>IF(E533="Skeet",IFERROR(INDEX('Shooter-Squad Assignment'!$A:$A,MATCH(C533&amp;"-"&amp;D533&amp;"-"&amp;E533&amp;"-Pos3",'Shooter-Squad Assignment'!#REF!,0)),""),IF(E533="Trap",IFERROR(INDEX('Shooter-Squad Assignment'!$A:$A,MATCH(C533&amp;"-"&amp;D533&amp;"-"&amp;E533&amp;"-Pos3",'Shooter-Squad Assignment'!$V:$V,0)),""),IF(E533="Sporting Clays",IFERROR(INDEX('Shooter-Squad Assignment'!$A:$A,MATCH(C533&amp;"-"&amp;D533&amp;"-"&amp;E533&amp;"-Pos3",'Shooter-Squad Assignment'!$Y:$Y,0)),""),"")))</f>
        <v/>
      </c>
      <c r="K533" s="92" t="str">
        <f>IF(ISBLANK(J533),"",IFERROR(INDEX('Tournament List'!$D:$D,MATCH(J533,'Tournament List'!$A:$A,0)),""))</f>
        <v/>
      </c>
      <c r="L533" s="101" t="str">
        <f>IF(E533="Skeet",IFERROR(INDEX('Shooter-Squad Assignment'!$A:$A,MATCH(C533&amp;"-"&amp;D533&amp;"-"&amp;E533&amp;"-Pos4",'Shooter-Squad Assignment'!#REF!,0)),""),IF(E533="Trap",IFERROR(INDEX('Shooter-Squad Assignment'!$A:$A,MATCH(C533&amp;"-"&amp;D533&amp;"-"&amp;E533&amp;"-Pos4",'Shooter-Squad Assignment'!$V:$V,0)),""),IF(E533="Sporting Clays",IFERROR(INDEX('Shooter-Squad Assignment'!$A:$A,MATCH(C533&amp;"-"&amp;D533&amp;"-"&amp;E533&amp;"-Pos4",'Shooter-Squad Assignment'!$Y:$Y,0)),""),"")))</f>
        <v/>
      </c>
      <c r="M533" s="92" t="str">
        <f>IF(ISBLANK(L533),"",IFERROR(INDEX('Tournament List'!$D:$D,MATCH(L533,'Tournament List'!$A:$A,0)),""))</f>
        <v/>
      </c>
      <c r="N533" s="101" t="str">
        <f>IF(E533="Skeet",IFERROR(INDEX('Shooter-Squad Assignment'!$A:$A,MATCH(C533&amp;"-"&amp;D533&amp;"-"&amp;E533&amp;"-Pos5",'Shooter-Squad Assignment'!#REF!,0)),""),IF(E533="Trap",IFERROR(INDEX('Shooter-Squad Assignment'!$A:$A,MATCH(C533&amp;"-"&amp;D533&amp;"-"&amp;E533&amp;"-Pos5",'Shooter-Squad Assignment'!$V:$V,0)),""),IF(E533="Sporting Clays",IFERROR(INDEX('Shooter-Squad Assignment'!$A:$A,MATCH(C533&amp;"-"&amp;D533&amp;"-"&amp;E533&amp;"-Pos5",'Shooter-Squad Assignment'!$Y:$Y,0)),""),"")))</f>
        <v/>
      </c>
      <c r="O533" s="93" t="str">
        <f>IF(ISBLANK(N533),"",IFERROR(INDEX('Tournament List'!$D:$D,MATCH(N533,'Tournament List'!$A:$A,0)),""))</f>
        <v/>
      </c>
    </row>
    <row r="534" spans="1:15" x14ac:dyDescent="0.3">
      <c r="A534" s="91">
        <v>542</v>
      </c>
      <c r="B534" s="92" t="str">
        <f t="shared" si="8"/>
        <v>-Novice 2-Sporting Clays</v>
      </c>
      <c r="C534" s="92"/>
      <c r="D534" s="92" t="s">
        <v>345</v>
      </c>
      <c r="E534" s="92" t="s">
        <v>148</v>
      </c>
      <c r="F534" s="101" t="str">
        <f>IF(E534="Skeet",IFERROR(INDEX('Shooter-Squad Assignment'!$A:$A,MATCH(C534&amp;"-"&amp;D534&amp;"-"&amp;E534&amp;"-Pos1",'Shooter-Squad Assignment'!#REF!,0)),""),IF(E534="Trap",IFERROR(INDEX('Shooter-Squad Assignment'!$A:$A,MATCH(C534&amp;"-"&amp;D534&amp;"-"&amp;E534&amp;"-Pos1",'Shooter-Squad Assignment'!$V:$V,0)),""),IF(E534="Sporting Clays",IFERROR(INDEX('Shooter-Squad Assignment'!$A:$A,MATCH(C534&amp;"-"&amp;D534&amp;"-"&amp;E534&amp;"-Pos1",'Shooter-Squad Assignment'!$Y:$Y,0)),""),"")))</f>
        <v/>
      </c>
      <c r="G534" s="92" t="str">
        <f>IF(ISBLANK(F534),"",IFERROR(INDEX('Tournament List'!$D:$D,MATCH(F534,'Tournament List'!$A:$A,0)),""))</f>
        <v/>
      </c>
      <c r="H534" s="101" t="str">
        <f>IF(E534="Skeet",IFERROR(INDEX('Shooter-Squad Assignment'!$A:$A,MATCH(C534&amp;"-"&amp;D534&amp;"-"&amp;E534&amp;"-Pos2",'Shooter-Squad Assignment'!#REF!,0)),""),IF(E534="Trap",IFERROR(INDEX('Shooter-Squad Assignment'!$A:$A,MATCH(C534&amp;"-"&amp;D534&amp;"-"&amp;E534&amp;"-Pos2",'Shooter-Squad Assignment'!$V:$V,0)),""),IF(E534="Sporting Clays",IFERROR(INDEX('Shooter-Squad Assignment'!$A:$A,MATCH(C534&amp;"-"&amp;D534&amp;"-"&amp;E534&amp;"-Pos2",'Shooter-Squad Assignment'!$Y:$Y,0)),""),"")))</f>
        <v/>
      </c>
      <c r="I534" s="92" t="str">
        <f>IF(ISBLANK(H534),"",IFERROR(INDEX('Tournament List'!$D:$D,MATCH(H534,'Tournament List'!$A:$A,0)),""))</f>
        <v/>
      </c>
      <c r="J534" s="101" t="str">
        <f>IF(E534="Skeet",IFERROR(INDEX('Shooter-Squad Assignment'!$A:$A,MATCH(C534&amp;"-"&amp;D534&amp;"-"&amp;E534&amp;"-Pos3",'Shooter-Squad Assignment'!#REF!,0)),""),IF(E534="Trap",IFERROR(INDEX('Shooter-Squad Assignment'!$A:$A,MATCH(C534&amp;"-"&amp;D534&amp;"-"&amp;E534&amp;"-Pos3",'Shooter-Squad Assignment'!$V:$V,0)),""),IF(E534="Sporting Clays",IFERROR(INDEX('Shooter-Squad Assignment'!$A:$A,MATCH(C534&amp;"-"&amp;D534&amp;"-"&amp;E534&amp;"-Pos3",'Shooter-Squad Assignment'!$Y:$Y,0)),""),"")))</f>
        <v/>
      </c>
      <c r="K534" s="92" t="str">
        <f>IF(ISBLANK(J534),"",IFERROR(INDEX('Tournament List'!$D:$D,MATCH(J534,'Tournament List'!$A:$A,0)),""))</f>
        <v/>
      </c>
      <c r="L534" s="101" t="str">
        <f>IF(E534="Skeet",IFERROR(INDEX('Shooter-Squad Assignment'!$A:$A,MATCH(C534&amp;"-"&amp;D534&amp;"-"&amp;E534&amp;"-Pos4",'Shooter-Squad Assignment'!#REF!,0)),""),IF(E534="Trap",IFERROR(INDEX('Shooter-Squad Assignment'!$A:$A,MATCH(C534&amp;"-"&amp;D534&amp;"-"&amp;E534&amp;"-Pos4",'Shooter-Squad Assignment'!$V:$V,0)),""),IF(E534="Sporting Clays",IFERROR(INDEX('Shooter-Squad Assignment'!$A:$A,MATCH(C534&amp;"-"&amp;D534&amp;"-"&amp;E534&amp;"-Pos4",'Shooter-Squad Assignment'!$Y:$Y,0)),""),"")))</f>
        <v/>
      </c>
      <c r="M534" s="92" t="str">
        <f>IF(ISBLANK(L534),"",IFERROR(INDEX('Tournament List'!$D:$D,MATCH(L534,'Tournament List'!$A:$A,0)),""))</f>
        <v/>
      </c>
      <c r="N534" s="101" t="str">
        <f>IF(E534="Skeet",IFERROR(INDEX('Shooter-Squad Assignment'!$A:$A,MATCH(C534&amp;"-"&amp;D534&amp;"-"&amp;E534&amp;"-Pos5",'Shooter-Squad Assignment'!#REF!,0)),""),IF(E534="Trap",IFERROR(INDEX('Shooter-Squad Assignment'!$A:$A,MATCH(C534&amp;"-"&amp;D534&amp;"-"&amp;E534&amp;"-Pos5",'Shooter-Squad Assignment'!$V:$V,0)),""),IF(E534="Sporting Clays",IFERROR(INDEX('Shooter-Squad Assignment'!$A:$A,MATCH(C534&amp;"-"&amp;D534&amp;"-"&amp;E534&amp;"-Pos5",'Shooter-Squad Assignment'!$Y:$Y,0)),""),"")))</f>
        <v/>
      </c>
      <c r="O534" s="93" t="str">
        <f>IF(ISBLANK(N534),"",IFERROR(INDEX('Tournament List'!$D:$D,MATCH(N534,'Tournament List'!$A:$A,0)),""))</f>
        <v/>
      </c>
    </row>
    <row r="535" spans="1:15" x14ac:dyDescent="0.3">
      <c r="A535" s="91">
        <v>543</v>
      </c>
      <c r="B535" s="92" t="str">
        <f t="shared" si="8"/>
        <v>-Novice 3-Sporting Clays</v>
      </c>
      <c r="C535" s="92"/>
      <c r="D535" s="92" t="s">
        <v>351</v>
      </c>
      <c r="E535" s="92" t="s">
        <v>148</v>
      </c>
      <c r="F535" s="101" t="str">
        <f>IF(E535="Skeet",IFERROR(INDEX('Shooter-Squad Assignment'!$A:$A,MATCH(C535&amp;"-"&amp;D535&amp;"-"&amp;E535&amp;"-Pos1",'Shooter-Squad Assignment'!#REF!,0)),""),IF(E535="Trap",IFERROR(INDEX('Shooter-Squad Assignment'!$A:$A,MATCH(C535&amp;"-"&amp;D535&amp;"-"&amp;E535&amp;"-Pos1",'Shooter-Squad Assignment'!$V:$V,0)),""),IF(E535="Sporting Clays",IFERROR(INDEX('Shooter-Squad Assignment'!$A:$A,MATCH(C535&amp;"-"&amp;D535&amp;"-"&amp;E535&amp;"-Pos1",'Shooter-Squad Assignment'!$Y:$Y,0)),""),"")))</f>
        <v/>
      </c>
      <c r="G535" s="92" t="str">
        <f>IF(ISBLANK(F535),"",IFERROR(INDEX('Tournament List'!$D:$D,MATCH(F535,'Tournament List'!$A:$A,0)),""))</f>
        <v/>
      </c>
      <c r="H535" s="101" t="str">
        <f>IF(E535="Skeet",IFERROR(INDEX('Shooter-Squad Assignment'!$A:$A,MATCH(C535&amp;"-"&amp;D535&amp;"-"&amp;E535&amp;"-Pos2",'Shooter-Squad Assignment'!#REF!,0)),""),IF(E535="Trap",IFERROR(INDEX('Shooter-Squad Assignment'!$A:$A,MATCH(C535&amp;"-"&amp;D535&amp;"-"&amp;E535&amp;"-Pos2",'Shooter-Squad Assignment'!$V:$V,0)),""),IF(E535="Sporting Clays",IFERROR(INDEX('Shooter-Squad Assignment'!$A:$A,MATCH(C535&amp;"-"&amp;D535&amp;"-"&amp;E535&amp;"-Pos2",'Shooter-Squad Assignment'!$Y:$Y,0)),""),"")))</f>
        <v/>
      </c>
      <c r="I535" s="92" t="str">
        <f>IF(ISBLANK(H535),"",IFERROR(INDEX('Tournament List'!$D:$D,MATCH(H535,'Tournament List'!$A:$A,0)),""))</f>
        <v/>
      </c>
      <c r="J535" s="101" t="str">
        <f>IF(E535="Skeet",IFERROR(INDEX('Shooter-Squad Assignment'!$A:$A,MATCH(C535&amp;"-"&amp;D535&amp;"-"&amp;E535&amp;"-Pos3",'Shooter-Squad Assignment'!#REF!,0)),""),IF(E535="Trap",IFERROR(INDEX('Shooter-Squad Assignment'!$A:$A,MATCH(C535&amp;"-"&amp;D535&amp;"-"&amp;E535&amp;"-Pos3",'Shooter-Squad Assignment'!$V:$V,0)),""),IF(E535="Sporting Clays",IFERROR(INDEX('Shooter-Squad Assignment'!$A:$A,MATCH(C535&amp;"-"&amp;D535&amp;"-"&amp;E535&amp;"-Pos3",'Shooter-Squad Assignment'!$Y:$Y,0)),""),"")))</f>
        <v/>
      </c>
      <c r="K535" s="92" t="str">
        <f>IF(ISBLANK(J535),"",IFERROR(INDEX('Tournament List'!$D:$D,MATCH(J535,'Tournament List'!$A:$A,0)),""))</f>
        <v/>
      </c>
      <c r="L535" s="101" t="str">
        <f>IF(E535="Skeet",IFERROR(INDEX('Shooter-Squad Assignment'!$A:$A,MATCH(C535&amp;"-"&amp;D535&amp;"-"&amp;E535&amp;"-Pos4",'Shooter-Squad Assignment'!#REF!,0)),""),IF(E535="Trap",IFERROR(INDEX('Shooter-Squad Assignment'!$A:$A,MATCH(C535&amp;"-"&amp;D535&amp;"-"&amp;E535&amp;"-Pos4",'Shooter-Squad Assignment'!$V:$V,0)),""),IF(E535="Sporting Clays",IFERROR(INDEX('Shooter-Squad Assignment'!$A:$A,MATCH(C535&amp;"-"&amp;D535&amp;"-"&amp;E535&amp;"-Pos4",'Shooter-Squad Assignment'!$Y:$Y,0)),""),"")))</f>
        <v/>
      </c>
      <c r="M535" s="92" t="str">
        <f>IF(ISBLANK(L535),"",IFERROR(INDEX('Tournament List'!$D:$D,MATCH(L535,'Tournament List'!$A:$A,0)),""))</f>
        <v/>
      </c>
      <c r="N535" s="101" t="str">
        <f>IF(E535="Skeet",IFERROR(INDEX('Shooter-Squad Assignment'!$A:$A,MATCH(C535&amp;"-"&amp;D535&amp;"-"&amp;E535&amp;"-Pos5",'Shooter-Squad Assignment'!#REF!,0)),""),IF(E535="Trap",IFERROR(INDEX('Shooter-Squad Assignment'!$A:$A,MATCH(C535&amp;"-"&amp;D535&amp;"-"&amp;E535&amp;"-Pos5",'Shooter-Squad Assignment'!$V:$V,0)),""),IF(E535="Sporting Clays",IFERROR(INDEX('Shooter-Squad Assignment'!$A:$A,MATCH(C535&amp;"-"&amp;D535&amp;"-"&amp;E535&amp;"-Pos5",'Shooter-Squad Assignment'!$Y:$Y,0)),""),"")))</f>
        <v/>
      </c>
      <c r="O535" s="93" t="str">
        <f>IF(ISBLANK(N535),"",IFERROR(INDEX('Tournament List'!$D:$D,MATCH(N535,'Tournament List'!$A:$A,0)),""))</f>
        <v/>
      </c>
    </row>
    <row r="536" spans="1:15" x14ac:dyDescent="0.3">
      <c r="A536" s="91">
        <v>544</v>
      </c>
      <c r="B536" s="92" t="str">
        <f t="shared" si="8"/>
        <v>-Open 1-Sporting Clays</v>
      </c>
      <c r="C536" s="92"/>
      <c r="D536" s="92" t="s">
        <v>343</v>
      </c>
      <c r="E536" s="92" t="s">
        <v>148</v>
      </c>
      <c r="F536" s="101" t="str">
        <f>IF(E536="Skeet",IFERROR(INDEX('Shooter-Squad Assignment'!$A:$A,MATCH(C536&amp;"-"&amp;D536&amp;"-"&amp;E536&amp;"-Pos1",'Shooter-Squad Assignment'!#REF!,0)),""),IF(E536="Trap",IFERROR(INDEX('Shooter-Squad Assignment'!$A:$A,MATCH(C536&amp;"-"&amp;D536&amp;"-"&amp;E536&amp;"-Pos1",'Shooter-Squad Assignment'!$V:$V,0)),""),IF(E536="Sporting Clays",IFERROR(INDEX('Shooter-Squad Assignment'!$A:$A,MATCH(C536&amp;"-"&amp;D536&amp;"-"&amp;E536&amp;"-Pos1",'Shooter-Squad Assignment'!$Y:$Y,0)),""),"")))</f>
        <v/>
      </c>
      <c r="G536" s="92" t="str">
        <f>IF(ISBLANK(F536),"",IFERROR(INDEX('Tournament List'!$D:$D,MATCH(F536,'Tournament List'!$A:$A,0)),""))</f>
        <v/>
      </c>
      <c r="H536" s="101" t="str">
        <f>IF(E536="Skeet",IFERROR(INDEX('Shooter-Squad Assignment'!$A:$A,MATCH(C536&amp;"-"&amp;D536&amp;"-"&amp;E536&amp;"-Pos2",'Shooter-Squad Assignment'!#REF!,0)),""),IF(E536="Trap",IFERROR(INDEX('Shooter-Squad Assignment'!$A:$A,MATCH(C536&amp;"-"&amp;D536&amp;"-"&amp;E536&amp;"-Pos2",'Shooter-Squad Assignment'!$V:$V,0)),""),IF(E536="Sporting Clays",IFERROR(INDEX('Shooter-Squad Assignment'!$A:$A,MATCH(C536&amp;"-"&amp;D536&amp;"-"&amp;E536&amp;"-Pos2",'Shooter-Squad Assignment'!$Y:$Y,0)),""),"")))</f>
        <v/>
      </c>
      <c r="I536" s="92" t="str">
        <f>IF(ISBLANK(H536),"",IFERROR(INDEX('Tournament List'!$D:$D,MATCH(H536,'Tournament List'!$A:$A,0)),""))</f>
        <v/>
      </c>
      <c r="J536" s="101" t="str">
        <f>IF(E536="Skeet",IFERROR(INDEX('Shooter-Squad Assignment'!$A:$A,MATCH(C536&amp;"-"&amp;D536&amp;"-"&amp;E536&amp;"-Pos3",'Shooter-Squad Assignment'!#REF!,0)),""),IF(E536="Trap",IFERROR(INDEX('Shooter-Squad Assignment'!$A:$A,MATCH(C536&amp;"-"&amp;D536&amp;"-"&amp;E536&amp;"-Pos3",'Shooter-Squad Assignment'!$V:$V,0)),""),IF(E536="Sporting Clays",IFERROR(INDEX('Shooter-Squad Assignment'!$A:$A,MATCH(C536&amp;"-"&amp;D536&amp;"-"&amp;E536&amp;"-Pos3",'Shooter-Squad Assignment'!$Y:$Y,0)),""),"")))</f>
        <v/>
      </c>
      <c r="K536" s="92" t="str">
        <f>IF(ISBLANK(J536),"",IFERROR(INDEX('Tournament List'!$D:$D,MATCH(J536,'Tournament List'!$A:$A,0)),""))</f>
        <v/>
      </c>
      <c r="L536" s="101" t="str">
        <f>IF(E536="Skeet",IFERROR(INDEX('Shooter-Squad Assignment'!$A:$A,MATCH(C536&amp;"-"&amp;D536&amp;"-"&amp;E536&amp;"-Pos4",'Shooter-Squad Assignment'!#REF!,0)),""),IF(E536="Trap",IFERROR(INDEX('Shooter-Squad Assignment'!$A:$A,MATCH(C536&amp;"-"&amp;D536&amp;"-"&amp;E536&amp;"-Pos4",'Shooter-Squad Assignment'!$V:$V,0)),""),IF(E536="Sporting Clays",IFERROR(INDEX('Shooter-Squad Assignment'!$A:$A,MATCH(C536&amp;"-"&amp;D536&amp;"-"&amp;E536&amp;"-Pos4",'Shooter-Squad Assignment'!$Y:$Y,0)),""),"")))</f>
        <v/>
      </c>
      <c r="M536" s="92" t="str">
        <f>IF(ISBLANK(L536),"",IFERROR(INDEX('Tournament List'!$D:$D,MATCH(L536,'Tournament List'!$A:$A,0)),""))</f>
        <v/>
      </c>
      <c r="N536" s="101" t="str">
        <f>IF(E536="Skeet",IFERROR(INDEX('Shooter-Squad Assignment'!$A:$A,MATCH(C536&amp;"-"&amp;D536&amp;"-"&amp;E536&amp;"-Pos5",'Shooter-Squad Assignment'!#REF!,0)),""),IF(E536="Trap",IFERROR(INDEX('Shooter-Squad Assignment'!$A:$A,MATCH(C536&amp;"-"&amp;D536&amp;"-"&amp;E536&amp;"-Pos5",'Shooter-Squad Assignment'!$V:$V,0)),""),IF(E536="Sporting Clays",IFERROR(INDEX('Shooter-Squad Assignment'!$A:$A,MATCH(C536&amp;"-"&amp;D536&amp;"-"&amp;E536&amp;"-Pos5",'Shooter-Squad Assignment'!$Y:$Y,0)),""),"")))</f>
        <v/>
      </c>
      <c r="O536" s="93" t="str">
        <f>IF(ISBLANK(N536),"",IFERROR(INDEX('Tournament List'!$D:$D,MATCH(N536,'Tournament List'!$A:$A,0)),""))</f>
        <v/>
      </c>
    </row>
    <row r="537" spans="1:15" x14ac:dyDescent="0.3">
      <c r="A537" s="91">
        <v>545</v>
      </c>
      <c r="B537" s="92" t="str">
        <f t="shared" si="8"/>
        <v>-Open 2-Sporting Clays</v>
      </c>
      <c r="C537" s="92"/>
      <c r="D537" s="92" t="s">
        <v>349</v>
      </c>
      <c r="E537" s="92" t="s">
        <v>148</v>
      </c>
      <c r="F537" s="101" t="str">
        <f>IF(E537="Skeet",IFERROR(INDEX('Shooter-Squad Assignment'!$A:$A,MATCH(C537&amp;"-"&amp;D537&amp;"-"&amp;E537&amp;"-Pos1",'Shooter-Squad Assignment'!#REF!,0)),""),IF(E537="Trap",IFERROR(INDEX('Shooter-Squad Assignment'!$A:$A,MATCH(C537&amp;"-"&amp;D537&amp;"-"&amp;E537&amp;"-Pos1",'Shooter-Squad Assignment'!$V:$V,0)),""),IF(E537="Sporting Clays",IFERROR(INDEX('Shooter-Squad Assignment'!$A:$A,MATCH(C537&amp;"-"&amp;D537&amp;"-"&amp;E537&amp;"-Pos1",'Shooter-Squad Assignment'!$Y:$Y,0)),""),"")))</f>
        <v/>
      </c>
      <c r="G537" s="92" t="str">
        <f>IF(ISBLANK(F537),"",IFERROR(INDEX('Tournament List'!$D:$D,MATCH(F537,'Tournament List'!$A:$A,0)),""))</f>
        <v/>
      </c>
      <c r="H537" s="101" t="str">
        <f>IF(E537="Skeet",IFERROR(INDEX('Shooter-Squad Assignment'!$A:$A,MATCH(C537&amp;"-"&amp;D537&amp;"-"&amp;E537&amp;"-Pos2",'Shooter-Squad Assignment'!#REF!,0)),""),IF(E537="Trap",IFERROR(INDEX('Shooter-Squad Assignment'!$A:$A,MATCH(C537&amp;"-"&amp;D537&amp;"-"&amp;E537&amp;"-Pos2",'Shooter-Squad Assignment'!$V:$V,0)),""),IF(E537="Sporting Clays",IFERROR(INDEX('Shooter-Squad Assignment'!$A:$A,MATCH(C537&amp;"-"&amp;D537&amp;"-"&amp;E537&amp;"-Pos2",'Shooter-Squad Assignment'!$Y:$Y,0)),""),"")))</f>
        <v/>
      </c>
      <c r="I537" s="92" t="str">
        <f>IF(ISBLANK(H537),"",IFERROR(INDEX('Tournament List'!$D:$D,MATCH(H537,'Tournament List'!$A:$A,0)),""))</f>
        <v/>
      </c>
      <c r="J537" s="101" t="str">
        <f>IF(E537="Skeet",IFERROR(INDEX('Shooter-Squad Assignment'!$A:$A,MATCH(C537&amp;"-"&amp;D537&amp;"-"&amp;E537&amp;"-Pos3",'Shooter-Squad Assignment'!#REF!,0)),""),IF(E537="Trap",IFERROR(INDEX('Shooter-Squad Assignment'!$A:$A,MATCH(C537&amp;"-"&amp;D537&amp;"-"&amp;E537&amp;"-Pos3",'Shooter-Squad Assignment'!$V:$V,0)),""),IF(E537="Sporting Clays",IFERROR(INDEX('Shooter-Squad Assignment'!$A:$A,MATCH(C537&amp;"-"&amp;D537&amp;"-"&amp;E537&amp;"-Pos3",'Shooter-Squad Assignment'!$Y:$Y,0)),""),"")))</f>
        <v/>
      </c>
      <c r="K537" s="92" t="str">
        <f>IF(ISBLANK(J537),"",IFERROR(INDEX('Tournament List'!$D:$D,MATCH(J537,'Tournament List'!$A:$A,0)),""))</f>
        <v/>
      </c>
      <c r="L537" s="101" t="str">
        <f>IF(E537="Skeet",IFERROR(INDEX('Shooter-Squad Assignment'!$A:$A,MATCH(C537&amp;"-"&amp;D537&amp;"-"&amp;E537&amp;"-Pos4",'Shooter-Squad Assignment'!#REF!,0)),""),IF(E537="Trap",IFERROR(INDEX('Shooter-Squad Assignment'!$A:$A,MATCH(C537&amp;"-"&amp;D537&amp;"-"&amp;E537&amp;"-Pos4",'Shooter-Squad Assignment'!$V:$V,0)),""),IF(E537="Sporting Clays",IFERROR(INDEX('Shooter-Squad Assignment'!$A:$A,MATCH(C537&amp;"-"&amp;D537&amp;"-"&amp;E537&amp;"-Pos4",'Shooter-Squad Assignment'!$Y:$Y,0)),""),"")))</f>
        <v/>
      </c>
      <c r="M537" s="92" t="str">
        <f>IF(ISBLANK(L537),"",IFERROR(INDEX('Tournament List'!$D:$D,MATCH(L537,'Tournament List'!$A:$A,0)),""))</f>
        <v/>
      </c>
      <c r="N537" s="101" t="str">
        <f>IF(E537="Skeet",IFERROR(INDEX('Shooter-Squad Assignment'!$A:$A,MATCH(C537&amp;"-"&amp;D537&amp;"-"&amp;E537&amp;"-Pos5",'Shooter-Squad Assignment'!#REF!,0)),""),IF(E537="Trap",IFERROR(INDEX('Shooter-Squad Assignment'!$A:$A,MATCH(C537&amp;"-"&amp;D537&amp;"-"&amp;E537&amp;"-Pos5",'Shooter-Squad Assignment'!$V:$V,0)),""),IF(E537="Sporting Clays",IFERROR(INDEX('Shooter-Squad Assignment'!$A:$A,MATCH(C537&amp;"-"&amp;D537&amp;"-"&amp;E537&amp;"-Pos5",'Shooter-Squad Assignment'!$Y:$Y,0)),""),"")))</f>
        <v/>
      </c>
      <c r="O537" s="93" t="str">
        <f>IF(ISBLANK(N537),"",IFERROR(INDEX('Tournament List'!$D:$D,MATCH(N537,'Tournament List'!$A:$A,0)),""))</f>
        <v/>
      </c>
    </row>
    <row r="538" spans="1:15" x14ac:dyDescent="0.3">
      <c r="A538" s="91">
        <v>546</v>
      </c>
      <c r="B538" s="92" t="str">
        <f t="shared" si="8"/>
        <v>-Open 3-Sporting Clays</v>
      </c>
      <c r="C538" s="92"/>
      <c r="D538" s="92" t="s">
        <v>355</v>
      </c>
      <c r="E538" s="92" t="s">
        <v>148</v>
      </c>
      <c r="F538" s="101" t="str">
        <f>IF(E538="Skeet",IFERROR(INDEX('Shooter-Squad Assignment'!$A:$A,MATCH(C538&amp;"-"&amp;D538&amp;"-"&amp;E538&amp;"-Pos1",'Shooter-Squad Assignment'!#REF!,0)),""),IF(E538="Trap",IFERROR(INDEX('Shooter-Squad Assignment'!$A:$A,MATCH(C538&amp;"-"&amp;D538&amp;"-"&amp;E538&amp;"-Pos1",'Shooter-Squad Assignment'!$V:$V,0)),""),IF(E538="Sporting Clays",IFERROR(INDEX('Shooter-Squad Assignment'!$A:$A,MATCH(C538&amp;"-"&amp;D538&amp;"-"&amp;E538&amp;"-Pos1",'Shooter-Squad Assignment'!$Y:$Y,0)),""),"")))</f>
        <v/>
      </c>
      <c r="G538" s="92" t="str">
        <f>IF(ISBLANK(F538),"",IFERROR(INDEX('Tournament List'!$D:$D,MATCH(F538,'Tournament List'!$A:$A,0)),""))</f>
        <v/>
      </c>
      <c r="H538" s="101" t="str">
        <f>IF(E538="Skeet",IFERROR(INDEX('Shooter-Squad Assignment'!$A:$A,MATCH(C538&amp;"-"&amp;D538&amp;"-"&amp;E538&amp;"-Pos2",'Shooter-Squad Assignment'!#REF!,0)),""),IF(E538="Trap",IFERROR(INDEX('Shooter-Squad Assignment'!$A:$A,MATCH(C538&amp;"-"&amp;D538&amp;"-"&amp;E538&amp;"-Pos2",'Shooter-Squad Assignment'!$V:$V,0)),""),IF(E538="Sporting Clays",IFERROR(INDEX('Shooter-Squad Assignment'!$A:$A,MATCH(C538&amp;"-"&amp;D538&amp;"-"&amp;E538&amp;"-Pos2",'Shooter-Squad Assignment'!$Y:$Y,0)),""),"")))</f>
        <v/>
      </c>
      <c r="I538" s="92" t="str">
        <f>IF(ISBLANK(H538),"",IFERROR(INDEX('Tournament List'!$D:$D,MATCH(H538,'Tournament List'!$A:$A,0)),""))</f>
        <v/>
      </c>
      <c r="J538" s="101" t="str">
        <f>IF(E538="Skeet",IFERROR(INDEX('Shooter-Squad Assignment'!$A:$A,MATCH(C538&amp;"-"&amp;D538&amp;"-"&amp;E538&amp;"-Pos3",'Shooter-Squad Assignment'!#REF!,0)),""),IF(E538="Trap",IFERROR(INDEX('Shooter-Squad Assignment'!$A:$A,MATCH(C538&amp;"-"&amp;D538&amp;"-"&amp;E538&amp;"-Pos3",'Shooter-Squad Assignment'!$V:$V,0)),""),IF(E538="Sporting Clays",IFERROR(INDEX('Shooter-Squad Assignment'!$A:$A,MATCH(C538&amp;"-"&amp;D538&amp;"-"&amp;E538&amp;"-Pos3",'Shooter-Squad Assignment'!$Y:$Y,0)),""),"")))</f>
        <v/>
      </c>
      <c r="K538" s="92" t="str">
        <f>IF(ISBLANK(J538),"",IFERROR(INDEX('Tournament List'!$D:$D,MATCH(J538,'Tournament List'!$A:$A,0)),""))</f>
        <v/>
      </c>
      <c r="L538" s="101" t="str">
        <f>IF(E538="Skeet",IFERROR(INDEX('Shooter-Squad Assignment'!$A:$A,MATCH(C538&amp;"-"&amp;D538&amp;"-"&amp;E538&amp;"-Pos4",'Shooter-Squad Assignment'!#REF!,0)),""),IF(E538="Trap",IFERROR(INDEX('Shooter-Squad Assignment'!$A:$A,MATCH(C538&amp;"-"&amp;D538&amp;"-"&amp;E538&amp;"-Pos4",'Shooter-Squad Assignment'!$V:$V,0)),""),IF(E538="Sporting Clays",IFERROR(INDEX('Shooter-Squad Assignment'!$A:$A,MATCH(C538&amp;"-"&amp;D538&amp;"-"&amp;E538&amp;"-Pos4",'Shooter-Squad Assignment'!$Y:$Y,0)),""),"")))</f>
        <v/>
      </c>
      <c r="M538" s="92" t="str">
        <f>IF(ISBLANK(L538),"",IFERROR(INDEX('Tournament List'!$D:$D,MATCH(L538,'Tournament List'!$A:$A,0)),""))</f>
        <v/>
      </c>
      <c r="N538" s="101" t="str">
        <f>IF(E538="Skeet",IFERROR(INDEX('Shooter-Squad Assignment'!$A:$A,MATCH(C538&amp;"-"&amp;D538&amp;"-"&amp;E538&amp;"-Pos5",'Shooter-Squad Assignment'!#REF!,0)),""),IF(E538="Trap",IFERROR(INDEX('Shooter-Squad Assignment'!$A:$A,MATCH(C538&amp;"-"&amp;D538&amp;"-"&amp;E538&amp;"-Pos5",'Shooter-Squad Assignment'!$V:$V,0)),""),IF(E538="Sporting Clays",IFERROR(INDEX('Shooter-Squad Assignment'!$A:$A,MATCH(C538&amp;"-"&amp;D538&amp;"-"&amp;E538&amp;"-Pos5",'Shooter-Squad Assignment'!$Y:$Y,0)),""),"")))</f>
        <v/>
      </c>
      <c r="O538" s="93" t="str">
        <f>IF(ISBLANK(N538),"",IFERROR(INDEX('Tournament List'!$D:$D,MATCH(N538,'Tournament List'!$A:$A,0)),""))</f>
        <v/>
      </c>
    </row>
    <row r="539" spans="1:15" x14ac:dyDescent="0.3">
      <c r="A539" s="91">
        <v>547</v>
      </c>
      <c r="B539" s="92" t="str">
        <f t="shared" si="8"/>
        <v>-Varsity 1-Sporting Clays</v>
      </c>
      <c r="C539" s="92"/>
      <c r="D539" s="92" t="s">
        <v>342</v>
      </c>
      <c r="E539" s="92" t="s">
        <v>148</v>
      </c>
      <c r="F539" s="101" t="str">
        <f>IF(E539="Skeet",IFERROR(INDEX('Shooter-Squad Assignment'!$A:$A,MATCH(C539&amp;"-"&amp;D539&amp;"-"&amp;E539&amp;"-Pos1",'Shooter-Squad Assignment'!#REF!,0)),""),IF(E539="Trap",IFERROR(INDEX('Shooter-Squad Assignment'!$A:$A,MATCH(C539&amp;"-"&amp;D539&amp;"-"&amp;E539&amp;"-Pos1",'Shooter-Squad Assignment'!$V:$V,0)),""),IF(E539="Sporting Clays",IFERROR(INDEX('Shooter-Squad Assignment'!$A:$A,MATCH(C539&amp;"-"&amp;D539&amp;"-"&amp;E539&amp;"-Pos1",'Shooter-Squad Assignment'!$Y:$Y,0)),""),"")))</f>
        <v/>
      </c>
      <c r="G539" s="92" t="str">
        <f>IF(ISBLANK(F539),"",IFERROR(INDEX('Tournament List'!$D:$D,MATCH(F539,'Tournament List'!$A:$A,0)),""))</f>
        <v/>
      </c>
      <c r="H539" s="101" t="str">
        <f>IF(E539="Skeet",IFERROR(INDEX('Shooter-Squad Assignment'!$A:$A,MATCH(C539&amp;"-"&amp;D539&amp;"-"&amp;E539&amp;"-Pos2",'Shooter-Squad Assignment'!#REF!,0)),""),IF(E539="Trap",IFERROR(INDEX('Shooter-Squad Assignment'!$A:$A,MATCH(C539&amp;"-"&amp;D539&amp;"-"&amp;E539&amp;"-Pos2",'Shooter-Squad Assignment'!$V:$V,0)),""),IF(E539="Sporting Clays",IFERROR(INDEX('Shooter-Squad Assignment'!$A:$A,MATCH(C539&amp;"-"&amp;D539&amp;"-"&amp;E539&amp;"-Pos2",'Shooter-Squad Assignment'!$Y:$Y,0)),""),"")))</f>
        <v/>
      </c>
      <c r="I539" s="92" t="str">
        <f>IF(ISBLANK(H539),"",IFERROR(INDEX('Tournament List'!$D:$D,MATCH(H539,'Tournament List'!$A:$A,0)),""))</f>
        <v/>
      </c>
      <c r="J539" s="101" t="str">
        <f>IF(E539="Skeet",IFERROR(INDEX('Shooter-Squad Assignment'!$A:$A,MATCH(C539&amp;"-"&amp;D539&amp;"-"&amp;E539&amp;"-Pos3",'Shooter-Squad Assignment'!#REF!,0)),""),IF(E539="Trap",IFERROR(INDEX('Shooter-Squad Assignment'!$A:$A,MATCH(C539&amp;"-"&amp;D539&amp;"-"&amp;E539&amp;"-Pos3",'Shooter-Squad Assignment'!$V:$V,0)),""),IF(E539="Sporting Clays",IFERROR(INDEX('Shooter-Squad Assignment'!$A:$A,MATCH(C539&amp;"-"&amp;D539&amp;"-"&amp;E539&amp;"-Pos3",'Shooter-Squad Assignment'!$Y:$Y,0)),""),"")))</f>
        <v/>
      </c>
      <c r="K539" s="92" t="str">
        <f>IF(ISBLANK(J539),"",IFERROR(INDEX('Tournament List'!$D:$D,MATCH(J539,'Tournament List'!$A:$A,0)),""))</f>
        <v/>
      </c>
      <c r="L539" s="101" t="str">
        <f>IF(E539="Skeet",IFERROR(INDEX('Shooter-Squad Assignment'!$A:$A,MATCH(C539&amp;"-"&amp;D539&amp;"-"&amp;E539&amp;"-Pos4",'Shooter-Squad Assignment'!#REF!,0)),""),IF(E539="Trap",IFERROR(INDEX('Shooter-Squad Assignment'!$A:$A,MATCH(C539&amp;"-"&amp;D539&amp;"-"&amp;E539&amp;"-Pos4",'Shooter-Squad Assignment'!$V:$V,0)),""),IF(E539="Sporting Clays",IFERROR(INDEX('Shooter-Squad Assignment'!$A:$A,MATCH(C539&amp;"-"&amp;D539&amp;"-"&amp;E539&amp;"-Pos4",'Shooter-Squad Assignment'!$Y:$Y,0)),""),"")))</f>
        <v/>
      </c>
      <c r="M539" s="92" t="str">
        <f>IF(ISBLANK(L539),"",IFERROR(INDEX('Tournament List'!$D:$D,MATCH(L539,'Tournament List'!$A:$A,0)),""))</f>
        <v/>
      </c>
      <c r="N539" s="101" t="str">
        <f>IF(E539="Skeet",IFERROR(INDEX('Shooter-Squad Assignment'!$A:$A,MATCH(C539&amp;"-"&amp;D539&amp;"-"&amp;E539&amp;"-Pos5",'Shooter-Squad Assignment'!#REF!,0)),""),IF(E539="Trap",IFERROR(INDEX('Shooter-Squad Assignment'!$A:$A,MATCH(C539&amp;"-"&amp;D539&amp;"-"&amp;E539&amp;"-Pos5",'Shooter-Squad Assignment'!$V:$V,0)),""),IF(E539="Sporting Clays",IFERROR(INDEX('Shooter-Squad Assignment'!$A:$A,MATCH(C539&amp;"-"&amp;D539&amp;"-"&amp;E539&amp;"-Pos5",'Shooter-Squad Assignment'!$Y:$Y,0)),""),"")))</f>
        <v/>
      </c>
      <c r="O539" s="93" t="str">
        <f>IF(ISBLANK(N539),"",IFERROR(INDEX('Tournament List'!$D:$D,MATCH(N539,'Tournament List'!$A:$A,0)),""))</f>
        <v/>
      </c>
    </row>
    <row r="540" spans="1:15" x14ac:dyDescent="0.3">
      <c r="A540" s="91">
        <v>548</v>
      </c>
      <c r="B540" s="92" t="str">
        <f t="shared" si="8"/>
        <v>-Varsity 2-Sporting Clays</v>
      </c>
      <c r="C540" s="92"/>
      <c r="D540" s="92" t="s">
        <v>348</v>
      </c>
      <c r="E540" s="92" t="s">
        <v>148</v>
      </c>
      <c r="F540" s="101" t="str">
        <f>IF(E540="Skeet",IFERROR(INDEX('Shooter-Squad Assignment'!$A:$A,MATCH(C540&amp;"-"&amp;D540&amp;"-"&amp;E540&amp;"-Pos1",'Shooter-Squad Assignment'!#REF!,0)),""),IF(E540="Trap",IFERROR(INDEX('Shooter-Squad Assignment'!$A:$A,MATCH(C540&amp;"-"&amp;D540&amp;"-"&amp;E540&amp;"-Pos1",'Shooter-Squad Assignment'!$V:$V,0)),""),IF(E540="Sporting Clays",IFERROR(INDEX('Shooter-Squad Assignment'!$A:$A,MATCH(C540&amp;"-"&amp;D540&amp;"-"&amp;E540&amp;"-Pos1",'Shooter-Squad Assignment'!$Y:$Y,0)),""),"")))</f>
        <v/>
      </c>
      <c r="G540" s="92" t="str">
        <f>IF(ISBLANK(F540),"",IFERROR(INDEX('Tournament List'!$D:$D,MATCH(F540,'Tournament List'!$A:$A,0)),""))</f>
        <v/>
      </c>
      <c r="H540" s="101" t="str">
        <f>IF(E540="Skeet",IFERROR(INDEX('Shooter-Squad Assignment'!$A:$A,MATCH(C540&amp;"-"&amp;D540&amp;"-"&amp;E540&amp;"-Pos2",'Shooter-Squad Assignment'!#REF!,0)),""),IF(E540="Trap",IFERROR(INDEX('Shooter-Squad Assignment'!$A:$A,MATCH(C540&amp;"-"&amp;D540&amp;"-"&amp;E540&amp;"-Pos2",'Shooter-Squad Assignment'!$V:$V,0)),""),IF(E540="Sporting Clays",IFERROR(INDEX('Shooter-Squad Assignment'!$A:$A,MATCH(C540&amp;"-"&amp;D540&amp;"-"&amp;E540&amp;"-Pos2",'Shooter-Squad Assignment'!$Y:$Y,0)),""),"")))</f>
        <v/>
      </c>
      <c r="I540" s="92" t="str">
        <f>IF(ISBLANK(H540),"",IFERROR(INDEX('Tournament List'!$D:$D,MATCH(H540,'Tournament List'!$A:$A,0)),""))</f>
        <v/>
      </c>
      <c r="J540" s="101" t="str">
        <f>IF(E540="Skeet",IFERROR(INDEX('Shooter-Squad Assignment'!$A:$A,MATCH(C540&amp;"-"&amp;D540&amp;"-"&amp;E540&amp;"-Pos3",'Shooter-Squad Assignment'!#REF!,0)),""),IF(E540="Trap",IFERROR(INDEX('Shooter-Squad Assignment'!$A:$A,MATCH(C540&amp;"-"&amp;D540&amp;"-"&amp;E540&amp;"-Pos3",'Shooter-Squad Assignment'!$V:$V,0)),""),IF(E540="Sporting Clays",IFERROR(INDEX('Shooter-Squad Assignment'!$A:$A,MATCH(C540&amp;"-"&amp;D540&amp;"-"&amp;E540&amp;"-Pos3",'Shooter-Squad Assignment'!$Y:$Y,0)),""),"")))</f>
        <v/>
      </c>
      <c r="K540" s="92" t="str">
        <f>IF(ISBLANK(J540),"",IFERROR(INDEX('Tournament List'!$D:$D,MATCH(J540,'Tournament List'!$A:$A,0)),""))</f>
        <v/>
      </c>
      <c r="L540" s="101" t="str">
        <f>IF(E540="Skeet",IFERROR(INDEX('Shooter-Squad Assignment'!$A:$A,MATCH(C540&amp;"-"&amp;D540&amp;"-"&amp;E540&amp;"-Pos4",'Shooter-Squad Assignment'!#REF!,0)),""),IF(E540="Trap",IFERROR(INDEX('Shooter-Squad Assignment'!$A:$A,MATCH(C540&amp;"-"&amp;D540&amp;"-"&amp;E540&amp;"-Pos4",'Shooter-Squad Assignment'!$V:$V,0)),""),IF(E540="Sporting Clays",IFERROR(INDEX('Shooter-Squad Assignment'!$A:$A,MATCH(C540&amp;"-"&amp;D540&amp;"-"&amp;E540&amp;"-Pos4",'Shooter-Squad Assignment'!$Y:$Y,0)),""),"")))</f>
        <v/>
      </c>
      <c r="M540" s="92" t="str">
        <f>IF(ISBLANK(L540),"",IFERROR(INDEX('Tournament List'!$D:$D,MATCH(L540,'Tournament List'!$A:$A,0)),""))</f>
        <v/>
      </c>
      <c r="N540" s="101" t="str">
        <f>IF(E540="Skeet",IFERROR(INDEX('Shooter-Squad Assignment'!$A:$A,MATCH(C540&amp;"-"&amp;D540&amp;"-"&amp;E540&amp;"-Pos5",'Shooter-Squad Assignment'!#REF!,0)),""),IF(E540="Trap",IFERROR(INDEX('Shooter-Squad Assignment'!$A:$A,MATCH(C540&amp;"-"&amp;D540&amp;"-"&amp;E540&amp;"-Pos5",'Shooter-Squad Assignment'!$V:$V,0)),""),IF(E540="Sporting Clays",IFERROR(INDEX('Shooter-Squad Assignment'!$A:$A,MATCH(C540&amp;"-"&amp;D540&amp;"-"&amp;E540&amp;"-Pos5",'Shooter-Squad Assignment'!$Y:$Y,0)),""),"")))</f>
        <v/>
      </c>
      <c r="O540" s="93" t="str">
        <f>IF(ISBLANK(N540),"",IFERROR(INDEX('Tournament List'!$D:$D,MATCH(N540,'Tournament List'!$A:$A,0)),""))</f>
        <v/>
      </c>
    </row>
    <row r="541" spans="1:15" ht="15" thickBot="1" x14ac:dyDescent="0.35">
      <c r="A541" s="94">
        <v>549</v>
      </c>
      <c r="B541" s="95" t="str">
        <f t="shared" si="8"/>
        <v>-Varsity 3-Sporting Clays</v>
      </c>
      <c r="C541" s="95"/>
      <c r="D541" s="95" t="s">
        <v>354</v>
      </c>
      <c r="E541" s="95" t="s">
        <v>148</v>
      </c>
      <c r="F541" s="102" t="str">
        <f>IF(E541="Skeet",IFERROR(INDEX('Shooter-Squad Assignment'!$A:$A,MATCH(C541&amp;"-"&amp;D541&amp;"-"&amp;E541&amp;"-Pos1",'Shooter-Squad Assignment'!#REF!,0)),""),IF(E541="Trap",IFERROR(INDEX('Shooter-Squad Assignment'!$A:$A,MATCH(C541&amp;"-"&amp;D541&amp;"-"&amp;E541&amp;"-Pos1",'Shooter-Squad Assignment'!$V:$V,0)),""),IF(E541="Sporting Clays",IFERROR(INDEX('Shooter-Squad Assignment'!$A:$A,MATCH(C541&amp;"-"&amp;D541&amp;"-"&amp;E541&amp;"-Pos1",'Shooter-Squad Assignment'!$Y:$Y,0)),""),"")))</f>
        <v/>
      </c>
      <c r="G541" s="95" t="str">
        <f>IF(ISBLANK(F541),"",IFERROR(INDEX('Tournament List'!$D:$D,MATCH(F541,'Tournament List'!$A:$A,0)),""))</f>
        <v/>
      </c>
      <c r="H541" s="102" t="str">
        <f>IF(E541="Skeet",IFERROR(INDEX('Shooter-Squad Assignment'!$A:$A,MATCH(C541&amp;"-"&amp;D541&amp;"-"&amp;E541&amp;"-Pos2",'Shooter-Squad Assignment'!#REF!,0)),""),IF(E541="Trap",IFERROR(INDEX('Shooter-Squad Assignment'!$A:$A,MATCH(C541&amp;"-"&amp;D541&amp;"-"&amp;E541&amp;"-Pos2",'Shooter-Squad Assignment'!$V:$V,0)),""),IF(E541="Sporting Clays",IFERROR(INDEX('Shooter-Squad Assignment'!$A:$A,MATCH(C541&amp;"-"&amp;D541&amp;"-"&amp;E541&amp;"-Pos2",'Shooter-Squad Assignment'!$Y:$Y,0)),""),"")))</f>
        <v/>
      </c>
      <c r="I541" s="95" t="str">
        <f>IF(ISBLANK(H541),"",IFERROR(INDEX('Tournament List'!$D:$D,MATCH(H541,'Tournament List'!$A:$A,0)),""))</f>
        <v/>
      </c>
      <c r="J541" s="102" t="str">
        <f>IF(E541="Skeet",IFERROR(INDEX('Shooter-Squad Assignment'!$A:$A,MATCH(C541&amp;"-"&amp;D541&amp;"-"&amp;E541&amp;"-Pos3",'Shooter-Squad Assignment'!#REF!,0)),""),IF(E541="Trap",IFERROR(INDEX('Shooter-Squad Assignment'!$A:$A,MATCH(C541&amp;"-"&amp;D541&amp;"-"&amp;E541&amp;"-Pos3",'Shooter-Squad Assignment'!$V:$V,0)),""),IF(E541="Sporting Clays",IFERROR(INDEX('Shooter-Squad Assignment'!$A:$A,MATCH(C541&amp;"-"&amp;D541&amp;"-"&amp;E541&amp;"-Pos3",'Shooter-Squad Assignment'!$Y:$Y,0)),""),"")))</f>
        <v/>
      </c>
      <c r="K541" s="95" t="str">
        <f>IF(ISBLANK(J541),"",IFERROR(INDEX('Tournament List'!$D:$D,MATCH(J541,'Tournament List'!$A:$A,0)),""))</f>
        <v/>
      </c>
      <c r="L541" s="102" t="str">
        <f>IF(E541="Skeet",IFERROR(INDEX('Shooter-Squad Assignment'!$A:$A,MATCH(C541&amp;"-"&amp;D541&amp;"-"&amp;E541&amp;"-Pos4",'Shooter-Squad Assignment'!#REF!,0)),""),IF(E541="Trap",IFERROR(INDEX('Shooter-Squad Assignment'!$A:$A,MATCH(C541&amp;"-"&amp;D541&amp;"-"&amp;E541&amp;"-Pos4",'Shooter-Squad Assignment'!$V:$V,0)),""),IF(E541="Sporting Clays",IFERROR(INDEX('Shooter-Squad Assignment'!$A:$A,MATCH(C541&amp;"-"&amp;D541&amp;"-"&amp;E541&amp;"-Pos4",'Shooter-Squad Assignment'!$Y:$Y,0)),""),"")))</f>
        <v/>
      </c>
      <c r="M541" s="95" t="str">
        <f>IF(ISBLANK(L541),"",IFERROR(INDEX('Tournament List'!$D:$D,MATCH(L541,'Tournament List'!$A:$A,0)),""))</f>
        <v/>
      </c>
      <c r="N541" s="102" t="str">
        <f>IF(E541="Skeet",IFERROR(INDEX('Shooter-Squad Assignment'!$A:$A,MATCH(C541&amp;"-"&amp;D541&amp;"-"&amp;E541&amp;"-Pos5",'Shooter-Squad Assignment'!#REF!,0)),""),IF(E541="Trap",IFERROR(INDEX('Shooter-Squad Assignment'!$A:$A,MATCH(C541&amp;"-"&amp;D541&amp;"-"&amp;E541&amp;"-Pos5",'Shooter-Squad Assignment'!$V:$V,0)),""),IF(E541="Sporting Clays",IFERROR(INDEX('Shooter-Squad Assignment'!$A:$A,MATCH(C541&amp;"-"&amp;D541&amp;"-"&amp;E541&amp;"-Pos5",'Shooter-Squad Assignment'!$Y:$Y,0)),""),"")))</f>
        <v/>
      </c>
      <c r="O541" s="96" t="str">
        <f>IF(ISBLANK(N541),"",IFERROR(INDEX('Tournament List'!$D:$D,MATCH(N541,'Tournament List'!$A:$A,0)),""))</f>
        <v/>
      </c>
    </row>
    <row r="542" spans="1:15" x14ac:dyDescent="0.3">
      <c r="A542" s="76">
        <v>550</v>
      </c>
      <c r="B542" s="77" t="str">
        <f t="shared" si="8"/>
        <v>-Collegiate 1-Skeet</v>
      </c>
      <c r="C542" s="77"/>
      <c r="D542" s="77" t="s">
        <v>344</v>
      </c>
      <c r="E542" s="77" t="s">
        <v>143</v>
      </c>
      <c r="F542" s="97" t="str">
        <f>IF(E542="Skeet",IFERROR(INDEX('Shooter-Squad Assignment'!$A:$A,MATCH(C542&amp;"-"&amp;D542&amp;"-"&amp;E542&amp;"-Pos1",'Shooter-Squad Assignment'!#REF!,0)),""),IF(E542="Trap",IFERROR(INDEX('Shooter-Squad Assignment'!$A:$A,MATCH(C542&amp;"-"&amp;D542&amp;"-"&amp;E542&amp;"-Pos1",'Shooter-Squad Assignment'!$V:$V,0)),""),IF(E542="Sporting Clays",IFERROR(INDEX('Shooter-Squad Assignment'!$A:$A,MATCH(C542&amp;"-"&amp;D542&amp;"-"&amp;E542&amp;"-Pos1",'Shooter-Squad Assignment'!$Y:$Y,0)),""),"")))</f>
        <v/>
      </c>
      <c r="G542" s="77" t="str">
        <f>IF(ISBLANK(F542),"",IFERROR(INDEX('Tournament List'!$D:$D,MATCH(F542,'Tournament List'!$A:$A,0)),""))</f>
        <v/>
      </c>
      <c r="H542" s="97" t="str">
        <f>IF(E542="Skeet",IFERROR(INDEX('Shooter-Squad Assignment'!$A:$A,MATCH(C542&amp;"-"&amp;D542&amp;"-"&amp;E542&amp;"-Pos2",'Shooter-Squad Assignment'!#REF!,0)),""),IF(E542="Trap",IFERROR(INDEX('Shooter-Squad Assignment'!$A:$A,MATCH(C542&amp;"-"&amp;D542&amp;"-"&amp;E542&amp;"-Pos2",'Shooter-Squad Assignment'!$V:$V,0)),""),IF(E542="Sporting Clays",IFERROR(INDEX('Shooter-Squad Assignment'!$A:$A,MATCH(C542&amp;"-"&amp;D542&amp;"-"&amp;E542&amp;"-Pos2",'Shooter-Squad Assignment'!$Y:$Y,0)),""),"")))</f>
        <v/>
      </c>
      <c r="I542" s="77" t="str">
        <f>IF(ISBLANK(H542),"",IFERROR(INDEX('Tournament List'!$D:$D,MATCH(H542,'Tournament List'!$A:$A,0)),""))</f>
        <v/>
      </c>
      <c r="J542" s="97" t="str">
        <f>IF(E542="Skeet",IFERROR(INDEX('Shooter-Squad Assignment'!$A:$A,MATCH(C542&amp;"-"&amp;D542&amp;"-"&amp;E542&amp;"-Pos3",'Shooter-Squad Assignment'!#REF!,0)),""),IF(E542="Trap",IFERROR(INDEX('Shooter-Squad Assignment'!$A:$A,MATCH(C542&amp;"-"&amp;D542&amp;"-"&amp;E542&amp;"-Pos3",'Shooter-Squad Assignment'!$V:$V,0)),""),IF(E542="Sporting Clays",IFERROR(INDEX('Shooter-Squad Assignment'!$A:$A,MATCH(C542&amp;"-"&amp;D542&amp;"-"&amp;E542&amp;"-Pos3",'Shooter-Squad Assignment'!$Y:$Y,0)),""),"")))</f>
        <v/>
      </c>
      <c r="K542" s="77" t="str">
        <f>IF(ISBLANK(J542),"",IFERROR(INDEX('Tournament List'!$D:$D,MATCH(J542,'Tournament List'!$A:$A,0)),""))</f>
        <v/>
      </c>
      <c r="L542" s="97" t="str">
        <f>IF(E542="Skeet",IFERROR(INDEX('Shooter-Squad Assignment'!$A:$A,MATCH(C542&amp;"-"&amp;D542&amp;"-"&amp;E542&amp;"-Pos4",'Shooter-Squad Assignment'!#REF!,0)),""),IF(E542="Trap",IFERROR(INDEX('Shooter-Squad Assignment'!$A:$A,MATCH(C542&amp;"-"&amp;D542&amp;"-"&amp;E542&amp;"-Pos4",'Shooter-Squad Assignment'!$V:$V,0)),""),IF(E542="Sporting Clays",IFERROR(INDEX('Shooter-Squad Assignment'!$A:$A,MATCH(C542&amp;"-"&amp;D542&amp;"-"&amp;E542&amp;"-Pos4",'Shooter-Squad Assignment'!$Y:$Y,0)),""),"")))</f>
        <v/>
      </c>
      <c r="M542" s="77" t="str">
        <f>IF(ISBLANK(L542),"",IFERROR(INDEX('Tournament List'!$D:$D,MATCH(L542,'Tournament List'!$A:$A,0)),""))</f>
        <v/>
      </c>
      <c r="N542" s="97" t="str">
        <f>IF(E542="Skeet",IFERROR(INDEX('Shooter-Squad Assignment'!$A:$A,MATCH(C542&amp;"-"&amp;D542&amp;"-"&amp;E542&amp;"-Pos5",'Shooter-Squad Assignment'!#REF!,0)),""),IF(E542="Trap",IFERROR(INDEX('Shooter-Squad Assignment'!$A:$A,MATCH(C542&amp;"-"&amp;D542&amp;"-"&amp;E542&amp;"-Pos5",'Shooter-Squad Assignment'!$V:$V,0)),""),IF(E542="Sporting Clays",IFERROR(INDEX('Shooter-Squad Assignment'!$A:$A,MATCH(C542&amp;"-"&amp;D542&amp;"-"&amp;E542&amp;"-Pos5",'Shooter-Squad Assignment'!$Y:$Y,0)),""),"")))</f>
        <v/>
      </c>
      <c r="O542" s="78" t="str">
        <f>IF(ISBLANK(N542),"",IFERROR(INDEX('Tournament List'!$D:$D,MATCH(N542,'Tournament List'!$A:$A,0)),""))</f>
        <v/>
      </c>
    </row>
    <row r="543" spans="1:15" x14ac:dyDescent="0.3">
      <c r="A543" s="79">
        <v>551</v>
      </c>
      <c r="B543" s="73" t="str">
        <f t="shared" si="8"/>
        <v>-Collegiate 2-Skeet</v>
      </c>
      <c r="C543" s="73"/>
      <c r="D543" s="73" t="s">
        <v>350</v>
      </c>
      <c r="E543" s="73" t="s">
        <v>143</v>
      </c>
      <c r="F543" s="98" t="str">
        <f>IF(E543="Skeet",IFERROR(INDEX('Shooter-Squad Assignment'!$A:$A,MATCH(C543&amp;"-"&amp;D543&amp;"-"&amp;E543&amp;"-Pos1",'Shooter-Squad Assignment'!#REF!,0)),""),IF(E543="Trap",IFERROR(INDEX('Shooter-Squad Assignment'!$A:$A,MATCH(C543&amp;"-"&amp;D543&amp;"-"&amp;E543&amp;"-Pos1",'Shooter-Squad Assignment'!$V:$V,0)),""),IF(E543="Sporting Clays",IFERROR(INDEX('Shooter-Squad Assignment'!$A:$A,MATCH(C543&amp;"-"&amp;D543&amp;"-"&amp;E543&amp;"-Pos1",'Shooter-Squad Assignment'!$Y:$Y,0)),""),"")))</f>
        <v/>
      </c>
      <c r="G543" s="73" t="str">
        <f>IF(ISBLANK(F543),"",IFERROR(INDEX('Tournament List'!$D:$D,MATCH(F543,'Tournament List'!$A:$A,0)),""))</f>
        <v/>
      </c>
      <c r="H543" s="98" t="str">
        <f>IF(E543="Skeet",IFERROR(INDEX('Shooter-Squad Assignment'!$A:$A,MATCH(C543&amp;"-"&amp;D543&amp;"-"&amp;E543&amp;"-Pos2",'Shooter-Squad Assignment'!#REF!,0)),""),IF(E543="Trap",IFERROR(INDEX('Shooter-Squad Assignment'!$A:$A,MATCH(C543&amp;"-"&amp;D543&amp;"-"&amp;E543&amp;"-Pos2",'Shooter-Squad Assignment'!$V:$V,0)),""),IF(E543="Sporting Clays",IFERROR(INDEX('Shooter-Squad Assignment'!$A:$A,MATCH(C543&amp;"-"&amp;D543&amp;"-"&amp;E543&amp;"-Pos2",'Shooter-Squad Assignment'!$Y:$Y,0)),""),"")))</f>
        <v/>
      </c>
      <c r="I543" s="73" t="str">
        <f>IF(ISBLANK(H543),"",IFERROR(INDEX('Tournament List'!$D:$D,MATCH(H543,'Tournament List'!$A:$A,0)),""))</f>
        <v/>
      </c>
      <c r="J543" s="98" t="str">
        <f>IF(E543="Skeet",IFERROR(INDEX('Shooter-Squad Assignment'!$A:$A,MATCH(C543&amp;"-"&amp;D543&amp;"-"&amp;E543&amp;"-Pos3",'Shooter-Squad Assignment'!#REF!,0)),""),IF(E543="Trap",IFERROR(INDEX('Shooter-Squad Assignment'!$A:$A,MATCH(C543&amp;"-"&amp;D543&amp;"-"&amp;E543&amp;"-Pos3",'Shooter-Squad Assignment'!$V:$V,0)),""),IF(E543="Sporting Clays",IFERROR(INDEX('Shooter-Squad Assignment'!$A:$A,MATCH(C543&amp;"-"&amp;D543&amp;"-"&amp;E543&amp;"-Pos3",'Shooter-Squad Assignment'!$Y:$Y,0)),""),"")))</f>
        <v/>
      </c>
      <c r="K543" s="73" t="str">
        <f>IF(ISBLANK(J543),"",IFERROR(INDEX('Tournament List'!$D:$D,MATCH(J543,'Tournament List'!$A:$A,0)),""))</f>
        <v/>
      </c>
      <c r="L543" s="98" t="str">
        <f>IF(E543="Skeet",IFERROR(INDEX('Shooter-Squad Assignment'!$A:$A,MATCH(C543&amp;"-"&amp;D543&amp;"-"&amp;E543&amp;"-Pos4",'Shooter-Squad Assignment'!#REF!,0)),""),IF(E543="Trap",IFERROR(INDEX('Shooter-Squad Assignment'!$A:$A,MATCH(C543&amp;"-"&amp;D543&amp;"-"&amp;E543&amp;"-Pos4",'Shooter-Squad Assignment'!$V:$V,0)),""),IF(E543="Sporting Clays",IFERROR(INDEX('Shooter-Squad Assignment'!$A:$A,MATCH(C543&amp;"-"&amp;D543&amp;"-"&amp;E543&amp;"-Pos4",'Shooter-Squad Assignment'!$Y:$Y,0)),""),"")))</f>
        <v/>
      </c>
      <c r="M543" s="73" t="str">
        <f>IF(ISBLANK(L543),"",IFERROR(INDEX('Tournament List'!$D:$D,MATCH(L543,'Tournament List'!$A:$A,0)),""))</f>
        <v/>
      </c>
      <c r="N543" s="98" t="str">
        <f>IF(E543="Skeet",IFERROR(INDEX('Shooter-Squad Assignment'!$A:$A,MATCH(C543&amp;"-"&amp;D543&amp;"-"&amp;E543&amp;"-Pos5",'Shooter-Squad Assignment'!#REF!,0)),""),IF(E543="Trap",IFERROR(INDEX('Shooter-Squad Assignment'!$A:$A,MATCH(C543&amp;"-"&amp;D543&amp;"-"&amp;E543&amp;"-Pos5",'Shooter-Squad Assignment'!$V:$V,0)),""),IF(E543="Sporting Clays",IFERROR(INDEX('Shooter-Squad Assignment'!$A:$A,MATCH(C543&amp;"-"&amp;D543&amp;"-"&amp;E543&amp;"-Pos5",'Shooter-Squad Assignment'!$Y:$Y,0)),""),"")))</f>
        <v/>
      </c>
      <c r="O543" s="80" t="str">
        <f>IF(ISBLANK(N543),"",IFERROR(INDEX('Tournament List'!$D:$D,MATCH(N543,'Tournament List'!$A:$A,0)),""))</f>
        <v/>
      </c>
    </row>
    <row r="544" spans="1:15" x14ac:dyDescent="0.3">
      <c r="A544" s="79">
        <v>552</v>
      </c>
      <c r="B544" s="73" t="str">
        <f t="shared" si="8"/>
        <v>-Collegiate 3-Skeet</v>
      </c>
      <c r="C544" s="73"/>
      <c r="D544" s="73" t="s">
        <v>356</v>
      </c>
      <c r="E544" s="73" t="s">
        <v>143</v>
      </c>
      <c r="F544" s="98" t="str">
        <f>IF(E544="Skeet",IFERROR(INDEX('Shooter-Squad Assignment'!$A:$A,MATCH(C544&amp;"-"&amp;D544&amp;"-"&amp;E544&amp;"-Pos1",'Shooter-Squad Assignment'!#REF!,0)),""),IF(E544="Trap",IFERROR(INDEX('Shooter-Squad Assignment'!$A:$A,MATCH(C544&amp;"-"&amp;D544&amp;"-"&amp;E544&amp;"-Pos1",'Shooter-Squad Assignment'!$V:$V,0)),""),IF(E544="Sporting Clays",IFERROR(INDEX('Shooter-Squad Assignment'!$A:$A,MATCH(C544&amp;"-"&amp;D544&amp;"-"&amp;E544&amp;"-Pos1",'Shooter-Squad Assignment'!$Y:$Y,0)),""),"")))</f>
        <v/>
      </c>
      <c r="G544" s="73" t="str">
        <f>IF(ISBLANK(F544),"",IFERROR(INDEX('Tournament List'!$D:$D,MATCH(F544,'Tournament List'!$A:$A,0)),""))</f>
        <v/>
      </c>
      <c r="H544" s="98" t="str">
        <f>IF(E544="Skeet",IFERROR(INDEX('Shooter-Squad Assignment'!$A:$A,MATCH(C544&amp;"-"&amp;D544&amp;"-"&amp;E544&amp;"-Pos2",'Shooter-Squad Assignment'!#REF!,0)),""),IF(E544="Trap",IFERROR(INDEX('Shooter-Squad Assignment'!$A:$A,MATCH(C544&amp;"-"&amp;D544&amp;"-"&amp;E544&amp;"-Pos2",'Shooter-Squad Assignment'!$V:$V,0)),""),IF(E544="Sporting Clays",IFERROR(INDEX('Shooter-Squad Assignment'!$A:$A,MATCH(C544&amp;"-"&amp;D544&amp;"-"&amp;E544&amp;"-Pos2",'Shooter-Squad Assignment'!$Y:$Y,0)),""),"")))</f>
        <v/>
      </c>
      <c r="I544" s="73" t="str">
        <f>IF(ISBLANK(H544),"",IFERROR(INDEX('Tournament List'!$D:$D,MATCH(H544,'Tournament List'!$A:$A,0)),""))</f>
        <v/>
      </c>
      <c r="J544" s="98" t="str">
        <f>IF(E544="Skeet",IFERROR(INDEX('Shooter-Squad Assignment'!$A:$A,MATCH(C544&amp;"-"&amp;D544&amp;"-"&amp;E544&amp;"-Pos3",'Shooter-Squad Assignment'!#REF!,0)),""),IF(E544="Trap",IFERROR(INDEX('Shooter-Squad Assignment'!$A:$A,MATCH(C544&amp;"-"&amp;D544&amp;"-"&amp;E544&amp;"-Pos3",'Shooter-Squad Assignment'!$V:$V,0)),""),IF(E544="Sporting Clays",IFERROR(INDEX('Shooter-Squad Assignment'!$A:$A,MATCH(C544&amp;"-"&amp;D544&amp;"-"&amp;E544&amp;"-Pos3",'Shooter-Squad Assignment'!$Y:$Y,0)),""),"")))</f>
        <v/>
      </c>
      <c r="K544" s="73" t="str">
        <f>IF(ISBLANK(J544),"",IFERROR(INDEX('Tournament List'!$D:$D,MATCH(J544,'Tournament List'!$A:$A,0)),""))</f>
        <v/>
      </c>
      <c r="L544" s="98" t="str">
        <f>IF(E544="Skeet",IFERROR(INDEX('Shooter-Squad Assignment'!$A:$A,MATCH(C544&amp;"-"&amp;D544&amp;"-"&amp;E544&amp;"-Pos4",'Shooter-Squad Assignment'!#REF!,0)),""),IF(E544="Trap",IFERROR(INDEX('Shooter-Squad Assignment'!$A:$A,MATCH(C544&amp;"-"&amp;D544&amp;"-"&amp;E544&amp;"-Pos4",'Shooter-Squad Assignment'!$V:$V,0)),""),IF(E544="Sporting Clays",IFERROR(INDEX('Shooter-Squad Assignment'!$A:$A,MATCH(C544&amp;"-"&amp;D544&amp;"-"&amp;E544&amp;"-Pos4",'Shooter-Squad Assignment'!$Y:$Y,0)),""),"")))</f>
        <v/>
      </c>
      <c r="M544" s="73" t="str">
        <f>IF(ISBLANK(L544),"",IFERROR(INDEX('Tournament List'!$D:$D,MATCH(L544,'Tournament List'!$A:$A,0)),""))</f>
        <v/>
      </c>
      <c r="N544" s="98" t="str">
        <f>IF(E544="Skeet",IFERROR(INDEX('Shooter-Squad Assignment'!$A:$A,MATCH(C544&amp;"-"&amp;D544&amp;"-"&amp;E544&amp;"-Pos5",'Shooter-Squad Assignment'!#REF!,0)),""),IF(E544="Trap",IFERROR(INDEX('Shooter-Squad Assignment'!$A:$A,MATCH(C544&amp;"-"&amp;D544&amp;"-"&amp;E544&amp;"-Pos5",'Shooter-Squad Assignment'!$V:$V,0)),""),IF(E544="Sporting Clays",IFERROR(INDEX('Shooter-Squad Assignment'!$A:$A,MATCH(C544&amp;"-"&amp;D544&amp;"-"&amp;E544&amp;"-Pos5",'Shooter-Squad Assignment'!$Y:$Y,0)),""),"")))</f>
        <v/>
      </c>
      <c r="O544" s="80" t="str">
        <f>IF(ISBLANK(N544),"",IFERROR(INDEX('Tournament List'!$D:$D,MATCH(N544,'Tournament List'!$A:$A,0)),""))</f>
        <v/>
      </c>
    </row>
    <row r="545" spans="1:15" x14ac:dyDescent="0.3">
      <c r="A545" s="79">
        <v>553</v>
      </c>
      <c r="B545" s="73" t="str">
        <f t="shared" si="8"/>
        <v>-Intermediate 1-Skeet</v>
      </c>
      <c r="C545" s="73"/>
      <c r="D545" s="73" t="s">
        <v>340</v>
      </c>
      <c r="E545" s="73" t="s">
        <v>143</v>
      </c>
      <c r="F545" s="98" t="str">
        <f>IF(E545="Skeet",IFERROR(INDEX('Shooter-Squad Assignment'!$A:$A,MATCH(C545&amp;"-"&amp;D545&amp;"-"&amp;E545&amp;"-Pos1",'Shooter-Squad Assignment'!#REF!,0)),""),IF(E545="Trap",IFERROR(INDEX('Shooter-Squad Assignment'!$A:$A,MATCH(C545&amp;"-"&amp;D545&amp;"-"&amp;E545&amp;"-Pos1",'Shooter-Squad Assignment'!$V:$V,0)),""),IF(E545="Sporting Clays",IFERROR(INDEX('Shooter-Squad Assignment'!$A:$A,MATCH(C545&amp;"-"&amp;D545&amp;"-"&amp;E545&amp;"-Pos1",'Shooter-Squad Assignment'!$Y:$Y,0)),""),"")))</f>
        <v/>
      </c>
      <c r="G545" s="73" t="str">
        <f>IF(ISBLANK(F545),"",IFERROR(INDEX('Tournament List'!$D:$D,MATCH(F545,'Tournament List'!$A:$A,0)),""))</f>
        <v/>
      </c>
      <c r="H545" s="98" t="str">
        <f>IF(E545="Skeet",IFERROR(INDEX('Shooter-Squad Assignment'!$A:$A,MATCH(C545&amp;"-"&amp;D545&amp;"-"&amp;E545&amp;"-Pos2",'Shooter-Squad Assignment'!#REF!,0)),""),IF(E545="Trap",IFERROR(INDEX('Shooter-Squad Assignment'!$A:$A,MATCH(C545&amp;"-"&amp;D545&amp;"-"&amp;E545&amp;"-Pos2",'Shooter-Squad Assignment'!$V:$V,0)),""),IF(E545="Sporting Clays",IFERROR(INDEX('Shooter-Squad Assignment'!$A:$A,MATCH(C545&amp;"-"&amp;D545&amp;"-"&amp;E545&amp;"-Pos2",'Shooter-Squad Assignment'!$Y:$Y,0)),""),"")))</f>
        <v/>
      </c>
      <c r="I545" s="73" t="str">
        <f>IF(ISBLANK(H545),"",IFERROR(INDEX('Tournament List'!$D:$D,MATCH(H545,'Tournament List'!$A:$A,0)),""))</f>
        <v/>
      </c>
      <c r="J545" s="98" t="str">
        <f>IF(E545="Skeet",IFERROR(INDEX('Shooter-Squad Assignment'!$A:$A,MATCH(C545&amp;"-"&amp;D545&amp;"-"&amp;E545&amp;"-Pos3",'Shooter-Squad Assignment'!#REF!,0)),""),IF(E545="Trap",IFERROR(INDEX('Shooter-Squad Assignment'!$A:$A,MATCH(C545&amp;"-"&amp;D545&amp;"-"&amp;E545&amp;"-Pos3",'Shooter-Squad Assignment'!$V:$V,0)),""),IF(E545="Sporting Clays",IFERROR(INDEX('Shooter-Squad Assignment'!$A:$A,MATCH(C545&amp;"-"&amp;D545&amp;"-"&amp;E545&amp;"-Pos3",'Shooter-Squad Assignment'!$Y:$Y,0)),""),"")))</f>
        <v/>
      </c>
      <c r="K545" s="73" t="str">
        <f>IF(ISBLANK(J545),"",IFERROR(INDEX('Tournament List'!$D:$D,MATCH(J545,'Tournament List'!$A:$A,0)),""))</f>
        <v/>
      </c>
      <c r="L545" s="98" t="str">
        <f>IF(E545="Skeet",IFERROR(INDEX('Shooter-Squad Assignment'!$A:$A,MATCH(C545&amp;"-"&amp;D545&amp;"-"&amp;E545&amp;"-Pos4",'Shooter-Squad Assignment'!#REF!,0)),""),IF(E545="Trap",IFERROR(INDEX('Shooter-Squad Assignment'!$A:$A,MATCH(C545&amp;"-"&amp;D545&amp;"-"&amp;E545&amp;"-Pos4",'Shooter-Squad Assignment'!$V:$V,0)),""),IF(E545="Sporting Clays",IFERROR(INDEX('Shooter-Squad Assignment'!$A:$A,MATCH(C545&amp;"-"&amp;D545&amp;"-"&amp;E545&amp;"-Pos4",'Shooter-Squad Assignment'!$Y:$Y,0)),""),"")))</f>
        <v/>
      </c>
      <c r="M545" s="73" t="str">
        <f>IF(ISBLANK(L545),"",IFERROR(INDEX('Tournament List'!$D:$D,MATCH(L545,'Tournament List'!$A:$A,0)),""))</f>
        <v/>
      </c>
      <c r="N545" s="98" t="str">
        <f>IF(E545="Skeet",IFERROR(INDEX('Shooter-Squad Assignment'!$A:$A,MATCH(C545&amp;"-"&amp;D545&amp;"-"&amp;E545&amp;"-Pos5",'Shooter-Squad Assignment'!#REF!,0)),""),IF(E545="Trap",IFERROR(INDEX('Shooter-Squad Assignment'!$A:$A,MATCH(C545&amp;"-"&amp;D545&amp;"-"&amp;E545&amp;"-Pos5",'Shooter-Squad Assignment'!$V:$V,0)),""),IF(E545="Sporting Clays",IFERROR(INDEX('Shooter-Squad Assignment'!$A:$A,MATCH(C545&amp;"-"&amp;D545&amp;"-"&amp;E545&amp;"-Pos5",'Shooter-Squad Assignment'!$Y:$Y,0)),""),"")))</f>
        <v/>
      </c>
      <c r="O545" s="80" t="str">
        <f>IF(ISBLANK(N545),"",IFERROR(INDEX('Tournament List'!$D:$D,MATCH(N545,'Tournament List'!$A:$A,0)),""))</f>
        <v/>
      </c>
    </row>
    <row r="546" spans="1:15" x14ac:dyDescent="0.3">
      <c r="A546" s="79">
        <v>554</v>
      </c>
      <c r="B546" s="73" t="str">
        <f t="shared" si="8"/>
        <v>-Intermediate 2-Skeet</v>
      </c>
      <c r="C546" s="73"/>
      <c r="D546" s="73" t="s">
        <v>346</v>
      </c>
      <c r="E546" s="73" t="s">
        <v>143</v>
      </c>
      <c r="F546" s="98" t="str">
        <f>IF(E546="Skeet",IFERROR(INDEX('Shooter-Squad Assignment'!$A:$A,MATCH(C546&amp;"-"&amp;D546&amp;"-"&amp;E546&amp;"-Pos1",'Shooter-Squad Assignment'!#REF!,0)),""),IF(E546="Trap",IFERROR(INDEX('Shooter-Squad Assignment'!$A:$A,MATCH(C546&amp;"-"&amp;D546&amp;"-"&amp;E546&amp;"-Pos1",'Shooter-Squad Assignment'!$V:$V,0)),""),IF(E546="Sporting Clays",IFERROR(INDEX('Shooter-Squad Assignment'!$A:$A,MATCH(C546&amp;"-"&amp;D546&amp;"-"&amp;E546&amp;"-Pos1",'Shooter-Squad Assignment'!$Y:$Y,0)),""),"")))</f>
        <v/>
      </c>
      <c r="G546" s="73" t="str">
        <f>IF(ISBLANK(F546),"",IFERROR(INDEX('Tournament List'!$D:$D,MATCH(F546,'Tournament List'!$A:$A,0)),""))</f>
        <v/>
      </c>
      <c r="H546" s="98" t="str">
        <f>IF(E546="Skeet",IFERROR(INDEX('Shooter-Squad Assignment'!$A:$A,MATCH(C546&amp;"-"&amp;D546&amp;"-"&amp;E546&amp;"-Pos2",'Shooter-Squad Assignment'!#REF!,0)),""),IF(E546="Trap",IFERROR(INDEX('Shooter-Squad Assignment'!$A:$A,MATCH(C546&amp;"-"&amp;D546&amp;"-"&amp;E546&amp;"-Pos2",'Shooter-Squad Assignment'!$V:$V,0)),""),IF(E546="Sporting Clays",IFERROR(INDEX('Shooter-Squad Assignment'!$A:$A,MATCH(C546&amp;"-"&amp;D546&amp;"-"&amp;E546&amp;"-Pos2",'Shooter-Squad Assignment'!$Y:$Y,0)),""),"")))</f>
        <v/>
      </c>
      <c r="I546" s="73" t="str">
        <f>IF(ISBLANK(H546),"",IFERROR(INDEX('Tournament List'!$D:$D,MATCH(H546,'Tournament List'!$A:$A,0)),""))</f>
        <v/>
      </c>
      <c r="J546" s="98" t="str">
        <f>IF(E546="Skeet",IFERROR(INDEX('Shooter-Squad Assignment'!$A:$A,MATCH(C546&amp;"-"&amp;D546&amp;"-"&amp;E546&amp;"-Pos3",'Shooter-Squad Assignment'!#REF!,0)),""),IF(E546="Trap",IFERROR(INDEX('Shooter-Squad Assignment'!$A:$A,MATCH(C546&amp;"-"&amp;D546&amp;"-"&amp;E546&amp;"-Pos3",'Shooter-Squad Assignment'!$V:$V,0)),""),IF(E546="Sporting Clays",IFERROR(INDEX('Shooter-Squad Assignment'!$A:$A,MATCH(C546&amp;"-"&amp;D546&amp;"-"&amp;E546&amp;"-Pos3",'Shooter-Squad Assignment'!$Y:$Y,0)),""),"")))</f>
        <v/>
      </c>
      <c r="K546" s="73" t="str">
        <f>IF(ISBLANK(J546),"",IFERROR(INDEX('Tournament List'!$D:$D,MATCH(J546,'Tournament List'!$A:$A,0)),""))</f>
        <v/>
      </c>
      <c r="L546" s="98" t="str">
        <f>IF(E546="Skeet",IFERROR(INDEX('Shooter-Squad Assignment'!$A:$A,MATCH(C546&amp;"-"&amp;D546&amp;"-"&amp;E546&amp;"-Pos4",'Shooter-Squad Assignment'!#REF!,0)),""),IF(E546="Trap",IFERROR(INDEX('Shooter-Squad Assignment'!$A:$A,MATCH(C546&amp;"-"&amp;D546&amp;"-"&amp;E546&amp;"-Pos4",'Shooter-Squad Assignment'!$V:$V,0)),""),IF(E546="Sporting Clays",IFERROR(INDEX('Shooter-Squad Assignment'!$A:$A,MATCH(C546&amp;"-"&amp;D546&amp;"-"&amp;E546&amp;"-Pos4",'Shooter-Squad Assignment'!$Y:$Y,0)),""),"")))</f>
        <v/>
      </c>
      <c r="M546" s="73" t="str">
        <f>IF(ISBLANK(L546),"",IFERROR(INDEX('Tournament List'!$D:$D,MATCH(L546,'Tournament List'!$A:$A,0)),""))</f>
        <v/>
      </c>
      <c r="N546" s="98" t="str">
        <f>IF(E546="Skeet",IFERROR(INDEX('Shooter-Squad Assignment'!$A:$A,MATCH(C546&amp;"-"&amp;D546&amp;"-"&amp;E546&amp;"-Pos5",'Shooter-Squad Assignment'!#REF!,0)),""),IF(E546="Trap",IFERROR(INDEX('Shooter-Squad Assignment'!$A:$A,MATCH(C546&amp;"-"&amp;D546&amp;"-"&amp;E546&amp;"-Pos5",'Shooter-Squad Assignment'!$V:$V,0)),""),IF(E546="Sporting Clays",IFERROR(INDEX('Shooter-Squad Assignment'!$A:$A,MATCH(C546&amp;"-"&amp;D546&amp;"-"&amp;E546&amp;"-Pos5",'Shooter-Squad Assignment'!$Y:$Y,0)),""),"")))</f>
        <v/>
      </c>
      <c r="O546" s="80" t="str">
        <f>IF(ISBLANK(N546),"",IFERROR(INDEX('Tournament List'!$D:$D,MATCH(N546,'Tournament List'!$A:$A,0)),""))</f>
        <v/>
      </c>
    </row>
    <row r="547" spans="1:15" x14ac:dyDescent="0.3">
      <c r="A547" s="79">
        <v>555</v>
      </c>
      <c r="B547" s="73" t="str">
        <f t="shared" si="8"/>
        <v>-Intermediate 3-Skeet</v>
      </c>
      <c r="C547" s="73"/>
      <c r="D547" s="73" t="s">
        <v>352</v>
      </c>
      <c r="E547" s="73" t="s">
        <v>143</v>
      </c>
      <c r="F547" s="98" t="str">
        <f>IF(E547="Skeet",IFERROR(INDEX('Shooter-Squad Assignment'!$A:$A,MATCH(C547&amp;"-"&amp;D547&amp;"-"&amp;E547&amp;"-Pos1",'Shooter-Squad Assignment'!#REF!,0)),""),IF(E547="Trap",IFERROR(INDEX('Shooter-Squad Assignment'!$A:$A,MATCH(C547&amp;"-"&amp;D547&amp;"-"&amp;E547&amp;"-Pos1",'Shooter-Squad Assignment'!$V:$V,0)),""),IF(E547="Sporting Clays",IFERROR(INDEX('Shooter-Squad Assignment'!$A:$A,MATCH(C547&amp;"-"&amp;D547&amp;"-"&amp;E547&amp;"-Pos1",'Shooter-Squad Assignment'!$Y:$Y,0)),""),"")))</f>
        <v/>
      </c>
      <c r="G547" s="73" t="str">
        <f>IF(ISBLANK(F547),"",IFERROR(INDEX('Tournament List'!$D:$D,MATCH(F547,'Tournament List'!$A:$A,0)),""))</f>
        <v/>
      </c>
      <c r="H547" s="98" t="str">
        <f>IF(E547="Skeet",IFERROR(INDEX('Shooter-Squad Assignment'!$A:$A,MATCH(C547&amp;"-"&amp;D547&amp;"-"&amp;E547&amp;"-Pos2",'Shooter-Squad Assignment'!#REF!,0)),""),IF(E547="Trap",IFERROR(INDEX('Shooter-Squad Assignment'!$A:$A,MATCH(C547&amp;"-"&amp;D547&amp;"-"&amp;E547&amp;"-Pos2",'Shooter-Squad Assignment'!$V:$V,0)),""),IF(E547="Sporting Clays",IFERROR(INDEX('Shooter-Squad Assignment'!$A:$A,MATCH(C547&amp;"-"&amp;D547&amp;"-"&amp;E547&amp;"-Pos2",'Shooter-Squad Assignment'!$Y:$Y,0)),""),"")))</f>
        <v/>
      </c>
      <c r="I547" s="73" t="str">
        <f>IF(ISBLANK(H547),"",IFERROR(INDEX('Tournament List'!$D:$D,MATCH(H547,'Tournament List'!$A:$A,0)),""))</f>
        <v/>
      </c>
      <c r="J547" s="98" t="str">
        <f>IF(E547="Skeet",IFERROR(INDEX('Shooter-Squad Assignment'!$A:$A,MATCH(C547&amp;"-"&amp;D547&amp;"-"&amp;E547&amp;"-Pos3",'Shooter-Squad Assignment'!#REF!,0)),""),IF(E547="Trap",IFERROR(INDEX('Shooter-Squad Assignment'!$A:$A,MATCH(C547&amp;"-"&amp;D547&amp;"-"&amp;E547&amp;"-Pos3",'Shooter-Squad Assignment'!$V:$V,0)),""),IF(E547="Sporting Clays",IFERROR(INDEX('Shooter-Squad Assignment'!$A:$A,MATCH(C547&amp;"-"&amp;D547&amp;"-"&amp;E547&amp;"-Pos3",'Shooter-Squad Assignment'!$Y:$Y,0)),""),"")))</f>
        <v/>
      </c>
      <c r="K547" s="73" t="str">
        <f>IF(ISBLANK(J547),"",IFERROR(INDEX('Tournament List'!$D:$D,MATCH(J547,'Tournament List'!$A:$A,0)),""))</f>
        <v/>
      </c>
      <c r="L547" s="98" t="str">
        <f>IF(E547="Skeet",IFERROR(INDEX('Shooter-Squad Assignment'!$A:$A,MATCH(C547&amp;"-"&amp;D547&amp;"-"&amp;E547&amp;"-Pos4",'Shooter-Squad Assignment'!#REF!,0)),""),IF(E547="Trap",IFERROR(INDEX('Shooter-Squad Assignment'!$A:$A,MATCH(C547&amp;"-"&amp;D547&amp;"-"&amp;E547&amp;"-Pos4",'Shooter-Squad Assignment'!$V:$V,0)),""),IF(E547="Sporting Clays",IFERROR(INDEX('Shooter-Squad Assignment'!$A:$A,MATCH(C547&amp;"-"&amp;D547&amp;"-"&amp;E547&amp;"-Pos4",'Shooter-Squad Assignment'!$Y:$Y,0)),""),"")))</f>
        <v/>
      </c>
      <c r="M547" s="73" t="str">
        <f>IF(ISBLANK(L547),"",IFERROR(INDEX('Tournament List'!$D:$D,MATCH(L547,'Tournament List'!$A:$A,0)),""))</f>
        <v/>
      </c>
      <c r="N547" s="98" t="str">
        <f>IF(E547="Skeet",IFERROR(INDEX('Shooter-Squad Assignment'!$A:$A,MATCH(C547&amp;"-"&amp;D547&amp;"-"&amp;E547&amp;"-Pos5",'Shooter-Squad Assignment'!#REF!,0)),""),IF(E547="Trap",IFERROR(INDEX('Shooter-Squad Assignment'!$A:$A,MATCH(C547&amp;"-"&amp;D547&amp;"-"&amp;E547&amp;"-Pos5",'Shooter-Squad Assignment'!$V:$V,0)),""),IF(E547="Sporting Clays",IFERROR(INDEX('Shooter-Squad Assignment'!$A:$A,MATCH(C547&amp;"-"&amp;D547&amp;"-"&amp;E547&amp;"-Pos5",'Shooter-Squad Assignment'!$Y:$Y,0)),""),"")))</f>
        <v/>
      </c>
      <c r="O547" s="80" t="str">
        <f>IF(ISBLANK(N547),"",IFERROR(INDEX('Tournament List'!$D:$D,MATCH(N547,'Tournament List'!$A:$A,0)),""))</f>
        <v/>
      </c>
    </row>
    <row r="548" spans="1:15" x14ac:dyDescent="0.3">
      <c r="A548" s="79">
        <v>556</v>
      </c>
      <c r="B548" s="73" t="str">
        <f t="shared" si="8"/>
        <v>-Junior Varsity 1-Skeet</v>
      </c>
      <c r="C548" s="73"/>
      <c r="D548" s="73" t="s">
        <v>341</v>
      </c>
      <c r="E548" s="73" t="s">
        <v>143</v>
      </c>
      <c r="F548" s="98" t="str">
        <f>IF(E548="Skeet",IFERROR(INDEX('Shooter-Squad Assignment'!$A:$A,MATCH(C548&amp;"-"&amp;D548&amp;"-"&amp;E548&amp;"-Pos1",'Shooter-Squad Assignment'!#REF!,0)),""),IF(E548="Trap",IFERROR(INDEX('Shooter-Squad Assignment'!$A:$A,MATCH(C548&amp;"-"&amp;D548&amp;"-"&amp;E548&amp;"-Pos1",'Shooter-Squad Assignment'!$V:$V,0)),""),IF(E548="Sporting Clays",IFERROR(INDEX('Shooter-Squad Assignment'!$A:$A,MATCH(C548&amp;"-"&amp;D548&amp;"-"&amp;E548&amp;"-Pos1",'Shooter-Squad Assignment'!$Y:$Y,0)),""),"")))</f>
        <v/>
      </c>
      <c r="G548" s="73" t="str">
        <f>IF(ISBLANK(F548),"",IFERROR(INDEX('Tournament List'!$D:$D,MATCH(F548,'Tournament List'!$A:$A,0)),""))</f>
        <v/>
      </c>
      <c r="H548" s="98" t="str">
        <f>IF(E548="Skeet",IFERROR(INDEX('Shooter-Squad Assignment'!$A:$A,MATCH(C548&amp;"-"&amp;D548&amp;"-"&amp;E548&amp;"-Pos2",'Shooter-Squad Assignment'!#REF!,0)),""),IF(E548="Trap",IFERROR(INDEX('Shooter-Squad Assignment'!$A:$A,MATCH(C548&amp;"-"&amp;D548&amp;"-"&amp;E548&amp;"-Pos2",'Shooter-Squad Assignment'!$V:$V,0)),""),IF(E548="Sporting Clays",IFERROR(INDEX('Shooter-Squad Assignment'!$A:$A,MATCH(C548&amp;"-"&amp;D548&amp;"-"&amp;E548&amp;"-Pos2",'Shooter-Squad Assignment'!$Y:$Y,0)),""),"")))</f>
        <v/>
      </c>
      <c r="I548" s="73" t="str">
        <f>IF(ISBLANK(H548),"",IFERROR(INDEX('Tournament List'!$D:$D,MATCH(H548,'Tournament List'!$A:$A,0)),""))</f>
        <v/>
      </c>
      <c r="J548" s="98" t="str">
        <f>IF(E548="Skeet",IFERROR(INDEX('Shooter-Squad Assignment'!$A:$A,MATCH(C548&amp;"-"&amp;D548&amp;"-"&amp;E548&amp;"-Pos3",'Shooter-Squad Assignment'!#REF!,0)),""),IF(E548="Trap",IFERROR(INDEX('Shooter-Squad Assignment'!$A:$A,MATCH(C548&amp;"-"&amp;D548&amp;"-"&amp;E548&amp;"-Pos3",'Shooter-Squad Assignment'!$V:$V,0)),""),IF(E548="Sporting Clays",IFERROR(INDEX('Shooter-Squad Assignment'!$A:$A,MATCH(C548&amp;"-"&amp;D548&amp;"-"&amp;E548&amp;"-Pos3",'Shooter-Squad Assignment'!$Y:$Y,0)),""),"")))</f>
        <v/>
      </c>
      <c r="K548" s="73" t="str">
        <f>IF(ISBLANK(J548),"",IFERROR(INDEX('Tournament List'!$D:$D,MATCH(J548,'Tournament List'!$A:$A,0)),""))</f>
        <v/>
      </c>
      <c r="L548" s="98" t="str">
        <f>IF(E548="Skeet",IFERROR(INDEX('Shooter-Squad Assignment'!$A:$A,MATCH(C548&amp;"-"&amp;D548&amp;"-"&amp;E548&amp;"-Pos4",'Shooter-Squad Assignment'!#REF!,0)),""),IF(E548="Trap",IFERROR(INDEX('Shooter-Squad Assignment'!$A:$A,MATCH(C548&amp;"-"&amp;D548&amp;"-"&amp;E548&amp;"-Pos4",'Shooter-Squad Assignment'!$V:$V,0)),""),IF(E548="Sporting Clays",IFERROR(INDEX('Shooter-Squad Assignment'!$A:$A,MATCH(C548&amp;"-"&amp;D548&amp;"-"&amp;E548&amp;"-Pos4",'Shooter-Squad Assignment'!$Y:$Y,0)),""),"")))</f>
        <v/>
      </c>
      <c r="M548" s="73" t="str">
        <f>IF(ISBLANK(L548),"",IFERROR(INDEX('Tournament List'!$D:$D,MATCH(L548,'Tournament List'!$A:$A,0)),""))</f>
        <v/>
      </c>
      <c r="N548" s="98" t="str">
        <f>IF(E548="Skeet",IFERROR(INDEX('Shooter-Squad Assignment'!$A:$A,MATCH(C548&amp;"-"&amp;D548&amp;"-"&amp;E548&amp;"-Pos5",'Shooter-Squad Assignment'!#REF!,0)),""),IF(E548="Trap",IFERROR(INDEX('Shooter-Squad Assignment'!$A:$A,MATCH(C548&amp;"-"&amp;D548&amp;"-"&amp;E548&amp;"-Pos5",'Shooter-Squad Assignment'!$V:$V,0)),""),IF(E548="Sporting Clays",IFERROR(INDEX('Shooter-Squad Assignment'!$A:$A,MATCH(C548&amp;"-"&amp;D548&amp;"-"&amp;E548&amp;"-Pos5",'Shooter-Squad Assignment'!$Y:$Y,0)),""),"")))</f>
        <v/>
      </c>
      <c r="O548" s="80" t="str">
        <f>IF(ISBLANK(N548),"",IFERROR(INDEX('Tournament List'!$D:$D,MATCH(N548,'Tournament List'!$A:$A,0)),""))</f>
        <v/>
      </c>
    </row>
    <row r="549" spans="1:15" x14ac:dyDescent="0.3">
      <c r="A549" s="79">
        <v>557</v>
      </c>
      <c r="B549" s="73" t="str">
        <f t="shared" si="8"/>
        <v>-Junior Varsity 2-Skeet</v>
      </c>
      <c r="C549" s="73"/>
      <c r="D549" s="73" t="s">
        <v>347</v>
      </c>
      <c r="E549" s="73" t="s">
        <v>143</v>
      </c>
      <c r="F549" s="98" t="str">
        <f>IF(E549="Skeet",IFERROR(INDEX('Shooter-Squad Assignment'!$A:$A,MATCH(C549&amp;"-"&amp;D549&amp;"-"&amp;E549&amp;"-Pos1",'Shooter-Squad Assignment'!#REF!,0)),""),IF(E549="Trap",IFERROR(INDEX('Shooter-Squad Assignment'!$A:$A,MATCH(C549&amp;"-"&amp;D549&amp;"-"&amp;E549&amp;"-Pos1",'Shooter-Squad Assignment'!$V:$V,0)),""),IF(E549="Sporting Clays",IFERROR(INDEX('Shooter-Squad Assignment'!$A:$A,MATCH(C549&amp;"-"&amp;D549&amp;"-"&amp;E549&amp;"-Pos1",'Shooter-Squad Assignment'!$Y:$Y,0)),""),"")))</f>
        <v/>
      </c>
      <c r="G549" s="73" t="str">
        <f>IF(ISBLANK(F549),"",IFERROR(INDEX('Tournament List'!$D:$D,MATCH(F549,'Tournament List'!$A:$A,0)),""))</f>
        <v/>
      </c>
      <c r="H549" s="98" t="str">
        <f>IF(E549="Skeet",IFERROR(INDEX('Shooter-Squad Assignment'!$A:$A,MATCH(C549&amp;"-"&amp;D549&amp;"-"&amp;E549&amp;"-Pos2",'Shooter-Squad Assignment'!#REF!,0)),""),IF(E549="Trap",IFERROR(INDEX('Shooter-Squad Assignment'!$A:$A,MATCH(C549&amp;"-"&amp;D549&amp;"-"&amp;E549&amp;"-Pos2",'Shooter-Squad Assignment'!$V:$V,0)),""),IF(E549="Sporting Clays",IFERROR(INDEX('Shooter-Squad Assignment'!$A:$A,MATCH(C549&amp;"-"&amp;D549&amp;"-"&amp;E549&amp;"-Pos2",'Shooter-Squad Assignment'!$Y:$Y,0)),""),"")))</f>
        <v/>
      </c>
      <c r="I549" s="73" t="str">
        <f>IF(ISBLANK(H549),"",IFERROR(INDEX('Tournament List'!$D:$D,MATCH(H549,'Tournament List'!$A:$A,0)),""))</f>
        <v/>
      </c>
      <c r="J549" s="98" t="str">
        <f>IF(E549="Skeet",IFERROR(INDEX('Shooter-Squad Assignment'!$A:$A,MATCH(C549&amp;"-"&amp;D549&amp;"-"&amp;E549&amp;"-Pos3",'Shooter-Squad Assignment'!#REF!,0)),""),IF(E549="Trap",IFERROR(INDEX('Shooter-Squad Assignment'!$A:$A,MATCH(C549&amp;"-"&amp;D549&amp;"-"&amp;E549&amp;"-Pos3",'Shooter-Squad Assignment'!$V:$V,0)),""),IF(E549="Sporting Clays",IFERROR(INDEX('Shooter-Squad Assignment'!$A:$A,MATCH(C549&amp;"-"&amp;D549&amp;"-"&amp;E549&amp;"-Pos3",'Shooter-Squad Assignment'!$Y:$Y,0)),""),"")))</f>
        <v/>
      </c>
      <c r="K549" s="73" t="str">
        <f>IF(ISBLANK(J549),"",IFERROR(INDEX('Tournament List'!$D:$D,MATCH(J549,'Tournament List'!$A:$A,0)),""))</f>
        <v/>
      </c>
      <c r="L549" s="98" t="str">
        <f>IF(E549="Skeet",IFERROR(INDEX('Shooter-Squad Assignment'!$A:$A,MATCH(C549&amp;"-"&amp;D549&amp;"-"&amp;E549&amp;"-Pos4",'Shooter-Squad Assignment'!#REF!,0)),""),IF(E549="Trap",IFERROR(INDEX('Shooter-Squad Assignment'!$A:$A,MATCH(C549&amp;"-"&amp;D549&amp;"-"&amp;E549&amp;"-Pos4",'Shooter-Squad Assignment'!$V:$V,0)),""),IF(E549="Sporting Clays",IFERROR(INDEX('Shooter-Squad Assignment'!$A:$A,MATCH(C549&amp;"-"&amp;D549&amp;"-"&amp;E549&amp;"-Pos4",'Shooter-Squad Assignment'!$Y:$Y,0)),""),"")))</f>
        <v/>
      </c>
      <c r="M549" s="73" t="str">
        <f>IF(ISBLANK(L549),"",IFERROR(INDEX('Tournament List'!$D:$D,MATCH(L549,'Tournament List'!$A:$A,0)),""))</f>
        <v/>
      </c>
      <c r="N549" s="98" t="str">
        <f>IF(E549="Skeet",IFERROR(INDEX('Shooter-Squad Assignment'!$A:$A,MATCH(C549&amp;"-"&amp;D549&amp;"-"&amp;E549&amp;"-Pos5",'Shooter-Squad Assignment'!#REF!,0)),""),IF(E549="Trap",IFERROR(INDEX('Shooter-Squad Assignment'!$A:$A,MATCH(C549&amp;"-"&amp;D549&amp;"-"&amp;E549&amp;"-Pos5",'Shooter-Squad Assignment'!$V:$V,0)),""),IF(E549="Sporting Clays",IFERROR(INDEX('Shooter-Squad Assignment'!$A:$A,MATCH(C549&amp;"-"&amp;D549&amp;"-"&amp;E549&amp;"-Pos5",'Shooter-Squad Assignment'!$Y:$Y,0)),""),"")))</f>
        <v/>
      </c>
      <c r="O549" s="80" t="str">
        <f>IF(ISBLANK(N549),"",IFERROR(INDEX('Tournament List'!$D:$D,MATCH(N549,'Tournament List'!$A:$A,0)),""))</f>
        <v/>
      </c>
    </row>
    <row r="550" spans="1:15" x14ac:dyDescent="0.3">
      <c r="A550" s="79">
        <v>558</v>
      </c>
      <c r="B550" s="73" t="str">
        <f t="shared" si="8"/>
        <v>-Junior Varsity 3-Skeet</v>
      </c>
      <c r="C550" s="73"/>
      <c r="D550" s="73" t="s">
        <v>353</v>
      </c>
      <c r="E550" s="73" t="s">
        <v>143</v>
      </c>
      <c r="F550" s="98" t="str">
        <f>IF(E550="Skeet",IFERROR(INDEX('Shooter-Squad Assignment'!$A:$A,MATCH(C550&amp;"-"&amp;D550&amp;"-"&amp;E550&amp;"-Pos1",'Shooter-Squad Assignment'!#REF!,0)),""),IF(E550="Trap",IFERROR(INDEX('Shooter-Squad Assignment'!$A:$A,MATCH(C550&amp;"-"&amp;D550&amp;"-"&amp;E550&amp;"-Pos1",'Shooter-Squad Assignment'!$V:$V,0)),""),IF(E550="Sporting Clays",IFERROR(INDEX('Shooter-Squad Assignment'!$A:$A,MATCH(C550&amp;"-"&amp;D550&amp;"-"&amp;E550&amp;"-Pos1",'Shooter-Squad Assignment'!$Y:$Y,0)),""),"")))</f>
        <v/>
      </c>
      <c r="G550" s="73" t="str">
        <f>IF(ISBLANK(F550),"",IFERROR(INDEX('Tournament List'!$D:$D,MATCH(F550,'Tournament List'!$A:$A,0)),""))</f>
        <v/>
      </c>
      <c r="H550" s="98" t="str">
        <f>IF(E550="Skeet",IFERROR(INDEX('Shooter-Squad Assignment'!$A:$A,MATCH(C550&amp;"-"&amp;D550&amp;"-"&amp;E550&amp;"-Pos2",'Shooter-Squad Assignment'!#REF!,0)),""),IF(E550="Trap",IFERROR(INDEX('Shooter-Squad Assignment'!$A:$A,MATCH(C550&amp;"-"&amp;D550&amp;"-"&amp;E550&amp;"-Pos2",'Shooter-Squad Assignment'!$V:$V,0)),""),IF(E550="Sporting Clays",IFERROR(INDEX('Shooter-Squad Assignment'!$A:$A,MATCH(C550&amp;"-"&amp;D550&amp;"-"&amp;E550&amp;"-Pos2",'Shooter-Squad Assignment'!$Y:$Y,0)),""),"")))</f>
        <v/>
      </c>
      <c r="I550" s="73" t="str">
        <f>IF(ISBLANK(H550),"",IFERROR(INDEX('Tournament List'!$D:$D,MATCH(H550,'Tournament List'!$A:$A,0)),""))</f>
        <v/>
      </c>
      <c r="J550" s="98" t="str">
        <f>IF(E550="Skeet",IFERROR(INDEX('Shooter-Squad Assignment'!$A:$A,MATCH(C550&amp;"-"&amp;D550&amp;"-"&amp;E550&amp;"-Pos3",'Shooter-Squad Assignment'!#REF!,0)),""),IF(E550="Trap",IFERROR(INDEX('Shooter-Squad Assignment'!$A:$A,MATCH(C550&amp;"-"&amp;D550&amp;"-"&amp;E550&amp;"-Pos3",'Shooter-Squad Assignment'!$V:$V,0)),""),IF(E550="Sporting Clays",IFERROR(INDEX('Shooter-Squad Assignment'!$A:$A,MATCH(C550&amp;"-"&amp;D550&amp;"-"&amp;E550&amp;"-Pos3",'Shooter-Squad Assignment'!$Y:$Y,0)),""),"")))</f>
        <v/>
      </c>
      <c r="K550" s="73" t="str">
        <f>IF(ISBLANK(J550),"",IFERROR(INDEX('Tournament List'!$D:$D,MATCH(J550,'Tournament List'!$A:$A,0)),""))</f>
        <v/>
      </c>
      <c r="L550" s="98" t="str">
        <f>IF(E550="Skeet",IFERROR(INDEX('Shooter-Squad Assignment'!$A:$A,MATCH(C550&amp;"-"&amp;D550&amp;"-"&amp;E550&amp;"-Pos4",'Shooter-Squad Assignment'!#REF!,0)),""),IF(E550="Trap",IFERROR(INDEX('Shooter-Squad Assignment'!$A:$A,MATCH(C550&amp;"-"&amp;D550&amp;"-"&amp;E550&amp;"-Pos4",'Shooter-Squad Assignment'!$V:$V,0)),""),IF(E550="Sporting Clays",IFERROR(INDEX('Shooter-Squad Assignment'!$A:$A,MATCH(C550&amp;"-"&amp;D550&amp;"-"&amp;E550&amp;"-Pos4",'Shooter-Squad Assignment'!$Y:$Y,0)),""),"")))</f>
        <v/>
      </c>
      <c r="M550" s="73" t="str">
        <f>IF(ISBLANK(L550),"",IFERROR(INDEX('Tournament List'!$D:$D,MATCH(L550,'Tournament List'!$A:$A,0)),""))</f>
        <v/>
      </c>
      <c r="N550" s="98" t="str">
        <f>IF(E550="Skeet",IFERROR(INDEX('Shooter-Squad Assignment'!$A:$A,MATCH(C550&amp;"-"&amp;D550&amp;"-"&amp;E550&amp;"-Pos5",'Shooter-Squad Assignment'!#REF!,0)),""),IF(E550="Trap",IFERROR(INDEX('Shooter-Squad Assignment'!$A:$A,MATCH(C550&amp;"-"&amp;D550&amp;"-"&amp;E550&amp;"-Pos5",'Shooter-Squad Assignment'!$V:$V,0)),""),IF(E550="Sporting Clays",IFERROR(INDEX('Shooter-Squad Assignment'!$A:$A,MATCH(C550&amp;"-"&amp;D550&amp;"-"&amp;E550&amp;"-Pos5",'Shooter-Squad Assignment'!$Y:$Y,0)),""),"")))</f>
        <v/>
      </c>
      <c r="O550" s="80" t="str">
        <f>IF(ISBLANK(N550),"",IFERROR(INDEX('Tournament List'!$D:$D,MATCH(N550,'Tournament List'!$A:$A,0)),""))</f>
        <v/>
      </c>
    </row>
    <row r="551" spans="1:15" x14ac:dyDescent="0.3">
      <c r="A551" s="79">
        <v>559</v>
      </c>
      <c r="B551" s="73" t="str">
        <f t="shared" si="8"/>
        <v>-Novice 1-Skeet</v>
      </c>
      <c r="C551" s="73"/>
      <c r="D551" s="73" t="s">
        <v>339</v>
      </c>
      <c r="E551" s="73" t="s">
        <v>143</v>
      </c>
      <c r="F551" s="98" t="str">
        <f>IF(E551="Skeet",IFERROR(INDEX('Shooter-Squad Assignment'!$A:$A,MATCH(C551&amp;"-"&amp;D551&amp;"-"&amp;E551&amp;"-Pos1",'Shooter-Squad Assignment'!#REF!,0)),""),IF(E551="Trap",IFERROR(INDEX('Shooter-Squad Assignment'!$A:$A,MATCH(C551&amp;"-"&amp;D551&amp;"-"&amp;E551&amp;"-Pos1",'Shooter-Squad Assignment'!$V:$V,0)),""),IF(E551="Sporting Clays",IFERROR(INDEX('Shooter-Squad Assignment'!$A:$A,MATCH(C551&amp;"-"&amp;D551&amp;"-"&amp;E551&amp;"-Pos1",'Shooter-Squad Assignment'!$Y:$Y,0)),""),"")))</f>
        <v/>
      </c>
      <c r="G551" s="73" t="str">
        <f>IF(ISBLANK(F551),"",IFERROR(INDEX('Tournament List'!$D:$D,MATCH(F551,'Tournament List'!$A:$A,0)),""))</f>
        <v/>
      </c>
      <c r="H551" s="98" t="str">
        <f>IF(E551="Skeet",IFERROR(INDEX('Shooter-Squad Assignment'!$A:$A,MATCH(C551&amp;"-"&amp;D551&amp;"-"&amp;E551&amp;"-Pos2",'Shooter-Squad Assignment'!#REF!,0)),""),IF(E551="Trap",IFERROR(INDEX('Shooter-Squad Assignment'!$A:$A,MATCH(C551&amp;"-"&amp;D551&amp;"-"&amp;E551&amp;"-Pos2",'Shooter-Squad Assignment'!$V:$V,0)),""),IF(E551="Sporting Clays",IFERROR(INDEX('Shooter-Squad Assignment'!$A:$A,MATCH(C551&amp;"-"&amp;D551&amp;"-"&amp;E551&amp;"-Pos2",'Shooter-Squad Assignment'!$Y:$Y,0)),""),"")))</f>
        <v/>
      </c>
      <c r="I551" s="73" t="str">
        <f>IF(ISBLANK(H551),"",IFERROR(INDEX('Tournament List'!$D:$D,MATCH(H551,'Tournament List'!$A:$A,0)),""))</f>
        <v/>
      </c>
      <c r="J551" s="98" t="str">
        <f>IF(E551="Skeet",IFERROR(INDEX('Shooter-Squad Assignment'!$A:$A,MATCH(C551&amp;"-"&amp;D551&amp;"-"&amp;E551&amp;"-Pos3",'Shooter-Squad Assignment'!#REF!,0)),""),IF(E551="Trap",IFERROR(INDEX('Shooter-Squad Assignment'!$A:$A,MATCH(C551&amp;"-"&amp;D551&amp;"-"&amp;E551&amp;"-Pos3",'Shooter-Squad Assignment'!$V:$V,0)),""),IF(E551="Sporting Clays",IFERROR(INDEX('Shooter-Squad Assignment'!$A:$A,MATCH(C551&amp;"-"&amp;D551&amp;"-"&amp;E551&amp;"-Pos3",'Shooter-Squad Assignment'!$Y:$Y,0)),""),"")))</f>
        <v/>
      </c>
      <c r="K551" s="73" t="str">
        <f>IF(ISBLANK(J551),"",IFERROR(INDEX('Tournament List'!$D:$D,MATCH(J551,'Tournament List'!$A:$A,0)),""))</f>
        <v/>
      </c>
      <c r="L551" s="98" t="str">
        <f>IF(E551="Skeet",IFERROR(INDEX('Shooter-Squad Assignment'!$A:$A,MATCH(C551&amp;"-"&amp;D551&amp;"-"&amp;E551&amp;"-Pos4",'Shooter-Squad Assignment'!#REF!,0)),""),IF(E551="Trap",IFERROR(INDEX('Shooter-Squad Assignment'!$A:$A,MATCH(C551&amp;"-"&amp;D551&amp;"-"&amp;E551&amp;"-Pos4",'Shooter-Squad Assignment'!$V:$V,0)),""),IF(E551="Sporting Clays",IFERROR(INDEX('Shooter-Squad Assignment'!$A:$A,MATCH(C551&amp;"-"&amp;D551&amp;"-"&amp;E551&amp;"-Pos4",'Shooter-Squad Assignment'!$Y:$Y,0)),""),"")))</f>
        <v/>
      </c>
      <c r="M551" s="73" t="str">
        <f>IF(ISBLANK(L551),"",IFERROR(INDEX('Tournament List'!$D:$D,MATCH(L551,'Tournament List'!$A:$A,0)),""))</f>
        <v/>
      </c>
      <c r="N551" s="98" t="str">
        <f>IF(E551="Skeet",IFERROR(INDEX('Shooter-Squad Assignment'!$A:$A,MATCH(C551&amp;"-"&amp;D551&amp;"-"&amp;E551&amp;"-Pos5",'Shooter-Squad Assignment'!#REF!,0)),""),IF(E551="Trap",IFERROR(INDEX('Shooter-Squad Assignment'!$A:$A,MATCH(C551&amp;"-"&amp;D551&amp;"-"&amp;E551&amp;"-Pos5",'Shooter-Squad Assignment'!$V:$V,0)),""),IF(E551="Sporting Clays",IFERROR(INDEX('Shooter-Squad Assignment'!$A:$A,MATCH(C551&amp;"-"&amp;D551&amp;"-"&amp;E551&amp;"-Pos5",'Shooter-Squad Assignment'!$Y:$Y,0)),""),"")))</f>
        <v/>
      </c>
      <c r="O551" s="80" t="str">
        <f>IF(ISBLANK(N551),"",IFERROR(INDEX('Tournament List'!$D:$D,MATCH(N551,'Tournament List'!$A:$A,0)),""))</f>
        <v/>
      </c>
    </row>
    <row r="552" spans="1:15" x14ac:dyDescent="0.3">
      <c r="A552" s="79">
        <v>560</v>
      </c>
      <c r="B552" s="73" t="str">
        <f t="shared" si="8"/>
        <v>-Novice 2-Skeet</v>
      </c>
      <c r="C552" s="73"/>
      <c r="D552" s="73" t="s">
        <v>345</v>
      </c>
      <c r="E552" s="73" t="s">
        <v>143</v>
      </c>
      <c r="F552" s="98" t="str">
        <f>IF(E552="Skeet",IFERROR(INDEX('Shooter-Squad Assignment'!$A:$A,MATCH(C552&amp;"-"&amp;D552&amp;"-"&amp;E552&amp;"-Pos1",'Shooter-Squad Assignment'!#REF!,0)),""),IF(E552="Trap",IFERROR(INDEX('Shooter-Squad Assignment'!$A:$A,MATCH(C552&amp;"-"&amp;D552&amp;"-"&amp;E552&amp;"-Pos1",'Shooter-Squad Assignment'!$V:$V,0)),""),IF(E552="Sporting Clays",IFERROR(INDEX('Shooter-Squad Assignment'!$A:$A,MATCH(C552&amp;"-"&amp;D552&amp;"-"&amp;E552&amp;"-Pos1",'Shooter-Squad Assignment'!$Y:$Y,0)),""),"")))</f>
        <v/>
      </c>
      <c r="G552" s="73" t="str">
        <f>IF(ISBLANK(F552),"",IFERROR(INDEX('Tournament List'!$D:$D,MATCH(F552,'Tournament List'!$A:$A,0)),""))</f>
        <v/>
      </c>
      <c r="H552" s="98" t="str">
        <f>IF(E552="Skeet",IFERROR(INDEX('Shooter-Squad Assignment'!$A:$A,MATCH(C552&amp;"-"&amp;D552&amp;"-"&amp;E552&amp;"-Pos2",'Shooter-Squad Assignment'!#REF!,0)),""),IF(E552="Trap",IFERROR(INDEX('Shooter-Squad Assignment'!$A:$A,MATCH(C552&amp;"-"&amp;D552&amp;"-"&amp;E552&amp;"-Pos2",'Shooter-Squad Assignment'!$V:$V,0)),""),IF(E552="Sporting Clays",IFERROR(INDEX('Shooter-Squad Assignment'!$A:$A,MATCH(C552&amp;"-"&amp;D552&amp;"-"&amp;E552&amp;"-Pos2",'Shooter-Squad Assignment'!$Y:$Y,0)),""),"")))</f>
        <v/>
      </c>
      <c r="I552" s="73" t="str">
        <f>IF(ISBLANK(H552),"",IFERROR(INDEX('Tournament List'!$D:$D,MATCH(H552,'Tournament List'!$A:$A,0)),""))</f>
        <v/>
      </c>
      <c r="J552" s="98" t="str">
        <f>IF(E552="Skeet",IFERROR(INDEX('Shooter-Squad Assignment'!$A:$A,MATCH(C552&amp;"-"&amp;D552&amp;"-"&amp;E552&amp;"-Pos3",'Shooter-Squad Assignment'!#REF!,0)),""),IF(E552="Trap",IFERROR(INDEX('Shooter-Squad Assignment'!$A:$A,MATCH(C552&amp;"-"&amp;D552&amp;"-"&amp;E552&amp;"-Pos3",'Shooter-Squad Assignment'!$V:$V,0)),""),IF(E552="Sporting Clays",IFERROR(INDEX('Shooter-Squad Assignment'!$A:$A,MATCH(C552&amp;"-"&amp;D552&amp;"-"&amp;E552&amp;"-Pos3",'Shooter-Squad Assignment'!$Y:$Y,0)),""),"")))</f>
        <v/>
      </c>
      <c r="K552" s="73" t="str">
        <f>IF(ISBLANK(J552),"",IFERROR(INDEX('Tournament List'!$D:$D,MATCH(J552,'Tournament List'!$A:$A,0)),""))</f>
        <v/>
      </c>
      <c r="L552" s="98" t="str">
        <f>IF(E552="Skeet",IFERROR(INDEX('Shooter-Squad Assignment'!$A:$A,MATCH(C552&amp;"-"&amp;D552&amp;"-"&amp;E552&amp;"-Pos4",'Shooter-Squad Assignment'!#REF!,0)),""),IF(E552="Trap",IFERROR(INDEX('Shooter-Squad Assignment'!$A:$A,MATCH(C552&amp;"-"&amp;D552&amp;"-"&amp;E552&amp;"-Pos4",'Shooter-Squad Assignment'!$V:$V,0)),""),IF(E552="Sporting Clays",IFERROR(INDEX('Shooter-Squad Assignment'!$A:$A,MATCH(C552&amp;"-"&amp;D552&amp;"-"&amp;E552&amp;"-Pos4",'Shooter-Squad Assignment'!$Y:$Y,0)),""),"")))</f>
        <v/>
      </c>
      <c r="M552" s="73" t="str">
        <f>IF(ISBLANK(L552),"",IFERROR(INDEX('Tournament List'!$D:$D,MATCH(L552,'Tournament List'!$A:$A,0)),""))</f>
        <v/>
      </c>
      <c r="N552" s="98" t="str">
        <f>IF(E552="Skeet",IFERROR(INDEX('Shooter-Squad Assignment'!$A:$A,MATCH(C552&amp;"-"&amp;D552&amp;"-"&amp;E552&amp;"-Pos5",'Shooter-Squad Assignment'!#REF!,0)),""),IF(E552="Trap",IFERROR(INDEX('Shooter-Squad Assignment'!$A:$A,MATCH(C552&amp;"-"&amp;D552&amp;"-"&amp;E552&amp;"-Pos5",'Shooter-Squad Assignment'!$V:$V,0)),""),IF(E552="Sporting Clays",IFERROR(INDEX('Shooter-Squad Assignment'!$A:$A,MATCH(C552&amp;"-"&amp;D552&amp;"-"&amp;E552&amp;"-Pos5",'Shooter-Squad Assignment'!$Y:$Y,0)),""),"")))</f>
        <v/>
      </c>
      <c r="O552" s="80" t="str">
        <f>IF(ISBLANK(N552),"",IFERROR(INDEX('Tournament List'!$D:$D,MATCH(N552,'Tournament List'!$A:$A,0)),""))</f>
        <v/>
      </c>
    </row>
    <row r="553" spans="1:15" x14ac:dyDescent="0.3">
      <c r="A553" s="79">
        <v>561</v>
      </c>
      <c r="B553" s="73" t="str">
        <f t="shared" si="8"/>
        <v>-Novice 3-Skeet</v>
      </c>
      <c r="C553" s="73"/>
      <c r="D553" s="73" t="s">
        <v>351</v>
      </c>
      <c r="E553" s="73" t="s">
        <v>143</v>
      </c>
      <c r="F553" s="98" t="str">
        <f>IF(E553="Skeet",IFERROR(INDEX('Shooter-Squad Assignment'!$A:$A,MATCH(C553&amp;"-"&amp;D553&amp;"-"&amp;E553&amp;"-Pos1",'Shooter-Squad Assignment'!#REF!,0)),""),IF(E553="Trap",IFERROR(INDEX('Shooter-Squad Assignment'!$A:$A,MATCH(C553&amp;"-"&amp;D553&amp;"-"&amp;E553&amp;"-Pos1",'Shooter-Squad Assignment'!$V:$V,0)),""),IF(E553="Sporting Clays",IFERROR(INDEX('Shooter-Squad Assignment'!$A:$A,MATCH(C553&amp;"-"&amp;D553&amp;"-"&amp;E553&amp;"-Pos1",'Shooter-Squad Assignment'!$Y:$Y,0)),""),"")))</f>
        <v/>
      </c>
      <c r="G553" s="73" t="str">
        <f>IF(ISBLANK(F553),"",IFERROR(INDEX('Tournament List'!$D:$D,MATCH(F553,'Tournament List'!$A:$A,0)),""))</f>
        <v/>
      </c>
      <c r="H553" s="98" t="str">
        <f>IF(E553="Skeet",IFERROR(INDEX('Shooter-Squad Assignment'!$A:$A,MATCH(C553&amp;"-"&amp;D553&amp;"-"&amp;E553&amp;"-Pos2",'Shooter-Squad Assignment'!#REF!,0)),""),IF(E553="Trap",IFERROR(INDEX('Shooter-Squad Assignment'!$A:$A,MATCH(C553&amp;"-"&amp;D553&amp;"-"&amp;E553&amp;"-Pos2",'Shooter-Squad Assignment'!$V:$V,0)),""),IF(E553="Sporting Clays",IFERROR(INDEX('Shooter-Squad Assignment'!$A:$A,MATCH(C553&amp;"-"&amp;D553&amp;"-"&amp;E553&amp;"-Pos2",'Shooter-Squad Assignment'!$Y:$Y,0)),""),"")))</f>
        <v/>
      </c>
      <c r="I553" s="73" t="str">
        <f>IF(ISBLANK(H553),"",IFERROR(INDEX('Tournament List'!$D:$D,MATCH(H553,'Tournament List'!$A:$A,0)),""))</f>
        <v/>
      </c>
      <c r="J553" s="98" t="str">
        <f>IF(E553="Skeet",IFERROR(INDEX('Shooter-Squad Assignment'!$A:$A,MATCH(C553&amp;"-"&amp;D553&amp;"-"&amp;E553&amp;"-Pos3",'Shooter-Squad Assignment'!#REF!,0)),""),IF(E553="Trap",IFERROR(INDEX('Shooter-Squad Assignment'!$A:$A,MATCH(C553&amp;"-"&amp;D553&amp;"-"&amp;E553&amp;"-Pos3",'Shooter-Squad Assignment'!$V:$V,0)),""),IF(E553="Sporting Clays",IFERROR(INDEX('Shooter-Squad Assignment'!$A:$A,MATCH(C553&amp;"-"&amp;D553&amp;"-"&amp;E553&amp;"-Pos3",'Shooter-Squad Assignment'!$Y:$Y,0)),""),"")))</f>
        <v/>
      </c>
      <c r="K553" s="73" t="str">
        <f>IF(ISBLANK(J553),"",IFERROR(INDEX('Tournament List'!$D:$D,MATCH(J553,'Tournament List'!$A:$A,0)),""))</f>
        <v/>
      </c>
      <c r="L553" s="98" t="str">
        <f>IF(E553="Skeet",IFERROR(INDEX('Shooter-Squad Assignment'!$A:$A,MATCH(C553&amp;"-"&amp;D553&amp;"-"&amp;E553&amp;"-Pos4",'Shooter-Squad Assignment'!#REF!,0)),""),IF(E553="Trap",IFERROR(INDEX('Shooter-Squad Assignment'!$A:$A,MATCH(C553&amp;"-"&amp;D553&amp;"-"&amp;E553&amp;"-Pos4",'Shooter-Squad Assignment'!$V:$V,0)),""),IF(E553="Sporting Clays",IFERROR(INDEX('Shooter-Squad Assignment'!$A:$A,MATCH(C553&amp;"-"&amp;D553&amp;"-"&amp;E553&amp;"-Pos4",'Shooter-Squad Assignment'!$Y:$Y,0)),""),"")))</f>
        <v/>
      </c>
      <c r="M553" s="73" t="str">
        <f>IF(ISBLANK(L553),"",IFERROR(INDEX('Tournament List'!$D:$D,MATCH(L553,'Tournament List'!$A:$A,0)),""))</f>
        <v/>
      </c>
      <c r="N553" s="98" t="str">
        <f>IF(E553="Skeet",IFERROR(INDEX('Shooter-Squad Assignment'!$A:$A,MATCH(C553&amp;"-"&amp;D553&amp;"-"&amp;E553&amp;"-Pos5",'Shooter-Squad Assignment'!#REF!,0)),""),IF(E553="Trap",IFERROR(INDEX('Shooter-Squad Assignment'!$A:$A,MATCH(C553&amp;"-"&amp;D553&amp;"-"&amp;E553&amp;"-Pos5",'Shooter-Squad Assignment'!$V:$V,0)),""),IF(E553="Sporting Clays",IFERROR(INDEX('Shooter-Squad Assignment'!$A:$A,MATCH(C553&amp;"-"&amp;D553&amp;"-"&amp;E553&amp;"-Pos5",'Shooter-Squad Assignment'!$Y:$Y,0)),""),"")))</f>
        <v/>
      </c>
      <c r="O553" s="80" t="str">
        <f>IF(ISBLANK(N553),"",IFERROR(INDEX('Tournament List'!$D:$D,MATCH(N553,'Tournament List'!$A:$A,0)),""))</f>
        <v/>
      </c>
    </row>
    <row r="554" spans="1:15" x14ac:dyDescent="0.3">
      <c r="A554" s="79">
        <v>562</v>
      </c>
      <c r="B554" s="73" t="str">
        <f t="shared" si="8"/>
        <v>-Open 1-Skeet</v>
      </c>
      <c r="C554" s="73"/>
      <c r="D554" s="73" t="s">
        <v>343</v>
      </c>
      <c r="E554" s="73" t="s">
        <v>143</v>
      </c>
      <c r="F554" s="98" t="str">
        <f>IF(E554="Skeet",IFERROR(INDEX('Shooter-Squad Assignment'!$A:$A,MATCH(C554&amp;"-"&amp;D554&amp;"-"&amp;E554&amp;"-Pos1",'Shooter-Squad Assignment'!#REF!,0)),""),IF(E554="Trap",IFERROR(INDEX('Shooter-Squad Assignment'!$A:$A,MATCH(C554&amp;"-"&amp;D554&amp;"-"&amp;E554&amp;"-Pos1",'Shooter-Squad Assignment'!$V:$V,0)),""),IF(E554="Sporting Clays",IFERROR(INDEX('Shooter-Squad Assignment'!$A:$A,MATCH(C554&amp;"-"&amp;D554&amp;"-"&amp;E554&amp;"-Pos1",'Shooter-Squad Assignment'!$Y:$Y,0)),""),"")))</f>
        <v/>
      </c>
      <c r="G554" s="73" t="str">
        <f>IF(ISBLANK(F554),"",IFERROR(INDEX('Tournament List'!$D:$D,MATCH(F554,'Tournament List'!$A:$A,0)),""))</f>
        <v/>
      </c>
      <c r="H554" s="98" t="str">
        <f>IF(E554="Skeet",IFERROR(INDEX('Shooter-Squad Assignment'!$A:$A,MATCH(C554&amp;"-"&amp;D554&amp;"-"&amp;E554&amp;"-Pos2",'Shooter-Squad Assignment'!#REF!,0)),""),IF(E554="Trap",IFERROR(INDEX('Shooter-Squad Assignment'!$A:$A,MATCH(C554&amp;"-"&amp;D554&amp;"-"&amp;E554&amp;"-Pos2",'Shooter-Squad Assignment'!$V:$V,0)),""),IF(E554="Sporting Clays",IFERROR(INDEX('Shooter-Squad Assignment'!$A:$A,MATCH(C554&amp;"-"&amp;D554&amp;"-"&amp;E554&amp;"-Pos2",'Shooter-Squad Assignment'!$Y:$Y,0)),""),"")))</f>
        <v/>
      </c>
      <c r="I554" s="73" t="str">
        <f>IF(ISBLANK(H554),"",IFERROR(INDEX('Tournament List'!$D:$D,MATCH(H554,'Tournament List'!$A:$A,0)),""))</f>
        <v/>
      </c>
      <c r="J554" s="98" t="str">
        <f>IF(E554="Skeet",IFERROR(INDEX('Shooter-Squad Assignment'!$A:$A,MATCH(C554&amp;"-"&amp;D554&amp;"-"&amp;E554&amp;"-Pos3",'Shooter-Squad Assignment'!#REF!,0)),""),IF(E554="Trap",IFERROR(INDEX('Shooter-Squad Assignment'!$A:$A,MATCH(C554&amp;"-"&amp;D554&amp;"-"&amp;E554&amp;"-Pos3",'Shooter-Squad Assignment'!$V:$V,0)),""),IF(E554="Sporting Clays",IFERROR(INDEX('Shooter-Squad Assignment'!$A:$A,MATCH(C554&amp;"-"&amp;D554&amp;"-"&amp;E554&amp;"-Pos3",'Shooter-Squad Assignment'!$Y:$Y,0)),""),"")))</f>
        <v/>
      </c>
      <c r="K554" s="73" t="str">
        <f>IF(ISBLANK(J554),"",IFERROR(INDEX('Tournament List'!$D:$D,MATCH(J554,'Tournament List'!$A:$A,0)),""))</f>
        <v/>
      </c>
      <c r="L554" s="98" t="str">
        <f>IF(E554="Skeet",IFERROR(INDEX('Shooter-Squad Assignment'!$A:$A,MATCH(C554&amp;"-"&amp;D554&amp;"-"&amp;E554&amp;"-Pos4",'Shooter-Squad Assignment'!#REF!,0)),""),IF(E554="Trap",IFERROR(INDEX('Shooter-Squad Assignment'!$A:$A,MATCH(C554&amp;"-"&amp;D554&amp;"-"&amp;E554&amp;"-Pos4",'Shooter-Squad Assignment'!$V:$V,0)),""),IF(E554="Sporting Clays",IFERROR(INDEX('Shooter-Squad Assignment'!$A:$A,MATCH(C554&amp;"-"&amp;D554&amp;"-"&amp;E554&amp;"-Pos4",'Shooter-Squad Assignment'!$Y:$Y,0)),""),"")))</f>
        <v/>
      </c>
      <c r="M554" s="73" t="str">
        <f>IF(ISBLANK(L554),"",IFERROR(INDEX('Tournament List'!$D:$D,MATCH(L554,'Tournament List'!$A:$A,0)),""))</f>
        <v/>
      </c>
      <c r="N554" s="98" t="str">
        <f>IF(E554="Skeet",IFERROR(INDEX('Shooter-Squad Assignment'!$A:$A,MATCH(C554&amp;"-"&amp;D554&amp;"-"&amp;E554&amp;"-Pos5",'Shooter-Squad Assignment'!#REF!,0)),""),IF(E554="Trap",IFERROR(INDEX('Shooter-Squad Assignment'!$A:$A,MATCH(C554&amp;"-"&amp;D554&amp;"-"&amp;E554&amp;"-Pos5",'Shooter-Squad Assignment'!$V:$V,0)),""),IF(E554="Sporting Clays",IFERROR(INDEX('Shooter-Squad Assignment'!$A:$A,MATCH(C554&amp;"-"&amp;D554&amp;"-"&amp;E554&amp;"-Pos5",'Shooter-Squad Assignment'!$Y:$Y,0)),""),"")))</f>
        <v/>
      </c>
      <c r="O554" s="80" t="str">
        <f>IF(ISBLANK(N554),"",IFERROR(INDEX('Tournament List'!$D:$D,MATCH(N554,'Tournament List'!$A:$A,0)),""))</f>
        <v/>
      </c>
    </row>
    <row r="555" spans="1:15" x14ac:dyDescent="0.3">
      <c r="A555" s="79">
        <v>563</v>
      </c>
      <c r="B555" s="73" t="str">
        <f t="shared" si="8"/>
        <v>-Open 2-Skeet</v>
      </c>
      <c r="C555" s="73"/>
      <c r="D555" s="73" t="s">
        <v>349</v>
      </c>
      <c r="E555" s="73" t="s">
        <v>143</v>
      </c>
      <c r="F555" s="98" t="str">
        <f>IF(E555="Skeet",IFERROR(INDEX('Shooter-Squad Assignment'!$A:$A,MATCH(C555&amp;"-"&amp;D555&amp;"-"&amp;E555&amp;"-Pos1",'Shooter-Squad Assignment'!#REF!,0)),""),IF(E555="Trap",IFERROR(INDEX('Shooter-Squad Assignment'!$A:$A,MATCH(C555&amp;"-"&amp;D555&amp;"-"&amp;E555&amp;"-Pos1",'Shooter-Squad Assignment'!$V:$V,0)),""),IF(E555="Sporting Clays",IFERROR(INDEX('Shooter-Squad Assignment'!$A:$A,MATCH(C555&amp;"-"&amp;D555&amp;"-"&amp;E555&amp;"-Pos1",'Shooter-Squad Assignment'!$Y:$Y,0)),""),"")))</f>
        <v/>
      </c>
      <c r="G555" s="73" t="str">
        <f>IF(ISBLANK(F555),"",IFERROR(INDEX('Tournament List'!$D:$D,MATCH(F555,'Tournament List'!$A:$A,0)),""))</f>
        <v/>
      </c>
      <c r="H555" s="98" t="str">
        <f>IF(E555="Skeet",IFERROR(INDEX('Shooter-Squad Assignment'!$A:$A,MATCH(C555&amp;"-"&amp;D555&amp;"-"&amp;E555&amp;"-Pos2",'Shooter-Squad Assignment'!#REF!,0)),""),IF(E555="Trap",IFERROR(INDEX('Shooter-Squad Assignment'!$A:$A,MATCH(C555&amp;"-"&amp;D555&amp;"-"&amp;E555&amp;"-Pos2",'Shooter-Squad Assignment'!$V:$V,0)),""),IF(E555="Sporting Clays",IFERROR(INDEX('Shooter-Squad Assignment'!$A:$A,MATCH(C555&amp;"-"&amp;D555&amp;"-"&amp;E555&amp;"-Pos2",'Shooter-Squad Assignment'!$Y:$Y,0)),""),"")))</f>
        <v/>
      </c>
      <c r="I555" s="73" t="str">
        <f>IF(ISBLANK(H555),"",IFERROR(INDEX('Tournament List'!$D:$D,MATCH(H555,'Tournament List'!$A:$A,0)),""))</f>
        <v/>
      </c>
      <c r="J555" s="98" t="str">
        <f>IF(E555="Skeet",IFERROR(INDEX('Shooter-Squad Assignment'!$A:$A,MATCH(C555&amp;"-"&amp;D555&amp;"-"&amp;E555&amp;"-Pos3",'Shooter-Squad Assignment'!#REF!,0)),""),IF(E555="Trap",IFERROR(INDEX('Shooter-Squad Assignment'!$A:$A,MATCH(C555&amp;"-"&amp;D555&amp;"-"&amp;E555&amp;"-Pos3",'Shooter-Squad Assignment'!$V:$V,0)),""),IF(E555="Sporting Clays",IFERROR(INDEX('Shooter-Squad Assignment'!$A:$A,MATCH(C555&amp;"-"&amp;D555&amp;"-"&amp;E555&amp;"-Pos3",'Shooter-Squad Assignment'!$Y:$Y,0)),""),"")))</f>
        <v/>
      </c>
      <c r="K555" s="73" t="str">
        <f>IF(ISBLANK(J555),"",IFERROR(INDEX('Tournament List'!$D:$D,MATCH(J555,'Tournament List'!$A:$A,0)),""))</f>
        <v/>
      </c>
      <c r="L555" s="98" t="str">
        <f>IF(E555="Skeet",IFERROR(INDEX('Shooter-Squad Assignment'!$A:$A,MATCH(C555&amp;"-"&amp;D555&amp;"-"&amp;E555&amp;"-Pos4",'Shooter-Squad Assignment'!#REF!,0)),""),IF(E555="Trap",IFERROR(INDEX('Shooter-Squad Assignment'!$A:$A,MATCH(C555&amp;"-"&amp;D555&amp;"-"&amp;E555&amp;"-Pos4",'Shooter-Squad Assignment'!$V:$V,0)),""),IF(E555="Sporting Clays",IFERROR(INDEX('Shooter-Squad Assignment'!$A:$A,MATCH(C555&amp;"-"&amp;D555&amp;"-"&amp;E555&amp;"-Pos4",'Shooter-Squad Assignment'!$Y:$Y,0)),""),"")))</f>
        <v/>
      </c>
      <c r="M555" s="73" t="str">
        <f>IF(ISBLANK(L555),"",IFERROR(INDEX('Tournament List'!$D:$D,MATCH(L555,'Tournament List'!$A:$A,0)),""))</f>
        <v/>
      </c>
      <c r="N555" s="98" t="str">
        <f>IF(E555="Skeet",IFERROR(INDEX('Shooter-Squad Assignment'!$A:$A,MATCH(C555&amp;"-"&amp;D555&amp;"-"&amp;E555&amp;"-Pos5",'Shooter-Squad Assignment'!#REF!,0)),""),IF(E555="Trap",IFERROR(INDEX('Shooter-Squad Assignment'!$A:$A,MATCH(C555&amp;"-"&amp;D555&amp;"-"&amp;E555&amp;"-Pos5",'Shooter-Squad Assignment'!$V:$V,0)),""),IF(E555="Sporting Clays",IFERROR(INDEX('Shooter-Squad Assignment'!$A:$A,MATCH(C555&amp;"-"&amp;D555&amp;"-"&amp;E555&amp;"-Pos5",'Shooter-Squad Assignment'!$Y:$Y,0)),""),"")))</f>
        <v/>
      </c>
      <c r="O555" s="80" t="str">
        <f>IF(ISBLANK(N555),"",IFERROR(INDEX('Tournament List'!$D:$D,MATCH(N555,'Tournament List'!$A:$A,0)),""))</f>
        <v/>
      </c>
    </row>
    <row r="556" spans="1:15" x14ac:dyDescent="0.3">
      <c r="A556" s="79">
        <v>564</v>
      </c>
      <c r="B556" s="73" t="str">
        <f t="shared" si="8"/>
        <v>-Open 3-Skeet</v>
      </c>
      <c r="C556" s="73"/>
      <c r="D556" s="73" t="s">
        <v>355</v>
      </c>
      <c r="E556" s="73" t="s">
        <v>143</v>
      </c>
      <c r="F556" s="98" t="str">
        <f>IF(E556="Skeet",IFERROR(INDEX('Shooter-Squad Assignment'!$A:$A,MATCH(C556&amp;"-"&amp;D556&amp;"-"&amp;E556&amp;"-Pos1",'Shooter-Squad Assignment'!#REF!,0)),""),IF(E556="Trap",IFERROR(INDEX('Shooter-Squad Assignment'!$A:$A,MATCH(C556&amp;"-"&amp;D556&amp;"-"&amp;E556&amp;"-Pos1",'Shooter-Squad Assignment'!$V:$V,0)),""),IF(E556="Sporting Clays",IFERROR(INDEX('Shooter-Squad Assignment'!$A:$A,MATCH(C556&amp;"-"&amp;D556&amp;"-"&amp;E556&amp;"-Pos1",'Shooter-Squad Assignment'!$Y:$Y,0)),""),"")))</f>
        <v/>
      </c>
      <c r="G556" s="73" t="str">
        <f>IF(ISBLANK(F556),"",IFERROR(INDEX('Tournament List'!$D:$D,MATCH(F556,'Tournament List'!$A:$A,0)),""))</f>
        <v/>
      </c>
      <c r="H556" s="98" t="str">
        <f>IF(E556="Skeet",IFERROR(INDEX('Shooter-Squad Assignment'!$A:$A,MATCH(C556&amp;"-"&amp;D556&amp;"-"&amp;E556&amp;"-Pos2",'Shooter-Squad Assignment'!#REF!,0)),""),IF(E556="Trap",IFERROR(INDEX('Shooter-Squad Assignment'!$A:$A,MATCH(C556&amp;"-"&amp;D556&amp;"-"&amp;E556&amp;"-Pos2",'Shooter-Squad Assignment'!$V:$V,0)),""),IF(E556="Sporting Clays",IFERROR(INDEX('Shooter-Squad Assignment'!$A:$A,MATCH(C556&amp;"-"&amp;D556&amp;"-"&amp;E556&amp;"-Pos2",'Shooter-Squad Assignment'!$Y:$Y,0)),""),"")))</f>
        <v/>
      </c>
      <c r="I556" s="73" t="str">
        <f>IF(ISBLANK(H556),"",IFERROR(INDEX('Tournament List'!$D:$D,MATCH(H556,'Tournament List'!$A:$A,0)),""))</f>
        <v/>
      </c>
      <c r="J556" s="98" t="str">
        <f>IF(E556="Skeet",IFERROR(INDEX('Shooter-Squad Assignment'!$A:$A,MATCH(C556&amp;"-"&amp;D556&amp;"-"&amp;E556&amp;"-Pos3",'Shooter-Squad Assignment'!#REF!,0)),""),IF(E556="Trap",IFERROR(INDEX('Shooter-Squad Assignment'!$A:$A,MATCH(C556&amp;"-"&amp;D556&amp;"-"&amp;E556&amp;"-Pos3",'Shooter-Squad Assignment'!$V:$V,0)),""),IF(E556="Sporting Clays",IFERROR(INDEX('Shooter-Squad Assignment'!$A:$A,MATCH(C556&amp;"-"&amp;D556&amp;"-"&amp;E556&amp;"-Pos3",'Shooter-Squad Assignment'!$Y:$Y,0)),""),"")))</f>
        <v/>
      </c>
      <c r="K556" s="73" t="str">
        <f>IF(ISBLANK(J556),"",IFERROR(INDEX('Tournament List'!$D:$D,MATCH(J556,'Tournament List'!$A:$A,0)),""))</f>
        <v/>
      </c>
      <c r="L556" s="98" t="str">
        <f>IF(E556="Skeet",IFERROR(INDEX('Shooter-Squad Assignment'!$A:$A,MATCH(C556&amp;"-"&amp;D556&amp;"-"&amp;E556&amp;"-Pos4",'Shooter-Squad Assignment'!#REF!,0)),""),IF(E556="Trap",IFERROR(INDEX('Shooter-Squad Assignment'!$A:$A,MATCH(C556&amp;"-"&amp;D556&amp;"-"&amp;E556&amp;"-Pos4",'Shooter-Squad Assignment'!$V:$V,0)),""),IF(E556="Sporting Clays",IFERROR(INDEX('Shooter-Squad Assignment'!$A:$A,MATCH(C556&amp;"-"&amp;D556&amp;"-"&amp;E556&amp;"-Pos4",'Shooter-Squad Assignment'!$Y:$Y,0)),""),"")))</f>
        <v/>
      </c>
      <c r="M556" s="73" t="str">
        <f>IF(ISBLANK(L556),"",IFERROR(INDEX('Tournament List'!$D:$D,MATCH(L556,'Tournament List'!$A:$A,0)),""))</f>
        <v/>
      </c>
      <c r="N556" s="98" t="str">
        <f>IF(E556="Skeet",IFERROR(INDEX('Shooter-Squad Assignment'!$A:$A,MATCH(C556&amp;"-"&amp;D556&amp;"-"&amp;E556&amp;"-Pos5",'Shooter-Squad Assignment'!#REF!,0)),""),IF(E556="Trap",IFERROR(INDEX('Shooter-Squad Assignment'!$A:$A,MATCH(C556&amp;"-"&amp;D556&amp;"-"&amp;E556&amp;"-Pos5",'Shooter-Squad Assignment'!$V:$V,0)),""),IF(E556="Sporting Clays",IFERROR(INDEX('Shooter-Squad Assignment'!$A:$A,MATCH(C556&amp;"-"&amp;D556&amp;"-"&amp;E556&amp;"-Pos5",'Shooter-Squad Assignment'!$Y:$Y,0)),""),"")))</f>
        <v/>
      </c>
      <c r="O556" s="80" t="str">
        <f>IF(ISBLANK(N556),"",IFERROR(INDEX('Tournament List'!$D:$D,MATCH(N556,'Tournament List'!$A:$A,0)),""))</f>
        <v/>
      </c>
    </row>
    <row r="557" spans="1:15" x14ac:dyDescent="0.3">
      <c r="A557" s="79">
        <v>565</v>
      </c>
      <c r="B557" s="73" t="str">
        <f t="shared" si="8"/>
        <v>-Varsity 1-Skeet</v>
      </c>
      <c r="C557" s="73"/>
      <c r="D557" s="73" t="s">
        <v>342</v>
      </c>
      <c r="E557" s="73" t="s">
        <v>143</v>
      </c>
      <c r="F557" s="98" t="str">
        <f>IF(E557="Skeet",IFERROR(INDEX('Shooter-Squad Assignment'!$A:$A,MATCH(C557&amp;"-"&amp;D557&amp;"-"&amp;E557&amp;"-Pos1",'Shooter-Squad Assignment'!#REF!,0)),""),IF(E557="Trap",IFERROR(INDEX('Shooter-Squad Assignment'!$A:$A,MATCH(C557&amp;"-"&amp;D557&amp;"-"&amp;E557&amp;"-Pos1",'Shooter-Squad Assignment'!$V:$V,0)),""),IF(E557="Sporting Clays",IFERROR(INDEX('Shooter-Squad Assignment'!$A:$A,MATCH(C557&amp;"-"&amp;D557&amp;"-"&amp;E557&amp;"-Pos1",'Shooter-Squad Assignment'!$Y:$Y,0)),""),"")))</f>
        <v/>
      </c>
      <c r="G557" s="73" t="str">
        <f>IF(ISBLANK(F557),"",IFERROR(INDEX('Tournament List'!$D:$D,MATCH(F557,'Tournament List'!$A:$A,0)),""))</f>
        <v/>
      </c>
      <c r="H557" s="98" t="str">
        <f>IF(E557="Skeet",IFERROR(INDEX('Shooter-Squad Assignment'!$A:$A,MATCH(C557&amp;"-"&amp;D557&amp;"-"&amp;E557&amp;"-Pos2",'Shooter-Squad Assignment'!#REF!,0)),""),IF(E557="Trap",IFERROR(INDEX('Shooter-Squad Assignment'!$A:$A,MATCH(C557&amp;"-"&amp;D557&amp;"-"&amp;E557&amp;"-Pos2",'Shooter-Squad Assignment'!$V:$V,0)),""),IF(E557="Sporting Clays",IFERROR(INDEX('Shooter-Squad Assignment'!$A:$A,MATCH(C557&amp;"-"&amp;D557&amp;"-"&amp;E557&amp;"-Pos2",'Shooter-Squad Assignment'!$Y:$Y,0)),""),"")))</f>
        <v/>
      </c>
      <c r="I557" s="73" t="str">
        <f>IF(ISBLANK(H557),"",IFERROR(INDEX('Tournament List'!$D:$D,MATCH(H557,'Tournament List'!$A:$A,0)),""))</f>
        <v/>
      </c>
      <c r="J557" s="98" t="str">
        <f>IF(E557="Skeet",IFERROR(INDEX('Shooter-Squad Assignment'!$A:$A,MATCH(C557&amp;"-"&amp;D557&amp;"-"&amp;E557&amp;"-Pos3",'Shooter-Squad Assignment'!#REF!,0)),""),IF(E557="Trap",IFERROR(INDEX('Shooter-Squad Assignment'!$A:$A,MATCH(C557&amp;"-"&amp;D557&amp;"-"&amp;E557&amp;"-Pos3",'Shooter-Squad Assignment'!$V:$V,0)),""),IF(E557="Sporting Clays",IFERROR(INDEX('Shooter-Squad Assignment'!$A:$A,MATCH(C557&amp;"-"&amp;D557&amp;"-"&amp;E557&amp;"-Pos3",'Shooter-Squad Assignment'!$Y:$Y,0)),""),"")))</f>
        <v/>
      </c>
      <c r="K557" s="73" t="str">
        <f>IF(ISBLANK(J557),"",IFERROR(INDEX('Tournament List'!$D:$D,MATCH(J557,'Tournament List'!$A:$A,0)),""))</f>
        <v/>
      </c>
      <c r="L557" s="98" t="str">
        <f>IF(E557="Skeet",IFERROR(INDEX('Shooter-Squad Assignment'!$A:$A,MATCH(C557&amp;"-"&amp;D557&amp;"-"&amp;E557&amp;"-Pos4",'Shooter-Squad Assignment'!#REF!,0)),""),IF(E557="Trap",IFERROR(INDEX('Shooter-Squad Assignment'!$A:$A,MATCH(C557&amp;"-"&amp;D557&amp;"-"&amp;E557&amp;"-Pos4",'Shooter-Squad Assignment'!$V:$V,0)),""),IF(E557="Sporting Clays",IFERROR(INDEX('Shooter-Squad Assignment'!$A:$A,MATCH(C557&amp;"-"&amp;D557&amp;"-"&amp;E557&amp;"-Pos4",'Shooter-Squad Assignment'!$Y:$Y,0)),""),"")))</f>
        <v/>
      </c>
      <c r="M557" s="73" t="str">
        <f>IF(ISBLANK(L557),"",IFERROR(INDEX('Tournament List'!$D:$D,MATCH(L557,'Tournament List'!$A:$A,0)),""))</f>
        <v/>
      </c>
      <c r="N557" s="98" t="str">
        <f>IF(E557="Skeet",IFERROR(INDEX('Shooter-Squad Assignment'!$A:$A,MATCH(C557&amp;"-"&amp;D557&amp;"-"&amp;E557&amp;"-Pos5",'Shooter-Squad Assignment'!#REF!,0)),""),IF(E557="Trap",IFERROR(INDEX('Shooter-Squad Assignment'!$A:$A,MATCH(C557&amp;"-"&amp;D557&amp;"-"&amp;E557&amp;"-Pos5",'Shooter-Squad Assignment'!$V:$V,0)),""),IF(E557="Sporting Clays",IFERROR(INDEX('Shooter-Squad Assignment'!$A:$A,MATCH(C557&amp;"-"&amp;D557&amp;"-"&amp;E557&amp;"-Pos5",'Shooter-Squad Assignment'!$Y:$Y,0)),""),"")))</f>
        <v/>
      </c>
      <c r="O557" s="80" t="str">
        <f>IF(ISBLANK(N557),"",IFERROR(INDEX('Tournament List'!$D:$D,MATCH(N557,'Tournament List'!$A:$A,0)),""))</f>
        <v/>
      </c>
    </row>
    <row r="558" spans="1:15" x14ac:dyDescent="0.3">
      <c r="A558" s="79">
        <v>566</v>
      </c>
      <c r="B558" s="73" t="str">
        <f t="shared" si="8"/>
        <v>-Varsity 2-Skeet</v>
      </c>
      <c r="C558" s="73"/>
      <c r="D558" s="73" t="s">
        <v>348</v>
      </c>
      <c r="E558" s="73" t="s">
        <v>143</v>
      </c>
      <c r="F558" s="98" t="str">
        <f>IF(E558="Skeet",IFERROR(INDEX('Shooter-Squad Assignment'!$A:$A,MATCH(C558&amp;"-"&amp;D558&amp;"-"&amp;E558&amp;"-Pos1",'Shooter-Squad Assignment'!#REF!,0)),""),IF(E558="Trap",IFERROR(INDEX('Shooter-Squad Assignment'!$A:$A,MATCH(C558&amp;"-"&amp;D558&amp;"-"&amp;E558&amp;"-Pos1",'Shooter-Squad Assignment'!$V:$V,0)),""),IF(E558="Sporting Clays",IFERROR(INDEX('Shooter-Squad Assignment'!$A:$A,MATCH(C558&amp;"-"&amp;D558&amp;"-"&amp;E558&amp;"-Pos1",'Shooter-Squad Assignment'!$Y:$Y,0)),""),"")))</f>
        <v/>
      </c>
      <c r="G558" s="73" t="str">
        <f>IF(ISBLANK(F558),"",IFERROR(INDEX('Tournament List'!$D:$D,MATCH(F558,'Tournament List'!$A:$A,0)),""))</f>
        <v/>
      </c>
      <c r="H558" s="98" t="str">
        <f>IF(E558="Skeet",IFERROR(INDEX('Shooter-Squad Assignment'!$A:$A,MATCH(C558&amp;"-"&amp;D558&amp;"-"&amp;E558&amp;"-Pos2",'Shooter-Squad Assignment'!#REF!,0)),""),IF(E558="Trap",IFERROR(INDEX('Shooter-Squad Assignment'!$A:$A,MATCH(C558&amp;"-"&amp;D558&amp;"-"&amp;E558&amp;"-Pos2",'Shooter-Squad Assignment'!$V:$V,0)),""),IF(E558="Sporting Clays",IFERROR(INDEX('Shooter-Squad Assignment'!$A:$A,MATCH(C558&amp;"-"&amp;D558&amp;"-"&amp;E558&amp;"-Pos2",'Shooter-Squad Assignment'!$Y:$Y,0)),""),"")))</f>
        <v/>
      </c>
      <c r="I558" s="73" t="str">
        <f>IF(ISBLANK(H558),"",IFERROR(INDEX('Tournament List'!$D:$D,MATCH(H558,'Tournament List'!$A:$A,0)),""))</f>
        <v/>
      </c>
      <c r="J558" s="98" t="str">
        <f>IF(E558="Skeet",IFERROR(INDEX('Shooter-Squad Assignment'!$A:$A,MATCH(C558&amp;"-"&amp;D558&amp;"-"&amp;E558&amp;"-Pos3",'Shooter-Squad Assignment'!#REF!,0)),""),IF(E558="Trap",IFERROR(INDEX('Shooter-Squad Assignment'!$A:$A,MATCH(C558&amp;"-"&amp;D558&amp;"-"&amp;E558&amp;"-Pos3",'Shooter-Squad Assignment'!$V:$V,0)),""),IF(E558="Sporting Clays",IFERROR(INDEX('Shooter-Squad Assignment'!$A:$A,MATCH(C558&amp;"-"&amp;D558&amp;"-"&amp;E558&amp;"-Pos3",'Shooter-Squad Assignment'!$Y:$Y,0)),""),"")))</f>
        <v/>
      </c>
      <c r="K558" s="73" t="str">
        <f>IF(ISBLANK(J558),"",IFERROR(INDEX('Tournament List'!$D:$D,MATCH(J558,'Tournament List'!$A:$A,0)),""))</f>
        <v/>
      </c>
      <c r="L558" s="98" t="str">
        <f>IF(E558="Skeet",IFERROR(INDEX('Shooter-Squad Assignment'!$A:$A,MATCH(C558&amp;"-"&amp;D558&amp;"-"&amp;E558&amp;"-Pos4",'Shooter-Squad Assignment'!#REF!,0)),""),IF(E558="Trap",IFERROR(INDEX('Shooter-Squad Assignment'!$A:$A,MATCH(C558&amp;"-"&amp;D558&amp;"-"&amp;E558&amp;"-Pos4",'Shooter-Squad Assignment'!$V:$V,0)),""),IF(E558="Sporting Clays",IFERROR(INDEX('Shooter-Squad Assignment'!$A:$A,MATCH(C558&amp;"-"&amp;D558&amp;"-"&amp;E558&amp;"-Pos4",'Shooter-Squad Assignment'!$Y:$Y,0)),""),"")))</f>
        <v/>
      </c>
      <c r="M558" s="73" t="str">
        <f>IF(ISBLANK(L558),"",IFERROR(INDEX('Tournament List'!$D:$D,MATCH(L558,'Tournament List'!$A:$A,0)),""))</f>
        <v/>
      </c>
      <c r="N558" s="98" t="str">
        <f>IF(E558="Skeet",IFERROR(INDEX('Shooter-Squad Assignment'!$A:$A,MATCH(C558&amp;"-"&amp;D558&amp;"-"&amp;E558&amp;"-Pos5",'Shooter-Squad Assignment'!#REF!,0)),""),IF(E558="Trap",IFERROR(INDEX('Shooter-Squad Assignment'!$A:$A,MATCH(C558&amp;"-"&amp;D558&amp;"-"&amp;E558&amp;"-Pos5",'Shooter-Squad Assignment'!$V:$V,0)),""),IF(E558="Sporting Clays",IFERROR(INDEX('Shooter-Squad Assignment'!$A:$A,MATCH(C558&amp;"-"&amp;D558&amp;"-"&amp;E558&amp;"-Pos5",'Shooter-Squad Assignment'!$Y:$Y,0)),""),"")))</f>
        <v/>
      </c>
      <c r="O558" s="80" t="str">
        <f>IF(ISBLANK(N558),"",IFERROR(INDEX('Tournament List'!$D:$D,MATCH(N558,'Tournament List'!$A:$A,0)),""))</f>
        <v/>
      </c>
    </row>
    <row r="559" spans="1:15" x14ac:dyDescent="0.3">
      <c r="A559" s="79">
        <v>567</v>
      </c>
      <c r="B559" s="73" t="str">
        <f t="shared" si="8"/>
        <v>-Varsity 3-Skeet</v>
      </c>
      <c r="C559" s="73"/>
      <c r="D559" s="73" t="s">
        <v>354</v>
      </c>
      <c r="E559" s="73" t="s">
        <v>143</v>
      </c>
      <c r="F559" s="98" t="str">
        <f>IF(E559="Skeet",IFERROR(INDEX('Shooter-Squad Assignment'!$A:$A,MATCH(C559&amp;"-"&amp;D559&amp;"-"&amp;E559&amp;"-Pos1",'Shooter-Squad Assignment'!#REF!,0)),""),IF(E559="Trap",IFERROR(INDEX('Shooter-Squad Assignment'!$A:$A,MATCH(C559&amp;"-"&amp;D559&amp;"-"&amp;E559&amp;"-Pos1",'Shooter-Squad Assignment'!$V:$V,0)),""),IF(E559="Sporting Clays",IFERROR(INDEX('Shooter-Squad Assignment'!$A:$A,MATCH(C559&amp;"-"&amp;D559&amp;"-"&amp;E559&amp;"-Pos1",'Shooter-Squad Assignment'!$Y:$Y,0)),""),"")))</f>
        <v/>
      </c>
      <c r="G559" s="73" t="str">
        <f>IF(ISBLANK(F559),"",IFERROR(INDEX('Tournament List'!$D:$D,MATCH(F559,'Tournament List'!$A:$A,0)),""))</f>
        <v/>
      </c>
      <c r="H559" s="98" t="str">
        <f>IF(E559="Skeet",IFERROR(INDEX('Shooter-Squad Assignment'!$A:$A,MATCH(C559&amp;"-"&amp;D559&amp;"-"&amp;E559&amp;"-Pos2",'Shooter-Squad Assignment'!#REF!,0)),""),IF(E559="Trap",IFERROR(INDEX('Shooter-Squad Assignment'!$A:$A,MATCH(C559&amp;"-"&amp;D559&amp;"-"&amp;E559&amp;"-Pos2",'Shooter-Squad Assignment'!$V:$V,0)),""),IF(E559="Sporting Clays",IFERROR(INDEX('Shooter-Squad Assignment'!$A:$A,MATCH(C559&amp;"-"&amp;D559&amp;"-"&amp;E559&amp;"-Pos2",'Shooter-Squad Assignment'!$Y:$Y,0)),""),"")))</f>
        <v/>
      </c>
      <c r="I559" s="73" t="str">
        <f>IF(ISBLANK(H559),"",IFERROR(INDEX('Tournament List'!$D:$D,MATCH(H559,'Tournament List'!$A:$A,0)),""))</f>
        <v/>
      </c>
      <c r="J559" s="98" t="str">
        <f>IF(E559="Skeet",IFERROR(INDEX('Shooter-Squad Assignment'!$A:$A,MATCH(C559&amp;"-"&amp;D559&amp;"-"&amp;E559&amp;"-Pos3",'Shooter-Squad Assignment'!#REF!,0)),""),IF(E559="Trap",IFERROR(INDEX('Shooter-Squad Assignment'!$A:$A,MATCH(C559&amp;"-"&amp;D559&amp;"-"&amp;E559&amp;"-Pos3",'Shooter-Squad Assignment'!$V:$V,0)),""),IF(E559="Sporting Clays",IFERROR(INDEX('Shooter-Squad Assignment'!$A:$A,MATCH(C559&amp;"-"&amp;D559&amp;"-"&amp;E559&amp;"-Pos3",'Shooter-Squad Assignment'!$Y:$Y,0)),""),"")))</f>
        <v/>
      </c>
      <c r="K559" s="73" t="str">
        <f>IF(ISBLANK(J559),"",IFERROR(INDEX('Tournament List'!$D:$D,MATCH(J559,'Tournament List'!$A:$A,0)),""))</f>
        <v/>
      </c>
      <c r="L559" s="98" t="str">
        <f>IF(E559="Skeet",IFERROR(INDEX('Shooter-Squad Assignment'!$A:$A,MATCH(C559&amp;"-"&amp;D559&amp;"-"&amp;E559&amp;"-Pos4",'Shooter-Squad Assignment'!#REF!,0)),""),IF(E559="Trap",IFERROR(INDEX('Shooter-Squad Assignment'!$A:$A,MATCH(C559&amp;"-"&amp;D559&amp;"-"&amp;E559&amp;"-Pos4",'Shooter-Squad Assignment'!$V:$V,0)),""),IF(E559="Sporting Clays",IFERROR(INDEX('Shooter-Squad Assignment'!$A:$A,MATCH(C559&amp;"-"&amp;D559&amp;"-"&amp;E559&amp;"-Pos4",'Shooter-Squad Assignment'!$Y:$Y,0)),""),"")))</f>
        <v/>
      </c>
      <c r="M559" s="73" t="str">
        <f>IF(ISBLANK(L559),"",IFERROR(INDEX('Tournament List'!$D:$D,MATCH(L559,'Tournament List'!$A:$A,0)),""))</f>
        <v/>
      </c>
      <c r="N559" s="98" t="str">
        <f>IF(E559="Skeet",IFERROR(INDEX('Shooter-Squad Assignment'!$A:$A,MATCH(C559&amp;"-"&amp;D559&amp;"-"&amp;E559&amp;"-Pos5",'Shooter-Squad Assignment'!#REF!,0)),""),IF(E559="Trap",IFERROR(INDEX('Shooter-Squad Assignment'!$A:$A,MATCH(C559&amp;"-"&amp;D559&amp;"-"&amp;E559&amp;"-Pos5",'Shooter-Squad Assignment'!$V:$V,0)),""),IF(E559="Sporting Clays",IFERROR(INDEX('Shooter-Squad Assignment'!$A:$A,MATCH(C559&amp;"-"&amp;D559&amp;"-"&amp;E559&amp;"-Pos5",'Shooter-Squad Assignment'!$Y:$Y,0)),""),"")))</f>
        <v/>
      </c>
      <c r="O559" s="80" t="str">
        <f>IF(ISBLANK(N559),"",IFERROR(INDEX('Tournament List'!$D:$D,MATCH(N559,'Tournament List'!$A:$A,0)),""))</f>
        <v/>
      </c>
    </row>
    <row r="560" spans="1:15" x14ac:dyDescent="0.3">
      <c r="A560" s="79">
        <v>568</v>
      </c>
      <c r="B560" s="73" t="str">
        <f t="shared" si="8"/>
        <v>-Collegiate 1-Trap</v>
      </c>
      <c r="C560" s="73"/>
      <c r="D560" s="73" t="s">
        <v>344</v>
      </c>
      <c r="E560" s="73" t="s">
        <v>147</v>
      </c>
      <c r="F560" s="98" t="str">
        <f>IF(E560="Skeet",IFERROR(INDEX('Shooter-Squad Assignment'!$A:$A,MATCH(C560&amp;"-"&amp;D560&amp;"-"&amp;E560&amp;"-Pos1",'Shooter-Squad Assignment'!#REF!,0)),""),IF(E560="Trap",IFERROR(INDEX('Shooter-Squad Assignment'!$A:$A,MATCH(C560&amp;"-"&amp;D560&amp;"-"&amp;E560&amp;"-Pos1",'Shooter-Squad Assignment'!$V:$V,0)),""),IF(E560="Sporting Clays",IFERROR(INDEX('Shooter-Squad Assignment'!$A:$A,MATCH(C560&amp;"-"&amp;D560&amp;"-"&amp;E560&amp;"-Pos1",'Shooter-Squad Assignment'!$Y:$Y,0)),""),"")))</f>
        <v/>
      </c>
      <c r="G560" s="73" t="str">
        <f>IF(ISBLANK(F560),"",IFERROR(INDEX('Tournament List'!$D:$D,MATCH(F560,'Tournament List'!$A:$A,0)),""))</f>
        <v/>
      </c>
      <c r="H560" s="98" t="str">
        <f>IF(E560="Skeet",IFERROR(INDEX('Shooter-Squad Assignment'!$A:$A,MATCH(C560&amp;"-"&amp;D560&amp;"-"&amp;E560&amp;"-Pos2",'Shooter-Squad Assignment'!#REF!,0)),""),IF(E560="Trap",IFERROR(INDEX('Shooter-Squad Assignment'!$A:$A,MATCH(C560&amp;"-"&amp;D560&amp;"-"&amp;E560&amp;"-Pos2",'Shooter-Squad Assignment'!$V:$V,0)),""),IF(E560="Sporting Clays",IFERROR(INDEX('Shooter-Squad Assignment'!$A:$A,MATCH(C560&amp;"-"&amp;D560&amp;"-"&amp;E560&amp;"-Pos2",'Shooter-Squad Assignment'!$Y:$Y,0)),""),"")))</f>
        <v/>
      </c>
      <c r="I560" s="73" t="str">
        <f>IF(ISBLANK(H560),"",IFERROR(INDEX('Tournament List'!$D:$D,MATCH(H560,'Tournament List'!$A:$A,0)),""))</f>
        <v/>
      </c>
      <c r="J560" s="98" t="str">
        <f>IF(E560="Skeet",IFERROR(INDEX('Shooter-Squad Assignment'!$A:$A,MATCH(C560&amp;"-"&amp;D560&amp;"-"&amp;E560&amp;"-Pos3",'Shooter-Squad Assignment'!#REF!,0)),""),IF(E560="Trap",IFERROR(INDEX('Shooter-Squad Assignment'!$A:$A,MATCH(C560&amp;"-"&amp;D560&amp;"-"&amp;E560&amp;"-Pos3",'Shooter-Squad Assignment'!$V:$V,0)),""),IF(E560="Sporting Clays",IFERROR(INDEX('Shooter-Squad Assignment'!$A:$A,MATCH(C560&amp;"-"&amp;D560&amp;"-"&amp;E560&amp;"-Pos3",'Shooter-Squad Assignment'!$Y:$Y,0)),""),"")))</f>
        <v/>
      </c>
      <c r="K560" s="73" t="str">
        <f>IF(ISBLANK(J560),"",IFERROR(INDEX('Tournament List'!$D:$D,MATCH(J560,'Tournament List'!$A:$A,0)),""))</f>
        <v/>
      </c>
      <c r="L560" s="98" t="str">
        <f>IF(E560="Skeet",IFERROR(INDEX('Shooter-Squad Assignment'!$A:$A,MATCH(C560&amp;"-"&amp;D560&amp;"-"&amp;E560&amp;"-Pos4",'Shooter-Squad Assignment'!#REF!,0)),""),IF(E560="Trap",IFERROR(INDEX('Shooter-Squad Assignment'!$A:$A,MATCH(C560&amp;"-"&amp;D560&amp;"-"&amp;E560&amp;"-Pos4",'Shooter-Squad Assignment'!$V:$V,0)),""),IF(E560="Sporting Clays",IFERROR(INDEX('Shooter-Squad Assignment'!$A:$A,MATCH(C560&amp;"-"&amp;D560&amp;"-"&amp;E560&amp;"-Pos4",'Shooter-Squad Assignment'!$Y:$Y,0)),""),"")))</f>
        <v/>
      </c>
      <c r="M560" s="73" t="str">
        <f>IF(ISBLANK(L560),"",IFERROR(INDEX('Tournament List'!$D:$D,MATCH(L560,'Tournament List'!$A:$A,0)),""))</f>
        <v/>
      </c>
      <c r="N560" s="98" t="str">
        <f>IF(E560="Skeet",IFERROR(INDEX('Shooter-Squad Assignment'!$A:$A,MATCH(C560&amp;"-"&amp;D560&amp;"-"&amp;E560&amp;"-Pos5",'Shooter-Squad Assignment'!#REF!,0)),""),IF(E560="Trap",IFERROR(INDEX('Shooter-Squad Assignment'!$A:$A,MATCH(C560&amp;"-"&amp;D560&amp;"-"&amp;E560&amp;"-Pos5",'Shooter-Squad Assignment'!$V:$V,0)),""),IF(E560="Sporting Clays",IFERROR(INDEX('Shooter-Squad Assignment'!$A:$A,MATCH(C560&amp;"-"&amp;D560&amp;"-"&amp;E560&amp;"-Pos5",'Shooter-Squad Assignment'!$Y:$Y,0)),""),"")))</f>
        <v/>
      </c>
      <c r="O560" s="80" t="str">
        <f>IF(ISBLANK(N560),"",IFERROR(INDEX('Tournament List'!$D:$D,MATCH(N560,'Tournament List'!$A:$A,0)),""))</f>
        <v/>
      </c>
    </row>
    <row r="561" spans="1:15" x14ac:dyDescent="0.3">
      <c r="A561" s="79">
        <v>569</v>
      </c>
      <c r="B561" s="73" t="str">
        <f t="shared" si="8"/>
        <v>-Collegiate 2-Trap</v>
      </c>
      <c r="C561" s="73"/>
      <c r="D561" s="73" t="s">
        <v>350</v>
      </c>
      <c r="E561" s="73" t="s">
        <v>147</v>
      </c>
      <c r="F561" s="98" t="str">
        <f>IF(E561="Skeet",IFERROR(INDEX('Shooter-Squad Assignment'!$A:$A,MATCH(C561&amp;"-"&amp;D561&amp;"-"&amp;E561&amp;"-Pos1",'Shooter-Squad Assignment'!#REF!,0)),""),IF(E561="Trap",IFERROR(INDEX('Shooter-Squad Assignment'!$A:$A,MATCH(C561&amp;"-"&amp;D561&amp;"-"&amp;E561&amp;"-Pos1",'Shooter-Squad Assignment'!$V:$V,0)),""),IF(E561="Sporting Clays",IFERROR(INDEX('Shooter-Squad Assignment'!$A:$A,MATCH(C561&amp;"-"&amp;D561&amp;"-"&amp;E561&amp;"-Pos1",'Shooter-Squad Assignment'!$Y:$Y,0)),""),"")))</f>
        <v/>
      </c>
      <c r="G561" s="73" t="str">
        <f>IF(ISBLANK(F561),"",IFERROR(INDEX('Tournament List'!$D:$D,MATCH(F561,'Tournament List'!$A:$A,0)),""))</f>
        <v/>
      </c>
      <c r="H561" s="98" t="str">
        <f>IF(E561="Skeet",IFERROR(INDEX('Shooter-Squad Assignment'!$A:$A,MATCH(C561&amp;"-"&amp;D561&amp;"-"&amp;E561&amp;"-Pos2",'Shooter-Squad Assignment'!#REF!,0)),""),IF(E561="Trap",IFERROR(INDEX('Shooter-Squad Assignment'!$A:$A,MATCH(C561&amp;"-"&amp;D561&amp;"-"&amp;E561&amp;"-Pos2",'Shooter-Squad Assignment'!$V:$V,0)),""),IF(E561="Sporting Clays",IFERROR(INDEX('Shooter-Squad Assignment'!$A:$A,MATCH(C561&amp;"-"&amp;D561&amp;"-"&amp;E561&amp;"-Pos2",'Shooter-Squad Assignment'!$Y:$Y,0)),""),"")))</f>
        <v/>
      </c>
      <c r="I561" s="73" t="str">
        <f>IF(ISBLANK(H561),"",IFERROR(INDEX('Tournament List'!$D:$D,MATCH(H561,'Tournament List'!$A:$A,0)),""))</f>
        <v/>
      </c>
      <c r="J561" s="98" t="str">
        <f>IF(E561="Skeet",IFERROR(INDEX('Shooter-Squad Assignment'!$A:$A,MATCH(C561&amp;"-"&amp;D561&amp;"-"&amp;E561&amp;"-Pos3",'Shooter-Squad Assignment'!#REF!,0)),""),IF(E561="Trap",IFERROR(INDEX('Shooter-Squad Assignment'!$A:$A,MATCH(C561&amp;"-"&amp;D561&amp;"-"&amp;E561&amp;"-Pos3",'Shooter-Squad Assignment'!$V:$V,0)),""),IF(E561="Sporting Clays",IFERROR(INDEX('Shooter-Squad Assignment'!$A:$A,MATCH(C561&amp;"-"&amp;D561&amp;"-"&amp;E561&amp;"-Pos3",'Shooter-Squad Assignment'!$Y:$Y,0)),""),"")))</f>
        <v/>
      </c>
      <c r="K561" s="73" t="str">
        <f>IF(ISBLANK(J561),"",IFERROR(INDEX('Tournament List'!$D:$D,MATCH(J561,'Tournament List'!$A:$A,0)),""))</f>
        <v/>
      </c>
      <c r="L561" s="98" t="str">
        <f>IF(E561="Skeet",IFERROR(INDEX('Shooter-Squad Assignment'!$A:$A,MATCH(C561&amp;"-"&amp;D561&amp;"-"&amp;E561&amp;"-Pos4",'Shooter-Squad Assignment'!#REF!,0)),""),IF(E561="Trap",IFERROR(INDEX('Shooter-Squad Assignment'!$A:$A,MATCH(C561&amp;"-"&amp;D561&amp;"-"&amp;E561&amp;"-Pos4",'Shooter-Squad Assignment'!$V:$V,0)),""),IF(E561="Sporting Clays",IFERROR(INDEX('Shooter-Squad Assignment'!$A:$A,MATCH(C561&amp;"-"&amp;D561&amp;"-"&amp;E561&amp;"-Pos4",'Shooter-Squad Assignment'!$Y:$Y,0)),""),"")))</f>
        <v/>
      </c>
      <c r="M561" s="73" t="str">
        <f>IF(ISBLANK(L561),"",IFERROR(INDEX('Tournament List'!$D:$D,MATCH(L561,'Tournament List'!$A:$A,0)),""))</f>
        <v/>
      </c>
      <c r="N561" s="98" t="str">
        <f>IF(E561="Skeet",IFERROR(INDEX('Shooter-Squad Assignment'!$A:$A,MATCH(C561&amp;"-"&amp;D561&amp;"-"&amp;E561&amp;"-Pos5",'Shooter-Squad Assignment'!#REF!,0)),""),IF(E561="Trap",IFERROR(INDEX('Shooter-Squad Assignment'!$A:$A,MATCH(C561&amp;"-"&amp;D561&amp;"-"&amp;E561&amp;"-Pos5",'Shooter-Squad Assignment'!$V:$V,0)),""),IF(E561="Sporting Clays",IFERROR(INDEX('Shooter-Squad Assignment'!$A:$A,MATCH(C561&amp;"-"&amp;D561&amp;"-"&amp;E561&amp;"-Pos5",'Shooter-Squad Assignment'!$Y:$Y,0)),""),"")))</f>
        <v/>
      </c>
      <c r="O561" s="80" t="str">
        <f>IF(ISBLANK(N561),"",IFERROR(INDEX('Tournament List'!$D:$D,MATCH(N561,'Tournament List'!$A:$A,0)),""))</f>
        <v/>
      </c>
    </row>
    <row r="562" spans="1:15" x14ac:dyDescent="0.3">
      <c r="A562" s="79">
        <v>570</v>
      </c>
      <c r="B562" s="73" t="str">
        <f t="shared" si="8"/>
        <v>-Collegiate 3-Trap</v>
      </c>
      <c r="C562" s="73"/>
      <c r="D562" s="73" t="s">
        <v>356</v>
      </c>
      <c r="E562" s="73" t="s">
        <v>147</v>
      </c>
      <c r="F562" s="98" t="str">
        <f>IF(E562="Skeet",IFERROR(INDEX('Shooter-Squad Assignment'!$A:$A,MATCH(C562&amp;"-"&amp;D562&amp;"-"&amp;E562&amp;"-Pos1",'Shooter-Squad Assignment'!#REF!,0)),""),IF(E562="Trap",IFERROR(INDEX('Shooter-Squad Assignment'!$A:$A,MATCH(C562&amp;"-"&amp;D562&amp;"-"&amp;E562&amp;"-Pos1",'Shooter-Squad Assignment'!$V:$V,0)),""),IF(E562="Sporting Clays",IFERROR(INDEX('Shooter-Squad Assignment'!$A:$A,MATCH(C562&amp;"-"&amp;D562&amp;"-"&amp;E562&amp;"-Pos1",'Shooter-Squad Assignment'!$Y:$Y,0)),""),"")))</f>
        <v/>
      </c>
      <c r="G562" s="73" t="str">
        <f>IF(ISBLANK(F562),"",IFERROR(INDEX('Tournament List'!$D:$D,MATCH(F562,'Tournament List'!$A:$A,0)),""))</f>
        <v/>
      </c>
      <c r="H562" s="98" t="str">
        <f>IF(E562="Skeet",IFERROR(INDEX('Shooter-Squad Assignment'!$A:$A,MATCH(C562&amp;"-"&amp;D562&amp;"-"&amp;E562&amp;"-Pos2",'Shooter-Squad Assignment'!#REF!,0)),""),IF(E562="Trap",IFERROR(INDEX('Shooter-Squad Assignment'!$A:$A,MATCH(C562&amp;"-"&amp;D562&amp;"-"&amp;E562&amp;"-Pos2",'Shooter-Squad Assignment'!$V:$V,0)),""),IF(E562="Sporting Clays",IFERROR(INDEX('Shooter-Squad Assignment'!$A:$A,MATCH(C562&amp;"-"&amp;D562&amp;"-"&amp;E562&amp;"-Pos2",'Shooter-Squad Assignment'!$Y:$Y,0)),""),"")))</f>
        <v/>
      </c>
      <c r="I562" s="73" t="str">
        <f>IF(ISBLANK(H562),"",IFERROR(INDEX('Tournament List'!$D:$D,MATCH(H562,'Tournament List'!$A:$A,0)),""))</f>
        <v/>
      </c>
      <c r="J562" s="98" t="str">
        <f>IF(E562="Skeet",IFERROR(INDEX('Shooter-Squad Assignment'!$A:$A,MATCH(C562&amp;"-"&amp;D562&amp;"-"&amp;E562&amp;"-Pos3",'Shooter-Squad Assignment'!#REF!,0)),""),IF(E562="Trap",IFERROR(INDEX('Shooter-Squad Assignment'!$A:$A,MATCH(C562&amp;"-"&amp;D562&amp;"-"&amp;E562&amp;"-Pos3",'Shooter-Squad Assignment'!$V:$V,0)),""),IF(E562="Sporting Clays",IFERROR(INDEX('Shooter-Squad Assignment'!$A:$A,MATCH(C562&amp;"-"&amp;D562&amp;"-"&amp;E562&amp;"-Pos3",'Shooter-Squad Assignment'!$Y:$Y,0)),""),"")))</f>
        <v/>
      </c>
      <c r="K562" s="73" t="str">
        <f>IF(ISBLANK(J562),"",IFERROR(INDEX('Tournament List'!$D:$D,MATCH(J562,'Tournament List'!$A:$A,0)),""))</f>
        <v/>
      </c>
      <c r="L562" s="98" t="str">
        <f>IF(E562="Skeet",IFERROR(INDEX('Shooter-Squad Assignment'!$A:$A,MATCH(C562&amp;"-"&amp;D562&amp;"-"&amp;E562&amp;"-Pos4",'Shooter-Squad Assignment'!#REF!,0)),""),IF(E562="Trap",IFERROR(INDEX('Shooter-Squad Assignment'!$A:$A,MATCH(C562&amp;"-"&amp;D562&amp;"-"&amp;E562&amp;"-Pos4",'Shooter-Squad Assignment'!$V:$V,0)),""),IF(E562="Sporting Clays",IFERROR(INDEX('Shooter-Squad Assignment'!$A:$A,MATCH(C562&amp;"-"&amp;D562&amp;"-"&amp;E562&amp;"-Pos4",'Shooter-Squad Assignment'!$Y:$Y,0)),""),"")))</f>
        <v/>
      </c>
      <c r="M562" s="73" t="str">
        <f>IF(ISBLANK(L562),"",IFERROR(INDEX('Tournament List'!$D:$D,MATCH(L562,'Tournament List'!$A:$A,0)),""))</f>
        <v/>
      </c>
      <c r="N562" s="98" t="str">
        <f>IF(E562="Skeet",IFERROR(INDEX('Shooter-Squad Assignment'!$A:$A,MATCH(C562&amp;"-"&amp;D562&amp;"-"&amp;E562&amp;"-Pos5",'Shooter-Squad Assignment'!#REF!,0)),""),IF(E562="Trap",IFERROR(INDEX('Shooter-Squad Assignment'!$A:$A,MATCH(C562&amp;"-"&amp;D562&amp;"-"&amp;E562&amp;"-Pos5",'Shooter-Squad Assignment'!$V:$V,0)),""),IF(E562="Sporting Clays",IFERROR(INDEX('Shooter-Squad Assignment'!$A:$A,MATCH(C562&amp;"-"&amp;D562&amp;"-"&amp;E562&amp;"-Pos5",'Shooter-Squad Assignment'!$Y:$Y,0)),""),"")))</f>
        <v/>
      </c>
      <c r="O562" s="80" t="str">
        <f>IF(ISBLANK(N562),"",IFERROR(INDEX('Tournament List'!$D:$D,MATCH(N562,'Tournament List'!$A:$A,0)),""))</f>
        <v/>
      </c>
    </row>
    <row r="563" spans="1:15" x14ac:dyDescent="0.3">
      <c r="A563" s="79">
        <v>571</v>
      </c>
      <c r="B563" s="73" t="str">
        <f t="shared" si="8"/>
        <v>-Intermediate 1-Trap</v>
      </c>
      <c r="C563" s="73"/>
      <c r="D563" s="73" t="s">
        <v>340</v>
      </c>
      <c r="E563" s="73" t="s">
        <v>147</v>
      </c>
      <c r="F563" s="98" t="str">
        <f>IF(E563="Skeet",IFERROR(INDEX('Shooter-Squad Assignment'!$A:$A,MATCH(C563&amp;"-"&amp;D563&amp;"-"&amp;E563&amp;"-Pos1",'Shooter-Squad Assignment'!#REF!,0)),""),IF(E563="Trap",IFERROR(INDEX('Shooter-Squad Assignment'!$A:$A,MATCH(C563&amp;"-"&amp;D563&amp;"-"&amp;E563&amp;"-Pos1",'Shooter-Squad Assignment'!$V:$V,0)),""),IF(E563="Sporting Clays",IFERROR(INDEX('Shooter-Squad Assignment'!$A:$A,MATCH(C563&amp;"-"&amp;D563&amp;"-"&amp;E563&amp;"-Pos1",'Shooter-Squad Assignment'!$Y:$Y,0)),""),"")))</f>
        <v/>
      </c>
      <c r="G563" s="73" t="str">
        <f>IF(ISBLANK(F563),"",IFERROR(INDEX('Tournament List'!$D:$D,MATCH(F563,'Tournament List'!$A:$A,0)),""))</f>
        <v/>
      </c>
      <c r="H563" s="98" t="str">
        <f>IF(E563="Skeet",IFERROR(INDEX('Shooter-Squad Assignment'!$A:$A,MATCH(C563&amp;"-"&amp;D563&amp;"-"&amp;E563&amp;"-Pos2",'Shooter-Squad Assignment'!#REF!,0)),""),IF(E563="Trap",IFERROR(INDEX('Shooter-Squad Assignment'!$A:$A,MATCH(C563&amp;"-"&amp;D563&amp;"-"&amp;E563&amp;"-Pos2",'Shooter-Squad Assignment'!$V:$V,0)),""),IF(E563="Sporting Clays",IFERROR(INDEX('Shooter-Squad Assignment'!$A:$A,MATCH(C563&amp;"-"&amp;D563&amp;"-"&amp;E563&amp;"-Pos2",'Shooter-Squad Assignment'!$Y:$Y,0)),""),"")))</f>
        <v/>
      </c>
      <c r="I563" s="73" t="str">
        <f>IF(ISBLANK(H563),"",IFERROR(INDEX('Tournament List'!$D:$D,MATCH(H563,'Tournament List'!$A:$A,0)),""))</f>
        <v/>
      </c>
      <c r="J563" s="98" t="str">
        <f>IF(E563="Skeet",IFERROR(INDEX('Shooter-Squad Assignment'!$A:$A,MATCH(C563&amp;"-"&amp;D563&amp;"-"&amp;E563&amp;"-Pos3",'Shooter-Squad Assignment'!#REF!,0)),""),IF(E563="Trap",IFERROR(INDEX('Shooter-Squad Assignment'!$A:$A,MATCH(C563&amp;"-"&amp;D563&amp;"-"&amp;E563&amp;"-Pos3",'Shooter-Squad Assignment'!$V:$V,0)),""),IF(E563="Sporting Clays",IFERROR(INDEX('Shooter-Squad Assignment'!$A:$A,MATCH(C563&amp;"-"&amp;D563&amp;"-"&amp;E563&amp;"-Pos3",'Shooter-Squad Assignment'!$Y:$Y,0)),""),"")))</f>
        <v/>
      </c>
      <c r="K563" s="73" t="str">
        <f>IF(ISBLANK(J563),"",IFERROR(INDEX('Tournament List'!$D:$D,MATCH(J563,'Tournament List'!$A:$A,0)),""))</f>
        <v/>
      </c>
      <c r="L563" s="98" t="str">
        <f>IF(E563="Skeet",IFERROR(INDEX('Shooter-Squad Assignment'!$A:$A,MATCH(C563&amp;"-"&amp;D563&amp;"-"&amp;E563&amp;"-Pos4",'Shooter-Squad Assignment'!#REF!,0)),""),IF(E563="Trap",IFERROR(INDEX('Shooter-Squad Assignment'!$A:$A,MATCH(C563&amp;"-"&amp;D563&amp;"-"&amp;E563&amp;"-Pos4",'Shooter-Squad Assignment'!$V:$V,0)),""),IF(E563="Sporting Clays",IFERROR(INDEX('Shooter-Squad Assignment'!$A:$A,MATCH(C563&amp;"-"&amp;D563&amp;"-"&amp;E563&amp;"-Pos4",'Shooter-Squad Assignment'!$Y:$Y,0)),""),"")))</f>
        <v/>
      </c>
      <c r="M563" s="73" t="str">
        <f>IF(ISBLANK(L563),"",IFERROR(INDEX('Tournament List'!$D:$D,MATCH(L563,'Tournament List'!$A:$A,0)),""))</f>
        <v/>
      </c>
      <c r="N563" s="98" t="str">
        <f>IF(E563="Skeet",IFERROR(INDEX('Shooter-Squad Assignment'!$A:$A,MATCH(C563&amp;"-"&amp;D563&amp;"-"&amp;E563&amp;"-Pos5",'Shooter-Squad Assignment'!#REF!,0)),""),IF(E563="Trap",IFERROR(INDEX('Shooter-Squad Assignment'!$A:$A,MATCH(C563&amp;"-"&amp;D563&amp;"-"&amp;E563&amp;"-Pos5",'Shooter-Squad Assignment'!$V:$V,0)),""),IF(E563="Sporting Clays",IFERROR(INDEX('Shooter-Squad Assignment'!$A:$A,MATCH(C563&amp;"-"&amp;D563&amp;"-"&amp;E563&amp;"-Pos5",'Shooter-Squad Assignment'!$Y:$Y,0)),""),"")))</f>
        <v/>
      </c>
      <c r="O563" s="80" t="str">
        <f>IF(ISBLANK(N563),"",IFERROR(INDEX('Tournament List'!$D:$D,MATCH(N563,'Tournament List'!$A:$A,0)),""))</f>
        <v/>
      </c>
    </row>
    <row r="564" spans="1:15" x14ac:dyDescent="0.3">
      <c r="A564" s="79">
        <v>572</v>
      </c>
      <c r="B564" s="73" t="str">
        <f t="shared" si="8"/>
        <v>-Intermediate 2-Trap</v>
      </c>
      <c r="C564" s="73"/>
      <c r="D564" s="73" t="s">
        <v>346</v>
      </c>
      <c r="E564" s="73" t="s">
        <v>147</v>
      </c>
      <c r="F564" s="98" t="str">
        <f>IF(E564="Skeet",IFERROR(INDEX('Shooter-Squad Assignment'!$A:$A,MATCH(C564&amp;"-"&amp;D564&amp;"-"&amp;E564&amp;"-Pos1",'Shooter-Squad Assignment'!#REF!,0)),""),IF(E564="Trap",IFERROR(INDEX('Shooter-Squad Assignment'!$A:$A,MATCH(C564&amp;"-"&amp;D564&amp;"-"&amp;E564&amp;"-Pos1",'Shooter-Squad Assignment'!$V:$V,0)),""),IF(E564="Sporting Clays",IFERROR(INDEX('Shooter-Squad Assignment'!$A:$A,MATCH(C564&amp;"-"&amp;D564&amp;"-"&amp;E564&amp;"-Pos1",'Shooter-Squad Assignment'!$Y:$Y,0)),""),"")))</f>
        <v/>
      </c>
      <c r="G564" s="73" t="str">
        <f>IF(ISBLANK(F564),"",IFERROR(INDEX('Tournament List'!$D:$D,MATCH(F564,'Tournament List'!$A:$A,0)),""))</f>
        <v/>
      </c>
      <c r="H564" s="98" t="str">
        <f>IF(E564="Skeet",IFERROR(INDEX('Shooter-Squad Assignment'!$A:$A,MATCH(C564&amp;"-"&amp;D564&amp;"-"&amp;E564&amp;"-Pos2",'Shooter-Squad Assignment'!#REF!,0)),""),IF(E564="Trap",IFERROR(INDEX('Shooter-Squad Assignment'!$A:$A,MATCH(C564&amp;"-"&amp;D564&amp;"-"&amp;E564&amp;"-Pos2",'Shooter-Squad Assignment'!$V:$V,0)),""),IF(E564="Sporting Clays",IFERROR(INDEX('Shooter-Squad Assignment'!$A:$A,MATCH(C564&amp;"-"&amp;D564&amp;"-"&amp;E564&amp;"-Pos2",'Shooter-Squad Assignment'!$Y:$Y,0)),""),"")))</f>
        <v/>
      </c>
      <c r="I564" s="73" t="str">
        <f>IF(ISBLANK(H564),"",IFERROR(INDEX('Tournament List'!$D:$D,MATCH(H564,'Tournament List'!$A:$A,0)),""))</f>
        <v/>
      </c>
      <c r="J564" s="98" t="str">
        <f>IF(E564="Skeet",IFERROR(INDEX('Shooter-Squad Assignment'!$A:$A,MATCH(C564&amp;"-"&amp;D564&amp;"-"&amp;E564&amp;"-Pos3",'Shooter-Squad Assignment'!#REF!,0)),""),IF(E564="Trap",IFERROR(INDEX('Shooter-Squad Assignment'!$A:$A,MATCH(C564&amp;"-"&amp;D564&amp;"-"&amp;E564&amp;"-Pos3",'Shooter-Squad Assignment'!$V:$V,0)),""),IF(E564="Sporting Clays",IFERROR(INDEX('Shooter-Squad Assignment'!$A:$A,MATCH(C564&amp;"-"&amp;D564&amp;"-"&amp;E564&amp;"-Pos3",'Shooter-Squad Assignment'!$Y:$Y,0)),""),"")))</f>
        <v/>
      </c>
      <c r="K564" s="73" t="str">
        <f>IF(ISBLANK(J564),"",IFERROR(INDEX('Tournament List'!$D:$D,MATCH(J564,'Tournament List'!$A:$A,0)),""))</f>
        <v/>
      </c>
      <c r="L564" s="98" t="str">
        <f>IF(E564="Skeet",IFERROR(INDEX('Shooter-Squad Assignment'!$A:$A,MATCH(C564&amp;"-"&amp;D564&amp;"-"&amp;E564&amp;"-Pos4",'Shooter-Squad Assignment'!#REF!,0)),""),IF(E564="Trap",IFERROR(INDEX('Shooter-Squad Assignment'!$A:$A,MATCH(C564&amp;"-"&amp;D564&amp;"-"&amp;E564&amp;"-Pos4",'Shooter-Squad Assignment'!$V:$V,0)),""),IF(E564="Sporting Clays",IFERROR(INDEX('Shooter-Squad Assignment'!$A:$A,MATCH(C564&amp;"-"&amp;D564&amp;"-"&amp;E564&amp;"-Pos4",'Shooter-Squad Assignment'!$Y:$Y,0)),""),"")))</f>
        <v/>
      </c>
      <c r="M564" s="73" t="str">
        <f>IF(ISBLANK(L564),"",IFERROR(INDEX('Tournament List'!$D:$D,MATCH(L564,'Tournament List'!$A:$A,0)),""))</f>
        <v/>
      </c>
      <c r="N564" s="98" t="str">
        <f>IF(E564="Skeet",IFERROR(INDEX('Shooter-Squad Assignment'!$A:$A,MATCH(C564&amp;"-"&amp;D564&amp;"-"&amp;E564&amp;"-Pos5",'Shooter-Squad Assignment'!#REF!,0)),""),IF(E564="Trap",IFERROR(INDEX('Shooter-Squad Assignment'!$A:$A,MATCH(C564&amp;"-"&amp;D564&amp;"-"&amp;E564&amp;"-Pos5",'Shooter-Squad Assignment'!$V:$V,0)),""),IF(E564="Sporting Clays",IFERROR(INDEX('Shooter-Squad Assignment'!$A:$A,MATCH(C564&amp;"-"&amp;D564&amp;"-"&amp;E564&amp;"-Pos5",'Shooter-Squad Assignment'!$Y:$Y,0)),""),"")))</f>
        <v/>
      </c>
      <c r="O564" s="80" t="str">
        <f>IF(ISBLANK(N564),"",IFERROR(INDEX('Tournament List'!$D:$D,MATCH(N564,'Tournament List'!$A:$A,0)),""))</f>
        <v/>
      </c>
    </row>
    <row r="565" spans="1:15" x14ac:dyDescent="0.3">
      <c r="A565" s="79">
        <v>573</v>
      </c>
      <c r="B565" s="73" t="str">
        <f t="shared" si="8"/>
        <v>-Intermediate 3-Trap</v>
      </c>
      <c r="C565" s="73"/>
      <c r="D565" s="73" t="s">
        <v>352</v>
      </c>
      <c r="E565" s="73" t="s">
        <v>147</v>
      </c>
      <c r="F565" s="98" t="str">
        <f>IF(E565="Skeet",IFERROR(INDEX('Shooter-Squad Assignment'!$A:$A,MATCH(C565&amp;"-"&amp;D565&amp;"-"&amp;E565&amp;"-Pos1",'Shooter-Squad Assignment'!#REF!,0)),""),IF(E565="Trap",IFERROR(INDEX('Shooter-Squad Assignment'!$A:$A,MATCH(C565&amp;"-"&amp;D565&amp;"-"&amp;E565&amp;"-Pos1",'Shooter-Squad Assignment'!$V:$V,0)),""),IF(E565="Sporting Clays",IFERROR(INDEX('Shooter-Squad Assignment'!$A:$A,MATCH(C565&amp;"-"&amp;D565&amp;"-"&amp;E565&amp;"-Pos1",'Shooter-Squad Assignment'!$Y:$Y,0)),""),"")))</f>
        <v/>
      </c>
      <c r="G565" s="73" t="str">
        <f>IF(ISBLANK(F565),"",IFERROR(INDEX('Tournament List'!$D:$D,MATCH(F565,'Tournament List'!$A:$A,0)),""))</f>
        <v/>
      </c>
      <c r="H565" s="98" t="str">
        <f>IF(E565="Skeet",IFERROR(INDEX('Shooter-Squad Assignment'!$A:$A,MATCH(C565&amp;"-"&amp;D565&amp;"-"&amp;E565&amp;"-Pos2",'Shooter-Squad Assignment'!#REF!,0)),""),IF(E565="Trap",IFERROR(INDEX('Shooter-Squad Assignment'!$A:$A,MATCH(C565&amp;"-"&amp;D565&amp;"-"&amp;E565&amp;"-Pos2",'Shooter-Squad Assignment'!$V:$V,0)),""),IF(E565="Sporting Clays",IFERROR(INDEX('Shooter-Squad Assignment'!$A:$A,MATCH(C565&amp;"-"&amp;D565&amp;"-"&amp;E565&amp;"-Pos2",'Shooter-Squad Assignment'!$Y:$Y,0)),""),"")))</f>
        <v/>
      </c>
      <c r="I565" s="73" t="str">
        <f>IF(ISBLANK(H565),"",IFERROR(INDEX('Tournament List'!$D:$D,MATCH(H565,'Tournament List'!$A:$A,0)),""))</f>
        <v/>
      </c>
      <c r="J565" s="98" t="str">
        <f>IF(E565="Skeet",IFERROR(INDEX('Shooter-Squad Assignment'!$A:$A,MATCH(C565&amp;"-"&amp;D565&amp;"-"&amp;E565&amp;"-Pos3",'Shooter-Squad Assignment'!#REF!,0)),""),IF(E565="Trap",IFERROR(INDEX('Shooter-Squad Assignment'!$A:$A,MATCH(C565&amp;"-"&amp;D565&amp;"-"&amp;E565&amp;"-Pos3",'Shooter-Squad Assignment'!$V:$V,0)),""),IF(E565="Sporting Clays",IFERROR(INDEX('Shooter-Squad Assignment'!$A:$A,MATCH(C565&amp;"-"&amp;D565&amp;"-"&amp;E565&amp;"-Pos3",'Shooter-Squad Assignment'!$Y:$Y,0)),""),"")))</f>
        <v/>
      </c>
      <c r="K565" s="73" t="str">
        <f>IF(ISBLANK(J565),"",IFERROR(INDEX('Tournament List'!$D:$D,MATCH(J565,'Tournament List'!$A:$A,0)),""))</f>
        <v/>
      </c>
      <c r="L565" s="98" t="str">
        <f>IF(E565="Skeet",IFERROR(INDEX('Shooter-Squad Assignment'!$A:$A,MATCH(C565&amp;"-"&amp;D565&amp;"-"&amp;E565&amp;"-Pos4",'Shooter-Squad Assignment'!#REF!,0)),""),IF(E565="Trap",IFERROR(INDEX('Shooter-Squad Assignment'!$A:$A,MATCH(C565&amp;"-"&amp;D565&amp;"-"&amp;E565&amp;"-Pos4",'Shooter-Squad Assignment'!$V:$V,0)),""),IF(E565="Sporting Clays",IFERROR(INDEX('Shooter-Squad Assignment'!$A:$A,MATCH(C565&amp;"-"&amp;D565&amp;"-"&amp;E565&amp;"-Pos4",'Shooter-Squad Assignment'!$Y:$Y,0)),""),"")))</f>
        <v/>
      </c>
      <c r="M565" s="73" t="str">
        <f>IF(ISBLANK(L565),"",IFERROR(INDEX('Tournament List'!$D:$D,MATCH(L565,'Tournament List'!$A:$A,0)),""))</f>
        <v/>
      </c>
      <c r="N565" s="98" t="str">
        <f>IF(E565="Skeet",IFERROR(INDEX('Shooter-Squad Assignment'!$A:$A,MATCH(C565&amp;"-"&amp;D565&amp;"-"&amp;E565&amp;"-Pos5",'Shooter-Squad Assignment'!#REF!,0)),""),IF(E565="Trap",IFERROR(INDEX('Shooter-Squad Assignment'!$A:$A,MATCH(C565&amp;"-"&amp;D565&amp;"-"&amp;E565&amp;"-Pos5",'Shooter-Squad Assignment'!$V:$V,0)),""),IF(E565="Sporting Clays",IFERROR(INDEX('Shooter-Squad Assignment'!$A:$A,MATCH(C565&amp;"-"&amp;D565&amp;"-"&amp;E565&amp;"-Pos5",'Shooter-Squad Assignment'!$Y:$Y,0)),""),"")))</f>
        <v/>
      </c>
      <c r="O565" s="80" t="str">
        <f>IF(ISBLANK(N565),"",IFERROR(INDEX('Tournament List'!$D:$D,MATCH(N565,'Tournament List'!$A:$A,0)),""))</f>
        <v/>
      </c>
    </row>
    <row r="566" spans="1:15" x14ac:dyDescent="0.3">
      <c r="A566" s="79">
        <v>574</v>
      </c>
      <c r="B566" s="73" t="str">
        <f t="shared" si="8"/>
        <v>-Junior Varsity 1-Trap</v>
      </c>
      <c r="C566" s="73"/>
      <c r="D566" s="73" t="s">
        <v>341</v>
      </c>
      <c r="E566" s="73" t="s">
        <v>147</v>
      </c>
      <c r="F566" s="98" t="str">
        <f>IF(E566="Skeet",IFERROR(INDEX('Shooter-Squad Assignment'!$A:$A,MATCH(C566&amp;"-"&amp;D566&amp;"-"&amp;E566&amp;"-Pos1",'Shooter-Squad Assignment'!#REF!,0)),""),IF(E566="Trap",IFERROR(INDEX('Shooter-Squad Assignment'!$A:$A,MATCH(C566&amp;"-"&amp;D566&amp;"-"&amp;E566&amp;"-Pos1",'Shooter-Squad Assignment'!$V:$V,0)),""),IF(E566="Sporting Clays",IFERROR(INDEX('Shooter-Squad Assignment'!$A:$A,MATCH(C566&amp;"-"&amp;D566&amp;"-"&amp;E566&amp;"-Pos1",'Shooter-Squad Assignment'!$Y:$Y,0)),""),"")))</f>
        <v/>
      </c>
      <c r="G566" s="73" t="str">
        <f>IF(ISBLANK(F566),"",IFERROR(INDEX('Tournament List'!$D:$D,MATCH(F566,'Tournament List'!$A:$A,0)),""))</f>
        <v/>
      </c>
      <c r="H566" s="98" t="str">
        <f>IF(E566="Skeet",IFERROR(INDEX('Shooter-Squad Assignment'!$A:$A,MATCH(C566&amp;"-"&amp;D566&amp;"-"&amp;E566&amp;"-Pos2",'Shooter-Squad Assignment'!#REF!,0)),""),IF(E566="Trap",IFERROR(INDEX('Shooter-Squad Assignment'!$A:$A,MATCH(C566&amp;"-"&amp;D566&amp;"-"&amp;E566&amp;"-Pos2",'Shooter-Squad Assignment'!$V:$V,0)),""),IF(E566="Sporting Clays",IFERROR(INDEX('Shooter-Squad Assignment'!$A:$A,MATCH(C566&amp;"-"&amp;D566&amp;"-"&amp;E566&amp;"-Pos2",'Shooter-Squad Assignment'!$Y:$Y,0)),""),"")))</f>
        <v/>
      </c>
      <c r="I566" s="73" t="str">
        <f>IF(ISBLANK(H566),"",IFERROR(INDEX('Tournament List'!$D:$D,MATCH(H566,'Tournament List'!$A:$A,0)),""))</f>
        <v/>
      </c>
      <c r="J566" s="98" t="str">
        <f>IF(E566="Skeet",IFERROR(INDEX('Shooter-Squad Assignment'!$A:$A,MATCH(C566&amp;"-"&amp;D566&amp;"-"&amp;E566&amp;"-Pos3",'Shooter-Squad Assignment'!#REF!,0)),""),IF(E566="Trap",IFERROR(INDEX('Shooter-Squad Assignment'!$A:$A,MATCH(C566&amp;"-"&amp;D566&amp;"-"&amp;E566&amp;"-Pos3",'Shooter-Squad Assignment'!$V:$V,0)),""),IF(E566="Sporting Clays",IFERROR(INDEX('Shooter-Squad Assignment'!$A:$A,MATCH(C566&amp;"-"&amp;D566&amp;"-"&amp;E566&amp;"-Pos3",'Shooter-Squad Assignment'!$Y:$Y,0)),""),"")))</f>
        <v/>
      </c>
      <c r="K566" s="73" t="str">
        <f>IF(ISBLANK(J566),"",IFERROR(INDEX('Tournament List'!$D:$D,MATCH(J566,'Tournament List'!$A:$A,0)),""))</f>
        <v/>
      </c>
      <c r="L566" s="98" t="str">
        <f>IF(E566="Skeet",IFERROR(INDEX('Shooter-Squad Assignment'!$A:$A,MATCH(C566&amp;"-"&amp;D566&amp;"-"&amp;E566&amp;"-Pos4",'Shooter-Squad Assignment'!#REF!,0)),""),IF(E566="Trap",IFERROR(INDEX('Shooter-Squad Assignment'!$A:$A,MATCH(C566&amp;"-"&amp;D566&amp;"-"&amp;E566&amp;"-Pos4",'Shooter-Squad Assignment'!$V:$V,0)),""),IF(E566="Sporting Clays",IFERROR(INDEX('Shooter-Squad Assignment'!$A:$A,MATCH(C566&amp;"-"&amp;D566&amp;"-"&amp;E566&amp;"-Pos4",'Shooter-Squad Assignment'!$Y:$Y,0)),""),"")))</f>
        <v/>
      </c>
      <c r="M566" s="73" t="str">
        <f>IF(ISBLANK(L566),"",IFERROR(INDEX('Tournament List'!$D:$D,MATCH(L566,'Tournament List'!$A:$A,0)),""))</f>
        <v/>
      </c>
      <c r="N566" s="98" t="str">
        <f>IF(E566="Skeet",IFERROR(INDEX('Shooter-Squad Assignment'!$A:$A,MATCH(C566&amp;"-"&amp;D566&amp;"-"&amp;E566&amp;"-Pos5",'Shooter-Squad Assignment'!#REF!,0)),""),IF(E566="Trap",IFERROR(INDEX('Shooter-Squad Assignment'!$A:$A,MATCH(C566&amp;"-"&amp;D566&amp;"-"&amp;E566&amp;"-Pos5",'Shooter-Squad Assignment'!$V:$V,0)),""),IF(E566="Sporting Clays",IFERROR(INDEX('Shooter-Squad Assignment'!$A:$A,MATCH(C566&amp;"-"&amp;D566&amp;"-"&amp;E566&amp;"-Pos5",'Shooter-Squad Assignment'!$Y:$Y,0)),""),"")))</f>
        <v/>
      </c>
      <c r="O566" s="80" t="str">
        <f>IF(ISBLANK(N566),"",IFERROR(INDEX('Tournament List'!$D:$D,MATCH(N566,'Tournament List'!$A:$A,0)),""))</f>
        <v/>
      </c>
    </row>
    <row r="567" spans="1:15" x14ac:dyDescent="0.3">
      <c r="A567" s="79">
        <v>575</v>
      </c>
      <c r="B567" s="73" t="str">
        <f t="shared" si="8"/>
        <v>-Junior Varsity 2-Trap</v>
      </c>
      <c r="C567" s="73"/>
      <c r="D567" s="73" t="s">
        <v>347</v>
      </c>
      <c r="E567" s="73" t="s">
        <v>147</v>
      </c>
      <c r="F567" s="98" t="str">
        <f>IF(E567="Skeet",IFERROR(INDEX('Shooter-Squad Assignment'!$A:$A,MATCH(C567&amp;"-"&amp;D567&amp;"-"&amp;E567&amp;"-Pos1",'Shooter-Squad Assignment'!#REF!,0)),""),IF(E567="Trap",IFERROR(INDEX('Shooter-Squad Assignment'!$A:$A,MATCH(C567&amp;"-"&amp;D567&amp;"-"&amp;E567&amp;"-Pos1",'Shooter-Squad Assignment'!$V:$V,0)),""),IF(E567="Sporting Clays",IFERROR(INDEX('Shooter-Squad Assignment'!$A:$A,MATCH(C567&amp;"-"&amp;D567&amp;"-"&amp;E567&amp;"-Pos1",'Shooter-Squad Assignment'!$Y:$Y,0)),""),"")))</f>
        <v/>
      </c>
      <c r="G567" s="73" t="str">
        <f>IF(ISBLANK(F567),"",IFERROR(INDEX('Tournament List'!$D:$D,MATCH(F567,'Tournament List'!$A:$A,0)),""))</f>
        <v/>
      </c>
      <c r="H567" s="98" t="str">
        <f>IF(E567="Skeet",IFERROR(INDEX('Shooter-Squad Assignment'!$A:$A,MATCH(C567&amp;"-"&amp;D567&amp;"-"&amp;E567&amp;"-Pos2",'Shooter-Squad Assignment'!#REF!,0)),""),IF(E567="Trap",IFERROR(INDEX('Shooter-Squad Assignment'!$A:$A,MATCH(C567&amp;"-"&amp;D567&amp;"-"&amp;E567&amp;"-Pos2",'Shooter-Squad Assignment'!$V:$V,0)),""),IF(E567="Sporting Clays",IFERROR(INDEX('Shooter-Squad Assignment'!$A:$A,MATCH(C567&amp;"-"&amp;D567&amp;"-"&amp;E567&amp;"-Pos2",'Shooter-Squad Assignment'!$Y:$Y,0)),""),"")))</f>
        <v/>
      </c>
      <c r="I567" s="73" t="str">
        <f>IF(ISBLANK(H567),"",IFERROR(INDEX('Tournament List'!$D:$D,MATCH(H567,'Tournament List'!$A:$A,0)),""))</f>
        <v/>
      </c>
      <c r="J567" s="98" t="str">
        <f>IF(E567="Skeet",IFERROR(INDEX('Shooter-Squad Assignment'!$A:$A,MATCH(C567&amp;"-"&amp;D567&amp;"-"&amp;E567&amp;"-Pos3",'Shooter-Squad Assignment'!#REF!,0)),""),IF(E567="Trap",IFERROR(INDEX('Shooter-Squad Assignment'!$A:$A,MATCH(C567&amp;"-"&amp;D567&amp;"-"&amp;E567&amp;"-Pos3",'Shooter-Squad Assignment'!$V:$V,0)),""),IF(E567="Sporting Clays",IFERROR(INDEX('Shooter-Squad Assignment'!$A:$A,MATCH(C567&amp;"-"&amp;D567&amp;"-"&amp;E567&amp;"-Pos3",'Shooter-Squad Assignment'!$Y:$Y,0)),""),"")))</f>
        <v/>
      </c>
      <c r="K567" s="73" t="str">
        <f>IF(ISBLANK(J567),"",IFERROR(INDEX('Tournament List'!$D:$D,MATCH(J567,'Tournament List'!$A:$A,0)),""))</f>
        <v/>
      </c>
      <c r="L567" s="98" t="str">
        <f>IF(E567="Skeet",IFERROR(INDEX('Shooter-Squad Assignment'!$A:$A,MATCH(C567&amp;"-"&amp;D567&amp;"-"&amp;E567&amp;"-Pos4",'Shooter-Squad Assignment'!#REF!,0)),""),IF(E567="Trap",IFERROR(INDEX('Shooter-Squad Assignment'!$A:$A,MATCH(C567&amp;"-"&amp;D567&amp;"-"&amp;E567&amp;"-Pos4",'Shooter-Squad Assignment'!$V:$V,0)),""),IF(E567="Sporting Clays",IFERROR(INDEX('Shooter-Squad Assignment'!$A:$A,MATCH(C567&amp;"-"&amp;D567&amp;"-"&amp;E567&amp;"-Pos4",'Shooter-Squad Assignment'!$Y:$Y,0)),""),"")))</f>
        <v/>
      </c>
      <c r="M567" s="73" t="str">
        <f>IF(ISBLANK(L567),"",IFERROR(INDEX('Tournament List'!$D:$D,MATCH(L567,'Tournament List'!$A:$A,0)),""))</f>
        <v/>
      </c>
      <c r="N567" s="98" t="str">
        <f>IF(E567="Skeet",IFERROR(INDEX('Shooter-Squad Assignment'!$A:$A,MATCH(C567&amp;"-"&amp;D567&amp;"-"&amp;E567&amp;"-Pos5",'Shooter-Squad Assignment'!#REF!,0)),""),IF(E567="Trap",IFERROR(INDEX('Shooter-Squad Assignment'!$A:$A,MATCH(C567&amp;"-"&amp;D567&amp;"-"&amp;E567&amp;"-Pos5",'Shooter-Squad Assignment'!$V:$V,0)),""),IF(E567="Sporting Clays",IFERROR(INDEX('Shooter-Squad Assignment'!$A:$A,MATCH(C567&amp;"-"&amp;D567&amp;"-"&amp;E567&amp;"-Pos5",'Shooter-Squad Assignment'!$Y:$Y,0)),""),"")))</f>
        <v/>
      </c>
      <c r="O567" s="80" t="str">
        <f>IF(ISBLANK(N567),"",IFERROR(INDEX('Tournament List'!$D:$D,MATCH(N567,'Tournament List'!$A:$A,0)),""))</f>
        <v/>
      </c>
    </row>
    <row r="568" spans="1:15" x14ac:dyDescent="0.3">
      <c r="A568" s="79">
        <v>576</v>
      </c>
      <c r="B568" s="73" t="str">
        <f t="shared" si="8"/>
        <v>-Junior Varsity 3-Trap</v>
      </c>
      <c r="C568" s="73"/>
      <c r="D568" s="73" t="s">
        <v>353</v>
      </c>
      <c r="E568" s="73" t="s">
        <v>147</v>
      </c>
      <c r="F568" s="98" t="str">
        <f>IF(E568="Skeet",IFERROR(INDEX('Shooter-Squad Assignment'!$A:$A,MATCH(C568&amp;"-"&amp;D568&amp;"-"&amp;E568&amp;"-Pos1",'Shooter-Squad Assignment'!#REF!,0)),""),IF(E568="Trap",IFERROR(INDEX('Shooter-Squad Assignment'!$A:$A,MATCH(C568&amp;"-"&amp;D568&amp;"-"&amp;E568&amp;"-Pos1",'Shooter-Squad Assignment'!$V:$V,0)),""),IF(E568="Sporting Clays",IFERROR(INDEX('Shooter-Squad Assignment'!$A:$A,MATCH(C568&amp;"-"&amp;D568&amp;"-"&amp;E568&amp;"-Pos1",'Shooter-Squad Assignment'!$Y:$Y,0)),""),"")))</f>
        <v/>
      </c>
      <c r="G568" s="73" t="str">
        <f>IF(ISBLANK(F568),"",IFERROR(INDEX('Tournament List'!$D:$D,MATCH(F568,'Tournament List'!$A:$A,0)),""))</f>
        <v/>
      </c>
      <c r="H568" s="98" t="str">
        <f>IF(E568="Skeet",IFERROR(INDEX('Shooter-Squad Assignment'!$A:$A,MATCH(C568&amp;"-"&amp;D568&amp;"-"&amp;E568&amp;"-Pos2",'Shooter-Squad Assignment'!#REF!,0)),""),IF(E568="Trap",IFERROR(INDEX('Shooter-Squad Assignment'!$A:$A,MATCH(C568&amp;"-"&amp;D568&amp;"-"&amp;E568&amp;"-Pos2",'Shooter-Squad Assignment'!$V:$V,0)),""),IF(E568="Sporting Clays",IFERROR(INDEX('Shooter-Squad Assignment'!$A:$A,MATCH(C568&amp;"-"&amp;D568&amp;"-"&amp;E568&amp;"-Pos2",'Shooter-Squad Assignment'!$Y:$Y,0)),""),"")))</f>
        <v/>
      </c>
      <c r="I568" s="73" t="str">
        <f>IF(ISBLANK(H568),"",IFERROR(INDEX('Tournament List'!$D:$D,MATCH(H568,'Tournament List'!$A:$A,0)),""))</f>
        <v/>
      </c>
      <c r="J568" s="98" t="str">
        <f>IF(E568="Skeet",IFERROR(INDEX('Shooter-Squad Assignment'!$A:$A,MATCH(C568&amp;"-"&amp;D568&amp;"-"&amp;E568&amp;"-Pos3",'Shooter-Squad Assignment'!#REF!,0)),""),IF(E568="Trap",IFERROR(INDEX('Shooter-Squad Assignment'!$A:$A,MATCH(C568&amp;"-"&amp;D568&amp;"-"&amp;E568&amp;"-Pos3",'Shooter-Squad Assignment'!$V:$V,0)),""),IF(E568="Sporting Clays",IFERROR(INDEX('Shooter-Squad Assignment'!$A:$A,MATCH(C568&amp;"-"&amp;D568&amp;"-"&amp;E568&amp;"-Pos3",'Shooter-Squad Assignment'!$Y:$Y,0)),""),"")))</f>
        <v/>
      </c>
      <c r="K568" s="73" t="str">
        <f>IF(ISBLANK(J568),"",IFERROR(INDEX('Tournament List'!$D:$D,MATCH(J568,'Tournament List'!$A:$A,0)),""))</f>
        <v/>
      </c>
      <c r="L568" s="98" t="str">
        <f>IF(E568="Skeet",IFERROR(INDEX('Shooter-Squad Assignment'!$A:$A,MATCH(C568&amp;"-"&amp;D568&amp;"-"&amp;E568&amp;"-Pos4",'Shooter-Squad Assignment'!#REF!,0)),""),IF(E568="Trap",IFERROR(INDEX('Shooter-Squad Assignment'!$A:$A,MATCH(C568&amp;"-"&amp;D568&amp;"-"&amp;E568&amp;"-Pos4",'Shooter-Squad Assignment'!$V:$V,0)),""),IF(E568="Sporting Clays",IFERROR(INDEX('Shooter-Squad Assignment'!$A:$A,MATCH(C568&amp;"-"&amp;D568&amp;"-"&amp;E568&amp;"-Pos4",'Shooter-Squad Assignment'!$Y:$Y,0)),""),"")))</f>
        <v/>
      </c>
      <c r="M568" s="73" t="str">
        <f>IF(ISBLANK(L568),"",IFERROR(INDEX('Tournament List'!$D:$D,MATCH(L568,'Tournament List'!$A:$A,0)),""))</f>
        <v/>
      </c>
      <c r="N568" s="98" t="str">
        <f>IF(E568="Skeet",IFERROR(INDEX('Shooter-Squad Assignment'!$A:$A,MATCH(C568&amp;"-"&amp;D568&amp;"-"&amp;E568&amp;"-Pos5",'Shooter-Squad Assignment'!#REF!,0)),""),IF(E568="Trap",IFERROR(INDEX('Shooter-Squad Assignment'!$A:$A,MATCH(C568&amp;"-"&amp;D568&amp;"-"&amp;E568&amp;"-Pos5",'Shooter-Squad Assignment'!$V:$V,0)),""),IF(E568="Sporting Clays",IFERROR(INDEX('Shooter-Squad Assignment'!$A:$A,MATCH(C568&amp;"-"&amp;D568&amp;"-"&amp;E568&amp;"-Pos5",'Shooter-Squad Assignment'!$Y:$Y,0)),""),"")))</f>
        <v/>
      </c>
      <c r="O568" s="80" t="str">
        <f>IF(ISBLANK(N568),"",IFERROR(INDEX('Tournament List'!$D:$D,MATCH(N568,'Tournament List'!$A:$A,0)),""))</f>
        <v/>
      </c>
    </row>
    <row r="569" spans="1:15" x14ac:dyDescent="0.3">
      <c r="A569" s="79">
        <v>577</v>
      </c>
      <c r="B569" s="73" t="str">
        <f t="shared" si="8"/>
        <v>-Novice 1-Trap</v>
      </c>
      <c r="C569" s="73"/>
      <c r="D569" s="73" t="s">
        <v>339</v>
      </c>
      <c r="E569" s="73" t="s">
        <v>147</v>
      </c>
      <c r="F569" s="98" t="str">
        <f>IF(E569="Skeet",IFERROR(INDEX('Shooter-Squad Assignment'!$A:$A,MATCH(C569&amp;"-"&amp;D569&amp;"-"&amp;E569&amp;"-Pos1",'Shooter-Squad Assignment'!#REF!,0)),""),IF(E569="Trap",IFERROR(INDEX('Shooter-Squad Assignment'!$A:$A,MATCH(C569&amp;"-"&amp;D569&amp;"-"&amp;E569&amp;"-Pos1",'Shooter-Squad Assignment'!$V:$V,0)),""),IF(E569="Sporting Clays",IFERROR(INDEX('Shooter-Squad Assignment'!$A:$A,MATCH(C569&amp;"-"&amp;D569&amp;"-"&amp;E569&amp;"-Pos1",'Shooter-Squad Assignment'!$Y:$Y,0)),""),"")))</f>
        <v/>
      </c>
      <c r="G569" s="73" t="str">
        <f>IF(ISBLANK(F569),"",IFERROR(INDEX('Tournament List'!$D:$D,MATCH(F569,'Tournament List'!$A:$A,0)),""))</f>
        <v/>
      </c>
      <c r="H569" s="98" t="str">
        <f>IF(E569="Skeet",IFERROR(INDEX('Shooter-Squad Assignment'!$A:$A,MATCH(C569&amp;"-"&amp;D569&amp;"-"&amp;E569&amp;"-Pos2",'Shooter-Squad Assignment'!#REF!,0)),""),IF(E569="Trap",IFERROR(INDEX('Shooter-Squad Assignment'!$A:$A,MATCH(C569&amp;"-"&amp;D569&amp;"-"&amp;E569&amp;"-Pos2",'Shooter-Squad Assignment'!$V:$V,0)),""),IF(E569="Sporting Clays",IFERROR(INDEX('Shooter-Squad Assignment'!$A:$A,MATCH(C569&amp;"-"&amp;D569&amp;"-"&amp;E569&amp;"-Pos2",'Shooter-Squad Assignment'!$Y:$Y,0)),""),"")))</f>
        <v/>
      </c>
      <c r="I569" s="73" t="str">
        <f>IF(ISBLANK(H569),"",IFERROR(INDEX('Tournament List'!$D:$D,MATCH(H569,'Tournament List'!$A:$A,0)),""))</f>
        <v/>
      </c>
      <c r="J569" s="98" t="str">
        <f>IF(E569="Skeet",IFERROR(INDEX('Shooter-Squad Assignment'!$A:$A,MATCH(C569&amp;"-"&amp;D569&amp;"-"&amp;E569&amp;"-Pos3",'Shooter-Squad Assignment'!#REF!,0)),""),IF(E569="Trap",IFERROR(INDEX('Shooter-Squad Assignment'!$A:$A,MATCH(C569&amp;"-"&amp;D569&amp;"-"&amp;E569&amp;"-Pos3",'Shooter-Squad Assignment'!$V:$V,0)),""),IF(E569="Sporting Clays",IFERROR(INDEX('Shooter-Squad Assignment'!$A:$A,MATCH(C569&amp;"-"&amp;D569&amp;"-"&amp;E569&amp;"-Pos3",'Shooter-Squad Assignment'!$Y:$Y,0)),""),"")))</f>
        <v/>
      </c>
      <c r="K569" s="73" t="str">
        <f>IF(ISBLANK(J569),"",IFERROR(INDEX('Tournament List'!$D:$D,MATCH(J569,'Tournament List'!$A:$A,0)),""))</f>
        <v/>
      </c>
      <c r="L569" s="98" t="str">
        <f>IF(E569="Skeet",IFERROR(INDEX('Shooter-Squad Assignment'!$A:$A,MATCH(C569&amp;"-"&amp;D569&amp;"-"&amp;E569&amp;"-Pos4",'Shooter-Squad Assignment'!#REF!,0)),""),IF(E569="Trap",IFERROR(INDEX('Shooter-Squad Assignment'!$A:$A,MATCH(C569&amp;"-"&amp;D569&amp;"-"&amp;E569&amp;"-Pos4",'Shooter-Squad Assignment'!$V:$V,0)),""),IF(E569="Sporting Clays",IFERROR(INDEX('Shooter-Squad Assignment'!$A:$A,MATCH(C569&amp;"-"&amp;D569&amp;"-"&amp;E569&amp;"-Pos4",'Shooter-Squad Assignment'!$Y:$Y,0)),""),"")))</f>
        <v/>
      </c>
      <c r="M569" s="73" t="str">
        <f>IF(ISBLANK(L569),"",IFERROR(INDEX('Tournament List'!$D:$D,MATCH(L569,'Tournament List'!$A:$A,0)),""))</f>
        <v/>
      </c>
      <c r="N569" s="98" t="str">
        <f>IF(E569="Skeet",IFERROR(INDEX('Shooter-Squad Assignment'!$A:$A,MATCH(C569&amp;"-"&amp;D569&amp;"-"&amp;E569&amp;"-Pos5",'Shooter-Squad Assignment'!#REF!,0)),""),IF(E569="Trap",IFERROR(INDEX('Shooter-Squad Assignment'!$A:$A,MATCH(C569&amp;"-"&amp;D569&amp;"-"&amp;E569&amp;"-Pos5",'Shooter-Squad Assignment'!$V:$V,0)),""),IF(E569="Sporting Clays",IFERROR(INDEX('Shooter-Squad Assignment'!$A:$A,MATCH(C569&amp;"-"&amp;D569&amp;"-"&amp;E569&amp;"-Pos5",'Shooter-Squad Assignment'!$Y:$Y,0)),""),"")))</f>
        <v/>
      </c>
      <c r="O569" s="80" t="str">
        <f>IF(ISBLANK(N569),"",IFERROR(INDEX('Tournament List'!$D:$D,MATCH(N569,'Tournament List'!$A:$A,0)),""))</f>
        <v/>
      </c>
    </row>
    <row r="570" spans="1:15" x14ac:dyDescent="0.3">
      <c r="A570" s="79">
        <v>578</v>
      </c>
      <c r="B570" s="73" t="str">
        <f t="shared" si="8"/>
        <v>-Novice 2-Trap</v>
      </c>
      <c r="C570" s="73"/>
      <c r="D570" s="73" t="s">
        <v>345</v>
      </c>
      <c r="E570" s="73" t="s">
        <v>147</v>
      </c>
      <c r="F570" s="98" t="str">
        <f>IF(E570="Skeet",IFERROR(INDEX('Shooter-Squad Assignment'!$A:$A,MATCH(C570&amp;"-"&amp;D570&amp;"-"&amp;E570&amp;"-Pos1",'Shooter-Squad Assignment'!#REF!,0)),""),IF(E570="Trap",IFERROR(INDEX('Shooter-Squad Assignment'!$A:$A,MATCH(C570&amp;"-"&amp;D570&amp;"-"&amp;E570&amp;"-Pos1",'Shooter-Squad Assignment'!$V:$V,0)),""),IF(E570="Sporting Clays",IFERROR(INDEX('Shooter-Squad Assignment'!$A:$A,MATCH(C570&amp;"-"&amp;D570&amp;"-"&amp;E570&amp;"-Pos1",'Shooter-Squad Assignment'!$Y:$Y,0)),""),"")))</f>
        <v/>
      </c>
      <c r="G570" s="73" t="str">
        <f>IF(ISBLANK(F570),"",IFERROR(INDEX('Tournament List'!$D:$D,MATCH(F570,'Tournament List'!$A:$A,0)),""))</f>
        <v/>
      </c>
      <c r="H570" s="98" t="str">
        <f>IF(E570="Skeet",IFERROR(INDEX('Shooter-Squad Assignment'!$A:$A,MATCH(C570&amp;"-"&amp;D570&amp;"-"&amp;E570&amp;"-Pos2",'Shooter-Squad Assignment'!#REF!,0)),""),IF(E570="Trap",IFERROR(INDEX('Shooter-Squad Assignment'!$A:$A,MATCH(C570&amp;"-"&amp;D570&amp;"-"&amp;E570&amp;"-Pos2",'Shooter-Squad Assignment'!$V:$V,0)),""),IF(E570="Sporting Clays",IFERROR(INDEX('Shooter-Squad Assignment'!$A:$A,MATCH(C570&amp;"-"&amp;D570&amp;"-"&amp;E570&amp;"-Pos2",'Shooter-Squad Assignment'!$Y:$Y,0)),""),"")))</f>
        <v/>
      </c>
      <c r="I570" s="73" t="str">
        <f>IF(ISBLANK(H570),"",IFERROR(INDEX('Tournament List'!$D:$D,MATCH(H570,'Tournament List'!$A:$A,0)),""))</f>
        <v/>
      </c>
      <c r="J570" s="98" t="str">
        <f>IF(E570="Skeet",IFERROR(INDEX('Shooter-Squad Assignment'!$A:$A,MATCH(C570&amp;"-"&amp;D570&amp;"-"&amp;E570&amp;"-Pos3",'Shooter-Squad Assignment'!#REF!,0)),""),IF(E570="Trap",IFERROR(INDEX('Shooter-Squad Assignment'!$A:$A,MATCH(C570&amp;"-"&amp;D570&amp;"-"&amp;E570&amp;"-Pos3",'Shooter-Squad Assignment'!$V:$V,0)),""),IF(E570="Sporting Clays",IFERROR(INDEX('Shooter-Squad Assignment'!$A:$A,MATCH(C570&amp;"-"&amp;D570&amp;"-"&amp;E570&amp;"-Pos3",'Shooter-Squad Assignment'!$Y:$Y,0)),""),"")))</f>
        <v/>
      </c>
      <c r="K570" s="73" t="str">
        <f>IF(ISBLANK(J570),"",IFERROR(INDEX('Tournament List'!$D:$D,MATCH(J570,'Tournament List'!$A:$A,0)),""))</f>
        <v/>
      </c>
      <c r="L570" s="98" t="str">
        <f>IF(E570="Skeet",IFERROR(INDEX('Shooter-Squad Assignment'!$A:$A,MATCH(C570&amp;"-"&amp;D570&amp;"-"&amp;E570&amp;"-Pos4",'Shooter-Squad Assignment'!#REF!,0)),""),IF(E570="Trap",IFERROR(INDEX('Shooter-Squad Assignment'!$A:$A,MATCH(C570&amp;"-"&amp;D570&amp;"-"&amp;E570&amp;"-Pos4",'Shooter-Squad Assignment'!$V:$V,0)),""),IF(E570="Sporting Clays",IFERROR(INDEX('Shooter-Squad Assignment'!$A:$A,MATCH(C570&amp;"-"&amp;D570&amp;"-"&amp;E570&amp;"-Pos4",'Shooter-Squad Assignment'!$Y:$Y,0)),""),"")))</f>
        <v/>
      </c>
      <c r="M570" s="73" t="str">
        <f>IF(ISBLANK(L570),"",IFERROR(INDEX('Tournament List'!$D:$D,MATCH(L570,'Tournament List'!$A:$A,0)),""))</f>
        <v/>
      </c>
      <c r="N570" s="98" t="str">
        <f>IF(E570="Skeet",IFERROR(INDEX('Shooter-Squad Assignment'!$A:$A,MATCH(C570&amp;"-"&amp;D570&amp;"-"&amp;E570&amp;"-Pos5",'Shooter-Squad Assignment'!#REF!,0)),""),IF(E570="Trap",IFERROR(INDEX('Shooter-Squad Assignment'!$A:$A,MATCH(C570&amp;"-"&amp;D570&amp;"-"&amp;E570&amp;"-Pos5",'Shooter-Squad Assignment'!$V:$V,0)),""),IF(E570="Sporting Clays",IFERROR(INDEX('Shooter-Squad Assignment'!$A:$A,MATCH(C570&amp;"-"&amp;D570&amp;"-"&amp;E570&amp;"-Pos5",'Shooter-Squad Assignment'!$Y:$Y,0)),""),"")))</f>
        <v/>
      </c>
      <c r="O570" s="80" t="str">
        <f>IF(ISBLANK(N570),"",IFERROR(INDEX('Tournament List'!$D:$D,MATCH(N570,'Tournament List'!$A:$A,0)),""))</f>
        <v/>
      </c>
    </row>
    <row r="571" spans="1:15" x14ac:dyDescent="0.3">
      <c r="A571" s="79">
        <v>579</v>
      </c>
      <c r="B571" s="73" t="str">
        <f t="shared" si="8"/>
        <v>-Novice 3-Trap</v>
      </c>
      <c r="C571" s="73"/>
      <c r="D571" s="73" t="s">
        <v>351</v>
      </c>
      <c r="E571" s="73" t="s">
        <v>147</v>
      </c>
      <c r="F571" s="98" t="str">
        <f>IF(E571="Skeet",IFERROR(INDEX('Shooter-Squad Assignment'!$A:$A,MATCH(C571&amp;"-"&amp;D571&amp;"-"&amp;E571&amp;"-Pos1",'Shooter-Squad Assignment'!#REF!,0)),""),IF(E571="Trap",IFERROR(INDEX('Shooter-Squad Assignment'!$A:$A,MATCH(C571&amp;"-"&amp;D571&amp;"-"&amp;E571&amp;"-Pos1",'Shooter-Squad Assignment'!$V:$V,0)),""),IF(E571="Sporting Clays",IFERROR(INDEX('Shooter-Squad Assignment'!$A:$A,MATCH(C571&amp;"-"&amp;D571&amp;"-"&amp;E571&amp;"-Pos1",'Shooter-Squad Assignment'!$Y:$Y,0)),""),"")))</f>
        <v/>
      </c>
      <c r="G571" s="73" t="str">
        <f>IF(ISBLANK(F571),"",IFERROR(INDEX('Tournament List'!$D:$D,MATCH(F571,'Tournament List'!$A:$A,0)),""))</f>
        <v/>
      </c>
      <c r="H571" s="98" t="str">
        <f>IF(E571="Skeet",IFERROR(INDEX('Shooter-Squad Assignment'!$A:$A,MATCH(C571&amp;"-"&amp;D571&amp;"-"&amp;E571&amp;"-Pos2",'Shooter-Squad Assignment'!#REF!,0)),""),IF(E571="Trap",IFERROR(INDEX('Shooter-Squad Assignment'!$A:$A,MATCH(C571&amp;"-"&amp;D571&amp;"-"&amp;E571&amp;"-Pos2",'Shooter-Squad Assignment'!$V:$V,0)),""),IF(E571="Sporting Clays",IFERROR(INDEX('Shooter-Squad Assignment'!$A:$A,MATCH(C571&amp;"-"&amp;D571&amp;"-"&amp;E571&amp;"-Pos2",'Shooter-Squad Assignment'!$Y:$Y,0)),""),"")))</f>
        <v/>
      </c>
      <c r="I571" s="73" t="str">
        <f>IF(ISBLANK(H571),"",IFERROR(INDEX('Tournament List'!$D:$D,MATCH(H571,'Tournament List'!$A:$A,0)),""))</f>
        <v/>
      </c>
      <c r="J571" s="98" t="str">
        <f>IF(E571="Skeet",IFERROR(INDEX('Shooter-Squad Assignment'!$A:$A,MATCH(C571&amp;"-"&amp;D571&amp;"-"&amp;E571&amp;"-Pos3",'Shooter-Squad Assignment'!#REF!,0)),""),IF(E571="Trap",IFERROR(INDEX('Shooter-Squad Assignment'!$A:$A,MATCH(C571&amp;"-"&amp;D571&amp;"-"&amp;E571&amp;"-Pos3",'Shooter-Squad Assignment'!$V:$V,0)),""),IF(E571="Sporting Clays",IFERROR(INDEX('Shooter-Squad Assignment'!$A:$A,MATCH(C571&amp;"-"&amp;D571&amp;"-"&amp;E571&amp;"-Pos3",'Shooter-Squad Assignment'!$Y:$Y,0)),""),"")))</f>
        <v/>
      </c>
      <c r="K571" s="73" t="str">
        <f>IF(ISBLANK(J571),"",IFERROR(INDEX('Tournament List'!$D:$D,MATCH(J571,'Tournament List'!$A:$A,0)),""))</f>
        <v/>
      </c>
      <c r="L571" s="98" t="str">
        <f>IF(E571="Skeet",IFERROR(INDEX('Shooter-Squad Assignment'!$A:$A,MATCH(C571&amp;"-"&amp;D571&amp;"-"&amp;E571&amp;"-Pos4",'Shooter-Squad Assignment'!#REF!,0)),""),IF(E571="Trap",IFERROR(INDEX('Shooter-Squad Assignment'!$A:$A,MATCH(C571&amp;"-"&amp;D571&amp;"-"&amp;E571&amp;"-Pos4",'Shooter-Squad Assignment'!$V:$V,0)),""),IF(E571="Sporting Clays",IFERROR(INDEX('Shooter-Squad Assignment'!$A:$A,MATCH(C571&amp;"-"&amp;D571&amp;"-"&amp;E571&amp;"-Pos4",'Shooter-Squad Assignment'!$Y:$Y,0)),""),"")))</f>
        <v/>
      </c>
      <c r="M571" s="73" t="str">
        <f>IF(ISBLANK(L571),"",IFERROR(INDEX('Tournament List'!$D:$D,MATCH(L571,'Tournament List'!$A:$A,0)),""))</f>
        <v/>
      </c>
      <c r="N571" s="98" t="str">
        <f>IF(E571="Skeet",IFERROR(INDEX('Shooter-Squad Assignment'!$A:$A,MATCH(C571&amp;"-"&amp;D571&amp;"-"&amp;E571&amp;"-Pos5",'Shooter-Squad Assignment'!#REF!,0)),""),IF(E571="Trap",IFERROR(INDEX('Shooter-Squad Assignment'!$A:$A,MATCH(C571&amp;"-"&amp;D571&amp;"-"&amp;E571&amp;"-Pos5",'Shooter-Squad Assignment'!$V:$V,0)),""),IF(E571="Sporting Clays",IFERROR(INDEX('Shooter-Squad Assignment'!$A:$A,MATCH(C571&amp;"-"&amp;D571&amp;"-"&amp;E571&amp;"-Pos5",'Shooter-Squad Assignment'!$Y:$Y,0)),""),"")))</f>
        <v/>
      </c>
      <c r="O571" s="80" t="str">
        <f>IF(ISBLANK(N571),"",IFERROR(INDEX('Tournament List'!$D:$D,MATCH(N571,'Tournament List'!$A:$A,0)),""))</f>
        <v/>
      </c>
    </row>
    <row r="572" spans="1:15" x14ac:dyDescent="0.3">
      <c r="A572" s="79">
        <v>580</v>
      </c>
      <c r="B572" s="73" t="str">
        <f t="shared" si="8"/>
        <v>-Open 1-Trap</v>
      </c>
      <c r="C572" s="73"/>
      <c r="D572" s="73" t="s">
        <v>343</v>
      </c>
      <c r="E572" s="73" t="s">
        <v>147</v>
      </c>
      <c r="F572" s="98" t="str">
        <f>IF(E572="Skeet",IFERROR(INDEX('Shooter-Squad Assignment'!$A:$A,MATCH(C572&amp;"-"&amp;D572&amp;"-"&amp;E572&amp;"-Pos1",'Shooter-Squad Assignment'!#REF!,0)),""),IF(E572="Trap",IFERROR(INDEX('Shooter-Squad Assignment'!$A:$A,MATCH(C572&amp;"-"&amp;D572&amp;"-"&amp;E572&amp;"-Pos1",'Shooter-Squad Assignment'!$V:$V,0)),""),IF(E572="Sporting Clays",IFERROR(INDEX('Shooter-Squad Assignment'!$A:$A,MATCH(C572&amp;"-"&amp;D572&amp;"-"&amp;E572&amp;"-Pos1",'Shooter-Squad Assignment'!$Y:$Y,0)),""),"")))</f>
        <v/>
      </c>
      <c r="G572" s="73" t="str">
        <f>IF(ISBLANK(F572),"",IFERROR(INDEX('Tournament List'!$D:$D,MATCH(F572,'Tournament List'!$A:$A,0)),""))</f>
        <v/>
      </c>
      <c r="H572" s="98" t="str">
        <f>IF(E572="Skeet",IFERROR(INDEX('Shooter-Squad Assignment'!$A:$A,MATCH(C572&amp;"-"&amp;D572&amp;"-"&amp;E572&amp;"-Pos2",'Shooter-Squad Assignment'!#REF!,0)),""),IF(E572="Trap",IFERROR(INDEX('Shooter-Squad Assignment'!$A:$A,MATCH(C572&amp;"-"&amp;D572&amp;"-"&amp;E572&amp;"-Pos2",'Shooter-Squad Assignment'!$V:$V,0)),""),IF(E572="Sporting Clays",IFERROR(INDEX('Shooter-Squad Assignment'!$A:$A,MATCH(C572&amp;"-"&amp;D572&amp;"-"&amp;E572&amp;"-Pos2",'Shooter-Squad Assignment'!$Y:$Y,0)),""),"")))</f>
        <v/>
      </c>
      <c r="I572" s="73" t="str">
        <f>IF(ISBLANK(H572),"",IFERROR(INDEX('Tournament List'!$D:$D,MATCH(H572,'Tournament List'!$A:$A,0)),""))</f>
        <v/>
      </c>
      <c r="J572" s="98" t="str">
        <f>IF(E572="Skeet",IFERROR(INDEX('Shooter-Squad Assignment'!$A:$A,MATCH(C572&amp;"-"&amp;D572&amp;"-"&amp;E572&amp;"-Pos3",'Shooter-Squad Assignment'!#REF!,0)),""),IF(E572="Trap",IFERROR(INDEX('Shooter-Squad Assignment'!$A:$A,MATCH(C572&amp;"-"&amp;D572&amp;"-"&amp;E572&amp;"-Pos3",'Shooter-Squad Assignment'!$V:$V,0)),""),IF(E572="Sporting Clays",IFERROR(INDEX('Shooter-Squad Assignment'!$A:$A,MATCH(C572&amp;"-"&amp;D572&amp;"-"&amp;E572&amp;"-Pos3",'Shooter-Squad Assignment'!$Y:$Y,0)),""),"")))</f>
        <v/>
      </c>
      <c r="K572" s="73" t="str">
        <f>IF(ISBLANK(J572),"",IFERROR(INDEX('Tournament List'!$D:$D,MATCH(J572,'Tournament List'!$A:$A,0)),""))</f>
        <v/>
      </c>
      <c r="L572" s="98" t="str">
        <f>IF(E572="Skeet",IFERROR(INDEX('Shooter-Squad Assignment'!$A:$A,MATCH(C572&amp;"-"&amp;D572&amp;"-"&amp;E572&amp;"-Pos4",'Shooter-Squad Assignment'!#REF!,0)),""),IF(E572="Trap",IFERROR(INDEX('Shooter-Squad Assignment'!$A:$A,MATCH(C572&amp;"-"&amp;D572&amp;"-"&amp;E572&amp;"-Pos4",'Shooter-Squad Assignment'!$V:$V,0)),""),IF(E572="Sporting Clays",IFERROR(INDEX('Shooter-Squad Assignment'!$A:$A,MATCH(C572&amp;"-"&amp;D572&amp;"-"&amp;E572&amp;"-Pos4",'Shooter-Squad Assignment'!$Y:$Y,0)),""),"")))</f>
        <v/>
      </c>
      <c r="M572" s="73" t="str">
        <f>IF(ISBLANK(L572),"",IFERROR(INDEX('Tournament List'!$D:$D,MATCH(L572,'Tournament List'!$A:$A,0)),""))</f>
        <v/>
      </c>
      <c r="N572" s="98" t="str">
        <f>IF(E572="Skeet",IFERROR(INDEX('Shooter-Squad Assignment'!$A:$A,MATCH(C572&amp;"-"&amp;D572&amp;"-"&amp;E572&amp;"-Pos5",'Shooter-Squad Assignment'!#REF!,0)),""),IF(E572="Trap",IFERROR(INDEX('Shooter-Squad Assignment'!$A:$A,MATCH(C572&amp;"-"&amp;D572&amp;"-"&amp;E572&amp;"-Pos5",'Shooter-Squad Assignment'!$V:$V,0)),""),IF(E572="Sporting Clays",IFERROR(INDEX('Shooter-Squad Assignment'!$A:$A,MATCH(C572&amp;"-"&amp;D572&amp;"-"&amp;E572&amp;"-Pos5",'Shooter-Squad Assignment'!$Y:$Y,0)),""),"")))</f>
        <v/>
      </c>
      <c r="O572" s="80" t="str">
        <f>IF(ISBLANK(N572),"",IFERROR(INDEX('Tournament List'!$D:$D,MATCH(N572,'Tournament List'!$A:$A,0)),""))</f>
        <v/>
      </c>
    </row>
    <row r="573" spans="1:15" x14ac:dyDescent="0.3">
      <c r="A573" s="79">
        <v>581</v>
      </c>
      <c r="B573" s="73" t="str">
        <f t="shared" si="8"/>
        <v>-Open 2-Trap</v>
      </c>
      <c r="C573" s="73"/>
      <c r="D573" s="73" t="s">
        <v>349</v>
      </c>
      <c r="E573" s="73" t="s">
        <v>147</v>
      </c>
      <c r="F573" s="98" t="str">
        <f>IF(E573="Skeet",IFERROR(INDEX('Shooter-Squad Assignment'!$A:$A,MATCH(C573&amp;"-"&amp;D573&amp;"-"&amp;E573&amp;"-Pos1",'Shooter-Squad Assignment'!#REF!,0)),""),IF(E573="Trap",IFERROR(INDEX('Shooter-Squad Assignment'!$A:$A,MATCH(C573&amp;"-"&amp;D573&amp;"-"&amp;E573&amp;"-Pos1",'Shooter-Squad Assignment'!$V:$V,0)),""),IF(E573="Sporting Clays",IFERROR(INDEX('Shooter-Squad Assignment'!$A:$A,MATCH(C573&amp;"-"&amp;D573&amp;"-"&amp;E573&amp;"-Pos1",'Shooter-Squad Assignment'!$Y:$Y,0)),""),"")))</f>
        <v/>
      </c>
      <c r="G573" s="73" t="str">
        <f>IF(ISBLANK(F573),"",IFERROR(INDEX('Tournament List'!$D:$D,MATCH(F573,'Tournament List'!$A:$A,0)),""))</f>
        <v/>
      </c>
      <c r="H573" s="98" t="str">
        <f>IF(E573="Skeet",IFERROR(INDEX('Shooter-Squad Assignment'!$A:$A,MATCH(C573&amp;"-"&amp;D573&amp;"-"&amp;E573&amp;"-Pos2",'Shooter-Squad Assignment'!#REF!,0)),""),IF(E573="Trap",IFERROR(INDEX('Shooter-Squad Assignment'!$A:$A,MATCH(C573&amp;"-"&amp;D573&amp;"-"&amp;E573&amp;"-Pos2",'Shooter-Squad Assignment'!$V:$V,0)),""),IF(E573="Sporting Clays",IFERROR(INDEX('Shooter-Squad Assignment'!$A:$A,MATCH(C573&amp;"-"&amp;D573&amp;"-"&amp;E573&amp;"-Pos2",'Shooter-Squad Assignment'!$Y:$Y,0)),""),"")))</f>
        <v/>
      </c>
      <c r="I573" s="73" t="str">
        <f>IF(ISBLANK(H573),"",IFERROR(INDEX('Tournament List'!$D:$D,MATCH(H573,'Tournament List'!$A:$A,0)),""))</f>
        <v/>
      </c>
      <c r="J573" s="98" t="str">
        <f>IF(E573="Skeet",IFERROR(INDEX('Shooter-Squad Assignment'!$A:$A,MATCH(C573&amp;"-"&amp;D573&amp;"-"&amp;E573&amp;"-Pos3",'Shooter-Squad Assignment'!#REF!,0)),""),IF(E573="Trap",IFERROR(INDEX('Shooter-Squad Assignment'!$A:$A,MATCH(C573&amp;"-"&amp;D573&amp;"-"&amp;E573&amp;"-Pos3",'Shooter-Squad Assignment'!$V:$V,0)),""),IF(E573="Sporting Clays",IFERROR(INDEX('Shooter-Squad Assignment'!$A:$A,MATCH(C573&amp;"-"&amp;D573&amp;"-"&amp;E573&amp;"-Pos3",'Shooter-Squad Assignment'!$Y:$Y,0)),""),"")))</f>
        <v/>
      </c>
      <c r="K573" s="73" t="str">
        <f>IF(ISBLANK(J573),"",IFERROR(INDEX('Tournament List'!$D:$D,MATCH(J573,'Tournament List'!$A:$A,0)),""))</f>
        <v/>
      </c>
      <c r="L573" s="98" t="str">
        <f>IF(E573="Skeet",IFERROR(INDEX('Shooter-Squad Assignment'!$A:$A,MATCH(C573&amp;"-"&amp;D573&amp;"-"&amp;E573&amp;"-Pos4",'Shooter-Squad Assignment'!#REF!,0)),""),IF(E573="Trap",IFERROR(INDEX('Shooter-Squad Assignment'!$A:$A,MATCH(C573&amp;"-"&amp;D573&amp;"-"&amp;E573&amp;"-Pos4",'Shooter-Squad Assignment'!$V:$V,0)),""),IF(E573="Sporting Clays",IFERROR(INDEX('Shooter-Squad Assignment'!$A:$A,MATCH(C573&amp;"-"&amp;D573&amp;"-"&amp;E573&amp;"-Pos4",'Shooter-Squad Assignment'!$Y:$Y,0)),""),"")))</f>
        <v/>
      </c>
      <c r="M573" s="73" t="str">
        <f>IF(ISBLANK(L573),"",IFERROR(INDEX('Tournament List'!$D:$D,MATCH(L573,'Tournament List'!$A:$A,0)),""))</f>
        <v/>
      </c>
      <c r="N573" s="98" t="str">
        <f>IF(E573="Skeet",IFERROR(INDEX('Shooter-Squad Assignment'!$A:$A,MATCH(C573&amp;"-"&amp;D573&amp;"-"&amp;E573&amp;"-Pos5",'Shooter-Squad Assignment'!#REF!,0)),""),IF(E573="Trap",IFERROR(INDEX('Shooter-Squad Assignment'!$A:$A,MATCH(C573&amp;"-"&amp;D573&amp;"-"&amp;E573&amp;"-Pos5",'Shooter-Squad Assignment'!$V:$V,0)),""),IF(E573="Sporting Clays",IFERROR(INDEX('Shooter-Squad Assignment'!$A:$A,MATCH(C573&amp;"-"&amp;D573&amp;"-"&amp;E573&amp;"-Pos5",'Shooter-Squad Assignment'!$Y:$Y,0)),""),"")))</f>
        <v/>
      </c>
      <c r="O573" s="80" t="str">
        <f>IF(ISBLANK(N573),"",IFERROR(INDEX('Tournament List'!$D:$D,MATCH(N573,'Tournament List'!$A:$A,0)),""))</f>
        <v/>
      </c>
    </row>
    <row r="574" spans="1:15" x14ac:dyDescent="0.3">
      <c r="A574" s="79">
        <v>582</v>
      </c>
      <c r="B574" s="73" t="str">
        <f t="shared" si="8"/>
        <v>-Open 3-Trap</v>
      </c>
      <c r="C574" s="73"/>
      <c r="D574" s="73" t="s">
        <v>355</v>
      </c>
      <c r="E574" s="73" t="s">
        <v>147</v>
      </c>
      <c r="F574" s="98" t="str">
        <f>IF(E574="Skeet",IFERROR(INDEX('Shooter-Squad Assignment'!$A:$A,MATCH(C574&amp;"-"&amp;D574&amp;"-"&amp;E574&amp;"-Pos1",'Shooter-Squad Assignment'!#REF!,0)),""),IF(E574="Trap",IFERROR(INDEX('Shooter-Squad Assignment'!$A:$A,MATCH(C574&amp;"-"&amp;D574&amp;"-"&amp;E574&amp;"-Pos1",'Shooter-Squad Assignment'!$V:$V,0)),""),IF(E574="Sporting Clays",IFERROR(INDEX('Shooter-Squad Assignment'!$A:$A,MATCH(C574&amp;"-"&amp;D574&amp;"-"&amp;E574&amp;"-Pos1",'Shooter-Squad Assignment'!$Y:$Y,0)),""),"")))</f>
        <v/>
      </c>
      <c r="G574" s="73" t="str">
        <f>IF(ISBLANK(F574),"",IFERROR(INDEX('Tournament List'!$D:$D,MATCH(F574,'Tournament List'!$A:$A,0)),""))</f>
        <v/>
      </c>
      <c r="H574" s="98" t="str">
        <f>IF(E574="Skeet",IFERROR(INDEX('Shooter-Squad Assignment'!$A:$A,MATCH(C574&amp;"-"&amp;D574&amp;"-"&amp;E574&amp;"-Pos2",'Shooter-Squad Assignment'!#REF!,0)),""),IF(E574="Trap",IFERROR(INDEX('Shooter-Squad Assignment'!$A:$A,MATCH(C574&amp;"-"&amp;D574&amp;"-"&amp;E574&amp;"-Pos2",'Shooter-Squad Assignment'!$V:$V,0)),""),IF(E574="Sporting Clays",IFERROR(INDEX('Shooter-Squad Assignment'!$A:$A,MATCH(C574&amp;"-"&amp;D574&amp;"-"&amp;E574&amp;"-Pos2",'Shooter-Squad Assignment'!$Y:$Y,0)),""),"")))</f>
        <v/>
      </c>
      <c r="I574" s="73" t="str">
        <f>IF(ISBLANK(H574),"",IFERROR(INDEX('Tournament List'!$D:$D,MATCH(H574,'Tournament List'!$A:$A,0)),""))</f>
        <v/>
      </c>
      <c r="J574" s="98" t="str">
        <f>IF(E574="Skeet",IFERROR(INDEX('Shooter-Squad Assignment'!$A:$A,MATCH(C574&amp;"-"&amp;D574&amp;"-"&amp;E574&amp;"-Pos3",'Shooter-Squad Assignment'!#REF!,0)),""),IF(E574="Trap",IFERROR(INDEX('Shooter-Squad Assignment'!$A:$A,MATCH(C574&amp;"-"&amp;D574&amp;"-"&amp;E574&amp;"-Pos3",'Shooter-Squad Assignment'!$V:$V,0)),""),IF(E574="Sporting Clays",IFERROR(INDEX('Shooter-Squad Assignment'!$A:$A,MATCH(C574&amp;"-"&amp;D574&amp;"-"&amp;E574&amp;"-Pos3",'Shooter-Squad Assignment'!$Y:$Y,0)),""),"")))</f>
        <v/>
      </c>
      <c r="K574" s="73" t="str">
        <f>IF(ISBLANK(J574),"",IFERROR(INDEX('Tournament List'!$D:$D,MATCH(J574,'Tournament List'!$A:$A,0)),""))</f>
        <v/>
      </c>
      <c r="L574" s="98" t="str">
        <f>IF(E574="Skeet",IFERROR(INDEX('Shooter-Squad Assignment'!$A:$A,MATCH(C574&amp;"-"&amp;D574&amp;"-"&amp;E574&amp;"-Pos4",'Shooter-Squad Assignment'!#REF!,0)),""),IF(E574="Trap",IFERROR(INDEX('Shooter-Squad Assignment'!$A:$A,MATCH(C574&amp;"-"&amp;D574&amp;"-"&amp;E574&amp;"-Pos4",'Shooter-Squad Assignment'!$V:$V,0)),""),IF(E574="Sporting Clays",IFERROR(INDEX('Shooter-Squad Assignment'!$A:$A,MATCH(C574&amp;"-"&amp;D574&amp;"-"&amp;E574&amp;"-Pos4",'Shooter-Squad Assignment'!$Y:$Y,0)),""),"")))</f>
        <v/>
      </c>
      <c r="M574" s="73" t="str">
        <f>IF(ISBLANK(L574),"",IFERROR(INDEX('Tournament List'!$D:$D,MATCH(L574,'Tournament List'!$A:$A,0)),""))</f>
        <v/>
      </c>
      <c r="N574" s="98" t="str">
        <f>IF(E574="Skeet",IFERROR(INDEX('Shooter-Squad Assignment'!$A:$A,MATCH(C574&amp;"-"&amp;D574&amp;"-"&amp;E574&amp;"-Pos5",'Shooter-Squad Assignment'!#REF!,0)),""),IF(E574="Trap",IFERROR(INDEX('Shooter-Squad Assignment'!$A:$A,MATCH(C574&amp;"-"&amp;D574&amp;"-"&amp;E574&amp;"-Pos5",'Shooter-Squad Assignment'!$V:$V,0)),""),IF(E574="Sporting Clays",IFERROR(INDEX('Shooter-Squad Assignment'!$A:$A,MATCH(C574&amp;"-"&amp;D574&amp;"-"&amp;E574&amp;"-Pos5",'Shooter-Squad Assignment'!$Y:$Y,0)),""),"")))</f>
        <v/>
      </c>
      <c r="O574" s="80" t="str">
        <f>IF(ISBLANK(N574),"",IFERROR(INDEX('Tournament List'!$D:$D,MATCH(N574,'Tournament List'!$A:$A,0)),""))</f>
        <v/>
      </c>
    </row>
    <row r="575" spans="1:15" x14ac:dyDescent="0.3">
      <c r="A575" s="79">
        <v>583</v>
      </c>
      <c r="B575" s="73" t="str">
        <f t="shared" si="8"/>
        <v>-Varsity 1-Trap</v>
      </c>
      <c r="C575" s="73"/>
      <c r="D575" s="73" t="s">
        <v>342</v>
      </c>
      <c r="E575" s="73" t="s">
        <v>147</v>
      </c>
      <c r="F575" s="98" t="str">
        <f>IF(E575="Skeet",IFERROR(INDEX('Shooter-Squad Assignment'!$A:$A,MATCH(C575&amp;"-"&amp;D575&amp;"-"&amp;E575&amp;"-Pos1",'Shooter-Squad Assignment'!#REF!,0)),""),IF(E575="Trap",IFERROR(INDEX('Shooter-Squad Assignment'!$A:$A,MATCH(C575&amp;"-"&amp;D575&amp;"-"&amp;E575&amp;"-Pos1",'Shooter-Squad Assignment'!$V:$V,0)),""),IF(E575="Sporting Clays",IFERROR(INDEX('Shooter-Squad Assignment'!$A:$A,MATCH(C575&amp;"-"&amp;D575&amp;"-"&amp;E575&amp;"-Pos1",'Shooter-Squad Assignment'!$Y:$Y,0)),""),"")))</f>
        <v/>
      </c>
      <c r="G575" s="73" t="str">
        <f>IF(ISBLANK(F575),"",IFERROR(INDEX('Tournament List'!$D:$D,MATCH(F575,'Tournament List'!$A:$A,0)),""))</f>
        <v/>
      </c>
      <c r="H575" s="98" t="str">
        <f>IF(E575="Skeet",IFERROR(INDEX('Shooter-Squad Assignment'!$A:$A,MATCH(C575&amp;"-"&amp;D575&amp;"-"&amp;E575&amp;"-Pos2",'Shooter-Squad Assignment'!#REF!,0)),""),IF(E575="Trap",IFERROR(INDEX('Shooter-Squad Assignment'!$A:$A,MATCH(C575&amp;"-"&amp;D575&amp;"-"&amp;E575&amp;"-Pos2",'Shooter-Squad Assignment'!$V:$V,0)),""),IF(E575="Sporting Clays",IFERROR(INDEX('Shooter-Squad Assignment'!$A:$A,MATCH(C575&amp;"-"&amp;D575&amp;"-"&amp;E575&amp;"-Pos2",'Shooter-Squad Assignment'!$Y:$Y,0)),""),"")))</f>
        <v/>
      </c>
      <c r="I575" s="73" t="str">
        <f>IF(ISBLANK(H575),"",IFERROR(INDEX('Tournament List'!$D:$D,MATCH(H575,'Tournament List'!$A:$A,0)),""))</f>
        <v/>
      </c>
      <c r="J575" s="98" t="str">
        <f>IF(E575="Skeet",IFERROR(INDEX('Shooter-Squad Assignment'!$A:$A,MATCH(C575&amp;"-"&amp;D575&amp;"-"&amp;E575&amp;"-Pos3",'Shooter-Squad Assignment'!#REF!,0)),""),IF(E575="Trap",IFERROR(INDEX('Shooter-Squad Assignment'!$A:$A,MATCH(C575&amp;"-"&amp;D575&amp;"-"&amp;E575&amp;"-Pos3",'Shooter-Squad Assignment'!$V:$V,0)),""),IF(E575="Sporting Clays",IFERROR(INDEX('Shooter-Squad Assignment'!$A:$A,MATCH(C575&amp;"-"&amp;D575&amp;"-"&amp;E575&amp;"-Pos3",'Shooter-Squad Assignment'!$Y:$Y,0)),""),"")))</f>
        <v/>
      </c>
      <c r="K575" s="73" t="str">
        <f>IF(ISBLANK(J575),"",IFERROR(INDEX('Tournament List'!$D:$D,MATCH(J575,'Tournament List'!$A:$A,0)),""))</f>
        <v/>
      </c>
      <c r="L575" s="98" t="str">
        <f>IF(E575="Skeet",IFERROR(INDEX('Shooter-Squad Assignment'!$A:$A,MATCH(C575&amp;"-"&amp;D575&amp;"-"&amp;E575&amp;"-Pos4",'Shooter-Squad Assignment'!#REF!,0)),""),IF(E575="Trap",IFERROR(INDEX('Shooter-Squad Assignment'!$A:$A,MATCH(C575&amp;"-"&amp;D575&amp;"-"&amp;E575&amp;"-Pos4",'Shooter-Squad Assignment'!$V:$V,0)),""),IF(E575="Sporting Clays",IFERROR(INDEX('Shooter-Squad Assignment'!$A:$A,MATCH(C575&amp;"-"&amp;D575&amp;"-"&amp;E575&amp;"-Pos4",'Shooter-Squad Assignment'!$Y:$Y,0)),""),"")))</f>
        <v/>
      </c>
      <c r="M575" s="73" t="str">
        <f>IF(ISBLANK(L575),"",IFERROR(INDEX('Tournament List'!$D:$D,MATCH(L575,'Tournament List'!$A:$A,0)),""))</f>
        <v/>
      </c>
      <c r="N575" s="98" t="str">
        <f>IF(E575="Skeet",IFERROR(INDEX('Shooter-Squad Assignment'!$A:$A,MATCH(C575&amp;"-"&amp;D575&amp;"-"&amp;E575&amp;"-Pos5",'Shooter-Squad Assignment'!#REF!,0)),""),IF(E575="Trap",IFERROR(INDEX('Shooter-Squad Assignment'!$A:$A,MATCH(C575&amp;"-"&amp;D575&amp;"-"&amp;E575&amp;"-Pos5",'Shooter-Squad Assignment'!$V:$V,0)),""),IF(E575="Sporting Clays",IFERROR(INDEX('Shooter-Squad Assignment'!$A:$A,MATCH(C575&amp;"-"&amp;D575&amp;"-"&amp;E575&amp;"-Pos5",'Shooter-Squad Assignment'!$Y:$Y,0)),""),"")))</f>
        <v/>
      </c>
      <c r="O575" s="80" t="str">
        <f>IF(ISBLANK(N575),"",IFERROR(INDEX('Tournament List'!$D:$D,MATCH(N575,'Tournament List'!$A:$A,0)),""))</f>
        <v/>
      </c>
    </row>
    <row r="576" spans="1:15" x14ac:dyDescent="0.3">
      <c r="A576" s="79">
        <v>584</v>
      </c>
      <c r="B576" s="73" t="str">
        <f t="shared" si="8"/>
        <v>-Varsity 2-Trap</v>
      </c>
      <c r="C576" s="73"/>
      <c r="D576" s="73" t="s">
        <v>348</v>
      </c>
      <c r="E576" s="73" t="s">
        <v>147</v>
      </c>
      <c r="F576" s="98" t="str">
        <f>IF(E576="Skeet",IFERROR(INDEX('Shooter-Squad Assignment'!$A:$A,MATCH(C576&amp;"-"&amp;D576&amp;"-"&amp;E576&amp;"-Pos1",'Shooter-Squad Assignment'!#REF!,0)),""),IF(E576="Trap",IFERROR(INDEX('Shooter-Squad Assignment'!$A:$A,MATCH(C576&amp;"-"&amp;D576&amp;"-"&amp;E576&amp;"-Pos1",'Shooter-Squad Assignment'!$V:$V,0)),""),IF(E576="Sporting Clays",IFERROR(INDEX('Shooter-Squad Assignment'!$A:$A,MATCH(C576&amp;"-"&amp;D576&amp;"-"&amp;E576&amp;"-Pos1",'Shooter-Squad Assignment'!$Y:$Y,0)),""),"")))</f>
        <v/>
      </c>
      <c r="G576" s="73" t="str">
        <f>IF(ISBLANK(F576),"",IFERROR(INDEX('Tournament List'!$D:$D,MATCH(F576,'Tournament List'!$A:$A,0)),""))</f>
        <v/>
      </c>
      <c r="H576" s="98" t="str">
        <f>IF(E576="Skeet",IFERROR(INDEX('Shooter-Squad Assignment'!$A:$A,MATCH(C576&amp;"-"&amp;D576&amp;"-"&amp;E576&amp;"-Pos2",'Shooter-Squad Assignment'!#REF!,0)),""),IF(E576="Trap",IFERROR(INDEX('Shooter-Squad Assignment'!$A:$A,MATCH(C576&amp;"-"&amp;D576&amp;"-"&amp;E576&amp;"-Pos2",'Shooter-Squad Assignment'!$V:$V,0)),""),IF(E576="Sporting Clays",IFERROR(INDEX('Shooter-Squad Assignment'!$A:$A,MATCH(C576&amp;"-"&amp;D576&amp;"-"&amp;E576&amp;"-Pos2",'Shooter-Squad Assignment'!$Y:$Y,0)),""),"")))</f>
        <v/>
      </c>
      <c r="I576" s="73" t="str">
        <f>IF(ISBLANK(H576),"",IFERROR(INDEX('Tournament List'!$D:$D,MATCH(H576,'Tournament List'!$A:$A,0)),""))</f>
        <v/>
      </c>
      <c r="J576" s="98" t="str">
        <f>IF(E576="Skeet",IFERROR(INDEX('Shooter-Squad Assignment'!$A:$A,MATCH(C576&amp;"-"&amp;D576&amp;"-"&amp;E576&amp;"-Pos3",'Shooter-Squad Assignment'!#REF!,0)),""),IF(E576="Trap",IFERROR(INDEX('Shooter-Squad Assignment'!$A:$A,MATCH(C576&amp;"-"&amp;D576&amp;"-"&amp;E576&amp;"-Pos3",'Shooter-Squad Assignment'!$V:$V,0)),""),IF(E576="Sporting Clays",IFERROR(INDEX('Shooter-Squad Assignment'!$A:$A,MATCH(C576&amp;"-"&amp;D576&amp;"-"&amp;E576&amp;"-Pos3",'Shooter-Squad Assignment'!$Y:$Y,0)),""),"")))</f>
        <v/>
      </c>
      <c r="K576" s="73" t="str">
        <f>IF(ISBLANK(J576),"",IFERROR(INDEX('Tournament List'!$D:$D,MATCH(J576,'Tournament List'!$A:$A,0)),""))</f>
        <v/>
      </c>
      <c r="L576" s="98" t="str">
        <f>IF(E576="Skeet",IFERROR(INDEX('Shooter-Squad Assignment'!$A:$A,MATCH(C576&amp;"-"&amp;D576&amp;"-"&amp;E576&amp;"-Pos4",'Shooter-Squad Assignment'!#REF!,0)),""),IF(E576="Trap",IFERROR(INDEX('Shooter-Squad Assignment'!$A:$A,MATCH(C576&amp;"-"&amp;D576&amp;"-"&amp;E576&amp;"-Pos4",'Shooter-Squad Assignment'!$V:$V,0)),""),IF(E576="Sporting Clays",IFERROR(INDEX('Shooter-Squad Assignment'!$A:$A,MATCH(C576&amp;"-"&amp;D576&amp;"-"&amp;E576&amp;"-Pos4",'Shooter-Squad Assignment'!$Y:$Y,0)),""),"")))</f>
        <v/>
      </c>
      <c r="M576" s="73" t="str">
        <f>IF(ISBLANK(L576),"",IFERROR(INDEX('Tournament List'!$D:$D,MATCH(L576,'Tournament List'!$A:$A,0)),""))</f>
        <v/>
      </c>
      <c r="N576" s="98" t="str">
        <f>IF(E576="Skeet",IFERROR(INDEX('Shooter-Squad Assignment'!$A:$A,MATCH(C576&amp;"-"&amp;D576&amp;"-"&amp;E576&amp;"-Pos5",'Shooter-Squad Assignment'!#REF!,0)),""),IF(E576="Trap",IFERROR(INDEX('Shooter-Squad Assignment'!$A:$A,MATCH(C576&amp;"-"&amp;D576&amp;"-"&amp;E576&amp;"-Pos5",'Shooter-Squad Assignment'!$V:$V,0)),""),IF(E576="Sporting Clays",IFERROR(INDEX('Shooter-Squad Assignment'!$A:$A,MATCH(C576&amp;"-"&amp;D576&amp;"-"&amp;E576&amp;"-Pos5",'Shooter-Squad Assignment'!$Y:$Y,0)),""),"")))</f>
        <v/>
      </c>
      <c r="O576" s="80" t="str">
        <f>IF(ISBLANK(N576),"",IFERROR(INDEX('Tournament List'!$D:$D,MATCH(N576,'Tournament List'!$A:$A,0)),""))</f>
        <v/>
      </c>
    </row>
    <row r="577" spans="1:15" x14ac:dyDescent="0.3">
      <c r="A577" s="79">
        <v>585</v>
      </c>
      <c r="B577" s="73" t="str">
        <f t="shared" si="8"/>
        <v>-Varsity 3-Trap</v>
      </c>
      <c r="C577" s="73"/>
      <c r="D577" s="73" t="s">
        <v>354</v>
      </c>
      <c r="E577" s="73" t="s">
        <v>147</v>
      </c>
      <c r="F577" s="98" t="str">
        <f>IF(E577="Skeet",IFERROR(INDEX('Shooter-Squad Assignment'!$A:$A,MATCH(C577&amp;"-"&amp;D577&amp;"-"&amp;E577&amp;"-Pos1",'Shooter-Squad Assignment'!#REF!,0)),""),IF(E577="Trap",IFERROR(INDEX('Shooter-Squad Assignment'!$A:$A,MATCH(C577&amp;"-"&amp;D577&amp;"-"&amp;E577&amp;"-Pos1",'Shooter-Squad Assignment'!$V:$V,0)),""),IF(E577="Sporting Clays",IFERROR(INDEX('Shooter-Squad Assignment'!$A:$A,MATCH(C577&amp;"-"&amp;D577&amp;"-"&amp;E577&amp;"-Pos1",'Shooter-Squad Assignment'!$Y:$Y,0)),""),"")))</f>
        <v/>
      </c>
      <c r="G577" s="73" t="str">
        <f>IF(ISBLANK(F577),"",IFERROR(INDEX('Tournament List'!$D:$D,MATCH(F577,'Tournament List'!$A:$A,0)),""))</f>
        <v/>
      </c>
      <c r="H577" s="98" t="str">
        <f>IF(E577="Skeet",IFERROR(INDEX('Shooter-Squad Assignment'!$A:$A,MATCH(C577&amp;"-"&amp;D577&amp;"-"&amp;E577&amp;"-Pos2",'Shooter-Squad Assignment'!#REF!,0)),""),IF(E577="Trap",IFERROR(INDEX('Shooter-Squad Assignment'!$A:$A,MATCH(C577&amp;"-"&amp;D577&amp;"-"&amp;E577&amp;"-Pos2",'Shooter-Squad Assignment'!$V:$V,0)),""),IF(E577="Sporting Clays",IFERROR(INDEX('Shooter-Squad Assignment'!$A:$A,MATCH(C577&amp;"-"&amp;D577&amp;"-"&amp;E577&amp;"-Pos2",'Shooter-Squad Assignment'!$Y:$Y,0)),""),"")))</f>
        <v/>
      </c>
      <c r="I577" s="73" t="str">
        <f>IF(ISBLANK(H577),"",IFERROR(INDEX('Tournament List'!$D:$D,MATCH(H577,'Tournament List'!$A:$A,0)),""))</f>
        <v/>
      </c>
      <c r="J577" s="98" t="str">
        <f>IF(E577="Skeet",IFERROR(INDEX('Shooter-Squad Assignment'!$A:$A,MATCH(C577&amp;"-"&amp;D577&amp;"-"&amp;E577&amp;"-Pos3",'Shooter-Squad Assignment'!#REF!,0)),""),IF(E577="Trap",IFERROR(INDEX('Shooter-Squad Assignment'!$A:$A,MATCH(C577&amp;"-"&amp;D577&amp;"-"&amp;E577&amp;"-Pos3",'Shooter-Squad Assignment'!$V:$V,0)),""),IF(E577="Sporting Clays",IFERROR(INDEX('Shooter-Squad Assignment'!$A:$A,MATCH(C577&amp;"-"&amp;D577&amp;"-"&amp;E577&amp;"-Pos3",'Shooter-Squad Assignment'!$Y:$Y,0)),""),"")))</f>
        <v/>
      </c>
      <c r="K577" s="73" t="str">
        <f>IF(ISBLANK(J577),"",IFERROR(INDEX('Tournament List'!$D:$D,MATCH(J577,'Tournament List'!$A:$A,0)),""))</f>
        <v/>
      </c>
      <c r="L577" s="98" t="str">
        <f>IF(E577="Skeet",IFERROR(INDEX('Shooter-Squad Assignment'!$A:$A,MATCH(C577&amp;"-"&amp;D577&amp;"-"&amp;E577&amp;"-Pos4",'Shooter-Squad Assignment'!#REF!,0)),""),IF(E577="Trap",IFERROR(INDEX('Shooter-Squad Assignment'!$A:$A,MATCH(C577&amp;"-"&amp;D577&amp;"-"&amp;E577&amp;"-Pos4",'Shooter-Squad Assignment'!$V:$V,0)),""),IF(E577="Sporting Clays",IFERROR(INDEX('Shooter-Squad Assignment'!$A:$A,MATCH(C577&amp;"-"&amp;D577&amp;"-"&amp;E577&amp;"-Pos4",'Shooter-Squad Assignment'!$Y:$Y,0)),""),"")))</f>
        <v/>
      </c>
      <c r="M577" s="73" t="str">
        <f>IF(ISBLANK(L577),"",IFERROR(INDEX('Tournament List'!$D:$D,MATCH(L577,'Tournament List'!$A:$A,0)),""))</f>
        <v/>
      </c>
      <c r="N577" s="98" t="str">
        <f>IF(E577="Skeet",IFERROR(INDEX('Shooter-Squad Assignment'!$A:$A,MATCH(C577&amp;"-"&amp;D577&amp;"-"&amp;E577&amp;"-Pos5",'Shooter-Squad Assignment'!#REF!,0)),""),IF(E577="Trap",IFERROR(INDEX('Shooter-Squad Assignment'!$A:$A,MATCH(C577&amp;"-"&amp;D577&amp;"-"&amp;E577&amp;"-Pos5",'Shooter-Squad Assignment'!$V:$V,0)),""),IF(E577="Sporting Clays",IFERROR(INDEX('Shooter-Squad Assignment'!$A:$A,MATCH(C577&amp;"-"&amp;D577&amp;"-"&amp;E577&amp;"-Pos5",'Shooter-Squad Assignment'!$Y:$Y,0)),""),"")))</f>
        <v/>
      </c>
      <c r="O577" s="80" t="str">
        <f>IF(ISBLANK(N577),"",IFERROR(INDEX('Tournament List'!$D:$D,MATCH(N577,'Tournament List'!$A:$A,0)),""))</f>
        <v/>
      </c>
    </row>
    <row r="578" spans="1:15" x14ac:dyDescent="0.3">
      <c r="A578" s="79">
        <v>586</v>
      </c>
      <c r="B578" s="73" t="str">
        <f t="shared" si="8"/>
        <v>-Collegiate 1-Sporting Clays</v>
      </c>
      <c r="C578" s="73"/>
      <c r="D578" s="73" t="s">
        <v>344</v>
      </c>
      <c r="E578" s="73" t="s">
        <v>148</v>
      </c>
      <c r="F578" s="98" t="str">
        <f>IF(E578="Skeet",IFERROR(INDEX('Shooter-Squad Assignment'!$A:$A,MATCH(C578&amp;"-"&amp;D578&amp;"-"&amp;E578&amp;"-Pos1",'Shooter-Squad Assignment'!#REF!,0)),""),IF(E578="Trap",IFERROR(INDEX('Shooter-Squad Assignment'!$A:$A,MATCH(C578&amp;"-"&amp;D578&amp;"-"&amp;E578&amp;"-Pos1",'Shooter-Squad Assignment'!$V:$V,0)),""),IF(E578="Sporting Clays",IFERROR(INDEX('Shooter-Squad Assignment'!$A:$A,MATCH(C578&amp;"-"&amp;D578&amp;"-"&amp;E578&amp;"-Pos1",'Shooter-Squad Assignment'!$Y:$Y,0)),""),"")))</f>
        <v/>
      </c>
      <c r="G578" s="73" t="str">
        <f>IF(ISBLANK(F578),"",IFERROR(INDEX('Tournament List'!$D:$D,MATCH(F578,'Tournament List'!$A:$A,0)),""))</f>
        <v/>
      </c>
      <c r="H578" s="98" t="str">
        <f>IF(E578="Skeet",IFERROR(INDEX('Shooter-Squad Assignment'!$A:$A,MATCH(C578&amp;"-"&amp;D578&amp;"-"&amp;E578&amp;"-Pos2",'Shooter-Squad Assignment'!#REF!,0)),""),IF(E578="Trap",IFERROR(INDEX('Shooter-Squad Assignment'!$A:$A,MATCH(C578&amp;"-"&amp;D578&amp;"-"&amp;E578&amp;"-Pos2",'Shooter-Squad Assignment'!$V:$V,0)),""),IF(E578="Sporting Clays",IFERROR(INDEX('Shooter-Squad Assignment'!$A:$A,MATCH(C578&amp;"-"&amp;D578&amp;"-"&amp;E578&amp;"-Pos2",'Shooter-Squad Assignment'!$Y:$Y,0)),""),"")))</f>
        <v/>
      </c>
      <c r="I578" s="73" t="str">
        <f>IF(ISBLANK(H578),"",IFERROR(INDEX('Tournament List'!$D:$D,MATCH(H578,'Tournament List'!$A:$A,0)),""))</f>
        <v/>
      </c>
      <c r="J578" s="98" t="str">
        <f>IF(E578="Skeet",IFERROR(INDEX('Shooter-Squad Assignment'!$A:$A,MATCH(C578&amp;"-"&amp;D578&amp;"-"&amp;E578&amp;"-Pos3",'Shooter-Squad Assignment'!#REF!,0)),""),IF(E578="Trap",IFERROR(INDEX('Shooter-Squad Assignment'!$A:$A,MATCH(C578&amp;"-"&amp;D578&amp;"-"&amp;E578&amp;"-Pos3",'Shooter-Squad Assignment'!$V:$V,0)),""),IF(E578="Sporting Clays",IFERROR(INDEX('Shooter-Squad Assignment'!$A:$A,MATCH(C578&amp;"-"&amp;D578&amp;"-"&amp;E578&amp;"-Pos3",'Shooter-Squad Assignment'!$Y:$Y,0)),""),"")))</f>
        <v/>
      </c>
      <c r="K578" s="73" t="str">
        <f>IF(ISBLANK(J578),"",IFERROR(INDEX('Tournament List'!$D:$D,MATCH(J578,'Tournament List'!$A:$A,0)),""))</f>
        <v/>
      </c>
      <c r="L578" s="98" t="str">
        <f>IF(E578="Skeet",IFERROR(INDEX('Shooter-Squad Assignment'!$A:$A,MATCH(C578&amp;"-"&amp;D578&amp;"-"&amp;E578&amp;"-Pos4",'Shooter-Squad Assignment'!#REF!,0)),""),IF(E578="Trap",IFERROR(INDEX('Shooter-Squad Assignment'!$A:$A,MATCH(C578&amp;"-"&amp;D578&amp;"-"&amp;E578&amp;"-Pos4",'Shooter-Squad Assignment'!$V:$V,0)),""),IF(E578="Sporting Clays",IFERROR(INDEX('Shooter-Squad Assignment'!$A:$A,MATCH(C578&amp;"-"&amp;D578&amp;"-"&amp;E578&amp;"-Pos4",'Shooter-Squad Assignment'!$Y:$Y,0)),""),"")))</f>
        <v/>
      </c>
      <c r="M578" s="73" t="str">
        <f>IF(ISBLANK(L578),"",IFERROR(INDEX('Tournament List'!$D:$D,MATCH(L578,'Tournament List'!$A:$A,0)),""))</f>
        <v/>
      </c>
      <c r="N578" s="98" t="str">
        <f>IF(E578="Skeet",IFERROR(INDEX('Shooter-Squad Assignment'!$A:$A,MATCH(C578&amp;"-"&amp;D578&amp;"-"&amp;E578&amp;"-Pos5",'Shooter-Squad Assignment'!#REF!,0)),""),IF(E578="Trap",IFERROR(INDEX('Shooter-Squad Assignment'!$A:$A,MATCH(C578&amp;"-"&amp;D578&amp;"-"&amp;E578&amp;"-Pos5",'Shooter-Squad Assignment'!$V:$V,0)),""),IF(E578="Sporting Clays",IFERROR(INDEX('Shooter-Squad Assignment'!$A:$A,MATCH(C578&amp;"-"&amp;D578&amp;"-"&amp;E578&amp;"-Pos5",'Shooter-Squad Assignment'!$Y:$Y,0)),""),"")))</f>
        <v/>
      </c>
      <c r="O578" s="80" t="str">
        <f>IF(ISBLANK(N578),"",IFERROR(INDEX('Tournament List'!$D:$D,MATCH(N578,'Tournament List'!$A:$A,0)),""))</f>
        <v/>
      </c>
    </row>
    <row r="579" spans="1:15" x14ac:dyDescent="0.3">
      <c r="A579" s="79">
        <v>587</v>
      </c>
      <c r="B579" s="73" t="str">
        <f t="shared" ref="B579:B595" si="9">C579&amp;"-"&amp;D579&amp;"-"&amp;E579</f>
        <v>-Collegiate 2-Sporting Clays</v>
      </c>
      <c r="C579" s="73"/>
      <c r="D579" s="73" t="s">
        <v>350</v>
      </c>
      <c r="E579" s="73" t="s">
        <v>148</v>
      </c>
      <c r="F579" s="98" t="str">
        <f>IF(E579="Skeet",IFERROR(INDEX('Shooter-Squad Assignment'!$A:$A,MATCH(C579&amp;"-"&amp;D579&amp;"-"&amp;E579&amp;"-Pos1",'Shooter-Squad Assignment'!#REF!,0)),""),IF(E579="Trap",IFERROR(INDEX('Shooter-Squad Assignment'!$A:$A,MATCH(C579&amp;"-"&amp;D579&amp;"-"&amp;E579&amp;"-Pos1",'Shooter-Squad Assignment'!$V:$V,0)),""),IF(E579="Sporting Clays",IFERROR(INDEX('Shooter-Squad Assignment'!$A:$A,MATCH(C579&amp;"-"&amp;D579&amp;"-"&amp;E579&amp;"-Pos1",'Shooter-Squad Assignment'!$Y:$Y,0)),""),"")))</f>
        <v/>
      </c>
      <c r="G579" s="73" t="str">
        <f>IF(ISBLANK(F579),"",IFERROR(INDEX('Tournament List'!$D:$D,MATCH(F579,'Tournament List'!$A:$A,0)),""))</f>
        <v/>
      </c>
      <c r="H579" s="98" t="str">
        <f>IF(E579="Skeet",IFERROR(INDEX('Shooter-Squad Assignment'!$A:$A,MATCH(C579&amp;"-"&amp;D579&amp;"-"&amp;E579&amp;"-Pos2",'Shooter-Squad Assignment'!#REF!,0)),""),IF(E579="Trap",IFERROR(INDEX('Shooter-Squad Assignment'!$A:$A,MATCH(C579&amp;"-"&amp;D579&amp;"-"&amp;E579&amp;"-Pos2",'Shooter-Squad Assignment'!$V:$V,0)),""),IF(E579="Sporting Clays",IFERROR(INDEX('Shooter-Squad Assignment'!$A:$A,MATCH(C579&amp;"-"&amp;D579&amp;"-"&amp;E579&amp;"-Pos2",'Shooter-Squad Assignment'!$Y:$Y,0)),""),"")))</f>
        <v/>
      </c>
      <c r="I579" s="73" t="str">
        <f>IF(ISBLANK(H579),"",IFERROR(INDEX('Tournament List'!$D:$D,MATCH(H579,'Tournament List'!$A:$A,0)),""))</f>
        <v/>
      </c>
      <c r="J579" s="98" t="str">
        <f>IF(E579="Skeet",IFERROR(INDEX('Shooter-Squad Assignment'!$A:$A,MATCH(C579&amp;"-"&amp;D579&amp;"-"&amp;E579&amp;"-Pos3",'Shooter-Squad Assignment'!#REF!,0)),""),IF(E579="Trap",IFERROR(INDEX('Shooter-Squad Assignment'!$A:$A,MATCH(C579&amp;"-"&amp;D579&amp;"-"&amp;E579&amp;"-Pos3",'Shooter-Squad Assignment'!$V:$V,0)),""),IF(E579="Sporting Clays",IFERROR(INDEX('Shooter-Squad Assignment'!$A:$A,MATCH(C579&amp;"-"&amp;D579&amp;"-"&amp;E579&amp;"-Pos3",'Shooter-Squad Assignment'!$Y:$Y,0)),""),"")))</f>
        <v/>
      </c>
      <c r="K579" s="73" t="str">
        <f>IF(ISBLANK(J579),"",IFERROR(INDEX('Tournament List'!$D:$D,MATCH(J579,'Tournament List'!$A:$A,0)),""))</f>
        <v/>
      </c>
      <c r="L579" s="98" t="str">
        <f>IF(E579="Skeet",IFERROR(INDEX('Shooter-Squad Assignment'!$A:$A,MATCH(C579&amp;"-"&amp;D579&amp;"-"&amp;E579&amp;"-Pos4",'Shooter-Squad Assignment'!#REF!,0)),""),IF(E579="Trap",IFERROR(INDEX('Shooter-Squad Assignment'!$A:$A,MATCH(C579&amp;"-"&amp;D579&amp;"-"&amp;E579&amp;"-Pos4",'Shooter-Squad Assignment'!$V:$V,0)),""),IF(E579="Sporting Clays",IFERROR(INDEX('Shooter-Squad Assignment'!$A:$A,MATCH(C579&amp;"-"&amp;D579&amp;"-"&amp;E579&amp;"-Pos4",'Shooter-Squad Assignment'!$Y:$Y,0)),""),"")))</f>
        <v/>
      </c>
      <c r="M579" s="73" t="str">
        <f>IF(ISBLANK(L579),"",IFERROR(INDEX('Tournament List'!$D:$D,MATCH(L579,'Tournament List'!$A:$A,0)),""))</f>
        <v/>
      </c>
      <c r="N579" s="98" t="str">
        <f>IF(E579="Skeet",IFERROR(INDEX('Shooter-Squad Assignment'!$A:$A,MATCH(C579&amp;"-"&amp;D579&amp;"-"&amp;E579&amp;"-Pos5",'Shooter-Squad Assignment'!#REF!,0)),""),IF(E579="Trap",IFERROR(INDEX('Shooter-Squad Assignment'!$A:$A,MATCH(C579&amp;"-"&amp;D579&amp;"-"&amp;E579&amp;"-Pos5",'Shooter-Squad Assignment'!$V:$V,0)),""),IF(E579="Sporting Clays",IFERROR(INDEX('Shooter-Squad Assignment'!$A:$A,MATCH(C579&amp;"-"&amp;D579&amp;"-"&amp;E579&amp;"-Pos5",'Shooter-Squad Assignment'!$Y:$Y,0)),""),"")))</f>
        <v/>
      </c>
      <c r="O579" s="80" t="str">
        <f>IF(ISBLANK(N579),"",IFERROR(INDEX('Tournament List'!$D:$D,MATCH(N579,'Tournament List'!$A:$A,0)),""))</f>
        <v/>
      </c>
    </row>
    <row r="580" spans="1:15" x14ac:dyDescent="0.3">
      <c r="A580" s="79">
        <v>588</v>
      </c>
      <c r="B580" s="73" t="str">
        <f t="shared" si="9"/>
        <v>-Collegiate 3-Sporting Clays</v>
      </c>
      <c r="C580" s="73"/>
      <c r="D580" s="73" t="s">
        <v>356</v>
      </c>
      <c r="E580" s="73" t="s">
        <v>148</v>
      </c>
      <c r="F580" s="98" t="str">
        <f>IF(E580="Skeet",IFERROR(INDEX('Shooter-Squad Assignment'!$A:$A,MATCH(C580&amp;"-"&amp;D580&amp;"-"&amp;E580&amp;"-Pos1",'Shooter-Squad Assignment'!#REF!,0)),""),IF(E580="Trap",IFERROR(INDEX('Shooter-Squad Assignment'!$A:$A,MATCH(C580&amp;"-"&amp;D580&amp;"-"&amp;E580&amp;"-Pos1",'Shooter-Squad Assignment'!$V:$V,0)),""),IF(E580="Sporting Clays",IFERROR(INDEX('Shooter-Squad Assignment'!$A:$A,MATCH(C580&amp;"-"&amp;D580&amp;"-"&amp;E580&amp;"-Pos1",'Shooter-Squad Assignment'!$Y:$Y,0)),""),"")))</f>
        <v/>
      </c>
      <c r="G580" s="73" t="str">
        <f>IF(ISBLANK(F580),"",IFERROR(INDEX('Tournament List'!$D:$D,MATCH(F580,'Tournament List'!$A:$A,0)),""))</f>
        <v/>
      </c>
      <c r="H580" s="98" t="str">
        <f>IF(E580="Skeet",IFERROR(INDEX('Shooter-Squad Assignment'!$A:$A,MATCH(C580&amp;"-"&amp;D580&amp;"-"&amp;E580&amp;"-Pos2",'Shooter-Squad Assignment'!#REF!,0)),""),IF(E580="Trap",IFERROR(INDEX('Shooter-Squad Assignment'!$A:$A,MATCH(C580&amp;"-"&amp;D580&amp;"-"&amp;E580&amp;"-Pos2",'Shooter-Squad Assignment'!$V:$V,0)),""),IF(E580="Sporting Clays",IFERROR(INDEX('Shooter-Squad Assignment'!$A:$A,MATCH(C580&amp;"-"&amp;D580&amp;"-"&amp;E580&amp;"-Pos2",'Shooter-Squad Assignment'!$Y:$Y,0)),""),"")))</f>
        <v/>
      </c>
      <c r="I580" s="73" t="str">
        <f>IF(ISBLANK(H580),"",IFERROR(INDEX('Tournament List'!$D:$D,MATCH(H580,'Tournament List'!$A:$A,0)),""))</f>
        <v/>
      </c>
      <c r="J580" s="98" t="str">
        <f>IF(E580="Skeet",IFERROR(INDEX('Shooter-Squad Assignment'!$A:$A,MATCH(C580&amp;"-"&amp;D580&amp;"-"&amp;E580&amp;"-Pos3",'Shooter-Squad Assignment'!#REF!,0)),""),IF(E580="Trap",IFERROR(INDEX('Shooter-Squad Assignment'!$A:$A,MATCH(C580&amp;"-"&amp;D580&amp;"-"&amp;E580&amp;"-Pos3",'Shooter-Squad Assignment'!$V:$V,0)),""),IF(E580="Sporting Clays",IFERROR(INDEX('Shooter-Squad Assignment'!$A:$A,MATCH(C580&amp;"-"&amp;D580&amp;"-"&amp;E580&amp;"-Pos3",'Shooter-Squad Assignment'!$Y:$Y,0)),""),"")))</f>
        <v/>
      </c>
      <c r="K580" s="73" t="str">
        <f>IF(ISBLANK(J580),"",IFERROR(INDEX('Tournament List'!$D:$D,MATCH(J580,'Tournament List'!$A:$A,0)),""))</f>
        <v/>
      </c>
      <c r="L580" s="98" t="str">
        <f>IF(E580="Skeet",IFERROR(INDEX('Shooter-Squad Assignment'!$A:$A,MATCH(C580&amp;"-"&amp;D580&amp;"-"&amp;E580&amp;"-Pos4",'Shooter-Squad Assignment'!#REF!,0)),""),IF(E580="Trap",IFERROR(INDEX('Shooter-Squad Assignment'!$A:$A,MATCH(C580&amp;"-"&amp;D580&amp;"-"&amp;E580&amp;"-Pos4",'Shooter-Squad Assignment'!$V:$V,0)),""),IF(E580="Sporting Clays",IFERROR(INDEX('Shooter-Squad Assignment'!$A:$A,MATCH(C580&amp;"-"&amp;D580&amp;"-"&amp;E580&amp;"-Pos4",'Shooter-Squad Assignment'!$Y:$Y,0)),""),"")))</f>
        <v/>
      </c>
      <c r="M580" s="73" t="str">
        <f>IF(ISBLANK(L580),"",IFERROR(INDEX('Tournament List'!$D:$D,MATCH(L580,'Tournament List'!$A:$A,0)),""))</f>
        <v/>
      </c>
      <c r="N580" s="98" t="str">
        <f>IF(E580="Skeet",IFERROR(INDEX('Shooter-Squad Assignment'!$A:$A,MATCH(C580&amp;"-"&amp;D580&amp;"-"&amp;E580&amp;"-Pos5",'Shooter-Squad Assignment'!#REF!,0)),""),IF(E580="Trap",IFERROR(INDEX('Shooter-Squad Assignment'!$A:$A,MATCH(C580&amp;"-"&amp;D580&amp;"-"&amp;E580&amp;"-Pos5",'Shooter-Squad Assignment'!$V:$V,0)),""),IF(E580="Sporting Clays",IFERROR(INDEX('Shooter-Squad Assignment'!$A:$A,MATCH(C580&amp;"-"&amp;D580&amp;"-"&amp;E580&amp;"-Pos5",'Shooter-Squad Assignment'!$Y:$Y,0)),""),"")))</f>
        <v/>
      </c>
      <c r="O580" s="80" t="str">
        <f>IF(ISBLANK(N580),"",IFERROR(INDEX('Tournament List'!$D:$D,MATCH(N580,'Tournament List'!$A:$A,0)),""))</f>
        <v/>
      </c>
    </row>
    <row r="581" spans="1:15" x14ac:dyDescent="0.3">
      <c r="A581" s="79">
        <v>589</v>
      </c>
      <c r="B581" s="73" t="str">
        <f t="shared" si="9"/>
        <v>-Intermediate 1-Sporting Clays</v>
      </c>
      <c r="C581" s="73"/>
      <c r="D581" s="73" t="s">
        <v>340</v>
      </c>
      <c r="E581" s="73" t="s">
        <v>148</v>
      </c>
      <c r="F581" s="98" t="str">
        <f>IF(E581="Skeet",IFERROR(INDEX('Shooter-Squad Assignment'!$A:$A,MATCH(C581&amp;"-"&amp;D581&amp;"-"&amp;E581&amp;"-Pos1",'Shooter-Squad Assignment'!#REF!,0)),""),IF(E581="Trap",IFERROR(INDEX('Shooter-Squad Assignment'!$A:$A,MATCH(C581&amp;"-"&amp;D581&amp;"-"&amp;E581&amp;"-Pos1",'Shooter-Squad Assignment'!$V:$V,0)),""),IF(E581="Sporting Clays",IFERROR(INDEX('Shooter-Squad Assignment'!$A:$A,MATCH(C581&amp;"-"&amp;D581&amp;"-"&amp;E581&amp;"-Pos1",'Shooter-Squad Assignment'!$Y:$Y,0)),""),"")))</f>
        <v/>
      </c>
      <c r="G581" s="73" t="str">
        <f>IF(ISBLANK(F581),"",IFERROR(INDEX('Tournament List'!$D:$D,MATCH(F581,'Tournament List'!$A:$A,0)),""))</f>
        <v/>
      </c>
      <c r="H581" s="98" t="str">
        <f>IF(E581="Skeet",IFERROR(INDEX('Shooter-Squad Assignment'!$A:$A,MATCH(C581&amp;"-"&amp;D581&amp;"-"&amp;E581&amp;"-Pos2",'Shooter-Squad Assignment'!#REF!,0)),""),IF(E581="Trap",IFERROR(INDEX('Shooter-Squad Assignment'!$A:$A,MATCH(C581&amp;"-"&amp;D581&amp;"-"&amp;E581&amp;"-Pos2",'Shooter-Squad Assignment'!$V:$V,0)),""),IF(E581="Sporting Clays",IFERROR(INDEX('Shooter-Squad Assignment'!$A:$A,MATCH(C581&amp;"-"&amp;D581&amp;"-"&amp;E581&amp;"-Pos2",'Shooter-Squad Assignment'!$Y:$Y,0)),""),"")))</f>
        <v/>
      </c>
      <c r="I581" s="73" t="str">
        <f>IF(ISBLANK(H581),"",IFERROR(INDEX('Tournament List'!$D:$D,MATCH(H581,'Tournament List'!$A:$A,0)),""))</f>
        <v/>
      </c>
      <c r="J581" s="98" t="str">
        <f>IF(E581="Skeet",IFERROR(INDEX('Shooter-Squad Assignment'!$A:$A,MATCH(C581&amp;"-"&amp;D581&amp;"-"&amp;E581&amp;"-Pos3",'Shooter-Squad Assignment'!#REF!,0)),""),IF(E581="Trap",IFERROR(INDEX('Shooter-Squad Assignment'!$A:$A,MATCH(C581&amp;"-"&amp;D581&amp;"-"&amp;E581&amp;"-Pos3",'Shooter-Squad Assignment'!$V:$V,0)),""),IF(E581="Sporting Clays",IFERROR(INDEX('Shooter-Squad Assignment'!$A:$A,MATCH(C581&amp;"-"&amp;D581&amp;"-"&amp;E581&amp;"-Pos3",'Shooter-Squad Assignment'!$Y:$Y,0)),""),"")))</f>
        <v/>
      </c>
      <c r="K581" s="73" t="str">
        <f>IF(ISBLANK(J581),"",IFERROR(INDEX('Tournament List'!$D:$D,MATCH(J581,'Tournament List'!$A:$A,0)),""))</f>
        <v/>
      </c>
      <c r="L581" s="98" t="str">
        <f>IF(E581="Skeet",IFERROR(INDEX('Shooter-Squad Assignment'!$A:$A,MATCH(C581&amp;"-"&amp;D581&amp;"-"&amp;E581&amp;"-Pos4",'Shooter-Squad Assignment'!#REF!,0)),""),IF(E581="Trap",IFERROR(INDEX('Shooter-Squad Assignment'!$A:$A,MATCH(C581&amp;"-"&amp;D581&amp;"-"&amp;E581&amp;"-Pos4",'Shooter-Squad Assignment'!$V:$V,0)),""),IF(E581="Sporting Clays",IFERROR(INDEX('Shooter-Squad Assignment'!$A:$A,MATCH(C581&amp;"-"&amp;D581&amp;"-"&amp;E581&amp;"-Pos4",'Shooter-Squad Assignment'!$Y:$Y,0)),""),"")))</f>
        <v/>
      </c>
      <c r="M581" s="73" t="str">
        <f>IF(ISBLANK(L581),"",IFERROR(INDEX('Tournament List'!$D:$D,MATCH(L581,'Tournament List'!$A:$A,0)),""))</f>
        <v/>
      </c>
      <c r="N581" s="98" t="str">
        <f>IF(E581="Skeet",IFERROR(INDEX('Shooter-Squad Assignment'!$A:$A,MATCH(C581&amp;"-"&amp;D581&amp;"-"&amp;E581&amp;"-Pos5",'Shooter-Squad Assignment'!#REF!,0)),""),IF(E581="Trap",IFERROR(INDEX('Shooter-Squad Assignment'!$A:$A,MATCH(C581&amp;"-"&amp;D581&amp;"-"&amp;E581&amp;"-Pos5",'Shooter-Squad Assignment'!$V:$V,0)),""),IF(E581="Sporting Clays",IFERROR(INDEX('Shooter-Squad Assignment'!$A:$A,MATCH(C581&amp;"-"&amp;D581&amp;"-"&amp;E581&amp;"-Pos5",'Shooter-Squad Assignment'!$Y:$Y,0)),""),"")))</f>
        <v/>
      </c>
      <c r="O581" s="80" t="str">
        <f>IF(ISBLANK(N581),"",IFERROR(INDEX('Tournament List'!$D:$D,MATCH(N581,'Tournament List'!$A:$A,0)),""))</f>
        <v/>
      </c>
    </row>
    <row r="582" spans="1:15" x14ac:dyDescent="0.3">
      <c r="A582" s="79">
        <v>590</v>
      </c>
      <c r="B582" s="73" t="str">
        <f t="shared" si="9"/>
        <v>-Intermediate 2-Sporting Clays</v>
      </c>
      <c r="C582" s="73"/>
      <c r="D582" s="73" t="s">
        <v>346</v>
      </c>
      <c r="E582" s="73" t="s">
        <v>148</v>
      </c>
      <c r="F582" s="98" t="str">
        <f>IF(E582="Skeet",IFERROR(INDEX('Shooter-Squad Assignment'!$A:$A,MATCH(C582&amp;"-"&amp;D582&amp;"-"&amp;E582&amp;"-Pos1",'Shooter-Squad Assignment'!#REF!,0)),""),IF(E582="Trap",IFERROR(INDEX('Shooter-Squad Assignment'!$A:$A,MATCH(C582&amp;"-"&amp;D582&amp;"-"&amp;E582&amp;"-Pos1",'Shooter-Squad Assignment'!$V:$V,0)),""),IF(E582="Sporting Clays",IFERROR(INDEX('Shooter-Squad Assignment'!$A:$A,MATCH(C582&amp;"-"&amp;D582&amp;"-"&amp;E582&amp;"-Pos1",'Shooter-Squad Assignment'!$Y:$Y,0)),""),"")))</f>
        <v/>
      </c>
      <c r="G582" s="73" t="str">
        <f>IF(ISBLANK(F582),"",IFERROR(INDEX('Tournament List'!$D:$D,MATCH(F582,'Tournament List'!$A:$A,0)),""))</f>
        <v/>
      </c>
      <c r="H582" s="98" t="str">
        <f>IF(E582="Skeet",IFERROR(INDEX('Shooter-Squad Assignment'!$A:$A,MATCH(C582&amp;"-"&amp;D582&amp;"-"&amp;E582&amp;"-Pos2",'Shooter-Squad Assignment'!#REF!,0)),""),IF(E582="Trap",IFERROR(INDEX('Shooter-Squad Assignment'!$A:$A,MATCH(C582&amp;"-"&amp;D582&amp;"-"&amp;E582&amp;"-Pos2",'Shooter-Squad Assignment'!$V:$V,0)),""),IF(E582="Sporting Clays",IFERROR(INDEX('Shooter-Squad Assignment'!$A:$A,MATCH(C582&amp;"-"&amp;D582&amp;"-"&amp;E582&amp;"-Pos2",'Shooter-Squad Assignment'!$Y:$Y,0)),""),"")))</f>
        <v/>
      </c>
      <c r="I582" s="73" t="str">
        <f>IF(ISBLANK(H582),"",IFERROR(INDEX('Tournament List'!$D:$D,MATCH(H582,'Tournament List'!$A:$A,0)),""))</f>
        <v/>
      </c>
      <c r="J582" s="98" t="str">
        <f>IF(E582="Skeet",IFERROR(INDEX('Shooter-Squad Assignment'!$A:$A,MATCH(C582&amp;"-"&amp;D582&amp;"-"&amp;E582&amp;"-Pos3",'Shooter-Squad Assignment'!#REF!,0)),""),IF(E582="Trap",IFERROR(INDEX('Shooter-Squad Assignment'!$A:$A,MATCH(C582&amp;"-"&amp;D582&amp;"-"&amp;E582&amp;"-Pos3",'Shooter-Squad Assignment'!$V:$V,0)),""),IF(E582="Sporting Clays",IFERROR(INDEX('Shooter-Squad Assignment'!$A:$A,MATCH(C582&amp;"-"&amp;D582&amp;"-"&amp;E582&amp;"-Pos3",'Shooter-Squad Assignment'!$Y:$Y,0)),""),"")))</f>
        <v/>
      </c>
      <c r="K582" s="73" t="str">
        <f>IF(ISBLANK(J582),"",IFERROR(INDEX('Tournament List'!$D:$D,MATCH(J582,'Tournament List'!$A:$A,0)),""))</f>
        <v/>
      </c>
      <c r="L582" s="98" t="str">
        <f>IF(E582="Skeet",IFERROR(INDEX('Shooter-Squad Assignment'!$A:$A,MATCH(C582&amp;"-"&amp;D582&amp;"-"&amp;E582&amp;"-Pos4",'Shooter-Squad Assignment'!#REF!,0)),""),IF(E582="Trap",IFERROR(INDEX('Shooter-Squad Assignment'!$A:$A,MATCH(C582&amp;"-"&amp;D582&amp;"-"&amp;E582&amp;"-Pos4",'Shooter-Squad Assignment'!$V:$V,0)),""),IF(E582="Sporting Clays",IFERROR(INDEX('Shooter-Squad Assignment'!$A:$A,MATCH(C582&amp;"-"&amp;D582&amp;"-"&amp;E582&amp;"-Pos4",'Shooter-Squad Assignment'!$Y:$Y,0)),""),"")))</f>
        <v/>
      </c>
      <c r="M582" s="73" t="str">
        <f>IF(ISBLANK(L582),"",IFERROR(INDEX('Tournament List'!$D:$D,MATCH(L582,'Tournament List'!$A:$A,0)),""))</f>
        <v/>
      </c>
      <c r="N582" s="98" t="str">
        <f>IF(E582="Skeet",IFERROR(INDEX('Shooter-Squad Assignment'!$A:$A,MATCH(C582&amp;"-"&amp;D582&amp;"-"&amp;E582&amp;"-Pos5",'Shooter-Squad Assignment'!#REF!,0)),""),IF(E582="Trap",IFERROR(INDEX('Shooter-Squad Assignment'!$A:$A,MATCH(C582&amp;"-"&amp;D582&amp;"-"&amp;E582&amp;"-Pos5",'Shooter-Squad Assignment'!$V:$V,0)),""),IF(E582="Sporting Clays",IFERROR(INDEX('Shooter-Squad Assignment'!$A:$A,MATCH(C582&amp;"-"&amp;D582&amp;"-"&amp;E582&amp;"-Pos5",'Shooter-Squad Assignment'!$Y:$Y,0)),""),"")))</f>
        <v/>
      </c>
      <c r="O582" s="80" t="str">
        <f>IF(ISBLANK(N582),"",IFERROR(INDEX('Tournament List'!$D:$D,MATCH(N582,'Tournament List'!$A:$A,0)),""))</f>
        <v/>
      </c>
    </row>
    <row r="583" spans="1:15" x14ac:dyDescent="0.3">
      <c r="A583" s="79">
        <v>591</v>
      </c>
      <c r="B583" s="73" t="str">
        <f t="shared" si="9"/>
        <v>-Intermediate 3-Sporting Clays</v>
      </c>
      <c r="C583" s="73"/>
      <c r="D583" s="73" t="s">
        <v>352</v>
      </c>
      <c r="E583" s="73" t="s">
        <v>148</v>
      </c>
      <c r="F583" s="98" t="str">
        <f>IF(E583="Skeet",IFERROR(INDEX('Shooter-Squad Assignment'!$A:$A,MATCH(C583&amp;"-"&amp;D583&amp;"-"&amp;E583&amp;"-Pos1",'Shooter-Squad Assignment'!#REF!,0)),""),IF(E583="Trap",IFERROR(INDEX('Shooter-Squad Assignment'!$A:$A,MATCH(C583&amp;"-"&amp;D583&amp;"-"&amp;E583&amp;"-Pos1",'Shooter-Squad Assignment'!$V:$V,0)),""),IF(E583="Sporting Clays",IFERROR(INDEX('Shooter-Squad Assignment'!$A:$A,MATCH(C583&amp;"-"&amp;D583&amp;"-"&amp;E583&amp;"-Pos1",'Shooter-Squad Assignment'!$Y:$Y,0)),""),"")))</f>
        <v/>
      </c>
      <c r="G583" s="73" t="str">
        <f>IF(ISBLANK(F583),"",IFERROR(INDEX('Tournament List'!$D:$D,MATCH(F583,'Tournament List'!$A:$A,0)),""))</f>
        <v/>
      </c>
      <c r="H583" s="98" t="str">
        <f>IF(E583="Skeet",IFERROR(INDEX('Shooter-Squad Assignment'!$A:$A,MATCH(C583&amp;"-"&amp;D583&amp;"-"&amp;E583&amp;"-Pos2",'Shooter-Squad Assignment'!#REF!,0)),""),IF(E583="Trap",IFERROR(INDEX('Shooter-Squad Assignment'!$A:$A,MATCH(C583&amp;"-"&amp;D583&amp;"-"&amp;E583&amp;"-Pos2",'Shooter-Squad Assignment'!$V:$V,0)),""),IF(E583="Sporting Clays",IFERROR(INDEX('Shooter-Squad Assignment'!$A:$A,MATCH(C583&amp;"-"&amp;D583&amp;"-"&amp;E583&amp;"-Pos2",'Shooter-Squad Assignment'!$Y:$Y,0)),""),"")))</f>
        <v/>
      </c>
      <c r="I583" s="73" t="str">
        <f>IF(ISBLANK(H583),"",IFERROR(INDEX('Tournament List'!$D:$D,MATCH(H583,'Tournament List'!$A:$A,0)),""))</f>
        <v/>
      </c>
      <c r="J583" s="98" t="str">
        <f>IF(E583="Skeet",IFERROR(INDEX('Shooter-Squad Assignment'!$A:$A,MATCH(C583&amp;"-"&amp;D583&amp;"-"&amp;E583&amp;"-Pos3",'Shooter-Squad Assignment'!#REF!,0)),""),IF(E583="Trap",IFERROR(INDEX('Shooter-Squad Assignment'!$A:$A,MATCH(C583&amp;"-"&amp;D583&amp;"-"&amp;E583&amp;"-Pos3",'Shooter-Squad Assignment'!$V:$V,0)),""),IF(E583="Sporting Clays",IFERROR(INDEX('Shooter-Squad Assignment'!$A:$A,MATCH(C583&amp;"-"&amp;D583&amp;"-"&amp;E583&amp;"-Pos3",'Shooter-Squad Assignment'!$Y:$Y,0)),""),"")))</f>
        <v/>
      </c>
      <c r="K583" s="73" t="str">
        <f>IF(ISBLANK(J583),"",IFERROR(INDEX('Tournament List'!$D:$D,MATCH(J583,'Tournament List'!$A:$A,0)),""))</f>
        <v/>
      </c>
      <c r="L583" s="98" t="str">
        <f>IF(E583="Skeet",IFERROR(INDEX('Shooter-Squad Assignment'!$A:$A,MATCH(C583&amp;"-"&amp;D583&amp;"-"&amp;E583&amp;"-Pos4",'Shooter-Squad Assignment'!#REF!,0)),""),IF(E583="Trap",IFERROR(INDEX('Shooter-Squad Assignment'!$A:$A,MATCH(C583&amp;"-"&amp;D583&amp;"-"&amp;E583&amp;"-Pos4",'Shooter-Squad Assignment'!$V:$V,0)),""),IF(E583="Sporting Clays",IFERROR(INDEX('Shooter-Squad Assignment'!$A:$A,MATCH(C583&amp;"-"&amp;D583&amp;"-"&amp;E583&amp;"-Pos4",'Shooter-Squad Assignment'!$Y:$Y,0)),""),"")))</f>
        <v/>
      </c>
      <c r="M583" s="73" t="str">
        <f>IF(ISBLANK(L583),"",IFERROR(INDEX('Tournament List'!$D:$D,MATCH(L583,'Tournament List'!$A:$A,0)),""))</f>
        <v/>
      </c>
      <c r="N583" s="98" t="str">
        <f>IF(E583="Skeet",IFERROR(INDEX('Shooter-Squad Assignment'!$A:$A,MATCH(C583&amp;"-"&amp;D583&amp;"-"&amp;E583&amp;"-Pos5",'Shooter-Squad Assignment'!#REF!,0)),""),IF(E583="Trap",IFERROR(INDEX('Shooter-Squad Assignment'!$A:$A,MATCH(C583&amp;"-"&amp;D583&amp;"-"&amp;E583&amp;"-Pos5",'Shooter-Squad Assignment'!$V:$V,0)),""),IF(E583="Sporting Clays",IFERROR(INDEX('Shooter-Squad Assignment'!$A:$A,MATCH(C583&amp;"-"&amp;D583&amp;"-"&amp;E583&amp;"-Pos5",'Shooter-Squad Assignment'!$Y:$Y,0)),""),"")))</f>
        <v/>
      </c>
      <c r="O583" s="80" t="str">
        <f>IF(ISBLANK(N583),"",IFERROR(INDEX('Tournament List'!$D:$D,MATCH(N583,'Tournament List'!$A:$A,0)),""))</f>
        <v/>
      </c>
    </row>
    <row r="584" spans="1:15" x14ac:dyDescent="0.3">
      <c r="A584" s="79">
        <v>592</v>
      </c>
      <c r="B584" s="73" t="str">
        <f t="shared" si="9"/>
        <v>-Junior Varsity 1-Sporting Clays</v>
      </c>
      <c r="C584" s="73"/>
      <c r="D584" s="73" t="s">
        <v>341</v>
      </c>
      <c r="E584" s="73" t="s">
        <v>148</v>
      </c>
      <c r="F584" s="98" t="str">
        <f>IF(E584="Skeet",IFERROR(INDEX('Shooter-Squad Assignment'!$A:$A,MATCH(C584&amp;"-"&amp;D584&amp;"-"&amp;E584&amp;"-Pos1",'Shooter-Squad Assignment'!#REF!,0)),""),IF(E584="Trap",IFERROR(INDEX('Shooter-Squad Assignment'!$A:$A,MATCH(C584&amp;"-"&amp;D584&amp;"-"&amp;E584&amp;"-Pos1",'Shooter-Squad Assignment'!$V:$V,0)),""),IF(E584="Sporting Clays",IFERROR(INDEX('Shooter-Squad Assignment'!$A:$A,MATCH(C584&amp;"-"&amp;D584&amp;"-"&amp;E584&amp;"-Pos1",'Shooter-Squad Assignment'!$Y:$Y,0)),""),"")))</f>
        <v/>
      </c>
      <c r="G584" s="73" t="str">
        <f>IF(ISBLANK(F584),"",IFERROR(INDEX('Tournament List'!$D:$D,MATCH(F584,'Tournament List'!$A:$A,0)),""))</f>
        <v/>
      </c>
      <c r="H584" s="98" t="str">
        <f>IF(E584="Skeet",IFERROR(INDEX('Shooter-Squad Assignment'!$A:$A,MATCH(C584&amp;"-"&amp;D584&amp;"-"&amp;E584&amp;"-Pos2",'Shooter-Squad Assignment'!#REF!,0)),""),IF(E584="Trap",IFERROR(INDEX('Shooter-Squad Assignment'!$A:$A,MATCH(C584&amp;"-"&amp;D584&amp;"-"&amp;E584&amp;"-Pos2",'Shooter-Squad Assignment'!$V:$V,0)),""),IF(E584="Sporting Clays",IFERROR(INDEX('Shooter-Squad Assignment'!$A:$A,MATCH(C584&amp;"-"&amp;D584&amp;"-"&amp;E584&amp;"-Pos2",'Shooter-Squad Assignment'!$Y:$Y,0)),""),"")))</f>
        <v/>
      </c>
      <c r="I584" s="73" t="str">
        <f>IF(ISBLANK(H584),"",IFERROR(INDEX('Tournament List'!$D:$D,MATCH(H584,'Tournament List'!$A:$A,0)),""))</f>
        <v/>
      </c>
      <c r="J584" s="98" t="str">
        <f>IF(E584="Skeet",IFERROR(INDEX('Shooter-Squad Assignment'!$A:$A,MATCH(C584&amp;"-"&amp;D584&amp;"-"&amp;E584&amp;"-Pos3",'Shooter-Squad Assignment'!#REF!,0)),""),IF(E584="Trap",IFERROR(INDEX('Shooter-Squad Assignment'!$A:$A,MATCH(C584&amp;"-"&amp;D584&amp;"-"&amp;E584&amp;"-Pos3",'Shooter-Squad Assignment'!$V:$V,0)),""),IF(E584="Sporting Clays",IFERROR(INDEX('Shooter-Squad Assignment'!$A:$A,MATCH(C584&amp;"-"&amp;D584&amp;"-"&amp;E584&amp;"-Pos3",'Shooter-Squad Assignment'!$Y:$Y,0)),""),"")))</f>
        <v/>
      </c>
      <c r="K584" s="73" t="str">
        <f>IF(ISBLANK(J584),"",IFERROR(INDEX('Tournament List'!$D:$D,MATCH(J584,'Tournament List'!$A:$A,0)),""))</f>
        <v/>
      </c>
      <c r="L584" s="98" t="str">
        <f>IF(E584="Skeet",IFERROR(INDEX('Shooter-Squad Assignment'!$A:$A,MATCH(C584&amp;"-"&amp;D584&amp;"-"&amp;E584&amp;"-Pos4",'Shooter-Squad Assignment'!#REF!,0)),""),IF(E584="Trap",IFERROR(INDEX('Shooter-Squad Assignment'!$A:$A,MATCH(C584&amp;"-"&amp;D584&amp;"-"&amp;E584&amp;"-Pos4",'Shooter-Squad Assignment'!$V:$V,0)),""),IF(E584="Sporting Clays",IFERROR(INDEX('Shooter-Squad Assignment'!$A:$A,MATCH(C584&amp;"-"&amp;D584&amp;"-"&amp;E584&amp;"-Pos4",'Shooter-Squad Assignment'!$Y:$Y,0)),""),"")))</f>
        <v/>
      </c>
      <c r="M584" s="73" t="str">
        <f>IF(ISBLANK(L584),"",IFERROR(INDEX('Tournament List'!$D:$D,MATCH(L584,'Tournament List'!$A:$A,0)),""))</f>
        <v/>
      </c>
      <c r="N584" s="98" t="str">
        <f>IF(E584="Skeet",IFERROR(INDEX('Shooter-Squad Assignment'!$A:$A,MATCH(C584&amp;"-"&amp;D584&amp;"-"&amp;E584&amp;"-Pos5",'Shooter-Squad Assignment'!#REF!,0)),""),IF(E584="Trap",IFERROR(INDEX('Shooter-Squad Assignment'!$A:$A,MATCH(C584&amp;"-"&amp;D584&amp;"-"&amp;E584&amp;"-Pos5",'Shooter-Squad Assignment'!$V:$V,0)),""),IF(E584="Sporting Clays",IFERROR(INDEX('Shooter-Squad Assignment'!$A:$A,MATCH(C584&amp;"-"&amp;D584&amp;"-"&amp;E584&amp;"-Pos5",'Shooter-Squad Assignment'!$Y:$Y,0)),""),"")))</f>
        <v/>
      </c>
      <c r="O584" s="80" t="str">
        <f>IF(ISBLANK(N584),"",IFERROR(INDEX('Tournament List'!$D:$D,MATCH(N584,'Tournament List'!$A:$A,0)),""))</f>
        <v/>
      </c>
    </row>
    <row r="585" spans="1:15" x14ac:dyDescent="0.3">
      <c r="A585" s="79">
        <v>593</v>
      </c>
      <c r="B585" s="73" t="str">
        <f t="shared" si="9"/>
        <v>-Junior Varsity 2-Sporting Clays</v>
      </c>
      <c r="C585" s="73"/>
      <c r="D585" s="73" t="s">
        <v>347</v>
      </c>
      <c r="E585" s="73" t="s">
        <v>148</v>
      </c>
      <c r="F585" s="98" t="str">
        <f>IF(E585="Skeet",IFERROR(INDEX('Shooter-Squad Assignment'!$A:$A,MATCH(C585&amp;"-"&amp;D585&amp;"-"&amp;E585&amp;"-Pos1",'Shooter-Squad Assignment'!#REF!,0)),""),IF(E585="Trap",IFERROR(INDEX('Shooter-Squad Assignment'!$A:$A,MATCH(C585&amp;"-"&amp;D585&amp;"-"&amp;E585&amp;"-Pos1",'Shooter-Squad Assignment'!$V:$V,0)),""),IF(E585="Sporting Clays",IFERROR(INDEX('Shooter-Squad Assignment'!$A:$A,MATCH(C585&amp;"-"&amp;D585&amp;"-"&amp;E585&amp;"-Pos1",'Shooter-Squad Assignment'!$Y:$Y,0)),""),"")))</f>
        <v/>
      </c>
      <c r="G585" s="73" t="str">
        <f>IF(ISBLANK(F585),"",IFERROR(INDEX('Tournament List'!$D:$D,MATCH(F585,'Tournament List'!$A:$A,0)),""))</f>
        <v/>
      </c>
      <c r="H585" s="98" t="str">
        <f>IF(E585="Skeet",IFERROR(INDEX('Shooter-Squad Assignment'!$A:$A,MATCH(C585&amp;"-"&amp;D585&amp;"-"&amp;E585&amp;"-Pos2",'Shooter-Squad Assignment'!#REF!,0)),""),IF(E585="Trap",IFERROR(INDEX('Shooter-Squad Assignment'!$A:$A,MATCH(C585&amp;"-"&amp;D585&amp;"-"&amp;E585&amp;"-Pos2",'Shooter-Squad Assignment'!$V:$V,0)),""),IF(E585="Sporting Clays",IFERROR(INDEX('Shooter-Squad Assignment'!$A:$A,MATCH(C585&amp;"-"&amp;D585&amp;"-"&amp;E585&amp;"-Pos2",'Shooter-Squad Assignment'!$Y:$Y,0)),""),"")))</f>
        <v/>
      </c>
      <c r="I585" s="73" t="str">
        <f>IF(ISBLANK(H585),"",IFERROR(INDEX('Tournament List'!$D:$D,MATCH(H585,'Tournament List'!$A:$A,0)),""))</f>
        <v/>
      </c>
      <c r="J585" s="98" t="str">
        <f>IF(E585="Skeet",IFERROR(INDEX('Shooter-Squad Assignment'!$A:$A,MATCH(C585&amp;"-"&amp;D585&amp;"-"&amp;E585&amp;"-Pos3",'Shooter-Squad Assignment'!#REF!,0)),""),IF(E585="Trap",IFERROR(INDEX('Shooter-Squad Assignment'!$A:$A,MATCH(C585&amp;"-"&amp;D585&amp;"-"&amp;E585&amp;"-Pos3",'Shooter-Squad Assignment'!$V:$V,0)),""),IF(E585="Sporting Clays",IFERROR(INDEX('Shooter-Squad Assignment'!$A:$A,MATCH(C585&amp;"-"&amp;D585&amp;"-"&amp;E585&amp;"-Pos3",'Shooter-Squad Assignment'!$Y:$Y,0)),""),"")))</f>
        <v/>
      </c>
      <c r="K585" s="73" t="str">
        <f>IF(ISBLANK(J585),"",IFERROR(INDEX('Tournament List'!$D:$D,MATCH(J585,'Tournament List'!$A:$A,0)),""))</f>
        <v/>
      </c>
      <c r="L585" s="98" t="str">
        <f>IF(E585="Skeet",IFERROR(INDEX('Shooter-Squad Assignment'!$A:$A,MATCH(C585&amp;"-"&amp;D585&amp;"-"&amp;E585&amp;"-Pos4",'Shooter-Squad Assignment'!#REF!,0)),""),IF(E585="Trap",IFERROR(INDEX('Shooter-Squad Assignment'!$A:$A,MATCH(C585&amp;"-"&amp;D585&amp;"-"&amp;E585&amp;"-Pos4",'Shooter-Squad Assignment'!$V:$V,0)),""),IF(E585="Sporting Clays",IFERROR(INDEX('Shooter-Squad Assignment'!$A:$A,MATCH(C585&amp;"-"&amp;D585&amp;"-"&amp;E585&amp;"-Pos4",'Shooter-Squad Assignment'!$Y:$Y,0)),""),"")))</f>
        <v/>
      </c>
      <c r="M585" s="73" t="str">
        <f>IF(ISBLANK(L585),"",IFERROR(INDEX('Tournament List'!$D:$D,MATCH(L585,'Tournament List'!$A:$A,0)),""))</f>
        <v/>
      </c>
      <c r="N585" s="98" t="str">
        <f>IF(E585="Skeet",IFERROR(INDEX('Shooter-Squad Assignment'!$A:$A,MATCH(C585&amp;"-"&amp;D585&amp;"-"&amp;E585&amp;"-Pos5",'Shooter-Squad Assignment'!#REF!,0)),""),IF(E585="Trap",IFERROR(INDEX('Shooter-Squad Assignment'!$A:$A,MATCH(C585&amp;"-"&amp;D585&amp;"-"&amp;E585&amp;"-Pos5",'Shooter-Squad Assignment'!$V:$V,0)),""),IF(E585="Sporting Clays",IFERROR(INDEX('Shooter-Squad Assignment'!$A:$A,MATCH(C585&amp;"-"&amp;D585&amp;"-"&amp;E585&amp;"-Pos5",'Shooter-Squad Assignment'!$Y:$Y,0)),""),"")))</f>
        <v/>
      </c>
      <c r="O585" s="80" t="str">
        <f>IF(ISBLANK(N585),"",IFERROR(INDEX('Tournament List'!$D:$D,MATCH(N585,'Tournament List'!$A:$A,0)),""))</f>
        <v/>
      </c>
    </row>
    <row r="586" spans="1:15" x14ac:dyDescent="0.3">
      <c r="A586" s="79">
        <v>594</v>
      </c>
      <c r="B586" s="73" t="str">
        <f t="shared" si="9"/>
        <v>-Junior Varsity 3-Sporting Clays</v>
      </c>
      <c r="C586" s="73"/>
      <c r="D586" s="73" t="s">
        <v>353</v>
      </c>
      <c r="E586" s="73" t="s">
        <v>148</v>
      </c>
      <c r="F586" s="98" t="str">
        <f>IF(E586="Skeet",IFERROR(INDEX('Shooter-Squad Assignment'!$A:$A,MATCH(C586&amp;"-"&amp;D586&amp;"-"&amp;E586&amp;"-Pos1",'Shooter-Squad Assignment'!#REF!,0)),""),IF(E586="Trap",IFERROR(INDEX('Shooter-Squad Assignment'!$A:$A,MATCH(C586&amp;"-"&amp;D586&amp;"-"&amp;E586&amp;"-Pos1",'Shooter-Squad Assignment'!$V:$V,0)),""),IF(E586="Sporting Clays",IFERROR(INDEX('Shooter-Squad Assignment'!$A:$A,MATCH(C586&amp;"-"&amp;D586&amp;"-"&amp;E586&amp;"-Pos1",'Shooter-Squad Assignment'!$Y:$Y,0)),""),"")))</f>
        <v/>
      </c>
      <c r="G586" s="73" t="str">
        <f>IF(ISBLANK(F586),"",IFERROR(INDEX('Tournament List'!$D:$D,MATCH(F586,'Tournament List'!$A:$A,0)),""))</f>
        <v/>
      </c>
      <c r="H586" s="98" t="str">
        <f>IF(E586="Skeet",IFERROR(INDEX('Shooter-Squad Assignment'!$A:$A,MATCH(C586&amp;"-"&amp;D586&amp;"-"&amp;E586&amp;"-Pos2",'Shooter-Squad Assignment'!#REF!,0)),""),IF(E586="Trap",IFERROR(INDEX('Shooter-Squad Assignment'!$A:$A,MATCH(C586&amp;"-"&amp;D586&amp;"-"&amp;E586&amp;"-Pos2",'Shooter-Squad Assignment'!$V:$V,0)),""),IF(E586="Sporting Clays",IFERROR(INDEX('Shooter-Squad Assignment'!$A:$A,MATCH(C586&amp;"-"&amp;D586&amp;"-"&amp;E586&amp;"-Pos2",'Shooter-Squad Assignment'!$Y:$Y,0)),""),"")))</f>
        <v/>
      </c>
      <c r="I586" s="73" t="str">
        <f>IF(ISBLANK(H586),"",IFERROR(INDEX('Tournament List'!$D:$D,MATCH(H586,'Tournament List'!$A:$A,0)),""))</f>
        <v/>
      </c>
      <c r="J586" s="98" t="str">
        <f>IF(E586="Skeet",IFERROR(INDEX('Shooter-Squad Assignment'!$A:$A,MATCH(C586&amp;"-"&amp;D586&amp;"-"&amp;E586&amp;"-Pos3",'Shooter-Squad Assignment'!#REF!,0)),""),IF(E586="Trap",IFERROR(INDEX('Shooter-Squad Assignment'!$A:$A,MATCH(C586&amp;"-"&amp;D586&amp;"-"&amp;E586&amp;"-Pos3",'Shooter-Squad Assignment'!$V:$V,0)),""),IF(E586="Sporting Clays",IFERROR(INDEX('Shooter-Squad Assignment'!$A:$A,MATCH(C586&amp;"-"&amp;D586&amp;"-"&amp;E586&amp;"-Pos3",'Shooter-Squad Assignment'!$Y:$Y,0)),""),"")))</f>
        <v/>
      </c>
      <c r="K586" s="73" t="str">
        <f>IF(ISBLANK(J586),"",IFERROR(INDEX('Tournament List'!$D:$D,MATCH(J586,'Tournament List'!$A:$A,0)),""))</f>
        <v/>
      </c>
      <c r="L586" s="98" t="str">
        <f>IF(E586="Skeet",IFERROR(INDEX('Shooter-Squad Assignment'!$A:$A,MATCH(C586&amp;"-"&amp;D586&amp;"-"&amp;E586&amp;"-Pos4",'Shooter-Squad Assignment'!#REF!,0)),""),IF(E586="Trap",IFERROR(INDEX('Shooter-Squad Assignment'!$A:$A,MATCH(C586&amp;"-"&amp;D586&amp;"-"&amp;E586&amp;"-Pos4",'Shooter-Squad Assignment'!$V:$V,0)),""),IF(E586="Sporting Clays",IFERROR(INDEX('Shooter-Squad Assignment'!$A:$A,MATCH(C586&amp;"-"&amp;D586&amp;"-"&amp;E586&amp;"-Pos4",'Shooter-Squad Assignment'!$Y:$Y,0)),""),"")))</f>
        <v/>
      </c>
      <c r="M586" s="73" t="str">
        <f>IF(ISBLANK(L586),"",IFERROR(INDEX('Tournament List'!$D:$D,MATCH(L586,'Tournament List'!$A:$A,0)),""))</f>
        <v/>
      </c>
      <c r="N586" s="98" t="str">
        <f>IF(E586="Skeet",IFERROR(INDEX('Shooter-Squad Assignment'!$A:$A,MATCH(C586&amp;"-"&amp;D586&amp;"-"&amp;E586&amp;"-Pos5",'Shooter-Squad Assignment'!#REF!,0)),""),IF(E586="Trap",IFERROR(INDEX('Shooter-Squad Assignment'!$A:$A,MATCH(C586&amp;"-"&amp;D586&amp;"-"&amp;E586&amp;"-Pos5",'Shooter-Squad Assignment'!$V:$V,0)),""),IF(E586="Sporting Clays",IFERROR(INDEX('Shooter-Squad Assignment'!$A:$A,MATCH(C586&amp;"-"&amp;D586&amp;"-"&amp;E586&amp;"-Pos5",'Shooter-Squad Assignment'!$Y:$Y,0)),""),"")))</f>
        <v/>
      </c>
      <c r="O586" s="80" t="str">
        <f>IF(ISBLANK(N586),"",IFERROR(INDEX('Tournament List'!$D:$D,MATCH(N586,'Tournament List'!$A:$A,0)),""))</f>
        <v/>
      </c>
    </row>
    <row r="587" spans="1:15" x14ac:dyDescent="0.3">
      <c r="A587" s="79">
        <v>595</v>
      </c>
      <c r="B587" s="73" t="str">
        <f t="shared" si="9"/>
        <v>-Novice 1-Sporting Clays</v>
      </c>
      <c r="C587" s="73"/>
      <c r="D587" s="73" t="s">
        <v>339</v>
      </c>
      <c r="E587" s="73" t="s">
        <v>148</v>
      </c>
      <c r="F587" s="98" t="str">
        <f>IF(E587="Skeet",IFERROR(INDEX('Shooter-Squad Assignment'!$A:$A,MATCH(C587&amp;"-"&amp;D587&amp;"-"&amp;E587&amp;"-Pos1",'Shooter-Squad Assignment'!#REF!,0)),""),IF(E587="Trap",IFERROR(INDEX('Shooter-Squad Assignment'!$A:$A,MATCH(C587&amp;"-"&amp;D587&amp;"-"&amp;E587&amp;"-Pos1",'Shooter-Squad Assignment'!$V:$V,0)),""),IF(E587="Sporting Clays",IFERROR(INDEX('Shooter-Squad Assignment'!$A:$A,MATCH(C587&amp;"-"&amp;D587&amp;"-"&amp;E587&amp;"-Pos1",'Shooter-Squad Assignment'!$Y:$Y,0)),""),"")))</f>
        <v/>
      </c>
      <c r="G587" s="73" t="str">
        <f>IF(ISBLANK(F587),"",IFERROR(INDEX('Tournament List'!$D:$D,MATCH(F587,'Tournament List'!$A:$A,0)),""))</f>
        <v/>
      </c>
      <c r="H587" s="98" t="str">
        <f>IF(E587="Skeet",IFERROR(INDEX('Shooter-Squad Assignment'!$A:$A,MATCH(C587&amp;"-"&amp;D587&amp;"-"&amp;E587&amp;"-Pos2",'Shooter-Squad Assignment'!#REF!,0)),""),IF(E587="Trap",IFERROR(INDEX('Shooter-Squad Assignment'!$A:$A,MATCH(C587&amp;"-"&amp;D587&amp;"-"&amp;E587&amp;"-Pos2",'Shooter-Squad Assignment'!$V:$V,0)),""),IF(E587="Sporting Clays",IFERROR(INDEX('Shooter-Squad Assignment'!$A:$A,MATCH(C587&amp;"-"&amp;D587&amp;"-"&amp;E587&amp;"-Pos2",'Shooter-Squad Assignment'!$Y:$Y,0)),""),"")))</f>
        <v/>
      </c>
      <c r="I587" s="73" t="str">
        <f>IF(ISBLANK(H587),"",IFERROR(INDEX('Tournament List'!$D:$D,MATCH(H587,'Tournament List'!$A:$A,0)),""))</f>
        <v/>
      </c>
      <c r="J587" s="98" t="str">
        <f>IF(E587="Skeet",IFERROR(INDEX('Shooter-Squad Assignment'!$A:$A,MATCH(C587&amp;"-"&amp;D587&amp;"-"&amp;E587&amp;"-Pos3",'Shooter-Squad Assignment'!#REF!,0)),""),IF(E587="Trap",IFERROR(INDEX('Shooter-Squad Assignment'!$A:$A,MATCH(C587&amp;"-"&amp;D587&amp;"-"&amp;E587&amp;"-Pos3",'Shooter-Squad Assignment'!$V:$V,0)),""),IF(E587="Sporting Clays",IFERROR(INDEX('Shooter-Squad Assignment'!$A:$A,MATCH(C587&amp;"-"&amp;D587&amp;"-"&amp;E587&amp;"-Pos3",'Shooter-Squad Assignment'!$Y:$Y,0)),""),"")))</f>
        <v/>
      </c>
      <c r="K587" s="73" t="str">
        <f>IF(ISBLANK(J587),"",IFERROR(INDEX('Tournament List'!$D:$D,MATCH(J587,'Tournament List'!$A:$A,0)),""))</f>
        <v/>
      </c>
      <c r="L587" s="98" t="str">
        <f>IF(E587="Skeet",IFERROR(INDEX('Shooter-Squad Assignment'!$A:$A,MATCH(C587&amp;"-"&amp;D587&amp;"-"&amp;E587&amp;"-Pos4",'Shooter-Squad Assignment'!#REF!,0)),""),IF(E587="Trap",IFERROR(INDEX('Shooter-Squad Assignment'!$A:$A,MATCH(C587&amp;"-"&amp;D587&amp;"-"&amp;E587&amp;"-Pos4",'Shooter-Squad Assignment'!$V:$V,0)),""),IF(E587="Sporting Clays",IFERROR(INDEX('Shooter-Squad Assignment'!$A:$A,MATCH(C587&amp;"-"&amp;D587&amp;"-"&amp;E587&amp;"-Pos4",'Shooter-Squad Assignment'!$Y:$Y,0)),""),"")))</f>
        <v/>
      </c>
      <c r="M587" s="73" t="str">
        <f>IF(ISBLANK(L587),"",IFERROR(INDEX('Tournament List'!$D:$D,MATCH(L587,'Tournament List'!$A:$A,0)),""))</f>
        <v/>
      </c>
      <c r="N587" s="98" t="str">
        <f>IF(E587="Skeet",IFERROR(INDEX('Shooter-Squad Assignment'!$A:$A,MATCH(C587&amp;"-"&amp;D587&amp;"-"&amp;E587&amp;"-Pos5",'Shooter-Squad Assignment'!#REF!,0)),""),IF(E587="Trap",IFERROR(INDEX('Shooter-Squad Assignment'!$A:$A,MATCH(C587&amp;"-"&amp;D587&amp;"-"&amp;E587&amp;"-Pos5",'Shooter-Squad Assignment'!$V:$V,0)),""),IF(E587="Sporting Clays",IFERROR(INDEX('Shooter-Squad Assignment'!$A:$A,MATCH(C587&amp;"-"&amp;D587&amp;"-"&amp;E587&amp;"-Pos5",'Shooter-Squad Assignment'!$Y:$Y,0)),""),"")))</f>
        <v/>
      </c>
      <c r="O587" s="80" t="str">
        <f>IF(ISBLANK(N587),"",IFERROR(INDEX('Tournament List'!$D:$D,MATCH(N587,'Tournament List'!$A:$A,0)),""))</f>
        <v/>
      </c>
    </row>
    <row r="588" spans="1:15" x14ac:dyDescent="0.3">
      <c r="A588" s="79">
        <v>596</v>
      </c>
      <c r="B588" s="73" t="str">
        <f t="shared" si="9"/>
        <v>-Novice 2-Sporting Clays</v>
      </c>
      <c r="C588" s="73"/>
      <c r="D588" s="73" t="s">
        <v>345</v>
      </c>
      <c r="E588" s="73" t="s">
        <v>148</v>
      </c>
      <c r="F588" s="98" t="str">
        <f>IF(E588="Skeet",IFERROR(INDEX('Shooter-Squad Assignment'!$A:$A,MATCH(C588&amp;"-"&amp;D588&amp;"-"&amp;E588&amp;"-Pos1",'Shooter-Squad Assignment'!#REF!,0)),""),IF(E588="Trap",IFERROR(INDEX('Shooter-Squad Assignment'!$A:$A,MATCH(C588&amp;"-"&amp;D588&amp;"-"&amp;E588&amp;"-Pos1",'Shooter-Squad Assignment'!$V:$V,0)),""),IF(E588="Sporting Clays",IFERROR(INDEX('Shooter-Squad Assignment'!$A:$A,MATCH(C588&amp;"-"&amp;D588&amp;"-"&amp;E588&amp;"-Pos1",'Shooter-Squad Assignment'!$Y:$Y,0)),""),"")))</f>
        <v/>
      </c>
      <c r="G588" s="73" t="str">
        <f>IF(ISBLANK(F588),"",IFERROR(INDEX('Tournament List'!$D:$D,MATCH(F588,'Tournament List'!$A:$A,0)),""))</f>
        <v/>
      </c>
      <c r="H588" s="98" t="str">
        <f>IF(E588="Skeet",IFERROR(INDEX('Shooter-Squad Assignment'!$A:$A,MATCH(C588&amp;"-"&amp;D588&amp;"-"&amp;E588&amp;"-Pos2",'Shooter-Squad Assignment'!#REF!,0)),""),IF(E588="Trap",IFERROR(INDEX('Shooter-Squad Assignment'!$A:$A,MATCH(C588&amp;"-"&amp;D588&amp;"-"&amp;E588&amp;"-Pos2",'Shooter-Squad Assignment'!$V:$V,0)),""),IF(E588="Sporting Clays",IFERROR(INDEX('Shooter-Squad Assignment'!$A:$A,MATCH(C588&amp;"-"&amp;D588&amp;"-"&amp;E588&amp;"-Pos2",'Shooter-Squad Assignment'!$Y:$Y,0)),""),"")))</f>
        <v/>
      </c>
      <c r="I588" s="73" t="str">
        <f>IF(ISBLANK(H588),"",IFERROR(INDEX('Tournament List'!$D:$D,MATCH(H588,'Tournament List'!$A:$A,0)),""))</f>
        <v/>
      </c>
      <c r="J588" s="98" t="str">
        <f>IF(E588="Skeet",IFERROR(INDEX('Shooter-Squad Assignment'!$A:$A,MATCH(C588&amp;"-"&amp;D588&amp;"-"&amp;E588&amp;"-Pos3",'Shooter-Squad Assignment'!#REF!,0)),""),IF(E588="Trap",IFERROR(INDEX('Shooter-Squad Assignment'!$A:$A,MATCH(C588&amp;"-"&amp;D588&amp;"-"&amp;E588&amp;"-Pos3",'Shooter-Squad Assignment'!$V:$V,0)),""),IF(E588="Sporting Clays",IFERROR(INDEX('Shooter-Squad Assignment'!$A:$A,MATCH(C588&amp;"-"&amp;D588&amp;"-"&amp;E588&amp;"-Pos3",'Shooter-Squad Assignment'!$Y:$Y,0)),""),"")))</f>
        <v/>
      </c>
      <c r="K588" s="73" t="str">
        <f>IF(ISBLANK(J588),"",IFERROR(INDEX('Tournament List'!$D:$D,MATCH(J588,'Tournament List'!$A:$A,0)),""))</f>
        <v/>
      </c>
      <c r="L588" s="98" t="str">
        <f>IF(E588="Skeet",IFERROR(INDEX('Shooter-Squad Assignment'!$A:$A,MATCH(C588&amp;"-"&amp;D588&amp;"-"&amp;E588&amp;"-Pos4",'Shooter-Squad Assignment'!#REF!,0)),""),IF(E588="Trap",IFERROR(INDEX('Shooter-Squad Assignment'!$A:$A,MATCH(C588&amp;"-"&amp;D588&amp;"-"&amp;E588&amp;"-Pos4",'Shooter-Squad Assignment'!$V:$V,0)),""),IF(E588="Sporting Clays",IFERROR(INDEX('Shooter-Squad Assignment'!$A:$A,MATCH(C588&amp;"-"&amp;D588&amp;"-"&amp;E588&amp;"-Pos4",'Shooter-Squad Assignment'!$Y:$Y,0)),""),"")))</f>
        <v/>
      </c>
      <c r="M588" s="73" t="str">
        <f>IF(ISBLANK(L588),"",IFERROR(INDEX('Tournament List'!$D:$D,MATCH(L588,'Tournament List'!$A:$A,0)),""))</f>
        <v/>
      </c>
      <c r="N588" s="98" t="str">
        <f>IF(E588="Skeet",IFERROR(INDEX('Shooter-Squad Assignment'!$A:$A,MATCH(C588&amp;"-"&amp;D588&amp;"-"&amp;E588&amp;"-Pos5",'Shooter-Squad Assignment'!#REF!,0)),""),IF(E588="Trap",IFERROR(INDEX('Shooter-Squad Assignment'!$A:$A,MATCH(C588&amp;"-"&amp;D588&amp;"-"&amp;E588&amp;"-Pos5",'Shooter-Squad Assignment'!$V:$V,0)),""),IF(E588="Sporting Clays",IFERROR(INDEX('Shooter-Squad Assignment'!$A:$A,MATCH(C588&amp;"-"&amp;D588&amp;"-"&amp;E588&amp;"-Pos5",'Shooter-Squad Assignment'!$Y:$Y,0)),""),"")))</f>
        <v/>
      </c>
      <c r="O588" s="80" t="str">
        <f>IF(ISBLANK(N588),"",IFERROR(INDEX('Tournament List'!$D:$D,MATCH(N588,'Tournament List'!$A:$A,0)),""))</f>
        <v/>
      </c>
    </row>
    <row r="589" spans="1:15" x14ac:dyDescent="0.3">
      <c r="A589" s="79">
        <v>597</v>
      </c>
      <c r="B589" s="73" t="str">
        <f t="shared" si="9"/>
        <v>-Novice 3-Sporting Clays</v>
      </c>
      <c r="C589" s="73"/>
      <c r="D589" s="73" t="s">
        <v>351</v>
      </c>
      <c r="E589" s="73" t="s">
        <v>148</v>
      </c>
      <c r="F589" s="98" t="str">
        <f>IF(E589="Skeet",IFERROR(INDEX('Shooter-Squad Assignment'!$A:$A,MATCH(C589&amp;"-"&amp;D589&amp;"-"&amp;E589&amp;"-Pos1",'Shooter-Squad Assignment'!#REF!,0)),""),IF(E589="Trap",IFERROR(INDEX('Shooter-Squad Assignment'!$A:$A,MATCH(C589&amp;"-"&amp;D589&amp;"-"&amp;E589&amp;"-Pos1",'Shooter-Squad Assignment'!$V:$V,0)),""),IF(E589="Sporting Clays",IFERROR(INDEX('Shooter-Squad Assignment'!$A:$A,MATCH(C589&amp;"-"&amp;D589&amp;"-"&amp;E589&amp;"-Pos1",'Shooter-Squad Assignment'!$Y:$Y,0)),""),"")))</f>
        <v/>
      </c>
      <c r="G589" s="73" t="str">
        <f>IF(ISBLANK(F589),"",IFERROR(INDEX('Tournament List'!$D:$D,MATCH(F589,'Tournament List'!$A:$A,0)),""))</f>
        <v/>
      </c>
      <c r="H589" s="98" t="str">
        <f>IF(E589="Skeet",IFERROR(INDEX('Shooter-Squad Assignment'!$A:$A,MATCH(C589&amp;"-"&amp;D589&amp;"-"&amp;E589&amp;"-Pos2",'Shooter-Squad Assignment'!#REF!,0)),""),IF(E589="Trap",IFERROR(INDEX('Shooter-Squad Assignment'!$A:$A,MATCH(C589&amp;"-"&amp;D589&amp;"-"&amp;E589&amp;"-Pos2",'Shooter-Squad Assignment'!$V:$V,0)),""),IF(E589="Sporting Clays",IFERROR(INDEX('Shooter-Squad Assignment'!$A:$A,MATCH(C589&amp;"-"&amp;D589&amp;"-"&amp;E589&amp;"-Pos2",'Shooter-Squad Assignment'!$Y:$Y,0)),""),"")))</f>
        <v/>
      </c>
      <c r="I589" s="73" t="str">
        <f>IF(ISBLANK(H589),"",IFERROR(INDEX('Tournament List'!$D:$D,MATCH(H589,'Tournament List'!$A:$A,0)),""))</f>
        <v/>
      </c>
      <c r="J589" s="98" t="str">
        <f>IF(E589="Skeet",IFERROR(INDEX('Shooter-Squad Assignment'!$A:$A,MATCH(C589&amp;"-"&amp;D589&amp;"-"&amp;E589&amp;"-Pos3",'Shooter-Squad Assignment'!#REF!,0)),""),IF(E589="Trap",IFERROR(INDEX('Shooter-Squad Assignment'!$A:$A,MATCH(C589&amp;"-"&amp;D589&amp;"-"&amp;E589&amp;"-Pos3",'Shooter-Squad Assignment'!$V:$V,0)),""),IF(E589="Sporting Clays",IFERROR(INDEX('Shooter-Squad Assignment'!$A:$A,MATCH(C589&amp;"-"&amp;D589&amp;"-"&amp;E589&amp;"-Pos3",'Shooter-Squad Assignment'!$Y:$Y,0)),""),"")))</f>
        <v/>
      </c>
      <c r="K589" s="73" t="str">
        <f>IF(ISBLANK(J589),"",IFERROR(INDEX('Tournament List'!$D:$D,MATCH(J589,'Tournament List'!$A:$A,0)),""))</f>
        <v/>
      </c>
      <c r="L589" s="98" t="str">
        <f>IF(E589="Skeet",IFERROR(INDEX('Shooter-Squad Assignment'!$A:$A,MATCH(C589&amp;"-"&amp;D589&amp;"-"&amp;E589&amp;"-Pos4",'Shooter-Squad Assignment'!#REF!,0)),""),IF(E589="Trap",IFERROR(INDEX('Shooter-Squad Assignment'!$A:$A,MATCH(C589&amp;"-"&amp;D589&amp;"-"&amp;E589&amp;"-Pos4",'Shooter-Squad Assignment'!$V:$V,0)),""),IF(E589="Sporting Clays",IFERROR(INDEX('Shooter-Squad Assignment'!$A:$A,MATCH(C589&amp;"-"&amp;D589&amp;"-"&amp;E589&amp;"-Pos4",'Shooter-Squad Assignment'!$Y:$Y,0)),""),"")))</f>
        <v/>
      </c>
      <c r="M589" s="73" t="str">
        <f>IF(ISBLANK(L589),"",IFERROR(INDEX('Tournament List'!$D:$D,MATCH(L589,'Tournament List'!$A:$A,0)),""))</f>
        <v/>
      </c>
      <c r="N589" s="98" t="str">
        <f>IF(E589="Skeet",IFERROR(INDEX('Shooter-Squad Assignment'!$A:$A,MATCH(C589&amp;"-"&amp;D589&amp;"-"&amp;E589&amp;"-Pos5",'Shooter-Squad Assignment'!#REF!,0)),""),IF(E589="Trap",IFERROR(INDEX('Shooter-Squad Assignment'!$A:$A,MATCH(C589&amp;"-"&amp;D589&amp;"-"&amp;E589&amp;"-Pos5",'Shooter-Squad Assignment'!$V:$V,0)),""),IF(E589="Sporting Clays",IFERROR(INDEX('Shooter-Squad Assignment'!$A:$A,MATCH(C589&amp;"-"&amp;D589&amp;"-"&amp;E589&amp;"-Pos5",'Shooter-Squad Assignment'!$Y:$Y,0)),""),"")))</f>
        <v/>
      </c>
      <c r="O589" s="80" t="str">
        <f>IF(ISBLANK(N589),"",IFERROR(INDEX('Tournament List'!$D:$D,MATCH(N589,'Tournament List'!$A:$A,0)),""))</f>
        <v/>
      </c>
    </row>
    <row r="590" spans="1:15" x14ac:dyDescent="0.3">
      <c r="A590" s="79">
        <v>598</v>
      </c>
      <c r="B590" s="73" t="str">
        <f t="shared" si="9"/>
        <v>-Open 1-Sporting Clays</v>
      </c>
      <c r="C590" s="73"/>
      <c r="D590" s="73" t="s">
        <v>343</v>
      </c>
      <c r="E590" s="73" t="s">
        <v>148</v>
      </c>
      <c r="F590" s="98" t="str">
        <f>IF(E590="Skeet",IFERROR(INDEX('Shooter-Squad Assignment'!$A:$A,MATCH(C590&amp;"-"&amp;D590&amp;"-"&amp;E590&amp;"-Pos1",'Shooter-Squad Assignment'!#REF!,0)),""),IF(E590="Trap",IFERROR(INDEX('Shooter-Squad Assignment'!$A:$A,MATCH(C590&amp;"-"&amp;D590&amp;"-"&amp;E590&amp;"-Pos1",'Shooter-Squad Assignment'!$V:$V,0)),""),IF(E590="Sporting Clays",IFERROR(INDEX('Shooter-Squad Assignment'!$A:$A,MATCH(C590&amp;"-"&amp;D590&amp;"-"&amp;E590&amp;"-Pos1",'Shooter-Squad Assignment'!$Y:$Y,0)),""),"")))</f>
        <v/>
      </c>
      <c r="G590" s="73" t="str">
        <f>IF(ISBLANK(F590),"",IFERROR(INDEX('Tournament List'!$D:$D,MATCH(F590,'Tournament List'!$A:$A,0)),""))</f>
        <v/>
      </c>
      <c r="H590" s="98" t="str">
        <f>IF(E590="Skeet",IFERROR(INDEX('Shooter-Squad Assignment'!$A:$A,MATCH(C590&amp;"-"&amp;D590&amp;"-"&amp;E590&amp;"-Pos2",'Shooter-Squad Assignment'!#REF!,0)),""),IF(E590="Trap",IFERROR(INDEX('Shooter-Squad Assignment'!$A:$A,MATCH(C590&amp;"-"&amp;D590&amp;"-"&amp;E590&amp;"-Pos2",'Shooter-Squad Assignment'!$V:$V,0)),""),IF(E590="Sporting Clays",IFERROR(INDEX('Shooter-Squad Assignment'!$A:$A,MATCH(C590&amp;"-"&amp;D590&amp;"-"&amp;E590&amp;"-Pos2",'Shooter-Squad Assignment'!$Y:$Y,0)),""),"")))</f>
        <v/>
      </c>
      <c r="I590" s="73" t="str">
        <f>IF(ISBLANK(H590),"",IFERROR(INDEX('Tournament List'!$D:$D,MATCH(H590,'Tournament List'!$A:$A,0)),""))</f>
        <v/>
      </c>
      <c r="J590" s="98" t="str">
        <f>IF(E590="Skeet",IFERROR(INDEX('Shooter-Squad Assignment'!$A:$A,MATCH(C590&amp;"-"&amp;D590&amp;"-"&amp;E590&amp;"-Pos3",'Shooter-Squad Assignment'!#REF!,0)),""),IF(E590="Trap",IFERROR(INDEX('Shooter-Squad Assignment'!$A:$A,MATCH(C590&amp;"-"&amp;D590&amp;"-"&amp;E590&amp;"-Pos3",'Shooter-Squad Assignment'!$V:$V,0)),""),IF(E590="Sporting Clays",IFERROR(INDEX('Shooter-Squad Assignment'!$A:$A,MATCH(C590&amp;"-"&amp;D590&amp;"-"&amp;E590&amp;"-Pos3",'Shooter-Squad Assignment'!$Y:$Y,0)),""),"")))</f>
        <v/>
      </c>
      <c r="K590" s="73" t="str">
        <f>IF(ISBLANK(J590),"",IFERROR(INDEX('Tournament List'!$D:$D,MATCH(J590,'Tournament List'!$A:$A,0)),""))</f>
        <v/>
      </c>
      <c r="L590" s="98" t="str">
        <f>IF(E590="Skeet",IFERROR(INDEX('Shooter-Squad Assignment'!$A:$A,MATCH(C590&amp;"-"&amp;D590&amp;"-"&amp;E590&amp;"-Pos4",'Shooter-Squad Assignment'!#REF!,0)),""),IF(E590="Trap",IFERROR(INDEX('Shooter-Squad Assignment'!$A:$A,MATCH(C590&amp;"-"&amp;D590&amp;"-"&amp;E590&amp;"-Pos4",'Shooter-Squad Assignment'!$V:$V,0)),""),IF(E590="Sporting Clays",IFERROR(INDEX('Shooter-Squad Assignment'!$A:$A,MATCH(C590&amp;"-"&amp;D590&amp;"-"&amp;E590&amp;"-Pos4",'Shooter-Squad Assignment'!$Y:$Y,0)),""),"")))</f>
        <v/>
      </c>
      <c r="M590" s="73" t="str">
        <f>IF(ISBLANK(L590),"",IFERROR(INDEX('Tournament List'!$D:$D,MATCH(L590,'Tournament List'!$A:$A,0)),""))</f>
        <v/>
      </c>
      <c r="N590" s="98" t="str">
        <f>IF(E590="Skeet",IFERROR(INDEX('Shooter-Squad Assignment'!$A:$A,MATCH(C590&amp;"-"&amp;D590&amp;"-"&amp;E590&amp;"-Pos5",'Shooter-Squad Assignment'!#REF!,0)),""),IF(E590="Trap",IFERROR(INDEX('Shooter-Squad Assignment'!$A:$A,MATCH(C590&amp;"-"&amp;D590&amp;"-"&amp;E590&amp;"-Pos5",'Shooter-Squad Assignment'!$V:$V,0)),""),IF(E590="Sporting Clays",IFERROR(INDEX('Shooter-Squad Assignment'!$A:$A,MATCH(C590&amp;"-"&amp;D590&amp;"-"&amp;E590&amp;"-Pos5",'Shooter-Squad Assignment'!$Y:$Y,0)),""),"")))</f>
        <v/>
      </c>
      <c r="O590" s="80" t="str">
        <f>IF(ISBLANK(N590),"",IFERROR(INDEX('Tournament List'!$D:$D,MATCH(N590,'Tournament List'!$A:$A,0)),""))</f>
        <v/>
      </c>
    </row>
    <row r="591" spans="1:15" x14ac:dyDescent="0.3">
      <c r="A591" s="79">
        <v>599</v>
      </c>
      <c r="B591" s="73" t="str">
        <f t="shared" si="9"/>
        <v>-Open 2-Sporting Clays</v>
      </c>
      <c r="C591" s="73"/>
      <c r="D591" s="73" t="s">
        <v>349</v>
      </c>
      <c r="E591" s="73" t="s">
        <v>148</v>
      </c>
      <c r="F591" s="98" t="str">
        <f>IF(E591="Skeet",IFERROR(INDEX('Shooter-Squad Assignment'!$A:$A,MATCH(C591&amp;"-"&amp;D591&amp;"-"&amp;E591&amp;"-Pos1",'Shooter-Squad Assignment'!#REF!,0)),""),IF(E591="Trap",IFERROR(INDEX('Shooter-Squad Assignment'!$A:$A,MATCH(C591&amp;"-"&amp;D591&amp;"-"&amp;E591&amp;"-Pos1",'Shooter-Squad Assignment'!$V:$V,0)),""),IF(E591="Sporting Clays",IFERROR(INDEX('Shooter-Squad Assignment'!$A:$A,MATCH(C591&amp;"-"&amp;D591&amp;"-"&amp;E591&amp;"-Pos1",'Shooter-Squad Assignment'!$Y:$Y,0)),""),"")))</f>
        <v/>
      </c>
      <c r="G591" s="73" t="str">
        <f>IF(ISBLANK(F591),"",IFERROR(INDEX('Tournament List'!$D:$D,MATCH(F591,'Tournament List'!$A:$A,0)),""))</f>
        <v/>
      </c>
      <c r="H591" s="98" t="str">
        <f>IF(E591="Skeet",IFERROR(INDEX('Shooter-Squad Assignment'!$A:$A,MATCH(C591&amp;"-"&amp;D591&amp;"-"&amp;E591&amp;"-Pos2",'Shooter-Squad Assignment'!#REF!,0)),""),IF(E591="Trap",IFERROR(INDEX('Shooter-Squad Assignment'!$A:$A,MATCH(C591&amp;"-"&amp;D591&amp;"-"&amp;E591&amp;"-Pos2",'Shooter-Squad Assignment'!$V:$V,0)),""),IF(E591="Sporting Clays",IFERROR(INDEX('Shooter-Squad Assignment'!$A:$A,MATCH(C591&amp;"-"&amp;D591&amp;"-"&amp;E591&amp;"-Pos2",'Shooter-Squad Assignment'!$Y:$Y,0)),""),"")))</f>
        <v/>
      </c>
      <c r="I591" s="73" t="str">
        <f>IF(ISBLANK(H591),"",IFERROR(INDEX('Tournament List'!$D:$D,MATCH(H591,'Tournament List'!$A:$A,0)),""))</f>
        <v/>
      </c>
      <c r="J591" s="98" t="str">
        <f>IF(E591="Skeet",IFERROR(INDEX('Shooter-Squad Assignment'!$A:$A,MATCH(C591&amp;"-"&amp;D591&amp;"-"&amp;E591&amp;"-Pos3",'Shooter-Squad Assignment'!#REF!,0)),""),IF(E591="Trap",IFERROR(INDEX('Shooter-Squad Assignment'!$A:$A,MATCH(C591&amp;"-"&amp;D591&amp;"-"&amp;E591&amp;"-Pos3",'Shooter-Squad Assignment'!$V:$V,0)),""),IF(E591="Sporting Clays",IFERROR(INDEX('Shooter-Squad Assignment'!$A:$A,MATCH(C591&amp;"-"&amp;D591&amp;"-"&amp;E591&amp;"-Pos3",'Shooter-Squad Assignment'!$Y:$Y,0)),""),"")))</f>
        <v/>
      </c>
      <c r="K591" s="73" t="str">
        <f>IF(ISBLANK(J591),"",IFERROR(INDEX('Tournament List'!$D:$D,MATCH(J591,'Tournament List'!$A:$A,0)),""))</f>
        <v/>
      </c>
      <c r="L591" s="98" t="str">
        <f>IF(E591="Skeet",IFERROR(INDEX('Shooter-Squad Assignment'!$A:$A,MATCH(C591&amp;"-"&amp;D591&amp;"-"&amp;E591&amp;"-Pos4",'Shooter-Squad Assignment'!#REF!,0)),""),IF(E591="Trap",IFERROR(INDEX('Shooter-Squad Assignment'!$A:$A,MATCH(C591&amp;"-"&amp;D591&amp;"-"&amp;E591&amp;"-Pos4",'Shooter-Squad Assignment'!$V:$V,0)),""),IF(E591="Sporting Clays",IFERROR(INDEX('Shooter-Squad Assignment'!$A:$A,MATCH(C591&amp;"-"&amp;D591&amp;"-"&amp;E591&amp;"-Pos4",'Shooter-Squad Assignment'!$Y:$Y,0)),""),"")))</f>
        <v/>
      </c>
      <c r="M591" s="73" t="str">
        <f>IF(ISBLANK(L591),"",IFERROR(INDEX('Tournament List'!$D:$D,MATCH(L591,'Tournament List'!$A:$A,0)),""))</f>
        <v/>
      </c>
      <c r="N591" s="98" t="str">
        <f>IF(E591="Skeet",IFERROR(INDEX('Shooter-Squad Assignment'!$A:$A,MATCH(C591&amp;"-"&amp;D591&amp;"-"&amp;E591&amp;"-Pos5",'Shooter-Squad Assignment'!#REF!,0)),""),IF(E591="Trap",IFERROR(INDEX('Shooter-Squad Assignment'!$A:$A,MATCH(C591&amp;"-"&amp;D591&amp;"-"&amp;E591&amp;"-Pos5",'Shooter-Squad Assignment'!$V:$V,0)),""),IF(E591="Sporting Clays",IFERROR(INDEX('Shooter-Squad Assignment'!$A:$A,MATCH(C591&amp;"-"&amp;D591&amp;"-"&amp;E591&amp;"-Pos5",'Shooter-Squad Assignment'!$Y:$Y,0)),""),"")))</f>
        <v/>
      </c>
      <c r="O591" s="80" t="str">
        <f>IF(ISBLANK(N591),"",IFERROR(INDEX('Tournament List'!$D:$D,MATCH(N591,'Tournament List'!$A:$A,0)),""))</f>
        <v/>
      </c>
    </row>
    <row r="592" spans="1:15" x14ac:dyDescent="0.3">
      <c r="A592" s="79">
        <v>600</v>
      </c>
      <c r="B592" s="73" t="str">
        <f t="shared" si="9"/>
        <v>-Open 3-Sporting Clays</v>
      </c>
      <c r="C592" s="73"/>
      <c r="D592" s="73" t="s">
        <v>355</v>
      </c>
      <c r="E592" s="73" t="s">
        <v>148</v>
      </c>
      <c r="F592" s="98" t="str">
        <f>IF(E592="Skeet",IFERROR(INDEX('Shooter-Squad Assignment'!$A:$A,MATCH(C592&amp;"-"&amp;D592&amp;"-"&amp;E592&amp;"-Pos1",'Shooter-Squad Assignment'!#REF!,0)),""),IF(E592="Trap",IFERROR(INDEX('Shooter-Squad Assignment'!$A:$A,MATCH(C592&amp;"-"&amp;D592&amp;"-"&amp;E592&amp;"-Pos1",'Shooter-Squad Assignment'!$V:$V,0)),""),IF(E592="Sporting Clays",IFERROR(INDEX('Shooter-Squad Assignment'!$A:$A,MATCH(C592&amp;"-"&amp;D592&amp;"-"&amp;E592&amp;"-Pos1",'Shooter-Squad Assignment'!$Y:$Y,0)),""),"")))</f>
        <v/>
      </c>
      <c r="G592" s="73" t="str">
        <f>IF(ISBLANK(F592),"",IFERROR(INDEX('Tournament List'!$D:$D,MATCH(F592,'Tournament List'!$A:$A,0)),""))</f>
        <v/>
      </c>
      <c r="H592" s="98" t="str">
        <f>IF(E592="Skeet",IFERROR(INDEX('Shooter-Squad Assignment'!$A:$A,MATCH(C592&amp;"-"&amp;D592&amp;"-"&amp;E592&amp;"-Pos2",'Shooter-Squad Assignment'!#REF!,0)),""),IF(E592="Trap",IFERROR(INDEX('Shooter-Squad Assignment'!$A:$A,MATCH(C592&amp;"-"&amp;D592&amp;"-"&amp;E592&amp;"-Pos2",'Shooter-Squad Assignment'!$V:$V,0)),""),IF(E592="Sporting Clays",IFERROR(INDEX('Shooter-Squad Assignment'!$A:$A,MATCH(C592&amp;"-"&amp;D592&amp;"-"&amp;E592&amp;"-Pos2",'Shooter-Squad Assignment'!$Y:$Y,0)),""),"")))</f>
        <v/>
      </c>
      <c r="I592" s="73" t="str">
        <f>IF(ISBLANK(H592),"",IFERROR(INDEX('Tournament List'!$D:$D,MATCH(H592,'Tournament List'!$A:$A,0)),""))</f>
        <v/>
      </c>
      <c r="J592" s="98" t="str">
        <f>IF(E592="Skeet",IFERROR(INDEX('Shooter-Squad Assignment'!$A:$A,MATCH(C592&amp;"-"&amp;D592&amp;"-"&amp;E592&amp;"-Pos3",'Shooter-Squad Assignment'!#REF!,0)),""),IF(E592="Trap",IFERROR(INDEX('Shooter-Squad Assignment'!$A:$A,MATCH(C592&amp;"-"&amp;D592&amp;"-"&amp;E592&amp;"-Pos3",'Shooter-Squad Assignment'!$V:$V,0)),""),IF(E592="Sporting Clays",IFERROR(INDEX('Shooter-Squad Assignment'!$A:$A,MATCH(C592&amp;"-"&amp;D592&amp;"-"&amp;E592&amp;"-Pos3",'Shooter-Squad Assignment'!$Y:$Y,0)),""),"")))</f>
        <v/>
      </c>
      <c r="K592" s="73" t="str">
        <f>IF(ISBLANK(J592),"",IFERROR(INDEX('Tournament List'!$D:$D,MATCH(J592,'Tournament List'!$A:$A,0)),""))</f>
        <v/>
      </c>
      <c r="L592" s="98" t="str">
        <f>IF(E592="Skeet",IFERROR(INDEX('Shooter-Squad Assignment'!$A:$A,MATCH(C592&amp;"-"&amp;D592&amp;"-"&amp;E592&amp;"-Pos4",'Shooter-Squad Assignment'!#REF!,0)),""),IF(E592="Trap",IFERROR(INDEX('Shooter-Squad Assignment'!$A:$A,MATCH(C592&amp;"-"&amp;D592&amp;"-"&amp;E592&amp;"-Pos4",'Shooter-Squad Assignment'!$V:$V,0)),""),IF(E592="Sporting Clays",IFERROR(INDEX('Shooter-Squad Assignment'!$A:$A,MATCH(C592&amp;"-"&amp;D592&amp;"-"&amp;E592&amp;"-Pos4",'Shooter-Squad Assignment'!$Y:$Y,0)),""),"")))</f>
        <v/>
      </c>
      <c r="M592" s="73" t="str">
        <f>IF(ISBLANK(L592),"",IFERROR(INDEX('Tournament List'!$D:$D,MATCH(L592,'Tournament List'!$A:$A,0)),""))</f>
        <v/>
      </c>
      <c r="N592" s="98" t="str">
        <f>IF(E592="Skeet",IFERROR(INDEX('Shooter-Squad Assignment'!$A:$A,MATCH(C592&amp;"-"&amp;D592&amp;"-"&amp;E592&amp;"-Pos5",'Shooter-Squad Assignment'!#REF!,0)),""),IF(E592="Trap",IFERROR(INDEX('Shooter-Squad Assignment'!$A:$A,MATCH(C592&amp;"-"&amp;D592&amp;"-"&amp;E592&amp;"-Pos5",'Shooter-Squad Assignment'!$V:$V,0)),""),IF(E592="Sporting Clays",IFERROR(INDEX('Shooter-Squad Assignment'!$A:$A,MATCH(C592&amp;"-"&amp;D592&amp;"-"&amp;E592&amp;"-Pos5",'Shooter-Squad Assignment'!$Y:$Y,0)),""),"")))</f>
        <v/>
      </c>
      <c r="O592" s="80" t="str">
        <f>IF(ISBLANK(N592),"",IFERROR(INDEX('Tournament List'!$D:$D,MATCH(N592,'Tournament List'!$A:$A,0)),""))</f>
        <v/>
      </c>
    </row>
    <row r="593" spans="1:15" x14ac:dyDescent="0.3">
      <c r="A593" s="79">
        <v>601</v>
      </c>
      <c r="B593" s="73" t="str">
        <f t="shared" si="9"/>
        <v>-Varsity 1-Sporting Clays</v>
      </c>
      <c r="C593" s="73"/>
      <c r="D593" s="73" t="s">
        <v>342</v>
      </c>
      <c r="E593" s="73" t="s">
        <v>148</v>
      </c>
      <c r="F593" s="98" t="str">
        <f>IF(E593="Skeet",IFERROR(INDEX('Shooter-Squad Assignment'!$A:$A,MATCH(C593&amp;"-"&amp;D593&amp;"-"&amp;E593&amp;"-Pos1",'Shooter-Squad Assignment'!#REF!,0)),""),IF(E593="Trap",IFERROR(INDEX('Shooter-Squad Assignment'!$A:$A,MATCH(C593&amp;"-"&amp;D593&amp;"-"&amp;E593&amp;"-Pos1",'Shooter-Squad Assignment'!$V:$V,0)),""),IF(E593="Sporting Clays",IFERROR(INDEX('Shooter-Squad Assignment'!$A:$A,MATCH(C593&amp;"-"&amp;D593&amp;"-"&amp;E593&amp;"-Pos1",'Shooter-Squad Assignment'!$Y:$Y,0)),""),"")))</f>
        <v/>
      </c>
      <c r="G593" s="73" t="str">
        <f>IF(ISBLANK(F593),"",IFERROR(INDEX('Tournament List'!$D:$D,MATCH(F593,'Tournament List'!$A:$A,0)),""))</f>
        <v/>
      </c>
      <c r="H593" s="98" t="str">
        <f>IF(E593="Skeet",IFERROR(INDEX('Shooter-Squad Assignment'!$A:$A,MATCH(C593&amp;"-"&amp;D593&amp;"-"&amp;E593&amp;"-Pos2",'Shooter-Squad Assignment'!#REF!,0)),""),IF(E593="Trap",IFERROR(INDEX('Shooter-Squad Assignment'!$A:$A,MATCH(C593&amp;"-"&amp;D593&amp;"-"&amp;E593&amp;"-Pos2",'Shooter-Squad Assignment'!$V:$V,0)),""),IF(E593="Sporting Clays",IFERROR(INDEX('Shooter-Squad Assignment'!$A:$A,MATCH(C593&amp;"-"&amp;D593&amp;"-"&amp;E593&amp;"-Pos2",'Shooter-Squad Assignment'!$Y:$Y,0)),""),"")))</f>
        <v/>
      </c>
      <c r="I593" s="73" t="str">
        <f>IF(ISBLANK(H593),"",IFERROR(INDEX('Tournament List'!$D:$D,MATCH(H593,'Tournament List'!$A:$A,0)),""))</f>
        <v/>
      </c>
      <c r="J593" s="98" t="str">
        <f>IF(E593="Skeet",IFERROR(INDEX('Shooter-Squad Assignment'!$A:$A,MATCH(C593&amp;"-"&amp;D593&amp;"-"&amp;E593&amp;"-Pos3",'Shooter-Squad Assignment'!#REF!,0)),""),IF(E593="Trap",IFERROR(INDEX('Shooter-Squad Assignment'!$A:$A,MATCH(C593&amp;"-"&amp;D593&amp;"-"&amp;E593&amp;"-Pos3",'Shooter-Squad Assignment'!$V:$V,0)),""),IF(E593="Sporting Clays",IFERROR(INDEX('Shooter-Squad Assignment'!$A:$A,MATCH(C593&amp;"-"&amp;D593&amp;"-"&amp;E593&amp;"-Pos3",'Shooter-Squad Assignment'!$Y:$Y,0)),""),"")))</f>
        <v/>
      </c>
      <c r="K593" s="73" t="str">
        <f>IF(ISBLANK(J593),"",IFERROR(INDEX('Tournament List'!$D:$D,MATCH(J593,'Tournament List'!$A:$A,0)),""))</f>
        <v/>
      </c>
      <c r="L593" s="98" t="str">
        <f>IF(E593="Skeet",IFERROR(INDEX('Shooter-Squad Assignment'!$A:$A,MATCH(C593&amp;"-"&amp;D593&amp;"-"&amp;E593&amp;"-Pos4",'Shooter-Squad Assignment'!#REF!,0)),""),IF(E593="Trap",IFERROR(INDEX('Shooter-Squad Assignment'!$A:$A,MATCH(C593&amp;"-"&amp;D593&amp;"-"&amp;E593&amp;"-Pos4",'Shooter-Squad Assignment'!$V:$V,0)),""),IF(E593="Sporting Clays",IFERROR(INDEX('Shooter-Squad Assignment'!$A:$A,MATCH(C593&amp;"-"&amp;D593&amp;"-"&amp;E593&amp;"-Pos4",'Shooter-Squad Assignment'!$Y:$Y,0)),""),"")))</f>
        <v/>
      </c>
      <c r="M593" s="73" t="str">
        <f>IF(ISBLANK(L593),"",IFERROR(INDEX('Tournament List'!$D:$D,MATCH(L593,'Tournament List'!$A:$A,0)),""))</f>
        <v/>
      </c>
      <c r="N593" s="98" t="str">
        <f>IF(E593="Skeet",IFERROR(INDEX('Shooter-Squad Assignment'!$A:$A,MATCH(C593&amp;"-"&amp;D593&amp;"-"&amp;E593&amp;"-Pos5",'Shooter-Squad Assignment'!#REF!,0)),""),IF(E593="Trap",IFERROR(INDEX('Shooter-Squad Assignment'!$A:$A,MATCH(C593&amp;"-"&amp;D593&amp;"-"&amp;E593&amp;"-Pos5",'Shooter-Squad Assignment'!$V:$V,0)),""),IF(E593="Sporting Clays",IFERROR(INDEX('Shooter-Squad Assignment'!$A:$A,MATCH(C593&amp;"-"&amp;D593&amp;"-"&amp;E593&amp;"-Pos5",'Shooter-Squad Assignment'!$Y:$Y,0)),""),"")))</f>
        <v/>
      </c>
      <c r="O593" s="80" t="str">
        <f>IF(ISBLANK(N593),"",IFERROR(INDEX('Tournament List'!$D:$D,MATCH(N593,'Tournament List'!$A:$A,0)),""))</f>
        <v/>
      </c>
    </row>
    <row r="594" spans="1:15" x14ac:dyDescent="0.3">
      <c r="A594" s="79">
        <v>602</v>
      </c>
      <c r="B594" s="73" t="str">
        <f t="shared" si="9"/>
        <v>-Varsity 2-Sporting Clays</v>
      </c>
      <c r="C594" s="73"/>
      <c r="D594" s="73" t="s">
        <v>348</v>
      </c>
      <c r="E594" s="73" t="s">
        <v>148</v>
      </c>
      <c r="F594" s="98" t="str">
        <f>IF(E594="Skeet",IFERROR(INDEX('Shooter-Squad Assignment'!$A:$A,MATCH(C594&amp;"-"&amp;D594&amp;"-"&amp;E594&amp;"-Pos1",'Shooter-Squad Assignment'!#REF!,0)),""),IF(E594="Trap",IFERROR(INDEX('Shooter-Squad Assignment'!$A:$A,MATCH(C594&amp;"-"&amp;D594&amp;"-"&amp;E594&amp;"-Pos1",'Shooter-Squad Assignment'!$V:$V,0)),""),IF(E594="Sporting Clays",IFERROR(INDEX('Shooter-Squad Assignment'!$A:$A,MATCH(C594&amp;"-"&amp;D594&amp;"-"&amp;E594&amp;"-Pos1",'Shooter-Squad Assignment'!$Y:$Y,0)),""),"")))</f>
        <v/>
      </c>
      <c r="G594" s="73" t="str">
        <f>IF(ISBLANK(F594),"",IFERROR(INDEX('Tournament List'!$D:$D,MATCH(F594,'Tournament List'!$A:$A,0)),""))</f>
        <v/>
      </c>
      <c r="H594" s="98" t="str">
        <f>IF(E594="Skeet",IFERROR(INDEX('Shooter-Squad Assignment'!$A:$A,MATCH(C594&amp;"-"&amp;D594&amp;"-"&amp;E594&amp;"-Pos2",'Shooter-Squad Assignment'!#REF!,0)),""),IF(E594="Trap",IFERROR(INDEX('Shooter-Squad Assignment'!$A:$A,MATCH(C594&amp;"-"&amp;D594&amp;"-"&amp;E594&amp;"-Pos2",'Shooter-Squad Assignment'!$V:$V,0)),""),IF(E594="Sporting Clays",IFERROR(INDEX('Shooter-Squad Assignment'!$A:$A,MATCH(C594&amp;"-"&amp;D594&amp;"-"&amp;E594&amp;"-Pos2",'Shooter-Squad Assignment'!$Y:$Y,0)),""),"")))</f>
        <v/>
      </c>
      <c r="I594" s="73" t="str">
        <f>IF(ISBLANK(H594),"",IFERROR(INDEX('Tournament List'!$D:$D,MATCH(H594,'Tournament List'!$A:$A,0)),""))</f>
        <v/>
      </c>
      <c r="J594" s="98" t="str">
        <f>IF(E594="Skeet",IFERROR(INDEX('Shooter-Squad Assignment'!$A:$A,MATCH(C594&amp;"-"&amp;D594&amp;"-"&amp;E594&amp;"-Pos3",'Shooter-Squad Assignment'!#REF!,0)),""),IF(E594="Trap",IFERROR(INDEX('Shooter-Squad Assignment'!$A:$A,MATCH(C594&amp;"-"&amp;D594&amp;"-"&amp;E594&amp;"-Pos3",'Shooter-Squad Assignment'!$V:$V,0)),""),IF(E594="Sporting Clays",IFERROR(INDEX('Shooter-Squad Assignment'!$A:$A,MATCH(C594&amp;"-"&amp;D594&amp;"-"&amp;E594&amp;"-Pos3",'Shooter-Squad Assignment'!$Y:$Y,0)),""),"")))</f>
        <v/>
      </c>
      <c r="K594" s="73" t="str">
        <f>IF(ISBLANK(J594),"",IFERROR(INDEX('Tournament List'!$D:$D,MATCH(J594,'Tournament List'!$A:$A,0)),""))</f>
        <v/>
      </c>
      <c r="L594" s="98" t="str">
        <f>IF(E594="Skeet",IFERROR(INDEX('Shooter-Squad Assignment'!$A:$A,MATCH(C594&amp;"-"&amp;D594&amp;"-"&amp;E594&amp;"-Pos4",'Shooter-Squad Assignment'!#REF!,0)),""),IF(E594="Trap",IFERROR(INDEX('Shooter-Squad Assignment'!$A:$A,MATCH(C594&amp;"-"&amp;D594&amp;"-"&amp;E594&amp;"-Pos4",'Shooter-Squad Assignment'!$V:$V,0)),""),IF(E594="Sporting Clays",IFERROR(INDEX('Shooter-Squad Assignment'!$A:$A,MATCH(C594&amp;"-"&amp;D594&amp;"-"&amp;E594&amp;"-Pos4",'Shooter-Squad Assignment'!$Y:$Y,0)),""),"")))</f>
        <v/>
      </c>
      <c r="M594" s="73" t="str">
        <f>IF(ISBLANK(L594),"",IFERROR(INDEX('Tournament List'!$D:$D,MATCH(L594,'Tournament List'!$A:$A,0)),""))</f>
        <v/>
      </c>
      <c r="N594" s="98" t="str">
        <f>IF(E594="Skeet",IFERROR(INDEX('Shooter-Squad Assignment'!$A:$A,MATCH(C594&amp;"-"&amp;D594&amp;"-"&amp;E594&amp;"-Pos5",'Shooter-Squad Assignment'!#REF!,0)),""),IF(E594="Trap",IFERROR(INDEX('Shooter-Squad Assignment'!$A:$A,MATCH(C594&amp;"-"&amp;D594&amp;"-"&amp;E594&amp;"-Pos5",'Shooter-Squad Assignment'!$V:$V,0)),""),IF(E594="Sporting Clays",IFERROR(INDEX('Shooter-Squad Assignment'!$A:$A,MATCH(C594&amp;"-"&amp;D594&amp;"-"&amp;E594&amp;"-Pos5",'Shooter-Squad Assignment'!$Y:$Y,0)),""),"")))</f>
        <v/>
      </c>
      <c r="O594" s="80" t="str">
        <f>IF(ISBLANK(N594),"",IFERROR(INDEX('Tournament List'!$D:$D,MATCH(N594,'Tournament List'!$A:$A,0)),""))</f>
        <v/>
      </c>
    </row>
    <row r="595" spans="1:15" ht="15" thickBot="1" x14ac:dyDescent="0.35">
      <c r="A595" s="81">
        <v>603</v>
      </c>
      <c r="B595" s="82" t="str">
        <f t="shared" si="9"/>
        <v>-Varsity 3-Sporting Clays</v>
      </c>
      <c r="C595" s="82"/>
      <c r="D595" s="82" t="s">
        <v>354</v>
      </c>
      <c r="E595" s="82" t="s">
        <v>148</v>
      </c>
      <c r="F595" s="99" t="str">
        <f>IF(E595="Skeet",IFERROR(INDEX('Shooter-Squad Assignment'!$A:$A,MATCH(C595&amp;"-"&amp;D595&amp;"-"&amp;E595&amp;"-Pos1",'Shooter-Squad Assignment'!#REF!,0)),""),IF(E595="Trap",IFERROR(INDEX('Shooter-Squad Assignment'!$A:$A,MATCH(C595&amp;"-"&amp;D595&amp;"-"&amp;E595&amp;"-Pos1",'Shooter-Squad Assignment'!$V:$V,0)),""),IF(E595="Sporting Clays",IFERROR(INDEX('Shooter-Squad Assignment'!$A:$A,MATCH(C595&amp;"-"&amp;D595&amp;"-"&amp;E595&amp;"-Pos1",'Shooter-Squad Assignment'!$Y:$Y,0)),""),"")))</f>
        <v/>
      </c>
      <c r="G595" s="82" t="str">
        <f>IF(ISBLANK(F595),"",IFERROR(INDEX('Tournament List'!$D:$D,MATCH(F595,'Tournament List'!$A:$A,0)),""))</f>
        <v/>
      </c>
      <c r="H595" s="99" t="str">
        <f>IF(E595="Skeet",IFERROR(INDEX('Shooter-Squad Assignment'!$A:$A,MATCH(C595&amp;"-"&amp;D595&amp;"-"&amp;E595&amp;"-Pos2",'Shooter-Squad Assignment'!#REF!,0)),""),IF(E595="Trap",IFERROR(INDEX('Shooter-Squad Assignment'!$A:$A,MATCH(C595&amp;"-"&amp;D595&amp;"-"&amp;E595&amp;"-Pos2",'Shooter-Squad Assignment'!$V:$V,0)),""),IF(E595="Sporting Clays",IFERROR(INDEX('Shooter-Squad Assignment'!$A:$A,MATCH(C595&amp;"-"&amp;D595&amp;"-"&amp;E595&amp;"-Pos2",'Shooter-Squad Assignment'!$Y:$Y,0)),""),"")))</f>
        <v/>
      </c>
      <c r="I595" s="82" t="str">
        <f>IF(ISBLANK(H595),"",IFERROR(INDEX('Tournament List'!$D:$D,MATCH(H595,'Tournament List'!$A:$A,0)),""))</f>
        <v/>
      </c>
      <c r="J595" s="99" t="str">
        <f>IF(E595="Skeet",IFERROR(INDEX('Shooter-Squad Assignment'!$A:$A,MATCH(C595&amp;"-"&amp;D595&amp;"-"&amp;E595&amp;"-Pos3",'Shooter-Squad Assignment'!#REF!,0)),""),IF(E595="Trap",IFERROR(INDEX('Shooter-Squad Assignment'!$A:$A,MATCH(C595&amp;"-"&amp;D595&amp;"-"&amp;E595&amp;"-Pos3",'Shooter-Squad Assignment'!$V:$V,0)),""),IF(E595="Sporting Clays",IFERROR(INDEX('Shooter-Squad Assignment'!$A:$A,MATCH(C595&amp;"-"&amp;D595&amp;"-"&amp;E595&amp;"-Pos3",'Shooter-Squad Assignment'!$Y:$Y,0)),""),"")))</f>
        <v/>
      </c>
      <c r="K595" s="82" t="str">
        <f>IF(ISBLANK(J595),"",IFERROR(INDEX('Tournament List'!$D:$D,MATCH(J595,'Tournament List'!$A:$A,0)),""))</f>
        <v/>
      </c>
      <c r="L595" s="99" t="str">
        <f>IF(E595="Skeet",IFERROR(INDEX('Shooter-Squad Assignment'!$A:$A,MATCH(C595&amp;"-"&amp;D595&amp;"-"&amp;E595&amp;"-Pos4",'Shooter-Squad Assignment'!#REF!,0)),""),IF(E595="Trap",IFERROR(INDEX('Shooter-Squad Assignment'!$A:$A,MATCH(C595&amp;"-"&amp;D595&amp;"-"&amp;E595&amp;"-Pos4",'Shooter-Squad Assignment'!$V:$V,0)),""),IF(E595="Sporting Clays",IFERROR(INDEX('Shooter-Squad Assignment'!$A:$A,MATCH(C595&amp;"-"&amp;D595&amp;"-"&amp;E595&amp;"-Pos4",'Shooter-Squad Assignment'!$Y:$Y,0)),""),"")))</f>
        <v/>
      </c>
      <c r="M595" s="82" t="str">
        <f>IF(ISBLANK(L595),"",IFERROR(INDEX('Tournament List'!$D:$D,MATCH(L595,'Tournament List'!$A:$A,0)),""))</f>
        <v/>
      </c>
      <c r="N595" s="99" t="str">
        <f>IF(E595="Skeet",IFERROR(INDEX('Shooter-Squad Assignment'!$A:$A,MATCH(C595&amp;"-"&amp;D595&amp;"-"&amp;E595&amp;"-Pos5",'Shooter-Squad Assignment'!#REF!,0)),""),IF(E595="Trap",IFERROR(INDEX('Shooter-Squad Assignment'!$A:$A,MATCH(C595&amp;"-"&amp;D595&amp;"-"&amp;E595&amp;"-Pos5",'Shooter-Squad Assignment'!$V:$V,0)),""),IF(E595="Sporting Clays",IFERROR(INDEX('Shooter-Squad Assignment'!$A:$A,MATCH(C595&amp;"-"&amp;D595&amp;"-"&amp;E595&amp;"-Pos5",'Shooter-Squad Assignment'!$Y:$Y,0)),""),"")))</f>
        <v/>
      </c>
      <c r="O595" s="83" t="str">
        <f>IF(ISBLANK(N595),"",IFERROR(INDEX('Tournament List'!$D:$D,MATCH(N595,'Tournament List'!$A:$A,0)),""))</f>
        <v/>
      </c>
    </row>
  </sheetData>
  <sortState xmlns:xlrd2="http://schemas.microsoft.com/office/spreadsheetml/2017/richdata2" ref="D218:D271">
    <sortCondition ref="D218:D271"/>
  </sortState>
  <phoneticPr fontId="1" type="noConversion"/>
  <dataValidations count="3">
    <dataValidation type="list" allowBlank="1" showInputMessage="1" showErrorMessage="1" sqref="E2:E228 E253:E262 E235:E244 E272:E336 E361:E370 E343:E352 E380:E444 E469:E478 E451:E460 E488:E552 E577:E586 E559:E568" xr:uid="{35455296-5A21-4A6F-8601-B05398C4AE6D}">
      <formula1>"Trap, Skeet, Sporting Clays"</formula1>
    </dataValidation>
    <dataValidation type="list" allowBlank="1" showInputMessage="1" showErrorMessage="1" sqref="D2:E228 D253:E262 D235:E244 D272:E336 D361:E370 D343:E352 D380:E444 D469:E478 D451:E460 D488:E552 D577:E586 D559:E568" xr:uid="{3CD99858-EACF-4A36-9859-7677A87AA950}">
      <formula1>"Novice, Intermediate, Jr Varsity, Varsity, Collegiate, Open"</formula1>
    </dataValidation>
    <dataValidation type="list" allowBlank="1" showInputMessage="1" showErrorMessage="1" sqref="H2:H595 J2:J595 L2:L595 N2:N595 F2:F595" xr:uid="{396D1822-98FF-4DAA-B2BD-74F8AC770E55}">
      <formula1>ShooterID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CE35D-90E1-47C4-BF75-38E4B7534667}">
  <dimension ref="A1:J1"/>
  <sheetViews>
    <sheetView workbookViewId="0">
      <selection activeCell="G8" sqref="G8"/>
    </sheetView>
  </sheetViews>
  <sheetFormatPr defaultRowHeight="14.4" x14ac:dyDescent="0.3"/>
  <cols>
    <col min="1" max="1" width="7.33203125" customWidth="1"/>
    <col min="2" max="2" width="9.5546875" bestFit="1" customWidth="1"/>
    <col min="3" max="4" width="17.44140625" customWidth="1"/>
    <col min="5" max="7" width="15.21875" customWidth="1"/>
    <col min="8" max="8" width="10.6640625" bestFit="1" customWidth="1"/>
    <col min="9" max="9" width="9.5546875" bestFit="1" customWidth="1"/>
    <col min="10" max="10" width="12.88671875" bestFit="1" customWidth="1"/>
  </cols>
  <sheetData>
    <row r="1" spans="1:10" x14ac:dyDescent="0.3">
      <c r="A1" s="159" t="s">
        <v>458</v>
      </c>
      <c r="B1" s="159" t="s">
        <v>0</v>
      </c>
      <c r="C1" s="159" t="s">
        <v>2</v>
      </c>
      <c r="D1" s="159" t="s">
        <v>1</v>
      </c>
      <c r="E1" s="161" t="s">
        <v>143</v>
      </c>
      <c r="F1" s="161" t="s">
        <v>147</v>
      </c>
      <c r="G1" s="161" t="s">
        <v>148</v>
      </c>
      <c r="H1" s="159" t="s">
        <v>453</v>
      </c>
      <c r="I1" s="159" t="s">
        <v>454</v>
      </c>
      <c r="J1" s="159" t="s">
        <v>455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6F37B-1CB4-40AE-8D78-DB308C27B263}">
  <dimension ref="A1:BZ152"/>
  <sheetViews>
    <sheetView zoomScale="90" zoomScaleNormal="90" workbookViewId="0">
      <pane xSplit="13" ySplit="2" topLeftCell="U3" activePane="bottomRight" state="frozen"/>
      <selection pane="topRight" activeCell="N1" sqref="N1"/>
      <selection pane="bottomLeft" activeCell="A3" sqref="A3"/>
      <selection pane="bottomRight" activeCell="AG7" sqref="AG7"/>
    </sheetView>
  </sheetViews>
  <sheetFormatPr defaultRowHeight="14.4" outlineLevelCol="2" x14ac:dyDescent="0.3"/>
  <cols>
    <col min="1" max="1" width="10" bestFit="1" customWidth="1"/>
    <col min="2" max="2" width="10.109375" bestFit="1" customWidth="1"/>
    <col min="3" max="3" width="12.21875" bestFit="1" customWidth="1"/>
    <col min="4" max="4" width="19.6640625" hidden="1" customWidth="1" outlineLevel="1"/>
    <col min="5" max="5" width="8.77734375" hidden="1" customWidth="1" outlineLevel="1"/>
    <col min="6" max="6" width="4.109375" style="1" hidden="1" customWidth="1" outlineLevel="1"/>
    <col min="7" max="9" width="9.109375" style="1" hidden="1" customWidth="1" outlineLevel="1"/>
    <col min="10" max="10" width="12.5546875" hidden="1" customWidth="1" outlineLevel="1"/>
    <col min="11" max="11" width="4.77734375" hidden="1" customWidth="1" outlineLevel="1"/>
    <col min="12" max="12" width="27.109375" bestFit="1" customWidth="1" collapsed="1"/>
    <col min="13" max="13" width="14.21875" customWidth="1"/>
    <col min="14" max="14" width="2.21875" style="33" bestFit="1" customWidth="1"/>
    <col min="15" max="15" width="8" style="1" customWidth="1" outlineLevel="2"/>
    <col min="16" max="16" width="6.88671875" style="1" customWidth="1" outlineLevel="2"/>
    <col min="17" max="17" width="8.109375" style="1" customWidth="1" outlineLevel="2"/>
    <col min="18" max="18" width="27.109375" customWidth="1" outlineLevel="2"/>
    <col min="19" max="19" width="20.44140625" customWidth="1" outlineLevel="2"/>
    <col min="20" max="21" width="7.33203125" style="129" customWidth="1" outlineLevel="2"/>
    <col min="22" max="22" width="8.109375" style="10" customWidth="1" outlineLevel="2"/>
    <col min="23" max="24" width="8.77734375" style="1" customWidth="1" outlineLevel="1"/>
    <col min="25" max="25" width="9.33203125" customWidth="1" outlineLevel="1"/>
    <col min="26" max="26" width="8.88671875" style="129" customWidth="1" outlineLevel="1"/>
    <col min="27" max="27" width="10.88671875" style="129" customWidth="1" outlineLevel="1"/>
    <col min="28" max="31" width="6.6640625" customWidth="1" outlineLevel="1"/>
    <col min="32" max="35" width="13.77734375" customWidth="1" outlineLevel="1"/>
    <col min="36" max="36" width="2.21875" style="33" bestFit="1" customWidth="1"/>
    <col min="37" max="37" width="7.109375" customWidth="1" outlineLevel="1"/>
    <col min="38" max="38" width="20.77734375" bestFit="1" customWidth="1" outlineLevel="1"/>
    <col min="39" max="39" width="16" bestFit="1" customWidth="1" outlineLevel="1"/>
    <col min="40" max="41" width="8.77734375" style="1" customWidth="1" outlineLevel="1"/>
    <col min="42" max="42" width="9.33203125" customWidth="1" outlineLevel="1"/>
    <col min="43" max="43" width="5.88671875" customWidth="1" outlineLevel="1"/>
    <col min="44" max="44" width="9.77734375" customWidth="1" outlineLevel="1"/>
    <col min="45" max="48" width="6.6640625" customWidth="1" outlineLevel="1"/>
    <col min="49" max="49" width="2.21875" style="33" bestFit="1" customWidth="1"/>
    <col min="50" max="50" width="9" customWidth="1" outlineLevel="1"/>
    <col min="51" max="51" width="19.109375" bestFit="1" customWidth="1" outlineLevel="1"/>
    <col min="52" max="52" width="16" bestFit="1" customWidth="1" outlineLevel="1"/>
    <col min="53" max="53" width="8.77734375" style="1" customWidth="1" outlineLevel="1"/>
    <col min="54" max="54" width="8.6640625" style="1" customWidth="1" outlineLevel="1"/>
    <col min="55" max="55" width="9.33203125" customWidth="1" outlineLevel="1"/>
    <col min="56" max="56" width="6.44140625" customWidth="1" outlineLevel="1"/>
    <col min="57" max="57" width="8.88671875" customWidth="1" outlineLevel="1"/>
    <col min="58" max="58" width="7.33203125" customWidth="1" outlineLevel="1"/>
    <col min="59" max="77" width="7.109375" customWidth="1" outlineLevel="1"/>
    <col min="78" max="78" width="2.21875" style="33" bestFit="1" customWidth="1"/>
  </cols>
  <sheetData>
    <row r="1" spans="1:78" x14ac:dyDescent="0.3">
      <c r="O1" s="155" t="s">
        <v>329</v>
      </c>
      <c r="P1" s="155"/>
      <c r="Q1" s="155"/>
      <c r="R1" s="155"/>
      <c r="S1" s="155"/>
      <c r="T1" s="156"/>
      <c r="U1" s="156"/>
      <c r="V1" s="157"/>
      <c r="W1" s="1" t="s">
        <v>143</v>
      </c>
      <c r="AK1" s="103" t="s">
        <v>330</v>
      </c>
      <c r="AL1" s="103"/>
      <c r="AM1" s="103"/>
      <c r="AN1" t="s">
        <v>13</v>
      </c>
      <c r="AX1" s="103" t="s">
        <v>334</v>
      </c>
      <c r="AY1" s="103"/>
      <c r="AZ1" s="103"/>
      <c r="BA1" s="68" t="s">
        <v>148</v>
      </c>
    </row>
    <row r="2" spans="1:78" ht="43.2" x14ac:dyDescent="0.3">
      <c r="A2" s="86" t="s">
        <v>0</v>
      </c>
      <c r="B2" s="86" t="s">
        <v>2</v>
      </c>
      <c r="C2" s="86" t="s">
        <v>1</v>
      </c>
      <c r="D2" s="86" t="s">
        <v>145</v>
      </c>
      <c r="E2" s="87" t="s">
        <v>3</v>
      </c>
      <c r="F2" s="87" t="s">
        <v>115</v>
      </c>
      <c r="G2" s="87" t="s">
        <v>6</v>
      </c>
      <c r="H2" s="87" t="s">
        <v>7</v>
      </c>
      <c r="I2" s="87" t="s">
        <v>8</v>
      </c>
      <c r="J2" s="87" t="s">
        <v>4</v>
      </c>
      <c r="K2" s="87" t="s">
        <v>5</v>
      </c>
      <c r="L2" s="86" t="s">
        <v>318</v>
      </c>
      <c r="M2" s="87" t="s">
        <v>110</v>
      </c>
      <c r="N2" s="67" t="s">
        <v>264</v>
      </c>
      <c r="O2" s="87" t="s">
        <v>328</v>
      </c>
      <c r="P2" s="87" t="s">
        <v>388</v>
      </c>
      <c r="Q2" s="87" t="s">
        <v>389</v>
      </c>
      <c r="R2" s="87" t="s">
        <v>327</v>
      </c>
      <c r="S2" s="87" t="s">
        <v>319</v>
      </c>
      <c r="T2" s="131" t="s">
        <v>368</v>
      </c>
      <c r="U2" s="131" t="s">
        <v>386</v>
      </c>
      <c r="V2" s="140" t="s">
        <v>393</v>
      </c>
      <c r="W2" s="2" t="s">
        <v>111</v>
      </c>
      <c r="X2" s="2" t="s">
        <v>146</v>
      </c>
      <c r="Y2" s="2" t="s">
        <v>109</v>
      </c>
      <c r="Z2" s="141" t="s">
        <v>385</v>
      </c>
      <c r="AA2" s="141" t="s">
        <v>394</v>
      </c>
      <c r="AB2" s="2" t="s">
        <v>9</v>
      </c>
      <c r="AC2" s="2" t="s">
        <v>10</v>
      </c>
      <c r="AD2" s="2" t="s">
        <v>11</v>
      </c>
      <c r="AE2" s="2" t="s">
        <v>12</v>
      </c>
      <c r="AF2" s="2" t="s">
        <v>761</v>
      </c>
      <c r="AG2" s="2" t="s">
        <v>762</v>
      </c>
      <c r="AH2" s="2" t="s">
        <v>763</v>
      </c>
      <c r="AI2" s="2" t="s">
        <v>764</v>
      </c>
      <c r="AJ2" s="67" t="s">
        <v>264</v>
      </c>
      <c r="AK2" s="87" t="s">
        <v>331</v>
      </c>
      <c r="AL2" s="87" t="s">
        <v>332</v>
      </c>
      <c r="AM2" s="87" t="s">
        <v>333</v>
      </c>
      <c r="AN2" s="2" t="s">
        <v>111</v>
      </c>
      <c r="AO2" s="2" t="s">
        <v>146</v>
      </c>
      <c r="AP2" s="2" t="s">
        <v>109</v>
      </c>
      <c r="AQ2" s="2" t="s">
        <v>35</v>
      </c>
      <c r="AR2" s="2" t="s">
        <v>394</v>
      </c>
      <c r="AS2" s="2" t="s">
        <v>9</v>
      </c>
      <c r="AT2" s="2" t="s">
        <v>10</v>
      </c>
      <c r="AU2" s="2" t="s">
        <v>11</v>
      </c>
      <c r="AV2" s="2" t="s">
        <v>12</v>
      </c>
      <c r="AW2" s="67" t="s">
        <v>264</v>
      </c>
      <c r="AX2" s="87" t="s">
        <v>335</v>
      </c>
      <c r="AY2" s="87" t="s">
        <v>336</v>
      </c>
      <c r="AZ2" s="87" t="s">
        <v>337</v>
      </c>
      <c r="BA2" s="2" t="s">
        <v>111</v>
      </c>
      <c r="BB2" s="2" t="s">
        <v>146</v>
      </c>
      <c r="BC2" s="2" t="s">
        <v>109</v>
      </c>
      <c r="BD2" s="2" t="s">
        <v>34</v>
      </c>
      <c r="BE2" s="2" t="s">
        <v>394</v>
      </c>
      <c r="BF2" s="2" t="s">
        <v>14</v>
      </c>
      <c r="BG2" s="2" t="s">
        <v>15</v>
      </c>
      <c r="BH2" s="2" t="s">
        <v>16</v>
      </c>
      <c r="BI2" s="2" t="s">
        <v>17</v>
      </c>
      <c r="BJ2" s="2" t="s">
        <v>18</v>
      </c>
      <c r="BK2" s="2" t="s">
        <v>19</v>
      </c>
      <c r="BL2" s="2" t="s">
        <v>20</v>
      </c>
      <c r="BM2" s="2" t="s">
        <v>21</v>
      </c>
      <c r="BN2" s="2" t="s">
        <v>22</v>
      </c>
      <c r="BO2" s="2" t="s">
        <v>23</v>
      </c>
      <c r="BP2" s="2" t="s">
        <v>24</v>
      </c>
      <c r="BQ2" s="2" t="s">
        <v>25</v>
      </c>
      <c r="BR2" s="2" t="s">
        <v>26</v>
      </c>
      <c r="BS2" s="2" t="s">
        <v>27</v>
      </c>
      <c r="BT2" s="2" t="s">
        <v>28</v>
      </c>
      <c r="BU2" s="2" t="s">
        <v>29</v>
      </c>
      <c r="BV2" s="2" t="s">
        <v>30</v>
      </c>
      <c r="BW2" s="2" t="s">
        <v>31</v>
      </c>
      <c r="BX2" s="2" t="s">
        <v>32</v>
      </c>
      <c r="BY2" s="2" t="s">
        <v>33</v>
      </c>
      <c r="BZ2" s="67" t="s">
        <v>264</v>
      </c>
    </row>
    <row r="3" spans="1:78" x14ac:dyDescent="0.3">
      <c r="A3" t="s">
        <v>47</v>
      </c>
      <c r="B3" t="s">
        <v>71</v>
      </c>
      <c r="C3" t="s">
        <v>95</v>
      </c>
      <c r="D3" t="str">
        <f t="shared" ref="D3:D50" si="0">B3&amp;" "&amp;C3</f>
        <v>Bill Last Name11</v>
      </c>
      <c r="F3" s="1" t="s">
        <v>125</v>
      </c>
      <c r="G3" s="1" t="s">
        <v>326</v>
      </c>
      <c r="H3" s="1" t="s">
        <v>326</v>
      </c>
      <c r="I3" s="1" t="s">
        <v>326</v>
      </c>
      <c r="J3" s="10">
        <f>IF(G3="Y",'Tournament Setup'!$C$2,0)+IF(H3="Y",'Tournament Setup'!$C$3,0)+IF(I3="Y",'Tournament Setup'!$C$4,0)</f>
        <v>120</v>
      </c>
      <c r="K3" s="1"/>
      <c r="L3" t="s">
        <v>323</v>
      </c>
      <c r="M3" t="s">
        <v>118</v>
      </c>
      <c r="O3" s="1">
        <f>IFERROR(IF(INDEX('Shooter-Squad Assignment'!$T:$T,MATCH($A3,'Shooter-Squad Assignment'!$A:$A,0))="","",INDEX('Shooter-Squad Assignment'!$T:$T,MATCH($A3,'Shooter-Squad Assignment'!$A:$A,0))),"")</f>
        <v>232</v>
      </c>
      <c r="P3" s="1" t="str">
        <f>IFERROR(IF(INDEX('Shooter-Squad Assignment'!$U:$U,MATCH($A3,'Shooter-Squad Assignment'!$A:$A,0))="","",INDEX('Shooter-Squad Assignment'!$U:$U,MATCH($A3,'Shooter-Squad Assignment'!$A:$A,0))),"")</f>
        <v>232-2</v>
      </c>
      <c r="Q3" s="1" t="str">
        <f>IFERROR(IF(INDEX('Shooter-Squad Assignment'!$I:$I,MATCH($A3,'Shooter-Squad Assignment'!$A:$A,0))="","",IF(INDEX('Shooter-Squad Assignment'!$I:$I,MATCH($A3,'Shooter-Squad Assignment'!$A:$A,0))=1,O3&amp;"-"&amp;1,"")),"")</f>
        <v/>
      </c>
      <c r="R3" t="str">
        <f>IF(ISBLANK($O3),"",IFERROR(INDEX('Squad Listing'!$C:$C,MATCH($O3,'Squad Listing'!$A:$A,0)),""))</f>
        <v>Brighton Clay Crushers</v>
      </c>
      <c r="S3" t="str">
        <f>IF(ISBLANK($O3),"",IFERROR(INDEX('Squad Listing'!$D:$D,MATCH($O3,'Squad Listing'!$A:$A,0)),""))</f>
        <v>Junior Varsity 1</v>
      </c>
      <c r="T3" s="129" t="str">
        <f t="shared" ref="T3:T50" si="1">IF(Q3&lt;&gt;"",SUMIFS(U:U,O:O,O3)+V3,"")</f>
        <v/>
      </c>
      <c r="U3" s="129">
        <f t="shared" ref="U3:U50" si="2">IF(SUM(AB3:AE3)&gt;0,SUM(AB3:AE3),"")</f>
        <v>98</v>
      </c>
      <c r="W3" s="1" t="s">
        <v>122</v>
      </c>
      <c r="Y3">
        <f t="shared" ref="Y3:Y50" si="3">IF(_xlfn.NUMBERVALUE(Z3)&gt;0,_xlfn.RANK.EQ(Z3,$Z$3:$Z$250,0),"")</f>
        <v>1</v>
      </c>
      <c r="Z3" s="129">
        <f t="shared" ref="Z3:Z50" si="4">IF(SUM(AB3:AE3)&gt;0,SUM(AA3:AE3),"")</f>
        <v>98</v>
      </c>
      <c r="AB3">
        <v>25</v>
      </c>
      <c r="AC3">
        <v>24</v>
      </c>
      <c r="AD3">
        <v>24</v>
      </c>
      <c r="AE3">
        <v>25</v>
      </c>
      <c r="AK3" t="str">
        <f>IFERROR(IF(INDEX('Shooter-Squad Assignment'!$X:$X,MATCH($A3,'Shooter-Squad Assignment'!$A:$A,0))="","",INDEX('Shooter-Squad Assignment'!$X:$X,MATCH($A3,'Shooter-Squad Assignment'!$A:$A,0))),"")</f>
        <v/>
      </c>
      <c r="AL3" t="str">
        <f>IF(ISBLANK($AK3),"",IFERROR(INDEX('Squad Listing'!$C:$C,MATCH($AK3,'Squad Listing'!$A:$A,0)),""))</f>
        <v/>
      </c>
      <c r="AM3" t="str">
        <f>IF(ISBLANK($AK3),"",IFERROR(INDEX('Squad Listing'!$D:$D,MATCH($AK3,'Squad Listing'!$A:$A,0)),""))</f>
        <v/>
      </c>
      <c r="AN3" s="1" t="s">
        <v>122</v>
      </c>
      <c r="AP3" t="str">
        <f t="shared" ref="AP3:AP50" si="5">IF(_xlfn.NUMBERVALUE(AQ3)&gt;0,_xlfn.RANK.EQ(AQ3,$AQ$3:$AQ$250,0),"")</f>
        <v/>
      </c>
      <c r="AQ3" t="str">
        <f t="shared" ref="AQ3:AQ50" si="6">IF(SUM(AS3:AV3)&gt;0,SUM(AR3:AV3),"")</f>
        <v/>
      </c>
      <c r="AX3" t="str">
        <f>IFERROR(IF(INDEX('Shooter-Squad Assignment'!$AA:$AA,MATCH($A3,'Shooter-Squad Assignment'!$A:$A,0))="","",INDEX('Shooter-Squad Assignment'!$AA:$AA,MATCH($A3,'Shooter-Squad Assignment'!$A:$A,0))),"")</f>
        <v/>
      </c>
      <c r="AY3" t="str">
        <f>IF(ISBLANK($AX3),"",IFERROR(INDEX('Squad Listing'!$C:$C,MATCH($AX3,'Squad Listing'!$A:$A,0)),""))</f>
        <v/>
      </c>
      <c r="AZ3" t="str">
        <f>IF(ISBLANK($AX3),"",IFERROR(INDEX('Squad Listing'!$D:$D,MATCH($AX3,'Squad Listing'!$A:$A,0)),""))</f>
        <v/>
      </c>
      <c r="BA3" s="1" t="s">
        <v>122</v>
      </c>
      <c r="BC3" t="str">
        <f t="shared" ref="BC3:BC50" si="7">IF(_xlfn.NUMBERVALUE(BD3)&gt;0,_xlfn.RANK.EQ(BD3,$BD$3:$BD$250,0),"")</f>
        <v/>
      </c>
      <c r="BD3" t="str">
        <f t="shared" ref="BD3:BD50" si="8">IF(SUM(BF3:BY3)&gt;0,SUM(BE3:BY3),"")</f>
        <v/>
      </c>
    </row>
    <row r="4" spans="1:78" x14ac:dyDescent="0.3">
      <c r="A4" t="s">
        <v>59</v>
      </c>
      <c r="B4" t="s">
        <v>83</v>
      </c>
      <c r="C4" t="s">
        <v>107</v>
      </c>
      <c r="D4" t="str">
        <f t="shared" si="0"/>
        <v>Tom Last Name23</v>
      </c>
      <c r="F4" s="1" t="s">
        <v>125</v>
      </c>
      <c r="G4" s="1" t="s">
        <v>326</v>
      </c>
      <c r="H4" s="1" t="s">
        <v>326</v>
      </c>
      <c r="I4" s="1" t="s">
        <v>326</v>
      </c>
      <c r="J4" s="10">
        <f>IF(G4="Y",'Tournament Setup'!$C$2,0)+IF(H4="Y",'Tournament Setup'!$C$3,0)+IF(I4="Y",'Tournament Setup'!$C$4,0)</f>
        <v>120</v>
      </c>
      <c r="K4" s="1"/>
      <c r="L4" t="s">
        <v>323</v>
      </c>
      <c r="M4" t="s">
        <v>118</v>
      </c>
      <c r="O4" s="1">
        <f>IFERROR(IF(INDEX('Shooter-Squad Assignment'!$T:$T,MATCH($A4,'Shooter-Squad Assignment'!$A:$A,0))="","",INDEX('Shooter-Squad Assignment'!$T:$T,MATCH($A4,'Shooter-Squad Assignment'!$A:$A,0))),"")</f>
        <v>232</v>
      </c>
      <c r="P4" s="1" t="str">
        <f>IFERROR(IF(INDEX('Shooter-Squad Assignment'!$U:$U,MATCH($A4,'Shooter-Squad Assignment'!$A:$A,0))="","",INDEX('Shooter-Squad Assignment'!$U:$U,MATCH($A4,'Shooter-Squad Assignment'!$A:$A,0))),"")</f>
        <v>232-1</v>
      </c>
      <c r="Q4" s="1" t="str">
        <f>IFERROR(IF(INDEX('Shooter-Squad Assignment'!$I:$I,MATCH($A4,'Shooter-Squad Assignment'!$A:$A,0))="","",IF(INDEX('Shooter-Squad Assignment'!$I:$I,MATCH($A4,'Shooter-Squad Assignment'!$A:$A,0))=1,O4&amp;"-"&amp;1,"")),"")</f>
        <v>232-1</v>
      </c>
      <c r="R4" t="str">
        <f>IF(ISBLANK($O4),"",IFERROR(INDEX('Squad Listing'!$C:$C,MATCH($O4,'Squad Listing'!$A:$A,0)),""))</f>
        <v>Brighton Clay Crushers</v>
      </c>
      <c r="S4" t="str">
        <f>IF(ISBLANK($O4),"",IFERROR(INDEX('Squad Listing'!$D:$D,MATCH($O4,'Squad Listing'!$A:$A,0)),""))</f>
        <v>Junior Varsity 1</v>
      </c>
      <c r="T4" s="129">
        <f t="shared" si="1"/>
        <v>239</v>
      </c>
      <c r="U4" s="129">
        <f t="shared" si="2"/>
        <v>61</v>
      </c>
      <c r="W4" s="1" t="s">
        <v>123</v>
      </c>
      <c r="Y4">
        <f t="shared" si="3"/>
        <v>34</v>
      </c>
      <c r="Z4" s="129">
        <f t="shared" si="4"/>
        <v>61</v>
      </c>
      <c r="AB4">
        <v>20</v>
      </c>
      <c r="AC4">
        <v>12</v>
      </c>
      <c r="AD4">
        <v>14</v>
      </c>
      <c r="AE4">
        <v>15</v>
      </c>
      <c r="AK4" t="str">
        <f>IFERROR(IF(INDEX('Shooter-Squad Assignment'!$X:$X,MATCH($A4,'Shooter-Squad Assignment'!$A:$A,0))="","",INDEX('Shooter-Squad Assignment'!$X:$X,MATCH($A4,'Shooter-Squad Assignment'!$A:$A,0))),"")</f>
        <v/>
      </c>
      <c r="AL4" t="str">
        <f>IF(ISBLANK($AK4),"",IFERROR(INDEX('Squad Listing'!$C:$C,MATCH($AK4,'Squad Listing'!$A:$A,0)),""))</f>
        <v/>
      </c>
      <c r="AM4" t="str">
        <f>IF(ISBLANK($AK4),"",IFERROR(INDEX('Squad Listing'!$D:$D,MATCH($AK4,'Squad Listing'!$A:$A,0)),""))</f>
        <v/>
      </c>
      <c r="AN4" s="1" t="s">
        <v>123</v>
      </c>
      <c r="AP4" t="str">
        <f t="shared" si="5"/>
        <v/>
      </c>
      <c r="AQ4" t="str">
        <f t="shared" si="6"/>
        <v/>
      </c>
      <c r="AX4" t="str">
        <f>IFERROR(IF(INDEX('Shooter-Squad Assignment'!$AA:$AA,MATCH($A4,'Shooter-Squad Assignment'!$A:$A,0))="","",INDEX('Shooter-Squad Assignment'!$AA:$AA,MATCH($A4,'Shooter-Squad Assignment'!$A:$A,0))),"")</f>
        <v/>
      </c>
      <c r="AY4" t="str">
        <f>IF(ISBLANK($AX4),"",IFERROR(INDEX('Squad Listing'!$C:$C,MATCH($AX4,'Squad Listing'!$A:$A,0)),""))</f>
        <v/>
      </c>
      <c r="AZ4" t="str">
        <f>IF(ISBLANK($AX4),"",IFERROR(INDEX('Squad Listing'!$D:$D,MATCH($AX4,'Squad Listing'!$A:$A,0)),""))</f>
        <v/>
      </c>
      <c r="BA4" s="1" t="s">
        <v>123</v>
      </c>
      <c r="BC4" t="str">
        <f t="shared" si="7"/>
        <v/>
      </c>
      <c r="BD4" t="str">
        <f t="shared" si="8"/>
        <v/>
      </c>
    </row>
    <row r="5" spans="1:78" x14ac:dyDescent="0.3">
      <c r="A5" t="s">
        <v>185</v>
      </c>
      <c r="B5" t="s">
        <v>208</v>
      </c>
      <c r="C5" t="s">
        <v>231</v>
      </c>
      <c r="D5" t="str">
        <f t="shared" si="0"/>
        <v>Alan Last Name29</v>
      </c>
      <c r="F5" s="1" t="s">
        <v>125</v>
      </c>
      <c r="G5" s="1" t="s">
        <v>326</v>
      </c>
      <c r="H5" s="1" t="s">
        <v>326</v>
      </c>
      <c r="I5" s="1" t="s">
        <v>326</v>
      </c>
      <c r="J5" s="10">
        <f>IF(G5="Y",'Tournament Setup'!$C$2,0)+IF(H5="Y",'Tournament Setup'!$C$3,0)+IF(I5="Y",'Tournament Setup'!$C$4,0)</f>
        <v>120</v>
      </c>
      <c r="K5" s="1"/>
      <c r="L5" t="s">
        <v>323</v>
      </c>
      <c r="M5" t="s">
        <v>118</v>
      </c>
      <c r="O5" s="1">
        <f>IFERROR(IF(INDEX('Shooter-Squad Assignment'!$T:$T,MATCH($A5,'Shooter-Squad Assignment'!$A:$A,0))="","",INDEX('Shooter-Squad Assignment'!$T:$T,MATCH($A5,'Shooter-Squad Assignment'!$A:$A,0))),"")</f>
        <v>232</v>
      </c>
      <c r="P5" s="1" t="str">
        <f>IFERROR(IF(INDEX('Shooter-Squad Assignment'!$U:$U,MATCH($A5,'Shooter-Squad Assignment'!$A:$A,0))="","",INDEX('Shooter-Squad Assignment'!$U:$U,MATCH($A5,'Shooter-Squad Assignment'!$A:$A,0))),"")</f>
        <v>232-3</v>
      </c>
      <c r="Q5" s="1" t="str">
        <f>IFERROR(IF(INDEX('Shooter-Squad Assignment'!$I:$I,MATCH($A5,'Shooter-Squad Assignment'!$A:$A,0))="","",IF(INDEX('Shooter-Squad Assignment'!$I:$I,MATCH($A5,'Shooter-Squad Assignment'!$A:$A,0))=1,O5&amp;"-"&amp;1,"")),"")</f>
        <v/>
      </c>
      <c r="R5" t="str">
        <f>IF(ISBLANK($O5),"",IFERROR(INDEX('Squad Listing'!$C:$C,MATCH($O5,'Squad Listing'!$A:$A,0)),""))</f>
        <v>Brighton Clay Crushers</v>
      </c>
      <c r="S5" t="str">
        <f>IF(ISBLANK($O5),"",IFERROR(INDEX('Squad Listing'!$D:$D,MATCH($O5,'Squad Listing'!$A:$A,0)),""))</f>
        <v>Junior Varsity 1</v>
      </c>
      <c r="T5" s="129" t="str">
        <f t="shared" si="1"/>
        <v/>
      </c>
      <c r="U5" s="129">
        <f t="shared" si="2"/>
        <v>80</v>
      </c>
      <c r="W5" s="1" t="s">
        <v>121</v>
      </c>
      <c r="Y5">
        <f t="shared" si="3"/>
        <v>18</v>
      </c>
      <c r="Z5" s="129">
        <f t="shared" si="4"/>
        <v>80</v>
      </c>
      <c r="AB5">
        <v>18</v>
      </c>
      <c r="AC5">
        <v>20</v>
      </c>
      <c r="AD5">
        <v>22</v>
      </c>
      <c r="AE5">
        <v>20</v>
      </c>
      <c r="AK5" t="str">
        <f>IFERROR(IF(INDEX('Shooter-Squad Assignment'!$X:$X,MATCH($A5,'Shooter-Squad Assignment'!$A:$A,0))="","",INDEX('Shooter-Squad Assignment'!$X:$X,MATCH($A5,'Shooter-Squad Assignment'!$A:$A,0))),"")</f>
        <v/>
      </c>
      <c r="AL5" t="str">
        <f>IF(ISBLANK($AK5),"",IFERROR(INDEX('Squad Listing'!$C:$C,MATCH($AK5,'Squad Listing'!$A:$A,0)),""))</f>
        <v/>
      </c>
      <c r="AM5" t="str">
        <f>IF(ISBLANK($AK5),"",IFERROR(INDEX('Squad Listing'!$D:$D,MATCH($AK5,'Squad Listing'!$A:$A,0)),""))</f>
        <v/>
      </c>
      <c r="AP5" t="str">
        <f t="shared" si="5"/>
        <v/>
      </c>
      <c r="AQ5" t="str">
        <f t="shared" si="6"/>
        <v/>
      </c>
      <c r="AX5" t="str">
        <f>IFERROR(IF(INDEX('Shooter-Squad Assignment'!$AA:$AA,MATCH($A5,'Shooter-Squad Assignment'!$A:$A,0))="","",INDEX('Shooter-Squad Assignment'!$AA:$AA,MATCH($A5,'Shooter-Squad Assignment'!$A:$A,0))),"")</f>
        <v/>
      </c>
      <c r="AY5" t="str">
        <f>IF(ISBLANK($AX5),"",IFERROR(INDEX('Squad Listing'!$C:$C,MATCH($AX5,'Squad Listing'!$A:$A,0)),""))</f>
        <v/>
      </c>
      <c r="AZ5" t="str">
        <f>IF(ISBLANK($AX5),"",IFERROR(INDEX('Squad Listing'!$D:$D,MATCH($AX5,'Squad Listing'!$A:$A,0)),""))</f>
        <v/>
      </c>
      <c r="BC5" t="str">
        <f t="shared" si="7"/>
        <v/>
      </c>
      <c r="BD5" t="str">
        <f t="shared" si="8"/>
        <v/>
      </c>
    </row>
    <row r="6" spans="1:78" x14ac:dyDescent="0.3">
      <c r="A6" t="s">
        <v>53</v>
      </c>
      <c r="B6" t="s">
        <v>77</v>
      </c>
      <c r="C6" t="s">
        <v>101</v>
      </c>
      <c r="D6" t="str">
        <f t="shared" si="0"/>
        <v>Joan Last Name17</v>
      </c>
      <c r="F6" s="1" t="s">
        <v>126</v>
      </c>
      <c r="G6" s="1" t="s">
        <v>326</v>
      </c>
      <c r="H6" s="1" t="s">
        <v>326</v>
      </c>
      <c r="I6" s="1" t="s">
        <v>326</v>
      </c>
      <c r="J6" s="10">
        <f>IF(G6="Y",'Tournament Setup'!$C$2,0)+IF(H6="Y",'Tournament Setup'!$C$3,0)+IF(I6="Y",'Tournament Setup'!$C$4,0)</f>
        <v>120</v>
      </c>
      <c r="K6" s="1"/>
      <c r="L6" t="s">
        <v>323</v>
      </c>
      <c r="M6" t="s">
        <v>116</v>
      </c>
      <c r="O6" s="1">
        <f>IFERROR(IF(INDEX('Shooter-Squad Assignment'!$T:$T,MATCH($A6,'Shooter-Squad Assignment'!$A:$A,0))="","",INDEX('Shooter-Squad Assignment'!$T:$T,MATCH($A6,'Shooter-Squad Assignment'!$A:$A,0))),"")</f>
        <v>235</v>
      </c>
      <c r="P6" s="1" t="str">
        <f>IFERROR(IF(INDEX('Shooter-Squad Assignment'!$U:$U,MATCH($A6,'Shooter-Squad Assignment'!$A:$A,0))="","",INDEX('Shooter-Squad Assignment'!$U:$U,MATCH($A6,'Shooter-Squad Assignment'!$A:$A,0))),"")</f>
        <v>235-1</v>
      </c>
      <c r="Q6" s="1" t="str">
        <f>IFERROR(IF(INDEX('Shooter-Squad Assignment'!$I:$I,MATCH($A6,'Shooter-Squad Assignment'!$A:$A,0))="","",IF(INDEX('Shooter-Squad Assignment'!$I:$I,MATCH($A6,'Shooter-Squad Assignment'!$A:$A,0))=1,O6&amp;"-"&amp;1,"")),"")</f>
        <v>235-1</v>
      </c>
      <c r="R6" t="str">
        <f>IF(ISBLANK($O6),"",IFERROR(INDEX('Squad Listing'!$C:$C,MATCH($O6,'Squad Listing'!$A:$A,0)),""))</f>
        <v>Brighton Clay Crushers</v>
      </c>
      <c r="S6" t="str">
        <f>IF(ISBLANK($O6),"",IFERROR(INDEX('Squad Listing'!$D:$D,MATCH($O6,'Squad Listing'!$A:$A,0)),""))</f>
        <v>Novice 1</v>
      </c>
      <c r="T6" s="129">
        <f t="shared" si="1"/>
        <v>220</v>
      </c>
      <c r="U6" s="129">
        <f t="shared" si="2"/>
        <v>60</v>
      </c>
      <c r="W6" s="1" t="s">
        <v>124</v>
      </c>
      <c r="Y6">
        <f t="shared" si="3"/>
        <v>35</v>
      </c>
      <c r="Z6" s="129">
        <f t="shared" si="4"/>
        <v>60</v>
      </c>
      <c r="AB6">
        <v>13</v>
      </c>
      <c r="AC6">
        <v>16</v>
      </c>
      <c r="AD6">
        <v>14</v>
      </c>
      <c r="AE6">
        <v>17</v>
      </c>
      <c r="AK6" t="str">
        <f>IFERROR(IF(INDEX('Shooter-Squad Assignment'!$X:$X,MATCH($A6,'Shooter-Squad Assignment'!$A:$A,0))="","",INDEX('Shooter-Squad Assignment'!$X:$X,MATCH($A6,'Shooter-Squad Assignment'!$A:$A,0))),"")</f>
        <v/>
      </c>
      <c r="AL6" t="str">
        <f>IF(ISBLANK($AK6),"",IFERROR(INDEX('Squad Listing'!$C:$C,MATCH($AK6,'Squad Listing'!$A:$A,0)),""))</f>
        <v/>
      </c>
      <c r="AM6" t="str">
        <f>IF(ISBLANK($AK6),"",IFERROR(INDEX('Squad Listing'!$D:$D,MATCH($AK6,'Squad Listing'!$A:$A,0)),""))</f>
        <v/>
      </c>
      <c r="AN6" s="1" t="s">
        <v>124</v>
      </c>
      <c r="AP6" t="str">
        <f t="shared" si="5"/>
        <v/>
      </c>
      <c r="AQ6" t="str">
        <f t="shared" si="6"/>
        <v/>
      </c>
      <c r="AX6" t="str">
        <f>IFERROR(IF(INDEX('Shooter-Squad Assignment'!$AA:$AA,MATCH($A6,'Shooter-Squad Assignment'!$A:$A,0))="","",INDEX('Shooter-Squad Assignment'!$AA:$AA,MATCH($A6,'Shooter-Squad Assignment'!$A:$A,0))),"")</f>
        <v/>
      </c>
      <c r="AY6" t="str">
        <f>IF(ISBLANK($AX6),"",IFERROR(INDEX('Squad Listing'!$C:$C,MATCH($AX6,'Squad Listing'!$A:$A,0)),""))</f>
        <v/>
      </c>
      <c r="AZ6" t="str">
        <f>IF(ISBLANK($AX6),"",IFERROR(INDEX('Squad Listing'!$D:$D,MATCH($AX6,'Squad Listing'!$A:$A,0)),""))</f>
        <v/>
      </c>
      <c r="BA6" s="1" t="s">
        <v>124</v>
      </c>
      <c r="BC6" t="str">
        <f t="shared" si="7"/>
        <v/>
      </c>
      <c r="BD6" t="str">
        <f t="shared" si="8"/>
        <v/>
      </c>
    </row>
    <row r="7" spans="1:78" x14ac:dyDescent="0.3">
      <c r="A7" t="s">
        <v>191</v>
      </c>
      <c r="B7" t="s">
        <v>214</v>
      </c>
      <c r="C7" t="s">
        <v>237</v>
      </c>
      <c r="D7" t="str">
        <f t="shared" si="0"/>
        <v>Patricia Last Name35</v>
      </c>
      <c r="F7" s="1" t="s">
        <v>126</v>
      </c>
      <c r="G7" s="1" t="s">
        <v>326</v>
      </c>
      <c r="H7" s="1" t="s">
        <v>326</v>
      </c>
      <c r="I7" s="1" t="s">
        <v>326</v>
      </c>
      <c r="J7" s="10">
        <f>IF(G7="Y",'Tournament Setup'!$C$2,0)+IF(H7="Y",'Tournament Setup'!$C$3,0)+IF(I7="Y",'Tournament Setup'!$C$4,0)</f>
        <v>120</v>
      </c>
      <c r="K7" s="1"/>
      <c r="L7" t="s">
        <v>323</v>
      </c>
      <c r="M7" t="s">
        <v>116</v>
      </c>
      <c r="O7" s="1">
        <f>IFERROR(IF(INDEX('Shooter-Squad Assignment'!$T:$T,MATCH($A7,'Shooter-Squad Assignment'!$A:$A,0))="","",INDEX('Shooter-Squad Assignment'!$T:$T,MATCH($A7,'Shooter-Squad Assignment'!$A:$A,0))),"")</f>
        <v>235</v>
      </c>
      <c r="P7" s="1" t="str">
        <f>IFERROR(IF(INDEX('Shooter-Squad Assignment'!$U:$U,MATCH($A7,'Shooter-Squad Assignment'!$A:$A,0))="","",INDEX('Shooter-Squad Assignment'!$U:$U,MATCH($A7,'Shooter-Squad Assignment'!$A:$A,0))),"")</f>
        <v>235-2</v>
      </c>
      <c r="Q7" s="1" t="str">
        <f>IFERROR(IF(INDEX('Shooter-Squad Assignment'!$I:$I,MATCH($A7,'Shooter-Squad Assignment'!$A:$A,0))="","",IF(INDEX('Shooter-Squad Assignment'!$I:$I,MATCH($A7,'Shooter-Squad Assignment'!$A:$A,0))=1,O7&amp;"-"&amp;1,"")),"")</f>
        <v/>
      </c>
      <c r="R7" t="str">
        <f>IF(ISBLANK($O7),"",IFERROR(INDEX('Squad Listing'!$C:$C,MATCH($O7,'Squad Listing'!$A:$A,0)),""))</f>
        <v>Brighton Clay Crushers</v>
      </c>
      <c r="S7" t="str">
        <f>IF(ISBLANK($O7),"",IFERROR(INDEX('Squad Listing'!$D:$D,MATCH($O7,'Squad Listing'!$A:$A,0)),""))</f>
        <v>Novice 1</v>
      </c>
      <c r="T7" s="129" t="str">
        <f t="shared" si="1"/>
        <v/>
      </c>
      <c r="U7" s="129">
        <f t="shared" si="2"/>
        <v>95</v>
      </c>
      <c r="W7" s="1" t="s">
        <v>121</v>
      </c>
      <c r="Y7">
        <f t="shared" si="3"/>
        <v>4</v>
      </c>
      <c r="Z7" s="129">
        <f t="shared" si="4"/>
        <v>95</v>
      </c>
      <c r="AB7">
        <v>25</v>
      </c>
      <c r="AC7">
        <v>25</v>
      </c>
      <c r="AD7">
        <v>23</v>
      </c>
      <c r="AE7">
        <v>22</v>
      </c>
      <c r="AK7" t="str">
        <f>IFERROR(IF(INDEX('Shooter-Squad Assignment'!$X:$X,MATCH($A7,'Shooter-Squad Assignment'!$A:$A,0))="","",INDEX('Shooter-Squad Assignment'!$X:$X,MATCH($A7,'Shooter-Squad Assignment'!$A:$A,0))),"")</f>
        <v/>
      </c>
      <c r="AL7" t="str">
        <f>IF(ISBLANK($AK7),"",IFERROR(INDEX('Squad Listing'!$C:$C,MATCH($AK7,'Squad Listing'!$A:$A,0)),""))</f>
        <v/>
      </c>
      <c r="AM7" t="str">
        <f>IF(ISBLANK($AK7),"",IFERROR(INDEX('Squad Listing'!$D:$D,MATCH($AK7,'Squad Listing'!$A:$A,0)),""))</f>
        <v/>
      </c>
      <c r="AP7" t="str">
        <f t="shared" si="5"/>
        <v/>
      </c>
      <c r="AQ7" t="str">
        <f t="shared" si="6"/>
        <v/>
      </c>
      <c r="AX7" t="str">
        <f>IFERROR(IF(INDEX('Shooter-Squad Assignment'!$AA:$AA,MATCH($A7,'Shooter-Squad Assignment'!$A:$A,0))="","",INDEX('Shooter-Squad Assignment'!$AA:$AA,MATCH($A7,'Shooter-Squad Assignment'!$A:$A,0))),"")</f>
        <v/>
      </c>
      <c r="AY7" t="str">
        <f>IF(ISBLANK($AX7),"",IFERROR(INDEX('Squad Listing'!$C:$C,MATCH($AX7,'Squad Listing'!$A:$A,0)),""))</f>
        <v/>
      </c>
      <c r="AZ7" t="str">
        <f>IF(ISBLANK($AX7),"",IFERROR(INDEX('Squad Listing'!$D:$D,MATCH($AX7,'Squad Listing'!$A:$A,0)),""))</f>
        <v/>
      </c>
      <c r="BC7" t="str">
        <f t="shared" si="7"/>
        <v/>
      </c>
      <c r="BD7" t="str">
        <f t="shared" si="8"/>
        <v/>
      </c>
    </row>
    <row r="8" spans="1:78" x14ac:dyDescent="0.3">
      <c r="A8" t="s">
        <v>203</v>
      </c>
      <c r="B8" t="s">
        <v>226</v>
      </c>
      <c r="C8" t="s">
        <v>249</v>
      </c>
      <c r="D8" t="str">
        <f t="shared" si="0"/>
        <v>Rick Last Name47</v>
      </c>
      <c r="F8" s="1" t="s">
        <v>125</v>
      </c>
      <c r="G8" s="1" t="s">
        <v>326</v>
      </c>
      <c r="H8" s="1" t="s">
        <v>326</v>
      </c>
      <c r="I8" s="1" t="s">
        <v>326</v>
      </c>
      <c r="J8" s="10">
        <f>IF(G8="Y",'Tournament Setup'!$C$2,0)+IF(H8="Y",'Tournament Setup'!$C$3,0)+IF(I8="Y",'Tournament Setup'!$C$4,0)</f>
        <v>120</v>
      </c>
      <c r="K8" s="1"/>
      <c r="L8" t="s">
        <v>323</v>
      </c>
      <c r="M8" t="s">
        <v>116</v>
      </c>
      <c r="O8" s="1">
        <f>IFERROR(IF(INDEX('Shooter-Squad Assignment'!$T:$T,MATCH($A8,'Shooter-Squad Assignment'!$A:$A,0))="","",INDEX('Shooter-Squad Assignment'!$T:$T,MATCH($A8,'Shooter-Squad Assignment'!$A:$A,0))),"")</f>
        <v>235</v>
      </c>
      <c r="P8" s="1" t="str">
        <f>IFERROR(IF(INDEX('Shooter-Squad Assignment'!$U:$U,MATCH($A8,'Shooter-Squad Assignment'!$A:$A,0))="","",INDEX('Shooter-Squad Assignment'!$U:$U,MATCH($A8,'Shooter-Squad Assignment'!$A:$A,0))),"")</f>
        <v>235-3</v>
      </c>
      <c r="Q8" s="1" t="str">
        <f>IFERROR(IF(INDEX('Shooter-Squad Assignment'!$I:$I,MATCH($A8,'Shooter-Squad Assignment'!$A:$A,0))="","",IF(INDEX('Shooter-Squad Assignment'!$I:$I,MATCH($A8,'Shooter-Squad Assignment'!$A:$A,0))=1,O8&amp;"-"&amp;1,"")),"")</f>
        <v/>
      </c>
      <c r="R8" t="str">
        <f>IF(ISBLANK($O8),"",IFERROR(INDEX('Squad Listing'!$C:$C,MATCH($O8,'Squad Listing'!$A:$A,0)),""))</f>
        <v>Brighton Clay Crushers</v>
      </c>
      <c r="S8" t="str">
        <f>IF(ISBLANK($O8),"",IFERROR(INDEX('Squad Listing'!$D:$D,MATCH($O8,'Squad Listing'!$A:$A,0)),""))</f>
        <v>Novice 1</v>
      </c>
      <c r="T8" s="129" t="str">
        <f t="shared" si="1"/>
        <v/>
      </c>
      <c r="U8" s="129">
        <f t="shared" si="2"/>
        <v>65</v>
      </c>
      <c r="W8" s="1" t="s">
        <v>121</v>
      </c>
      <c r="Y8">
        <f t="shared" si="3"/>
        <v>29</v>
      </c>
      <c r="Z8" s="129">
        <f t="shared" si="4"/>
        <v>65</v>
      </c>
      <c r="AB8">
        <v>15</v>
      </c>
      <c r="AC8">
        <v>17</v>
      </c>
      <c r="AD8">
        <v>18</v>
      </c>
      <c r="AE8">
        <v>15</v>
      </c>
      <c r="AK8" t="str">
        <f>IFERROR(IF(INDEX('Shooter-Squad Assignment'!$X:$X,MATCH($A8,'Shooter-Squad Assignment'!$A:$A,0))="","",INDEX('Shooter-Squad Assignment'!$X:$X,MATCH($A8,'Shooter-Squad Assignment'!$A:$A,0))),"")</f>
        <v/>
      </c>
      <c r="AL8" t="str">
        <f>IF(ISBLANK($AK8),"",IFERROR(INDEX('Squad Listing'!$C:$C,MATCH($AK8,'Squad Listing'!$A:$A,0)),""))</f>
        <v/>
      </c>
      <c r="AM8" t="str">
        <f>IF(ISBLANK($AK8),"",IFERROR(INDEX('Squad Listing'!$D:$D,MATCH($AK8,'Squad Listing'!$A:$A,0)),""))</f>
        <v/>
      </c>
      <c r="AP8" t="str">
        <f t="shared" si="5"/>
        <v/>
      </c>
      <c r="AQ8" t="str">
        <f t="shared" si="6"/>
        <v/>
      </c>
      <c r="AX8" t="str">
        <f>IFERROR(IF(INDEX('Shooter-Squad Assignment'!$AA:$AA,MATCH($A8,'Shooter-Squad Assignment'!$A:$A,0))="","",INDEX('Shooter-Squad Assignment'!$AA:$AA,MATCH($A8,'Shooter-Squad Assignment'!$A:$A,0))),"")</f>
        <v/>
      </c>
      <c r="AY8" t="str">
        <f>IF(ISBLANK($AX8),"",IFERROR(INDEX('Squad Listing'!$C:$C,MATCH($AX8,'Squad Listing'!$A:$A,0)),""))</f>
        <v/>
      </c>
      <c r="AZ8" t="str">
        <f>IF(ISBLANK($AX8),"",IFERROR(INDEX('Squad Listing'!$D:$D,MATCH($AX8,'Squad Listing'!$A:$A,0)),""))</f>
        <v/>
      </c>
      <c r="BC8" t="str">
        <f t="shared" si="7"/>
        <v/>
      </c>
      <c r="BD8" t="str">
        <f t="shared" si="8"/>
        <v/>
      </c>
    </row>
    <row r="9" spans="1:78" x14ac:dyDescent="0.3">
      <c r="A9" t="s">
        <v>41</v>
      </c>
      <c r="B9" t="s">
        <v>65</v>
      </c>
      <c r="C9" t="s">
        <v>89</v>
      </c>
      <c r="D9" t="str">
        <f t="shared" si="0"/>
        <v>Matt Last Name5</v>
      </c>
      <c r="F9" s="1" t="s">
        <v>125</v>
      </c>
      <c r="G9" s="1" t="s">
        <v>326</v>
      </c>
      <c r="H9" s="1" t="s">
        <v>326</v>
      </c>
      <c r="I9" s="1" t="s">
        <v>326</v>
      </c>
      <c r="J9" s="10">
        <f>IF(G9="Y",'Tournament Setup'!$C$2,0)+IF(H9="Y",'Tournament Setup'!$C$3,0)+IF(I9="Y",'Tournament Setup'!$C$4,0)</f>
        <v>120</v>
      </c>
      <c r="K9" s="1"/>
      <c r="L9" t="s">
        <v>323</v>
      </c>
      <c r="M9" t="s">
        <v>119</v>
      </c>
      <c r="O9" s="1" t="str">
        <f>IFERROR(IF(INDEX('Shooter-Squad Assignment'!$T:$T,MATCH($A9,'Shooter-Squad Assignment'!$A:$A,0))="","",INDEX('Shooter-Squad Assignment'!$T:$T,MATCH($A9,'Shooter-Squad Assignment'!$A:$A,0))),"")</f>
        <v/>
      </c>
      <c r="P9" s="1" t="str">
        <f>IFERROR(IF(INDEX('Shooter-Squad Assignment'!$U:$U,MATCH($A9,'Shooter-Squad Assignment'!$A:$A,0))="","",INDEX('Shooter-Squad Assignment'!$U:$U,MATCH($A9,'Shooter-Squad Assignment'!$A:$A,0))),"")</f>
        <v/>
      </c>
      <c r="Q9" s="1" t="str">
        <f>IFERROR(IF(INDEX('Shooter-Squad Assignment'!$I:$I,MATCH($A9,'Shooter-Squad Assignment'!$A:$A,0))="","",IF(INDEX('Shooter-Squad Assignment'!$I:$I,MATCH($A9,'Shooter-Squad Assignment'!$A:$A,0))=1,O9&amp;"-"&amp;1,"")),"")</f>
        <v/>
      </c>
      <c r="R9" t="str">
        <f>IF(ISBLANK($O9),"",IFERROR(INDEX('Squad Listing'!$C:$C,MATCH($O9,'Squad Listing'!$A:$A,0)),""))</f>
        <v/>
      </c>
      <c r="S9" t="str">
        <f>IF(ISBLANK($O9),"",IFERROR(INDEX('Squad Listing'!$D:$D,MATCH($O9,'Squad Listing'!$A:$A,0)),""))</f>
        <v/>
      </c>
      <c r="T9" s="129" t="str">
        <f t="shared" si="1"/>
        <v/>
      </c>
      <c r="U9" s="129">
        <f t="shared" si="2"/>
        <v>89</v>
      </c>
      <c r="W9" s="1" t="s">
        <v>121</v>
      </c>
      <c r="Y9">
        <f t="shared" si="3"/>
        <v>9</v>
      </c>
      <c r="Z9" s="129">
        <f t="shared" si="4"/>
        <v>89</v>
      </c>
      <c r="AB9">
        <v>22</v>
      </c>
      <c r="AC9">
        <v>23</v>
      </c>
      <c r="AD9">
        <v>23</v>
      </c>
      <c r="AE9">
        <v>21</v>
      </c>
      <c r="AK9" t="str">
        <f>IFERROR(IF(INDEX('Shooter-Squad Assignment'!$X:$X,MATCH($A9,'Shooter-Squad Assignment'!$A:$A,0))="","",INDEX('Shooter-Squad Assignment'!$X:$X,MATCH($A9,'Shooter-Squad Assignment'!$A:$A,0))),"")</f>
        <v/>
      </c>
      <c r="AL9" t="str">
        <f>IF(ISBLANK($AK9),"",IFERROR(INDEX('Squad Listing'!$C:$C,MATCH($AK9,'Squad Listing'!$A:$A,0)),""))</f>
        <v/>
      </c>
      <c r="AM9" t="str">
        <f>IF(ISBLANK($AK9),"",IFERROR(INDEX('Squad Listing'!$D:$D,MATCH($AK9,'Squad Listing'!$A:$A,0)),""))</f>
        <v/>
      </c>
      <c r="AN9" s="1" t="s">
        <v>121</v>
      </c>
      <c r="AP9" t="str">
        <f t="shared" si="5"/>
        <v/>
      </c>
      <c r="AQ9" t="str">
        <f t="shared" si="6"/>
        <v/>
      </c>
      <c r="AX9" t="str">
        <f>IFERROR(IF(INDEX('Shooter-Squad Assignment'!$AA:$AA,MATCH($A9,'Shooter-Squad Assignment'!$A:$A,0))="","",INDEX('Shooter-Squad Assignment'!$AA:$AA,MATCH($A9,'Shooter-Squad Assignment'!$A:$A,0))),"")</f>
        <v/>
      </c>
      <c r="AY9" t="str">
        <f>IF(ISBLANK($AX9),"",IFERROR(INDEX('Squad Listing'!$C:$C,MATCH($AX9,'Squad Listing'!$A:$A,0)),""))</f>
        <v/>
      </c>
      <c r="AZ9" t="str">
        <f>IF(ISBLANK($AX9),"",IFERROR(INDEX('Squad Listing'!$D:$D,MATCH($AX9,'Squad Listing'!$A:$A,0)),""))</f>
        <v/>
      </c>
      <c r="BA9" s="1" t="s">
        <v>121</v>
      </c>
      <c r="BC9" t="str">
        <f t="shared" si="7"/>
        <v/>
      </c>
      <c r="BD9" t="str">
        <f t="shared" si="8"/>
        <v/>
      </c>
    </row>
    <row r="10" spans="1:78" x14ac:dyDescent="0.3">
      <c r="A10" t="s">
        <v>197</v>
      </c>
      <c r="B10" t="s">
        <v>220</v>
      </c>
      <c r="C10" t="s">
        <v>243</v>
      </c>
      <c r="D10" t="str">
        <f t="shared" si="0"/>
        <v>Trey Last Name41</v>
      </c>
      <c r="F10" s="1" t="s">
        <v>125</v>
      </c>
      <c r="G10" s="1" t="s">
        <v>326</v>
      </c>
      <c r="H10" s="1" t="s">
        <v>326</v>
      </c>
      <c r="I10" s="1" t="s">
        <v>326</v>
      </c>
      <c r="J10" s="10">
        <f>IF(G10="Y",'Tournament Setup'!$C$2,0)+IF(H10="Y",'Tournament Setup'!$C$3,0)+IF(I10="Y",'Tournament Setup'!$C$4,0)</f>
        <v>120</v>
      </c>
      <c r="K10" s="1"/>
      <c r="L10" t="s">
        <v>323</v>
      </c>
      <c r="M10" t="s">
        <v>119</v>
      </c>
      <c r="O10" s="1" t="str">
        <f>IFERROR(IF(INDEX('Shooter-Squad Assignment'!$T:$T,MATCH($A10,'Shooter-Squad Assignment'!$A:$A,0))="","",INDEX('Shooter-Squad Assignment'!$T:$T,MATCH($A10,'Shooter-Squad Assignment'!$A:$A,0))),"")</f>
        <v/>
      </c>
      <c r="P10" s="1" t="str">
        <f>IFERROR(IF(INDEX('Shooter-Squad Assignment'!$U:$U,MATCH($A10,'Shooter-Squad Assignment'!$A:$A,0))="","",INDEX('Shooter-Squad Assignment'!$U:$U,MATCH($A10,'Shooter-Squad Assignment'!$A:$A,0))),"")</f>
        <v/>
      </c>
      <c r="Q10" s="1" t="str">
        <f>IFERROR(IF(INDEX('Shooter-Squad Assignment'!$I:$I,MATCH($A10,'Shooter-Squad Assignment'!$A:$A,0))="","",IF(INDEX('Shooter-Squad Assignment'!$I:$I,MATCH($A10,'Shooter-Squad Assignment'!$A:$A,0))=1,O10&amp;"-"&amp;1,"")),"")</f>
        <v/>
      </c>
      <c r="R10" t="str">
        <f>IF(ISBLANK($O10),"",IFERROR(INDEX('Squad Listing'!$C:$C,MATCH($O10,'Squad Listing'!$A:$A,0)),""))</f>
        <v/>
      </c>
      <c r="S10" t="str">
        <f>IF(ISBLANK($O10),"",IFERROR(INDEX('Squad Listing'!$D:$D,MATCH($O10,'Squad Listing'!$A:$A,0)),""))</f>
        <v/>
      </c>
      <c r="T10" s="129" t="str">
        <f t="shared" si="1"/>
        <v/>
      </c>
      <c r="U10" s="129">
        <f t="shared" si="2"/>
        <v>84</v>
      </c>
      <c r="W10" s="1" t="s">
        <v>123</v>
      </c>
      <c r="Y10">
        <f t="shared" si="3"/>
        <v>15</v>
      </c>
      <c r="Z10" s="129">
        <f t="shared" si="4"/>
        <v>84</v>
      </c>
      <c r="AB10">
        <v>21</v>
      </c>
      <c r="AC10">
        <v>20</v>
      </c>
      <c r="AD10">
        <v>22</v>
      </c>
      <c r="AE10">
        <v>21</v>
      </c>
      <c r="AK10" t="str">
        <f>IFERROR(IF(INDEX('Shooter-Squad Assignment'!$X:$X,MATCH($A10,'Shooter-Squad Assignment'!$A:$A,0))="","",INDEX('Shooter-Squad Assignment'!$X:$X,MATCH($A10,'Shooter-Squad Assignment'!$A:$A,0))),"")</f>
        <v/>
      </c>
      <c r="AL10" t="str">
        <f>IF(ISBLANK($AK10),"",IFERROR(INDEX('Squad Listing'!$C:$C,MATCH($AK10,'Squad Listing'!$A:$A,0)),""))</f>
        <v/>
      </c>
      <c r="AM10" t="str">
        <f>IF(ISBLANK($AK10),"",IFERROR(INDEX('Squad Listing'!$D:$D,MATCH($AK10,'Squad Listing'!$A:$A,0)),""))</f>
        <v/>
      </c>
      <c r="AP10" t="str">
        <f t="shared" si="5"/>
        <v/>
      </c>
      <c r="AQ10" t="str">
        <f t="shared" si="6"/>
        <v/>
      </c>
      <c r="AX10" t="str">
        <f>IFERROR(IF(INDEX('Shooter-Squad Assignment'!$AA:$AA,MATCH($A10,'Shooter-Squad Assignment'!$A:$A,0))="","",INDEX('Shooter-Squad Assignment'!$AA:$AA,MATCH($A10,'Shooter-Squad Assignment'!$A:$A,0))),"")</f>
        <v/>
      </c>
      <c r="AY10" t="str">
        <f>IF(ISBLANK($AX10),"",IFERROR(INDEX('Squad Listing'!$C:$C,MATCH($AX10,'Squad Listing'!$A:$A,0)),""))</f>
        <v/>
      </c>
      <c r="AZ10" t="str">
        <f>IF(ISBLANK($AX10),"",IFERROR(INDEX('Squad Listing'!$D:$D,MATCH($AX10,'Squad Listing'!$A:$A,0)),""))</f>
        <v/>
      </c>
      <c r="BC10" t="str">
        <f t="shared" si="7"/>
        <v/>
      </c>
      <c r="BD10" t="str">
        <f t="shared" si="8"/>
        <v/>
      </c>
    </row>
    <row r="11" spans="1:78" x14ac:dyDescent="0.3">
      <c r="A11" t="s">
        <v>46</v>
      </c>
      <c r="B11" t="s">
        <v>70</v>
      </c>
      <c r="C11" t="s">
        <v>94</v>
      </c>
      <c r="D11" t="str">
        <f t="shared" si="0"/>
        <v>Christy Last Name10</v>
      </c>
      <c r="F11" s="1" t="s">
        <v>126</v>
      </c>
      <c r="G11" s="1" t="s">
        <v>326</v>
      </c>
      <c r="H11" s="1" t="s">
        <v>326</v>
      </c>
      <c r="I11" s="1" t="s">
        <v>326</v>
      </c>
      <c r="J11" s="10">
        <f>IF(G11="Y",'Tournament Setup'!$C$2,0)+IF(H11="Y",'Tournament Setup'!$C$3,0)+IF(I11="Y",'Tournament Setup'!$C$4,0)</f>
        <v>120</v>
      </c>
      <c r="K11" s="1"/>
      <c r="L11" t="s">
        <v>322</v>
      </c>
      <c r="M11" t="s">
        <v>117</v>
      </c>
      <c r="O11" s="1">
        <f>IFERROR(IF(INDEX('Shooter-Squad Assignment'!$T:$T,MATCH($A11,'Shooter-Squad Assignment'!$A:$A,0))="","",INDEX('Shooter-Squad Assignment'!$T:$T,MATCH($A11,'Shooter-Squad Assignment'!$A:$A,0))),"")</f>
        <v>175</v>
      </c>
      <c r="P11" s="1" t="str">
        <f>IFERROR(IF(INDEX('Shooter-Squad Assignment'!$U:$U,MATCH($A11,'Shooter-Squad Assignment'!$A:$A,0))="","",INDEX('Shooter-Squad Assignment'!$U:$U,MATCH($A11,'Shooter-Squad Assignment'!$A:$A,0))),"")</f>
        <v>175-1</v>
      </c>
      <c r="Q11" s="1" t="str">
        <f>IFERROR(IF(INDEX('Shooter-Squad Assignment'!$I:$I,MATCH($A11,'Shooter-Squad Assignment'!$A:$A,0))="","",IF(INDEX('Shooter-Squad Assignment'!$I:$I,MATCH($A11,'Shooter-Squad Assignment'!$A:$A,0))=1,O11&amp;"-"&amp;1,"")),"")</f>
        <v>175-1</v>
      </c>
      <c r="R11" t="str">
        <f>IF(ISBLANK($O11),"",IFERROR(INDEX('Squad Listing'!$C:$C,MATCH($O11,'Squad Listing'!$A:$A,0)),""))</f>
        <v>Forge Christian Shooting Team</v>
      </c>
      <c r="S11" t="str">
        <f>IF(ISBLANK($O11),"",IFERROR(INDEX('Squad Listing'!$D:$D,MATCH($O11,'Squad Listing'!$A:$A,0)),""))</f>
        <v>Intermediate 1</v>
      </c>
      <c r="T11" s="129">
        <f t="shared" si="1"/>
        <v>231</v>
      </c>
      <c r="U11" s="129">
        <f t="shared" si="2"/>
        <v>93</v>
      </c>
      <c r="W11" s="1" t="s">
        <v>122</v>
      </c>
      <c r="Y11">
        <f t="shared" si="3"/>
        <v>5</v>
      </c>
      <c r="Z11" s="129">
        <f t="shared" si="4"/>
        <v>93</v>
      </c>
      <c r="AB11">
        <v>23</v>
      </c>
      <c r="AC11">
        <v>23</v>
      </c>
      <c r="AD11">
        <v>25</v>
      </c>
      <c r="AE11">
        <v>22</v>
      </c>
      <c r="AK11" t="str">
        <f>IFERROR(IF(INDEX('Shooter-Squad Assignment'!$X:$X,MATCH($A11,'Shooter-Squad Assignment'!$A:$A,0))="","",INDEX('Shooter-Squad Assignment'!$X:$X,MATCH($A11,'Shooter-Squad Assignment'!$A:$A,0))),"")</f>
        <v/>
      </c>
      <c r="AL11" t="str">
        <f>IF(ISBLANK($AK11),"",IFERROR(INDEX('Squad Listing'!$C:$C,MATCH($AK11,'Squad Listing'!$A:$A,0)),""))</f>
        <v/>
      </c>
      <c r="AM11" t="str">
        <f>IF(ISBLANK($AK11),"",IFERROR(INDEX('Squad Listing'!$D:$D,MATCH($AK11,'Squad Listing'!$A:$A,0)),""))</f>
        <v/>
      </c>
      <c r="AN11" s="1" t="s">
        <v>122</v>
      </c>
      <c r="AP11" t="str">
        <f t="shared" si="5"/>
        <v/>
      </c>
      <c r="AQ11" t="str">
        <f t="shared" si="6"/>
        <v/>
      </c>
      <c r="AX11" t="str">
        <f>IFERROR(IF(INDEX('Shooter-Squad Assignment'!$AA:$AA,MATCH($A11,'Shooter-Squad Assignment'!$A:$A,0))="","",INDEX('Shooter-Squad Assignment'!$AA:$AA,MATCH($A11,'Shooter-Squad Assignment'!$A:$A,0))),"")</f>
        <v/>
      </c>
      <c r="AY11" t="str">
        <f>IF(ISBLANK($AX11),"",IFERROR(INDEX('Squad Listing'!$C:$C,MATCH($AX11,'Squad Listing'!$A:$A,0)),""))</f>
        <v/>
      </c>
      <c r="AZ11" t="str">
        <f>IF(ISBLANK($AX11),"",IFERROR(INDEX('Squad Listing'!$D:$D,MATCH($AX11,'Squad Listing'!$A:$A,0)),""))</f>
        <v/>
      </c>
      <c r="BA11" s="1" t="s">
        <v>122</v>
      </c>
      <c r="BC11" t="str">
        <f t="shared" si="7"/>
        <v/>
      </c>
      <c r="BD11" t="str">
        <f t="shared" si="8"/>
        <v/>
      </c>
    </row>
    <row r="12" spans="1:78" x14ac:dyDescent="0.3">
      <c r="A12" t="s">
        <v>58</v>
      </c>
      <c r="B12" t="s">
        <v>82</v>
      </c>
      <c r="C12" t="s">
        <v>106</v>
      </c>
      <c r="D12" t="str">
        <f t="shared" si="0"/>
        <v>Steve Last Name22</v>
      </c>
      <c r="F12" s="1" t="s">
        <v>125</v>
      </c>
      <c r="G12" s="1" t="s">
        <v>326</v>
      </c>
      <c r="H12" s="1" t="s">
        <v>326</v>
      </c>
      <c r="I12" s="1" t="s">
        <v>326</v>
      </c>
      <c r="J12" s="10">
        <f>IF(G12="Y",'Tournament Setup'!$C$2,0)+IF(H12="Y",'Tournament Setup'!$C$3,0)+IF(I12="Y",'Tournament Setup'!$C$4,0)</f>
        <v>120</v>
      </c>
      <c r="K12" s="1"/>
      <c r="L12" t="s">
        <v>322</v>
      </c>
      <c r="M12" t="s">
        <v>117</v>
      </c>
      <c r="O12" s="1">
        <f>IFERROR(IF(INDEX('Shooter-Squad Assignment'!$T:$T,MATCH($A12,'Shooter-Squad Assignment'!$A:$A,0))="","",INDEX('Shooter-Squad Assignment'!$T:$T,MATCH($A12,'Shooter-Squad Assignment'!$A:$A,0))),"")</f>
        <v>175</v>
      </c>
      <c r="P12" s="1" t="str">
        <f>IFERROR(IF(INDEX('Shooter-Squad Assignment'!$U:$U,MATCH($A12,'Shooter-Squad Assignment'!$A:$A,0))="","",INDEX('Shooter-Squad Assignment'!$U:$U,MATCH($A12,'Shooter-Squad Assignment'!$A:$A,0))),"")</f>
        <v>175-2</v>
      </c>
      <c r="Q12" s="1" t="str">
        <f>IFERROR(IF(INDEX('Shooter-Squad Assignment'!$I:$I,MATCH($A12,'Shooter-Squad Assignment'!$A:$A,0))="","",IF(INDEX('Shooter-Squad Assignment'!$I:$I,MATCH($A12,'Shooter-Squad Assignment'!$A:$A,0))=1,O12&amp;"-"&amp;1,"")),"")</f>
        <v/>
      </c>
      <c r="R12" t="str">
        <f>IF(ISBLANK($O12),"",IFERROR(INDEX('Squad Listing'!$C:$C,MATCH($O12,'Squad Listing'!$A:$A,0)),""))</f>
        <v>Forge Christian Shooting Team</v>
      </c>
      <c r="S12" t="str">
        <f>IF(ISBLANK($O12),"",IFERROR(INDEX('Squad Listing'!$D:$D,MATCH($O12,'Squad Listing'!$A:$A,0)),""))</f>
        <v>Intermediate 1</v>
      </c>
      <c r="T12" s="129" t="str">
        <f t="shared" si="1"/>
        <v/>
      </c>
      <c r="U12" s="129">
        <f t="shared" si="2"/>
        <v>70</v>
      </c>
      <c r="W12" s="1" t="s">
        <v>123</v>
      </c>
      <c r="Y12">
        <f t="shared" si="3"/>
        <v>26</v>
      </c>
      <c r="Z12" s="129">
        <f t="shared" si="4"/>
        <v>70</v>
      </c>
      <c r="AB12">
        <v>21</v>
      </c>
      <c r="AC12">
        <v>20</v>
      </c>
      <c r="AD12">
        <v>15</v>
      </c>
      <c r="AE12">
        <v>14</v>
      </c>
      <c r="AK12" t="str">
        <f>IFERROR(IF(INDEX('Shooter-Squad Assignment'!$X:$X,MATCH($A12,'Shooter-Squad Assignment'!$A:$A,0))="","",INDEX('Shooter-Squad Assignment'!$X:$X,MATCH($A12,'Shooter-Squad Assignment'!$A:$A,0))),"")</f>
        <v/>
      </c>
      <c r="AL12" t="str">
        <f>IF(ISBLANK($AK12),"",IFERROR(INDEX('Squad Listing'!$C:$C,MATCH($AK12,'Squad Listing'!$A:$A,0)),""))</f>
        <v/>
      </c>
      <c r="AM12" t="str">
        <f>IF(ISBLANK($AK12),"",IFERROR(INDEX('Squad Listing'!$D:$D,MATCH($AK12,'Squad Listing'!$A:$A,0)),""))</f>
        <v/>
      </c>
      <c r="AN12" s="1" t="s">
        <v>123</v>
      </c>
      <c r="AP12" t="str">
        <f t="shared" si="5"/>
        <v/>
      </c>
      <c r="AQ12" t="str">
        <f t="shared" si="6"/>
        <v/>
      </c>
      <c r="AX12" t="str">
        <f>IFERROR(IF(INDEX('Shooter-Squad Assignment'!$AA:$AA,MATCH($A12,'Shooter-Squad Assignment'!$A:$A,0))="","",INDEX('Shooter-Squad Assignment'!$AA:$AA,MATCH($A12,'Shooter-Squad Assignment'!$A:$A,0))),"")</f>
        <v/>
      </c>
      <c r="AY12" t="str">
        <f>IF(ISBLANK($AX12),"",IFERROR(INDEX('Squad Listing'!$C:$C,MATCH($AX12,'Squad Listing'!$A:$A,0)),""))</f>
        <v/>
      </c>
      <c r="AZ12" t="str">
        <f>IF(ISBLANK($AX12),"",IFERROR(INDEX('Squad Listing'!$D:$D,MATCH($AX12,'Squad Listing'!$A:$A,0)),""))</f>
        <v/>
      </c>
      <c r="BA12" s="1" t="s">
        <v>123</v>
      </c>
      <c r="BC12" t="str">
        <f t="shared" si="7"/>
        <v/>
      </c>
      <c r="BD12" t="str">
        <f t="shared" si="8"/>
        <v/>
      </c>
    </row>
    <row r="13" spans="1:78" x14ac:dyDescent="0.3">
      <c r="A13" t="s">
        <v>190</v>
      </c>
      <c r="B13" t="s">
        <v>213</v>
      </c>
      <c r="C13" t="s">
        <v>236</v>
      </c>
      <c r="D13" t="str">
        <f t="shared" si="0"/>
        <v>Marty Last Name34</v>
      </c>
      <c r="F13" s="1" t="s">
        <v>125</v>
      </c>
      <c r="G13" s="1" t="s">
        <v>326</v>
      </c>
      <c r="H13" s="1" t="s">
        <v>326</v>
      </c>
      <c r="I13" s="1" t="s">
        <v>326</v>
      </c>
      <c r="J13" s="10">
        <f>IF(G13="Y",'Tournament Setup'!$C$2,0)+IF(H13="Y",'Tournament Setup'!$C$3,0)+IF(I13="Y",'Tournament Setup'!$C$4,0)</f>
        <v>120</v>
      </c>
      <c r="K13" s="1"/>
      <c r="L13" t="s">
        <v>322</v>
      </c>
      <c r="M13" t="s">
        <v>117</v>
      </c>
      <c r="O13" s="1">
        <f>IFERROR(IF(INDEX('Shooter-Squad Assignment'!$T:$T,MATCH($A13,'Shooter-Squad Assignment'!$A:$A,0))="","",INDEX('Shooter-Squad Assignment'!$T:$T,MATCH($A13,'Shooter-Squad Assignment'!$A:$A,0))),"")</f>
        <v>175</v>
      </c>
      <c r="P13" s="1" t="str">
        <f>IFERROR(IF(INDEX('Shooter-Squad Assignment'!$U:$U,MATCH($A13,'Shooter-Squad Assignment'!$A:$A,0))="","",INDEX('Shooter-Squad Assignment'!$U:$U,MATCH($A13,'Shooter-Squad Assignment'!$A:$A,0))),"")</f>
        <v>175-3</v>
      </c>
      <c r="Q13" s="1" t="str">
        <f>IFERROR(IF(INDEX('Shooter-Squad Assignment'!$I:$I,MATCH($A13,'Shooter-Squad Assignment'!$A:$A,0))="","",IF(INDEX('Shooter-Squad Assignment'!$I:$I,MATCH($A13,'Shooter-Squad Assignment'!$A:$A,0))=1,O13&amp;"-"&amp;1,"")),"")</f>
        <v/>
      </c>
      <c r="R13" t="str">
        <f>IF(ISBLANK($O13),"",IFERROR(INDEX('Squad Listing'!$C:$C,MATCH($O13,'Squad Listing'!$A:$A,0)),""))</f>
        <v>Forge Christian Shooting Team</v>
      </c>
      <c r="S13" t="str">
        <f>IF(ISBLANK($O13),"",IFERROR(INDEX('Squad Listing'!$D:$D,MATCH($O13,'Squad Listing'!$A:$A,0)),""))</f>
        <v>Intermediate 1</v>
      </c>
      <c r="T13" s="129" t="str">
        <f t="shared" si="1"/>
        <v/>
      </c>
      <c r="U13" s="129">
        <f t="shared" si="2"/>
        <v>68</v>
      </c>
      <c r="W13" s="1" t="s">
        <v>121</v>
      </c>
      <c r="Y13">
        <f t="shared" si="3"/>
        <v>28</v>
      </c>
      <c r="Z13" s="129">
        <f t="shared" si="4"/>
        <v>68</v>
      </c>
      <c r="AB13">
        <v>15</v>
      </c>
      <c r="AC13">
        <v>15</v>
      </c>
      <c r="AD13">
        <v>18</v>
      </c>
      <c r="AE13">
        <v>20</v>
      </c>
      <c r="AK13" t="str">
        <f>IFERROR(IF(INDEX('Shooter-Squad Assignment'!$X:$X,MATCH($A13,'Shooter-Squad Assignment'!$A:$A,0))="","",INDEX('Shooter-Squad Assignment'!$X:$X,MATCH($A13,'Shooter-Squad Assignment'!$A:$A,0))),"")</f>
        <v/>
      </c>
      <c r="AL13" t="str">
        <f>IF(ISBLANK($AK13),"",IFERROR(INDEX('Squad Listing'!$C:$C,MATCH($AK13,'Squad Listing'!$A:$A,0)),""))</f>
        <v/>
      </c>
      <c r="AM13" t="str">
        <f>IF(ISBLANK($AK13),"",IFERROR(INDEX('Squad Listing'!$D:$D,MATCH($AK13,'Squad Listing'!$A:$A,0)),""))</f>
        <v/>
      </c>
      <c r="AP13" t="str">
        <f t="shared" si="5"/>
        <v/>
      </c>
      <c r="AQ13" t="str">
        <f t="shared" si="6"/>
        <v/>
      </c>
      <c r="AX13" t="str">
        <f>IFERROR(IF(INDEX('Shooter-Squad Assignment'!$AA:$AA,MATCH($A13,'Shooter-Squad Assignment'!$A:$A,0))="","",INDEX('Shooter-Squad Assignment'!$AA:$AA,MATCH($A13,'Shooter-Squad Assignment'!$A:$A,0))),"")</f>
        <v/>
      </c>
      <c r="AY13" t="str">
        <f>IF(ISBLANK($AX13),"",IFERROR(INDEX('Squad Listing'!$C:$C,MATCH($AX13,'Squad Listing'!$A:$A,0)),""))</f>
        <v/>
      </c>
      <c r="AZ13" t="str">
        <f>IF(ISBLANK($AX13),"",IFERROR(INDEX('Squad Listing'!$D:$D,MATCH($AX13,'Squad Listing'!$A:$A,0)),""))</f>
        <v/>
      </c>
      <c r="BC13" t="str">
        <f t="shared" si="7"/>
        <v/>
      </c>
      <c r="BD13" t="str">
        <f t="shared" si="8"/>
        <v/>
      </c>
    </row>
    <row r="14" spans="1:78" x14ac:dyDescent="0.3">
      <c r="A14" t="s">
        <v>40</v>
      </c>
      <c r="B14" t="s">
        <v>64</v>
      </c>
      <c r="C14" t="s">
        <v>88</v>
      </c>
      <c r="D14" t="str">
        <f t="shared" si="0"/>
        <v>Susan Last Name4</v>
      </c>
      <c r="F14" s="1" t="s">
        <v>126</v>
      </c>
      <c r="G14" s="1" t="s">
        <v>326</v>
      </c>
      <c r="H14" s="1" t="s">
        <v>326</v>
      </c>
      <c r="I14" s="1" t="s">
        <v>326</v>
      </c>
      <c r="J14" s="10">
        <f>IF(G14="Y",'Tournament Setup'!$C$2,0)+IF(H14="Y",'Tournament Setup'!$C$3,0)+IF(I14="Y",'Tournament Setup'!$C$4,0)</f>
        <v>120</v>
      </c>
      <c r="K14" s="1"/>
      <c r="L14" t="s">
        <v>322</v>
      </c>
      <c r="M14" t="s">
        <v>119</v>
      </c>
      <c r="O14" s="1" t="str">
        <f>IFERROR(IF(INDEX('Shooter-Squad Assignment'!$T:$T,MATCH($A14,'Shooter-Squad Assignment'!$A:$A,0))="","",INDEX('Shooter-Squad Assignment'!$T:$T,MATCH($A14,'Shooter-Squad Assignment'!$A:$A,0))),"")</f>
        <v/>
      </c>
      <c r="P14" s="1" t="str">
        <f>IFERROR(IF(INDEX('Shooter-Squad Assignment'!$U:$U,MATCH($A14,'Shooter-Squad Assignment'!$A:$A,0))="","",INDEX('Shooter-Squad Assignment'!$U:$U,MATCH($A14,'Shooter-Squad Assignment'!$A:$A,0))),"")</f>
        <v/>
      </c>
      <c r="Q14" s="1" t="str">
        <f>IFERROR(IF(INDEX('Shooter-Squad Assignment'!$I:$I,MATCH($A14,'Shooter-Squad Assignment'!$A:$A,0))="","",IF(INDEX('Shooter-Squad Assignment'!$I:$I,MATCH($A14,'Shooter-Squad Assignment'!$A:$A,0))=1,O14&amp;"-"&amp;1,"")),"")</f>
        <v/>
      </c>
      <c r="R14" t="str">
        <f>IF(ISBLANK($O14),"",IFERROR(INDEX('Squad Listing'!$C:$C,MATCH($O14,'Squad Listing'!$A:$A,0)),""))</f>
        <v/>
      </c>
      <c r="S14" t="str">
        <f>IF(ISBLANK($O14),"",IFERROR(INDEX('Squad Listing'!$D:$D,MATCH($O14,'Squad Listing'!$A:$A,0)),""))</f>
        <v/>
      </c>
      <c r="T14" s="129" t="str">
        <f t="shared" si="1"/>
        <v/>
      </c>
      <c r="U14" s="129">
        <f t="shared" si="2"/>
        <v>82</v>
      </c>
      <c r="W14" s="1" t="s">
        <v>121</v>
      </c>
      <c r="Y14">
        <f t="shared" si="3"/>
        <v>16</v>
      </c>
      <c r="Z14" s="129">
        <f t="shared" si="4"/>
        <v>82</v>
      </c>
      <c r="AB14">
        <v>20</v>
      </c>
      <c r="AC14">
        <v>21</v>
      </c>
      <c r="AD14">
        <v>22</v>
      </c>
      <c r="AE14">
        <v>19</v>
      </c>
      <c r="AK14" t="str">
        <f>IFERROR(IF(INDEX('Shooter-Squad Assignment'!$X:$X,MATCH($A14,'Shooter-Squad Assignment'!$A:$A,0))="","",INDEX('Shooter-Squad Assignment'!$X:$X,MATCH($A14,'Shooter-Squad Assignment'!$A:$A,0))),"")</f>
        <v/>
      </c>
      <c r="AL14" t="str">
        <f>IF(ISBLANK($AK14),"",IFERROR(INDEX('Squad Listing'!$C:$C,MATCH($AK14,'Squad Listing'!$A:$A,0)),""))</f>
        <v/>
      </c>
      <c r="AM14" t="str">
        <f>IF(ISBLANK($AK14),"",IFERROR(INDEX('Squad Listing'!$D:$D,MATCH($AK14,'Squad Listing'!$A:$A,0)),""))</f>
        <v/>
      </c>
      <c r="AN14" s="1" t="s">
        <v>121</v>
      </c>
      <c r="AP14" t="str">
        <f t="shared" si="5"/>
        <v/>
      </c>
      <c r="AQ14" t="str">
        <f t="shared" si="6"/>
        <v/>
      </c>
      <c r="AX14" t="str">
        <f>IFERROR(IF(INDEX('Shooter-Squad Assignment'!$AA:$AA,MATCH($A14,'Shooter-Squad Assignment'!$A:$A,0))="","",INDEX('Shooter-Squad Assignment'!$AA:$AA,MATCH($A14,'Shooter-Squad Assignment'!$A:$A,0))),"")</f>
        <v/>
      </c>
      <c r="AY14" t="str">
        <f>IF(ISBLANK($AX14),"",IFERROR(INDEX('Squad Listing'!$C:$C,MATCH($AX14,'Squad Listing'!$A:$A,0)),""))</f>
        <v/>
      </c>
      <c r="AZ14" t="str">
        <f>IF(ISBLANK($AX14),"",IFERROR(INDEX('Squad Listing'!$D:$D,MATCH($AX14,'Squad Listing'!$A:$A,0)),""))</f>
        <v/>
      </c>
      <c r="BA14" s="1" t="s">
        <v>121</v>
      </c>
      <c r="BC14" t="str">
        <f t="shared" si="7"/>
        <v/>
      </c>
      <c r="BD14" t="str">
        <f t="shared" si="8"/>
        <v/>
      </c>
    </row>
    <row r="15" spans="1:78" x14ac:dyDescent="0.3">
      <c r="A15" t="s">
        <v>52</v>
      </c>
      <c r="B15" t="s">
        <v>76</v>
      </c>
      <c r="C15" t="s">
        <v>100</v>
      </c>
      <c r="D15" t="str">
        <f t="shared" si="0"/>
        <v>Paul Last Name16</v>
      </c>
      <c r="F15" s="1" t="s">
        <v>125</v>
      </c>
      <c r="G15" s="1" t="s">
        <v>326</v>
      </c>
      <c r="H15" s="1" t="s">
        <v>326</v>
      </c>
      <c r="I15" s="1" t="s">
        <v>326</v>
      </c>
      <c r="J15" s="10">
        <f>IF(G15="Y",'Tournament Setup'!$C$2,0)+IF(H15="Y",'Tournament Setup'!$C$3,0)+IF(I15="Y",'Tournament Setup'!$C$4,0)</f>
        <v>120</v>
      </c>
      <c r="K15" s="1"/>
      <c r="L15" t="s">
        <v>322</v>
      </c>
      <c r="M15" t="s">
        <v>119</v>
      </c>
      <c r="O15" s="1" t="str">
        <f>IFERROR(IF(INDEX('Shooter-Squad Assignment'!$T:$T,MATCH($A15,'Shooter-Squad Assignment'!$A:$A,0))="","",INDEX('Shooter-Squad Assignment'!$T:$T,MATCH($A15,'Shooter-Squad Assignment'!$A:$A,0))),"")</f>
        <v/>
      </c>
      <c r="P15" s="1" t="str">
        <f>IFERROR(IF(INDEX('Shooter-Squad Assignment'!$U:$U,MATCH($A15,'Shooter-Squad Assignment'!$A:$A,0))="","",INDEX('Shooter-Squad Assignment'!$U:$U,MATCH($A15,'Shooter-Squad Assignment'!$A:$A,0))),"")</f>
        <v/>
      </c>
      <c r="Q15" s="1" t="str">
        <f>IFERROR(IF(INDEX('Shooter-Squad Assignment'!$I:$I,MATCH($A15,'Shooter-Squad Assignment'!$A:$A,0))="","",IF(INDEX('Shooter-Squad Assignment'!$I:$I,MATCH($A15,'Shooter-Squad Assignment'!$A:$A,0))=1,O15&amp;"-"&amp;1,"")),"")</f>
        <v/>
      </c>
      <c r="R15" t="str">
        <f>IF(ISBLANK($O15),"",IFERROR(INDEX('Squad Listing'!$C:$C,MATCH($O15,'Squad Listing'!$A:$A,0)),""))</f>
        <v/>
      </c>
      <c r="S15" t="str">
        <f>IF(ISBLANK($O15),"",IFERROR(INDEX('Squad Listing'!$D:$D,MATCH($O15,'Squad Listing'!$A:$A,0)),""))</f>
        <v/>
      </c>
      <c r="T15" s="129" t="str">
        <f t="shared" si="1"/>
        <v/>
      </c>
      <c r="U15" s="129">
        <f t="shared" si="2"/>
        <v>42</v>
      </c>
      <c r="W15" s="1" t="s">
        <v>124</v>
      </c>
      <c r="Y15">
        <f t="shared" si="3"/>
        <v>45</v>
      </c>
      <c r="Z15" s="129">
        <f t="shared" si="4"/>
        <v>42</v>
      </c>
      <c r="AB15">
        <v>9</v>
      </c>
      <c r="AC15">
        <v>10</v>
      </c>
      <c r="AD15">
        <v>12</v>
      </c>
      <c r="AE15">
        <v>11</v>
      </c>
      <c r="AK15" t="str">
        <f>IFERROR(IF(INDEX('Shooter-Squad Assignment'!$X:$X,MATCH($A15,'Shooter-Squad Assignment'!$A:$A,0))="","",INDEX('Shooter-Squad Assignment'!$X:$X,MATCH($A15,'Shooter-Squad Assignment'!$A:$A,0))),"")</f>
        <v/>
      </c>
      <c r="AL15" t="str">
        <f>IF(ISBLANK($AK15),"",IFERROR(INDEX('Squad Listing'!$C:$C,MATCH($AK15,'Squad Listing'!$A:$A,0)),""))</f>
        <v/>
      </c>
      <c r="AM15" t="str">
        <f>IF(ISBLANK($AK15),"",IFERROR(INDEX('Squad Listing'!$D:$D,MATCH($AK15,'Squad Listing'!$A:$A,0)),""))</f>
        <v/>
      </c>
      <c r="AN15" s="1" t="s">
        <v>124</v>
      </c>
      <c r="AP15" t="str">
        <f t="shared" si="5"/>
        <v/>
      </c>
      <c r="AQ15" t="str">
        <f t="shared" si="6"/>
        <v/>
      </c>
      <c r="AX15" t="str">
        <f>IFERROR(IF(INDEX('Shooter-Squad Assignment'!$AA:$AA,MATCH($A15,'Shooter-Squad Assignment'!$A:$A,0))="","",INDEX('Shooter-Squad Assignment'!$AA:$AA,MATCH($A15,'Shooter-Squad Assignment'!$A:$A,0))),"")</f>
        <v/>
      </c>
      <c r="AY15" t="str">
        <f>IF(ISBLANK($AX15),"",IFERROR(INDEX('Squad Listing'!$C:$C,MATCH($AX15,'Squad Listing'!$A:$A,0)),""))</f>
        <v/>
      </c>
      <c r="AZ15" t="str">
        <f>IF(ISBLANK($AX15),"",IFERROR(INDEX('Squad Listing'!$D:$D,MATCH($AX15,'Squad Listing'!$A:$A,0)),""))</f>
        <v/>
      </c>
      <c r="BA15" s="1" t="s">
        <v>124</v>
      </c>
      <c r="BC15" t="str">
        <f t="shared" si="7"/>
        <v/>
      </c>
      <c r="BD15" t="str">
        <f t="shared" si="8"/>
        <v/>
      </c>
    </row>
    <row r="16" spans="1:78" x14ac:dyDescent="0.3">
      <c r="A16" t="s">
        <v>184</v>
      </c>
      <c r="B16" t="s">
        <v>207</v>
      </c>
      <c r="C16" t="s">
        <v>230</v>
      </c>
      <c r="D16" t="str">
        <f t="shared" si="0"/>
        <v>Brad Last Name28</v>
      </c>
      <c r="F16" s="1" t="s">
        <v>125</v>
      </c>
      <c r="G16" s="1" t="s">
        <v>326</v>
      </c>
      <c r="H16" s="1" t="s">
        <v>326</v>
      </c>
      <c r="I16" s="1" t="s">
        <v>326</v>
      </c>
      <c r="J16" s="10">
        <f>IF(G16="Y",'Tournament Setup'!$C$2,0)+IF(H16="Y",'Tournament Setup'!$C$3,0)+IF(I16="Y",'Tournament Setup'!$C$4,0)</f>
        <v>120</v>
      </c>
      <c r="K16" s="1"/>
      <c r="L16" t="s">
        <v>322</v>
      </c>
      <c r="M16" t="s">
        <v>119</v>
      </c>
      <c r="O16" s="1">
        <f>IFERROR(IF(INDEX('Shooter-Squad Assignment'!$T:$T,MATCH($A16,'Shooter-Squad Assignment'!$A:$A,0))="","",INDEX('Shooter-Squad Assignment'!$T:$T,MATCH($A16,'Shooter-Squad Assignment'!$A:$A,0))),"")</f>
        <v>187</v>
      </c>
      <c r="P16" s="1" t="str">
        <f>IFERROR(IF(INDEX('Shooter-Squad Assignment'!$U:$U,MATCH($A16,'Shooter-Squad Assignment'!$A:$A,0))="","",INDEX('Shooter-Squad Assignment'!$U:$U,MATCH($A16,'Shooter-Squad Assignment'!$A:$A,0))),"")</f>
        <v>187-2</v>
      </c>
      <c r="Q16" s="1" t="str">
        <f>IFERROR(IF(INDEX('Shooter-Squad Assignment'!$I:$I,MATCH($A16,'Shooter-Squad Assignment'!$A:$A,0))="","",IF(INDEX('Shooter-Squad Assignment'!$I:$I,MATCH($A16,'Shooter-Squad Assignment'!$A:$A,0))=1,O16&amp;"-"&amp;1,"")),"")</f>
        <v/>
      </c>
      <c r="R16" t="str">
        <f>IF(ISBLANK($O16),"",IFERROR(INDEX('Squad Listing'!$C:$C,MATCH($O16,'Squad Listing'!$A:$A,0)),""))</f>
        <v>Forge Christian Shooting Team</v>
      </c>
      <c r="S16" t="str">
        <f>IF(ISBLANK($O16),"",IFERROR(INDEX('Squad Listing'!$D:$D,MATCH($O16,'Squad Listing'!$A:$A,0)),""))</f>
        <v>Varsity 1</v>
      </c>
      <c r="T16" s="129" t="str">
        <f t="shared" si="1"/>
        <v/>
      </c>
      <c r="U16" s="129">
        <f t="shared" si="2"/>
        <v>63</v>
      </c>
      <c r="W16" s="1" t="s">
        <v>124</v>
      </c>
      <c r="Y16">
        <f t="shared" si="3"/>
        <v>32</v>
      </c>
      <c r="Z16" s="129">
        <f t="shared" si="4"/>
        <v>63</v>
      </c>
      <c r="AB16">
        <v>16</v>
      </c>
      <c r="AC16">
        <v>18</v>
      </c>
      <c r="AD16">
        <v>14</v>
      </c>
      <c r="AE16">
        <v>15</v>
      </c>
      <c r="AK16" t="str">
        <f>IFERROR(IF(INDEX('Shooter-Squad Assignment'!$X:$X,MATCH($A16,'Shooter-Squad Assignment'!$A:$A,0))="","",INDEX('Shooter-Squad Assignment'!$X:$X,MATCH($A16,'Shooter-Squad Assignment'!$A:$A,0))),"")</f>
        <v/>
      </c>
      <c r="AL16" t="str">
        <f>IF(ISBLANK($AK16),"",IFERROR(INDEX('Squad Listing'!$C:$C,MATCH($AK16,'Squad Listing'!$A:$A,0)),""))</f>
        <v/>
      </c>
      <c r="AM16" t="str">
        <f>IF(ISBLANK($AK16),"",IFERROR(INDEX('Squad Listing'!$D:$D,MATCH($AK16,'Squad Listing'!$A:$A,0)),""))</f>
        <v/>
      </c>
      <c r="AP16" t="str">
        <f t="shared" si="5"/>
        <v/>
      </c>
      <c r="AQ16" t="str">
        <f t="shared" si="6"/>
        <v/>
      </c>
      <c r="AX16" t="str">
        <f>IFERROR(IF(INDEX('Shooter-Squad Assignment'!$AA:$AA,MATCH($A16,'Shooter-Squad Assignment'!$A:$A,0))="","",INDEX('Shooter-Squad Assignment'!$AA:$AA,MATCH($A16,'Shooter-Squad Assignment'!$A:$A,0))),"")</f>
        <v/>
      </c>
      <c r="AY16" t="str">
        <f>IF(ISBLANK($AX16),"",IFERROR(INDEX('Squad Listing'!$C:$C,MATCH($AX16,'Squad Listing'!$A:$A,0)),""))</f>
        <v/>
      </c>
      <c r="AZ16" t="str">
        <f>IF(ISBLANK($AX16),"",IFERROR(INDEX('Squad Listing'!$D:$D,MATCH($AX16,'Squad Listing'!$A:$A,0)),""))</f>
        <v/>
      </c>
      <c r="BC16" t="str">
        <f t="shared" si="7"/>
        <v/>
      </c>
      <c r="BD16" t="str">
        <f t="shared" si="8"/>
        <v/>
      </c>
    </row>
    <row r="17" spans="1:56" x14ac:dyDescent="0.3">
      <c r="A17" t="s">
        <v>196</v>
      </c>
      <c r="B17" t="s">
        <v>219</v>
      </c>
      <c r="C17" t="s">
        <v>242</v>
      </c>
      <c r="D17" t="str">
        <f t="shared" si="0"/>
        <v>Troy Last Name40</v>
      </c>
      <c r="F17" s="1" t="s">
        <v>125</v>
      </c>
      <c r="G17" s="1" t="s">
        <v>326</v>
      </c>
      <c r="H17" s="1" t="s">
        <v>326</v>
      </c>
      <c r="I17" s="1" t="s">
        <v>326</v>
      </c>
      <c r="J17" s="10">
        <f>IF(G17="Y",'Tournament Setup'!$C$2,0)+IF(H17="Y",'Tournament Setup'!$C$3,0)+IF(I17="Y",'Tournament Setup'!$C$4,0)</f>
        <v>120</v>
      </c>
      <c r="K17" s="1"/>
      <c r="L17" t="s">
        <v>322</v>
      </c>
      <c r="M17" t="s">
        <v>119</v>
      </c>
      <c r="O17" s="1">
        <f>IFERROR(IF(INDEX('Shooter-Squad Assignment'!$T:$T,MATCH($A17,'Shooter-Squad Assignment'!$A:$A,0))="","",INDEX('Shooter-Squad Assignment'!$T:$T,MATCH($A17,'Shooter-Squad Assignment'!$A:$A,0))),"")</f>
        <v>187</v>
      </c>
      <c r="P17" s="1" t="str">
        <f>IFERROR(IF(INDEX('Shooter-Squad Assignment'!$U:$U,MATCH($A17,'Shooter-Squad Assignment'!$A:$A,0))="","",INDEX('Shooter-Squad Assignment'!$U:$U,MATCH($A17,'Shooter-Squad Assignment'!$A:$A,0))),"")</f>
        <v>187-3</v>
      </c>
      <c r="Q17" s="1" t="str">
        <f>IFERROR(IF(INDEX('Shooter-Squad Assignment'!$I:$I,MATCH($A17,'Shooter-Squad Assignment'!$A:$A,0))="","",IF(INDEX('Shooter-Squad Assignment'!$I:$I,MATCH($A17,'Shooter-Squad Assignment'!$A:$A,0))=1,O17&amp;"-"&amp;1,"")),"")</f>
        <v/>
      </c>
      <c r="R17" t="str">
        <f>IF(ISBLANK($O17),"",IFERROR(INDEX('Squad Listing'!$C:$C,MATCH($O17,'Squad Listing'!$A:$A,0)),""))</f>
        <v>Forge Christian Shooting Team</v>
      </c>
      <c r="S17" t="str">
        <f>IF(ISBLANK($O17),"",IFERROR(INDEX('Squad Listing'!$D:$D,MATCH($O17,'Squad Listing'!$A:$A,0)),""))</f>
        <v>Varsity 1</v>
      </c>
      <c r="T17" s="129" t="str">
        <f t="shared" si="1"/>
        <v/>
      </c>
      <c r="U17" s="129">
        <f t="shared" si="2"/>
        <v>59</v>
      </c>
      <c r="W17" s="1" t="s">
        <v>124</v>
      </c>
      <c r="Y17">
        <f t="shared" si="3"/>
        <v>37</v>
      </c>
      <c r="Z17" s="129">
        <f t="shared" si="4"/>
        <v>59</v>
      </c>
      <c r="AB17">
        <v>13</v>
      </c>
      <c r="AC17">
        <v>15</v>
      </c>
      <c r="AD17">
        <v>17</v>
      </c>
      <c r="AE17">
        <v>14</v>
      </c>
      <c r="AK17" t="str">
        <f>IFERROR(IF(INDEX('Shooter-Squad Assignment'!$X:$X,MATCH($A17,'Shooter-Squad Assignment'!$A:$A,0))="","",INDEX('Shooter-Squad Assignment'!$X:$X,MATCH($A17,'Shooter-Squad Assignment'!$A:$A,0))),"")</f>
        <v/>
      </c>
      <c r="AL17" t="str">
        <f>IF(ISBLANK($AK17),"",IFERROR(INDEX('Squad Listing'!$C:$C,MATCH($AK17,'Squad Listing'!$A:$A,0)),""))</f>
        <v/>
      </c>
      <c r="AM17" t="str">
        <f>IF(ISBLANK($AK17),"",IFERROR(INDEX('Squad Listing'!$D:$D,MATCH($AK17,'Squad Listing'!$A:$A,0)),""))</f>
        <v/>
      </c>
      <c r="AP17" t="str">
        <f t="shared" si="5"/>
        <v/>
      </c>
      <c r="AQ17" t="str">
        <f t="shared" si="6"/>
        <v/>
      </c>
      <c r="AX17" t="str">
        <f>IFERROR(IF(INDEX('Shooter-Squad Assignment'!$AA:$AA,MATCH($A17,'Shooter-Squad Assignment'!$A:$A,0))="","",INDEX('Shooter-Squad Assignment'!$AA:$AA,MATCH($A17,'Shooter-Squad Assignment'!$A:$A,0))),"")</f>
        <v/>
      </c>
      <c r="AY17" t="str">
        <f>IF(ISBLANK($AX17),"",IFERROR(INDEX('Squad Listing'!$C:$C,MATCH($AX17,'Squad Listing'!$A:$A,0)),""))</f>
        <v/>
      </c>
      <c r="AZ17" t="str">
        <f>IF(ISBLANK($AX17),"",IFERROR(INDEX('Squad Listing'!$D:$D,MATCH($AX17,'Squad Listing'!$A:$A,0)),""))</f>
        <v/>
      </c>
      <c r="BC17" t="str">
        <f t="shared" si="7"/>
        <v/>
      </c>
      <c r="BD17" t="str">
        <f t="shared" si="8"/>
        <v/>
      </c>
    </row>
    <row r="18" spans="1:56" x14ac:dyDescent="0.3">
      <c r="A18" t="s">
        <v>202</v>
      </c>
      <c r="B18" t="s">
        <v>225</v>
      </c>
      <c r="C18" t="s">
        <v>248</v>
      </c>
      <c r="D18" t="str">
        <f t="shared" si="0"/>
        <v>Sam Last Name46</v>
      </c>
      <c r="F18" s="1" t="s">
        <v>125</v>
      </c>
      <c r="G18" s="1" t="s">
        <v>326</v>
      </c>
      <c r="H18" s="1" t="s">
        <v>326</v>
      </c>
      <c r="I18" s="1" t="s">
        <v>326</v>
      </c>
      <c r="J18" s="10">
        <f>IF(G18="Y",'Tournament Setup'!$C$2,0)+IF(H18="Y",'Tournament Setup'!$C$3,0)+IF(I18="Y",'Tournament Setup'!$C$4,0)</f>
        <v>120</v>
      </c>
      <c r="K18" s="1"/>
      <c r="L18" t="s">
        <v>322</v>
      </c>
      <c r="M18" t="s">
        <v>119</v>
      </c>
      <c r="O18" s="1">
        <f>IFERROR(IF(INDEX('Shooter-Squad Assignment'!$T:$T,MATCH($A18,'Shooter-Squad Assignment'!$A:$A,0))="","",INDEX('Shooter-Squad Assignment'!$T:$T,MATCH($A18,'Shooter-Squad Assignment'!$A:$A,0))),"")</f>
        <v>187</v>
      </c>
      <c r="P18" s="1" t="str">
        <f>IFERROR(IF(INDEX('Shooter-Squad Assignment'!$U:$U,MATCH($A18,'Shooter-Squad Assignment'!$A:$A,0))="","",INDEX('Shooter-Squad Assignment'!$U:$U,MATCH($A18,'Shooter-Squad Assignment'!$A:$A,0))),"")</f>
        <v>187-1</v>
      </c>
      <c r="Q18" s="1" t="str">
        <f>IFERROR(IF(INDEX('Shooter-Squad Assignment'!$I:$I,MATCH($A18,'Shooter-Squad Assignment'!$A:$A,0))="","",IF(INDEX('Shooter-Squad Assignment'!$I:$I,MATCH($A18,'Shooter-Squad Assignment'!$A:$A,0))=1,O18&amp;"-"&amp;1,"")),"")</f>
        <v>187-1</v>
      </c>
      <c r="R18" t="str">
        <f>IF(ISBLANK($O18),"",IFERROR(INDEX('Squad Listing'!$C:$C,MATCH($O18,'Squad Listing'!$A:$A,0)),""))</f>
        <v>Forge Christian Shooting Team</v>
      </c>
      <c r="S18" t="str">
        <f>IF(ISBLANK($O18),"",IFERROR(INDEX('Squad Listing'!$D:$D,MATCH($O18,'Squad Listing'!$A:$A,0)),""))</f>
        <v>Varsity 1</v>
      </c>
      <c r="T18" s="129">
        <f t="shared" si="1"/>
        <v>154</v>
      </c>
      <c r="U18" s="129">
        <f t="shared" si="2"/>
        <v>32</v>
      </c>
      <c r="W18" s="1" t="s">
        <v>122</v>
      </c>
      <c r="Y18">
        <f t="shared" si="3"/>
        <v>46</v>
      </c>
      <c r="Z18" s="129">
        <f t="shared" si="4"/>
        <v>32</v>
      </c>
      <c r="AB18">
        <v>5</v>
      </c>
      <c r="AC18">
        <v>9</v>
      </c>
      <c r="AD18">
        <v>10</v>
      </c>
      <c r="AE18">
        <v>8</v>
      </c>
      <c r="AK18" t="str">
        <f>IFERROR(IF(INDEX('Shooter-Squad Assignment'!$X:$X,MATCH($A18,'Shooter-Squad Assignment'!$A:$A,0))="","",INDEX('Shooter-Squad Assignment'!$X:$X,MATCH($A18,'Shooter-Squad Assignment'!$A:$A,0))),"")</f>
        <v/>
      </c>
      <c r="AL18" t="str">
        <f>IF(ISBLANK($AK18),"",IFERROR(INDEX('Squad Listing'!$C:$C,MATCH($AK18,'Squad Listing'!$A:$A,0)),""))</f>
        <v/>
      </c>
      <c r="AM18" t="str">
        <f>IF(ISBLANK($AK18),"",IFERROR(INDEX('Squad Listing'!$D:$D,MATCH($AK18,'Squad Listing'!$A:$A,0)),""))</f>
        <v/>
      </c>
      <c r="AP18" t="str">
        <f t="shared" si="5"/>
        <v/>
      </c>
      <c r="AQ18" t="str">
        <f t="shared" si="6"/>
        <v/>
      </c>
      <c r="AX18" t="str">
        <f>IFERROR(IF(INDEX('Shooter-Squad Assignment'!$AA:$AA,MATCH($A18,'Shooter-Squad Assignment'!$A:$A,0))="","",INDEX('Shooter-Squad Assignment'!$AA:$AA,MATCH($A18,'Shooter-Squad Assignment'!$A:$A,0))),"")</f>
        <v/>
      </c>
      <c r="AY18" t="str">
        <f>IF(ISBLANK($AX18),"",IFERROR(INDEX('Squad Listing'!$C:$C,MATCH($AX18,'Squad Listing'!$A:$A,0)),""))</f>
        <v/>
      </c>
      <c r="AZ18" t="str">
        <f>IF(ISBLANK($AX18),"",IFERROR(INDEX('Squad Listing'!$D:$D,MATCH($AX18,'Squad Listing'!$A:$A,0)),""))</f>
        <v/>
      </c>
      <c r="BC18" t="str">
        <f t="shared" si="7"/>
        <v/>
      </c>
      <c r="BD18" t="str">
        <f t="shared" si="8"/>
        <v/>
      </c>
    </row>
    <row r="19" spans="1:56" x14ac:dyDescent="0.3">
      <c r="A19" t="s">
        <v>43</v>
      </c>
      <c r="B19" t="s">
        <v>67</v>
      </c>
      <c r="C19" t="s">
        <v>91</v>
      </c>
      <c r="D19" t="str">
        <f t="shared" si="0"/>
        <v>Blake Last Name7</v>
      </c>
      <c r="F19" s="1" t="s">
        <v>125</v>
      </c>
      <c r="G19" s="1" t="s">
        <v>326</v>
      </c>
      <c r="H19" s="1" t="s">
        <v>326</v>
      </c>
      <c r="I19" s="1" t="s">
        <v>326</v>
      </c>
      <c r="J19" s="10">
        <f>IF(G19="Y",'Tournament Setup'!$C$2,0)+IF(H19="Y",'Tournament Setup'!$C$3,0)+IF(I19="Y",'Tournament Setup'!$C$4,0)</f>
        <v>120</v>
      </c>
      <c r="K19" s="1"/>
      <c r="L19" t="s">
        <v>307</v>
      </c>
      <c r="M19" t="s">
        <v>117</v>
      </c>
      <c r="O19" s="1">
        <f>IFERROR(IF(INDEX('Shooter-Squad Assignment'!$T:$T,MATCH($A19,'Shooter-Squad Assignment'!$A:$A,0))="","",INDEX('Shooter-Squad Assignment'!$T:$T,MATCH($A19,'Shooter-Squad Assignment'!$A:$A,0))),"")</f>
        <v>13</v>
      </c>
      <c r="P19" s="1" t="str">
        <f>IFERROR(IF(INDEX('Shooter-Squad Assignment'!$U:$U,MATCH($A19,'Shooter-Squad Assignment'!$A:$A,0))="","",INDEX('Shooter-Squad Assignment'!$U:$U,MATCH($A19,'Shooter-Squad Assignment'!$A:$A,0))),"")</f>
        <v>13-1</v>
      </c>
      <c r="Q19" s="1" t="str">
        <f>IFERROR(IF(INDEX('Shooter-Squad Assignment'!$I:$I,MATCH($A19,'Shooter-Squad Assignment'!$A:$A,0))="","",IF(INDEX('Shooter-Squad Assignment'!$I:$I,MATCH($A19,'Shooter-Squad Assignment'!$A:$A,0))=1,O19&amp;"-"&amp;1,"")),"")</f>
        <v>13-1</v>
      </c>
      <c r="R19" t="str">
        <f>IF(ISBLANK($O19),"",IFERROR(INDEX('Squad Listing'!$C:$C,MATCH($O19,'Squad Listing'!$A:$A,0)),""))</f>
        <v>High Plains Drifters</v>
      </c>
      <c r="S19" t="str">
        <f>IF(ISBLANK($O19),"",IFERROR(INDEX('Squad Listing'!$D:$D,MATCH($O19,'Squad Listing'!$A:$A,0)),""))</f>
        <v>Intermediate 1</v>
      </c>
      <c r="T19" s="129">
        <f t="shared" si="1"/>
        <v>277</v>
      </c>
      <c r="U19" s="129">
        <f t="shared" si="2"/>
        <v>97</v>
      </c>
      <c r="W19" s="1" t="s">
        <v>123</v>
      </c>
      <c r="Y19">
        <f t="shared" si="3"/>
        <v>2</v>
      </c>
      <c r="Z19" s="129">
        <f t="shared" si="4"/>
        <v>97</v>
      </c>
      <c r="AB19">
        <v>25</v>
      </c>
      <c r="AC19">
        <v>25</v>
      </c>
      <c r="AD19">
        <v>24</v>
      </c>
      <c r="AE19">
        <v>23</v>
      </c>
      <c r="AK19">
        <f>IFERROR(IF(INDEX('Shooter-Squad Assignment'!$X:$X,MATCH($A19,'Shooter-Squad Assignment'!$A:$A,0))="","",INDEX('Shooter-Squad Assignment'!$X:$X,MATCH($A19,'Shooter-Squad Assignment'!$A:$A,0))),"")</f>
        <v>40</v>
      </c>
      <c r="AL19" t="str">
        <f>IF(ISBLANK($AK19),"",IFERROR(INDEX('Squad Listing'!$C:$C,MATCH($AK19,'Squad Listing'!$A:$A,0)),""))</f>
        <v>High Plains Drifters</v>
      </c>
      <c r="AM19" t="str">
        <f>IF(ISBLANK($AK19),"",IFERROR(INDEX('Squad Listing'!$D:$D,MATCH($AK19,'Squad Listing'!$A:$A,0)),""))</f>
        <v>Open 1</v>
      </c>
      <c r="AN19" s="1" t="s">
        <v>123</v>
      </c>
      <c r="AP19" t="str">
        <f t="shared" si="5"/>
        <v/>
      </c>
      <c r="AQ19" t="str">
        <f t="shared" si="6"/>
        <v/>
      </c>
      <c r="AX19" t="str">
        <f>IFERROR(IF(INDEX('Shooter-Squad Assignment'!$AA:$AA,MATCH($A19,'Shooter-Squad Assignment'!$A:$A,0))="","",INDEX('Shooter-Squad Assignment'!$AA:$AA,MATCH($A19,'Shooter-Squad Assignment'!$A:$A,0))),"")</f>
        <v/>
      </c>
      <c r="AY19" t="str">
        <f>IF(ISBLANK($AX19),"",IFERROR(INDEX('Squad Listing'!$C:$C,MATCH($AX19,'Squad Listing'!$A:$A,0)),""))</f>
        <v/>
      </c>
      <c r="AZ19" t="str">
        <f>IF(ISBLANK($AX19),"",IFERROR(INDEX('Squad Listing'!$D:$D,MATCH($AX19,'Squad Listing'!$A:$A,0)),""))</f>
        <v/>
      </c>
      <c r="BA19" s="1" t="s">
        <v>123</v>
      </c>
      <c r="BC19" t="str">
        <f t="shared" si="7"/>
        <v/>
      </c>
      <c r="BD19" t="str">
        <f t="shared" si="8"/>
        <v/>
      </c>
    </row>
    <row r="20" spans="1:56" x14ac:dyDescent="0.3">
      <c r="A20" t="s">
        <v>187</v>
      </c>
      <c r="B20" t="s">
        <v>210</v>
      </c>
      <c r="C20" t="s">
        <v>233</v>
      </c>
      <c r="D20" t="str">
        <f t="shared" si="0"/>
        <v>Shelly Last Name31</v>
      </c>
      <c r="F20" s="1" t="s">
        <v>126</v>
      </c>
      <c r="G20" s="1" t="s">
        <v>326</v>
      </c>
      <c r="H20" s="1" t="s">
        <v>326</v>
      </c>
      <c r="I20" s="1" t="s">
        <v>326</v>
      </c>
      <c r="J20" s="10">
        <f>IF(G20="Y",'Tournament Setup'!$C$2,0)+IF(H20="Y",'Tournament Setup'!$C$3,0)+IF(I20="Y",'Tournament Setup'!$C$4,0)</f>
        <v>120</v>
      </c>
      <c r="K20" s="1"/>
      <c r="L20" t="s">
        <v>307</v>
      </c>
      <c r="M20" t="s">
        <v>117</v>
      </c>
      <c r="O20" s="1">
        <f>IFERROR(IF(INDEX('Shooter-Squad Assignment'!$T:$T,MATCH($A20,'Shooter-Squad Assignment'!$A:$A,0))="","",INDEX('Shooter-Squad Assignment'!$T:$T,MATCH($A20,'Shooter-Squad Assignment'!$A:$A,0))),"")</f>
        <v>13</v>
      </c>
      <c r="P20" s="1" t="str">
        <f>IFERROR(IF(INDEX('Shooter-Squad Assignment'!$U:$U,MATCH($A20,'Shooter-Squad Assignment'!$A:$A,0))="","",INDEX('Shooter-Squad Assignment'!$U:$U,MATCH($A20,'Shooter-Squad Assignment'!$A:$A,0))),"")</f>
        <v>13-2</v>
      </c>
      <c r="Q20" s="1" t="str">
        <f>IFERROR(IF(INDEX('Shooter-Squad Assignment'!$I:$I,MATCH($A20,'Shooter-Squad Assignment'!$A:$A,0))="","",IF(INDEX('Shooter-Squad Assignment'!$I:$I,MATCH($A20,'Shooter-Squad Assignment'!$A:$A,0))=1,O20&amp;"-"&amp;1,"")),"")</f>
        <v/>
      </c>
      <c r="R20" t="str">
        <f>IF(ISBLANK($O20),"",IFERROR(INDEX('Squad Listing'!$C:$C,MATCH($O20,'Squad Listing'!$A:$A,0)),""))</f>
        <v>High Plains Drifters</v>
      </c>
      <c r="S20" t="str">
        <f>IF(ISBLANK($O20),"",IFERROR(INDEX('Squad Listing'!$D:$D,MATCH($O20,'Squad Listing'!$A:$A,0)),""))</f>
        <v>Intermediate 1</v>
      </c>
      <c r="T20" s="129" t="str">
        <f t="shared" si="1"/>
        <v/>
      </c>
      <c r="U20" s="129">
        <f t="shared" si="2"/>
        <v>92</v>
      </c>
      <c r="W20" s="1" t="s">
        <v>122</v>
      </c>
      <c r="Y20">
        <f t="shared" si="3"/>
        <v>6</v>
      </c>
      <c r="Z20" s="129">
        <f t="shared" si="4"/>
        <v>92</v>
      </c>
      <c r="AB20">
        <v>24</v>
      </c>
      <c r="AC20">
        <v>24</v>
      </c>
      <c r="AD20">
        <v>24</v>
      </c>
      <c r="AE20">
        <v>20</v>
      </c>
      <c r="AK20">
        <f>IFERROR(IF(INDEX('Shooter-Squad Assignment'!$X:$X,MATCH($A20,'Shooter-Squad Assignment'!$A:$A,0))="","",INDEX('Shooter-Squad Assignment'!$X:$X,MATCH($A20,'Shooter-Squad Assignment'!$A:$A,0))),"")</f>
        <v>40</v>
      </c>
      <c r="AL20" t="str">
        <f>IF(ISBLANK($AK20),"",IFERROR(INDEX('Squad Listing'!$C:$C,MATCH($AK20,'Squad Listing'!$A:$A,0)),""))</f>
        <v>High Plains Drifters</v>
      </c>
      <c r="AM20" t="str">
        <f>IF(ISBLANK($AK20),"",IFERROR(INDEX('Squad Listing'!$D:$D,MATCH($AK20,'Squad Listing'!$A:$A,0)),""))</f>
        <v>Open 1</v>
      </c>
      <c r="AP20" t="str">
        <f t="shared" si="5"/>
        <v/>
      </c>
      <c r="AQ20" t="str">
        <f t="shared" si="6"/>
        <v/>
      </c>
      <c r="AX20" t="str">
        <f>IFERROR(IF(INDEX('Shooter-Squad Assignment'!$AA:$AA,MATCH($A20,'Shooter-Squad Assignment'!$A:$A,0))="","",INDEX('Shooter-Squad Assignment'!$AA:$AA,MATCH($A20,'Shooter-Squad Assignment'!$A:$A,0))),"")</f>
        <v/>
      </c>
      <c r="AY20" t="str">
        <f>IF(ISBLANK($AX20),"",IFERROR(INDEX('Squad Listing'!$C:$C,MATCH($AX20,'Squad Listing'!$A:$A,0)),""))</f>
        <v/>
      </c>
      <c r="AZ20" t="str">
        <f>IF(ISBLANK($AX20),"",IFERROR(INDEX('Squad Listing'!$D:$D,MATCH($AX20,'Squad Listing'!$A:$A,0)),""))</f>
        <v/>
      </c>
      <c r="BC20" t="str">
        <f t="shared" si="7"/>
        <v/>
      </c>
      <c r="BD20" t="str">
        <f t="shared" si="8"/>
        <v/>
      </c>
    </row>
    <row r="21" spans="1:56" x14ac:dyDescent="0.3">
      <c r="A21" t="s">
        <v>199</v>
      </c>
      <c r="B21" t="s">
        <v>222</v>
      </c>
      <c r="C21" t="s">
        <v>245</v>
      </c>
      <c r="D21" t="str">
        <f t="shared" si="0"/>
        <v>Terry Last Name43</v>
      </c>
      <c r="F21" s="1" t="s">
        <v>126</v>
      </c>
      <c r="G21" s="1" t="s">
        <v>326</v>
      </c>
      <c r="H21" s="1" t="s">
        <v>326</v>
      </c>
      <c r="I21" s="1" t="s">
        <v>326</v>
      </c>
      <c r="J21" s="10">
        <f>IF(G21="Y",'Tournament Setup'!$C$2,0)+IF(H21="Y",'Tournament Setup'!$C$3,0)+IF(I21="Y",'Tournament Setup'!$C$4,0)</f>
        <v>120</v>
      </c>
      <c r="K21" s="1"/>
      <c r="L21" t="s">
        <v>307</v>
      </c>
      <c r="M21" t="s">
        <v>117</v>
      </c>
      <c r="O21" s="1">
        <f>IFERROR(IF(INDEX('Shooter-Squad Assignment'!$T:$T,MATCH($A21,'Shooter-Squad Assignment'!$A:$A,0))="","",INDEX('Shooter-Squad Assignment'!$T:$T,MATCH($A21,'Shooter-Squad Assignment'!$A:$A,0))),"")</f>
        <v>13</v>
      </c>
      <c r="P21" s="1" t="str">
        <f>IFERROR(IF(INDEX('Shooter-Squad Assignment'!$U:$U,MATCH($A21,'Shooter-Squad Assignment'!$A:$A,0))="","",INDEX('Shooter-Squad Assignment'!$U:$U,MATCH($A21,'Shooter-Squad Assignment'!$A:$A,0))),"")</f>
        <v>13-3</v>
      </c>
      <c r="Q21" s="1" t="str">
        <f>IFERROR(IF(INDEX('Shooter-Squad Assignment'!$I:$I,MATCH($A21,'Shooter-Squad Assignment'!$A:$A,0))="","",IF(INDEX('Shooter-Squad Assignment'!$I:$I,MATCH($A21,'Shooter-Squad Assignment'!$A:$A,0))=1,O21&amp;"-"&amp;1,"")),"")</f>
        <v/>
      </c>
      <c r="R21" t="str">
        <f>IF(ISBLANK($O21),"",IFERROR(INDEX('Squad Listing'!$C:$C,MATCH($O21,'Squad Listing'!$A:$A,0)),""))</f>
        <v>High Plains Drifters</v>
      </c>
      <c r="S21" t="str">
        <f>IF(ISBLANK($O21),"",IFERROR(INDEX('Squad Listing'!$D:$D,MATCH($O21,'Squad Listing'!$A:$A,0)),""))</f>
        <v>Intermediate 1</v>
      </c>
      <c r="T21" s="129" t="str">
        <f t="shared" si="1"/>
        <v/>
      </c>
      <c r="U21" s="129">
        <f t="shared" si="2"/>
        <v>88</v>
      </c>
      <c r="W21" s="1" t="s">
        <v>123</v>
      </c>
      <c r="Y21">
        <f t="shared" si="3"/>
        <v>11</v>
      </c>
      <c r="Z21" s="129">
        <f t="shared" si="4"/>
        <v>88</v>
      </c>
      <c r="AB21">
        <v>25</v>
      </c>
      <c r="AC21">
        <v>20</v>
      </c>
      <c r="AD21">
        <v>20</v>
      </c>
      <c r="AE21">
        <v>23</v>
      </c>
      <c r="AK21" t="str">
        <f>IFERROR(IF(INDEX('Shooter-Squad Assignment'!$X:$X,MATCH($A21,'Shooter-Squad Assignment'!$A:$A,0))="","",INDEX('Shooter-Squad Assignment'!$X:$X,MATCH($A21,'Shooter-Squad Assignment'!$A:$A,0))),"")</f>
        <v/>
      </c>
      <c r="AL21" t="str">
        <f>IF(ISBLANK($AK21),"",IFERROR(INDEX('Squad Listing'!$C:$C,MATCH($AK21,'Squad Listing'!$A:$A,0)),""))</f>
        <v/>
      </c>
      <c r="AM21" t="str">
        <f>IF(ISBLANK($AK21),"",IFERROR(INDEX('Squad Listing'!$D:$D,MATCH($AK21,'Squad Listing'!$A:$A,0)),""))</f>
        <v/>
      </c>
      <c r="AP21" t="str">
        <f t="shared" si="5"/>
        <v/>
      </c>
      <c r="AQ21" t="str">
        <f t="shared" si="6"/>
        <v/>
      </c>
      <c r="AX21">
        <f>IFERROR(IF(INDEX('Shooter-Squad Assignment'!$AA:$AA,MATCH($A21,'Shooter-Squad Assignment'!$A:$A,0))="","",INDEX('Shooter-Squad Assignment'!$AA:$AA,MATCH($A21,'Shooter-Squad Assignment'!$A:$A,0))),"")</f>
        <v>58</v>
      </c>
      <c r="AY21" t="str">
        <f>IF(ISBLANK($AX21),"",IFERROR(INDEX('Squad Listing'!$C:$C,MATCH($AX21,'Squad Listing'!$A:$A,0)),""))</f>
        <v>High Plains Drifters</v>
      </c>
      <c r="AZ21" t="str">
        <f>IF(ISBLANK($AX21),"",IFERROR(INDEX('Squad Listing'!$D:$D,MATCH($AX21,'Squad Listing'!$A:$A,0)),""))</f>
        <v>Open 1</v>
      </c>
      <c r="BC21" t="str">
        <f t="shared" si="7"/>
        <v/>
      </c>
      <c r="BD21" t="str">
        <f t="shared" si="8"/>
        <v/>
      </c>
    </row>
    <row r="22" spans="1:56" x14ac:dyDescent="0.3">
      <c r="A22" t="s">
        <v>49</v>
      </c>
      <c r="B22" t="s">
        <v>73</v>
      </c>
      <c r="C22" t="s">
        <v>97</v>
      </c>
      <c r="D22" t="str">
        <f t="shared" si="0"/>
        <v>Bruce Last Name13</v>
      </c>
      <c r="F22" s="1" t="s">
        <v>125</v>
      </c>
      <c r="G22" s="1" t="s">
        <v>326</v>
      </c>
      <c r="H22" s="1" t="s">
        <v>326</v>
      </c>
      <c r="I22" s="1" t="s">
        <v>326</v>
      </c>
      <c r="J22" s="10">
        <f>IF(G22="Y",'Tournament Setup'!$C$2,0)+IF(H22="Y",'Tournament Setup'!$C$3,0)+IF(I22="Y",'Tournament Setup'!$C$4,0)</f>
        <v>120</v>
      </c>
      <c r="K22" s="1"/>
      <c r="L22" t="s">
        <v>307</v>
      </c>
      <c r="M22" t="s">
        <v>118</v>
      </c>
      <c r="O22" s="1" t="str">
        <f>IFERROR(IF(INDEX('Shooter-Squad Assignment'!$T:$T,MATCH($A22,'Shooter-Squad Assignment'!$A:$A,0))="","",INDEX('Shooter-Squad Assignment'!$T:$T,MATCH($A22,'Shooter-Squad Assignment'!$A:$A,0))),"")</f>
        <v/>
      </c>
      <c r="P22" s="1" t="str">
        <f>IFERROR(IF(INDEX('Shooter-Squad Assignment'!$U:$U,MATCH($A22,'Shooter-Squad Assignment'!$A:$A,0))="","",INDEX('Shooter-Squad Assignment'!$U:$U,MATCH($A22,'Shooter-Squad Assignment'!$A:$A,0))),"")</f>
        <v/>
      </c>
      <c r="Q22" s="1" t="str">
        <f>IFERROR(IF(INDEX('Shooter-Squad Assignment'!$I:$I,MATCH($A22,'Shooter-Squad Assignment'!$A:$A,0))="","",IF(INDEX('Shooter-Squad Assignment'!$I:$I,MATCH($A22,'Shooter-Squad Assignment'!$A:$A,0))=1,O22&amp;"-"&amp;1,"")),"")</f>
        <v/>
      </c>
      <c r="R22" t="str">
        <f>IF(ISBLANK($O22),"",IFERROR(INDEX('Squad Listing'!$C:$C,MATCH($O22,'Squad Listing'!$A:$A,0)),""))</f>
        <v/>
      </c>
      <c r="S22" t="str">
        <f>IF(ISBLANK($O22),"",IFERROR(INDEX('Squad Listing'!$D:$D,MATCH($O22,'Squad Listing'!$A:$A,0)),""))</f>
        <v/>
      </c>
      <c r="T22" s="129" t="str">
        <f t="shared" si="1"/>
        <v/>
      </c>
      <c r="U22" s="129">
        <f t="shared" si="2"/>
        <v>72</v>
      </c>
      <c r="W22" s="1" t="s">
        <v>123</v>
      </c>
      <c r="Y22">
        <f t="shared" si="3"/>
        <v>23</v>
      </c>
      <c r="Z22" s="129">
        <f t="shared" si="4"/>
        <v>72</v>
      </c>
      <c r="AB22">
        <v>18</v>
      </c>
      <c r="AC22">
        <v>18</v>
      </c>
      <c r="AD22">
        <v>18</v>
      </c>
      <c r="AE22">
        <v>18</v>
      </c>
      <c r="AK22" t="str">
        <f>IFERROR(IF(INDEX('Shooter-Squad Assignment'!$X:$X,MATCH($A22,'Shooter-Squad Assignment'!$A:$A,0))="","",INDEX('Shooter-Squad Assignment'!$X:$X,MATCH($A22,'Shooter-Squad Assignment'!$A:$A,0))),"")</f>
        <v/>
      </c>
      <c r="AL22" t="str">
        <f>IF(ISBLANK($AK22),"",IFERROR(INDEX('Squad Listing'!$C:$C,MATCH($AK22,'Squad Listing'!$A:$A,0)),""))</f>
        <v/>
      </c>
      <c r="AM22" t="str">
        <f>IF(ISBLANK($AK22),"",IFERROR(INDEX('Squad Listing'!$D:$D,MATCH($AK22,'Squad Listing'!$A:$A,0)),""))</f>
        <v/>
      </c>
      <c r="AN22" s="1" t="s">
        <v>123</v>
      </c>
      <c r="AP22" t="str">
        <f t="shared" si="5"/>
        <v/>
      </c>
      <c r="AQ22" t="str">
        <f t="shared" si="6"/>
        <v/>
      </c>
      <c r="AX22">
        <f>IFERROR(IF(INDEX('Shooter-Squad Assignment'!$AA:$AA,MATCH($A22,'Shooter-Squad Assignment'!$A:$A,0))="","",INDEX('Shooter-Squad Assignment'!$AA:$AA,MATCH($A22,'Shooter-Squad Assignment'!$A:$A,0))),"")</f>
        <v>58</v>
      </c>
      <c r="AY22" t="str">
        <f>IF(ISBLANK($AX22),"",IFERROR(INDEX('Squad Listing'!$C:$C,MATCH($AX22,'Squad Listing'!$A:$A,0)),""))</f>
        <v>High Plains Drifters</v>
      </c>
      <c r="AZ22" t="str">
        <f>IF(ISBLANK($AX22),"",IFERROR(INDEX('Squad Listing'!$D:$D,MATCH($AX22,'Squad Listing'!$A:$A,0)),""))</f>
        <v>Open 1</v>
      </c>
      <c r="BA22" s="1" t="s">
        <v>123</v>
      </c>
      <c r="BC22" t="str">
        <f t="shared" si="7"/>
        <v/>
      </c>
      <c r="BD22" t="str">
        <f t="shared" si="8"/>
        <v/>
      </c>
    </row>
    <row r="23" spans="1:56" x14ac:dyDescent="0.3">
      <c r="A23" t="s">
        <v>37</v>
      </c>
      <c r="B23" t="s">
        <v>61</v>
      </c>
      <c r="C23" t="s">
        <v>85</v>
      </c>
      <c r="D23" t="str">
        <f t="shared" si="0"/>
        <v>Jason Last Name1</v>
      </c>
      <c r="F23" s="1" t="s">
        <v>125</v>
      </c>
      <c r="G23" s="1" t="s">
        <v>326</v>
      </c>
      <c r="H23" s="1" t="s">
        <v>326</v>
      </c>
      <c r="I23" s="1" t="s">
        <v>326</v>
      </c>
      <c r="J23" s="10">
        <f>IF(G23="Y",'Tournament Setup'!$C$2,0)+IF(H23="Y",'Tournament Setup'!$C$3,0)+IF(I23="Y",'Tournament Setup'!$C$4,0)</f>
        <v>120</v>
      </c>
      <c r="K23" s="1"/>
      <c r="L23" t="s">
        <v>307</v>
      </c>
      <c r="M23" t="s">
        <v>116</v>
      </c>
      <c r="O23" s="1" t="str">
        <f>IFERROR(IF(INDEX('Shooter-Squad Assignment'!$T:$T,MATCH($A23,'Shooter-Squad Assignment'!$A:$A,0))="","",INDEX('Shooter-Squad Assignment'!$T:$T,MATCH($A23,'Shooter-Squad Assignment'!$A:$A,0))),"")</f>
        <v/>
      </c>
      <c r="P23" s="1" t="str">
        <f>IFERROR(IF(INDEX('Shooter-Squad Assignment'!$U:$U,MATCH($A23,'Shooter-Squad Assignment'!$A:$A,0))="","",INDEX('Shooter-Squad Assignment'!$U:$U,MATCH($A23,'Shooter-Squad Assignment'!$A:$A,0))),"")</f>
        <v/>
      </c>
      <c r="Q23" s="1" t="str">
        <f>IFERROR(IF(INDEX('Shooter-Squad Assignment'!$I:$I,MATCH($A23,'Shooter-Squad Assignment'!$A:$A,0))="","",IF(INDEX('Shooter-Squad Assignment'!$I:$I,MATCH($A23,'Shooter-Squad Assignment'!$A:$A,0))=1,O23&amp;"-"&amp;1,"")),"")</f>
        <v/>
      </c>
      <c r="R23" t="str">
        <f>IF(ISBLANK($O23),"",IFERROR(INDEX('Squad Listing'!$C:$C,MATCH($O23,'Squad Listing'!$A:$A,0)),""))</f>
        <v/>
      </c>
      <c r="S23" t="str">
        <f>IF(ISBLANK($O23),"",IFERROR(INDEX('Squad Listing'!$D:$D,MATCH($O23,'Squad Listing'!$A:$A,0)),""))</f>
        <v/>
      </c>
      <c r="T23" s="129" t="str">
        <f t="shared" si="1"/>
        <v/>
      </c>
      <c r="U23" s="129">
        <f t="shared" si="2"/>
        <v>85</v>
      </c>
      <c r="W23" s="1" t="s">
        <v>124</v>
      </c>
      <c r="Y23">
        <f t="shared" si="3"/>
        <v>13</v>
      </c>
      <c r="Z23" s="129">
        <f t="shared" si="4"/>
        <v>85</v>
      </c>
      <c r="AB23">
        <v>21</v>
      </c>
      <c r="AC23">
        <v>20</v>
      </c>
      <c r="AD23">
        <v>19</v>
      </c>
      <c r="AE23">
        <v>25</v>
      </c>
      <c r="AK23" t="str">
        <f>IFERROR(IF(INDEX('Shooter-Squad Assignment'!$X:$X,MATCH($A23,'Shooter-Squad Assignment'!$A:$A,0))="","",INDEX('Shooter-Squad Assignment'!$X:$X,MATCH($A23,'Shooter-Squad Assignment'!$A:$A,0))),"")</f>
        <v/>
      </c>
      <c r="AL23" t="str">
        <f>IF(ISBLANK($AK23),"",IFERROR(INDEX('Squad Listing'!$C:$C,MATCH($AK23,'Squad Listing'!$A:$A,0)),""))</f>
        <v/>
      </c>
      <c r="AM23" t="str">
        <f>IF(ISBLANK($AK23),"",IFERROR(INDEX('Squad Listing'!$D:$D,MATCH($AK23,'Squad Listing'!$A:$A,0)),""))</f>
        <v/>
      </c>
      <c r="AN23" s="1" t="s">
        <v>124</v>
      </c>
      <c r="AP23" t="str">
        <f t="shared" si="5"/>
        <v/>
      </c>
      <c r="AQ23" t="str">
        <f t="shared" si="6"/>
        <v/>
      </c>
      <c r="AX23">
        <f>IFERROR(IF(INDEX('Shooter-Squad Assignment'!$AA:$AA,MATCH($A23,'Shooter-Squad Assignment'!$A:$A,0))="","",INDEX('Shooter-Squad Assignment'!$AA:$AA,MATCH($A23,'Shooter-Squad Assignment'!$A:$A,0))),"")</f>
        <v>58</v>
      </c>
      <c r="AY23" t="str">
        <f>IF(ISBLANK($AX23),"",IFERROR(INDEX('Squad Listing'!$C:$C,MATCH($AX23,'Squad Listing'!$A:$A,0)),""))</f>
        <v>High Plains Drifters</v>
      </c>
      <c r="AZ23" t="str">
        <f>IF(ISBLANK($AX23),"",IFERROR(INDEX('Squad Listing'!$D:$D,MATCH($AX23,'Squad Listing'!$A:$A,0)),""))</f>
        <v>Open 1</v>
      </c>
      <c r="BA23" s="1" t="s">
        <v>124</v>
      </c>
      <c r="BC23" t="str">
        <f t="shared" si="7"/>
        <v/>
      </c>
      <c r="BD23" t="str">
        <f t="shared" si="8"/>
        <v/>
      </c>
    </row>
    <row r="24" spans="1:56" x14ac:dyDescent="0.3">
      <c r="A24" t="s">
        <v>55</v>
      </c>
      <c r="B24" t="s">
        <v>79</v>
      </c>
      <c r="C24" t="s">
        <v>103</v>
      </c>
      <c r="D24" t="str">
        <f t="shared" si="0"/>
        <v>Jack Last Name19</v>
      </c>
      <c r="F24" s="1" t="s">
        <v>125</v>
      </c>
      <c r="G24" s="1" t="s">
        <v>326</v>
      </c>
      <c r="H24" s="1" t="s">
        <v>326</v>
      </c>
      <c r="I24" s="1" t="s">
        <v>326</v>
      </c>
      <c r="J24" s="10">
        <f>IF(G24="Y",'Tournament Setup'!$C$2,0)+IF(H24="Y",'Tournament Setup'!$C$3,0)+IF(I24="Y",'Tournament Setup'!$C$4,0)</f>
        <v>120</v>
      </c>
      <c r="K24" s="1"/>
      <c r="L24" t="s">
        <v>307</v>
      </c>
      <c r="M24" t="s">
        <v>119</v>
      </c>
      <c r="O24" s="1">
        <f>IFERROR(IF(INDEX('Shooter-Squad Assignment'!$T:$T,MATCH($A24,'Shooter-Squad Assignment'!$A:$A,0))="","",INDEX('Shooter-Squad Assignment'!$T:$T,MATCH($A24,'Shooter-Squad Assignment'!$A:$A,0))),"")</f>
        <v>25</v>
      </c>
      <c r="P24" s="1" t="str">
        <f>IFERROR(IF(INDEX('Shooter-Squad Assignment'!$U:$U,MATCH($A24,'Shooter-Squad Assignment'!$A:$A,0))="","",INDEX('Shooter-Squad Assignment'!$U:$U,MATCH($A24,'Shooter-Squad Assignment'!$A:$A,0))),"")</f>
        <v>25-1</v>
      </c>
      <c r="Q24" s="1" t="str">
        <f>IFERROR(IF(INDEX('Shooter-Squad Assignment'!$I:$I,MATCH($A24,'Shooter-Squad Assignment'!$A:$A,0))="","",IF(INDEX('Shooter-Squad Assignment'!$I:$I,MATCH($A24,'Shooter-Squad Assignment'!$A:$A,0))=1,O24&amp;"-"&amp;1,"")),"")</f>
        <v>25-1</v>
      </c>
      <c r="R24" t="str">
        <f>IF(ISBLANK($O24),"",IFERROR(INDEX('Squad Listing'!$C:$C,MATCH($O24,'Squad Listing'!$A:$A,0)),""))</f>
        <v>High Plains Drifters</v>
      </c>
      <c r="S24" t="str">
        <f>IF(ISBLANK($O24),"",IFERROR(INDEX('Squad Listing'!$D:$D,MATCH($O24,'Squad Listing'!$A:$A,0)),""))</f>
        <v>Varsity 1</v>
      </c>
      <c r="T24" s="129">
        <f t="shared" si="1"/>
        <v>239</v>
      </c>
      <c r="U24" s="129">
        <f t="shared" si="2"/>
        <v>82</v>
      </c>
      <c r="W24" s="1" t="s">
        <v>122</v>
      </c>
      <c r="Y24">
        <f t="shared" si="3"/>
        <v>16</v>
      </c>
      <c r="Z24" s="129">
        <f t="shared" si="4"/>
        <v>82</v>
      </c>
      <c r="AB24">
        <v>20</v>
      </c>
      <c r="AC24">
        <v>21</v>
      </c>
      <c r="AD24">
        <v>21</v>
      </c>
      <c r="AE24">
        <v>20</v>
      </c>
      <c r="AK24">
        <f>IFERROR(IF(INDEX('Shooter-Squad Assignment'!$X:$X,MATCH($A24,'Shooter-Squad Assignment'!$A:$A,0))="","",INDEX('Shooter-Squad Assignment'!$X:$X,MATCH($A24,'Shooter-Squad Assignment'!$A:$A,0))),"")</f>
        <v>40</v>
      </c>
      <c r="AL24" t="str">
        <f>IF(ISBLANK($AK24),"",IFERROR(INDEX('Squad Listing'!$C:$C,MATCH($AK24,'Squad Listing'!$A:$A,0)),""))</f>
        <v>High Plains Drifters</v>
      </c>
      <c r="AM24" t="str">
        <f>IF(ISBLANK($AK24),"",IFERROR(INDEX('Squad Listing'!$D:$D,MATCH($AK24,'Squad Listing'!$A:$A,0)),""))</f>
        <v>Open 1</v>
      </c>
      <c r="AN24" s="1" t="s">
        <v>122</v>
      </c>
      <c r="AP24" t="str">
        <f t="shared" si="5"/>
        <v/>
      </c>
      <c r="AQ24" t="str">
        <f t="shared" si="6"/>
        <v/>
      </c>
      <c r="AX24">
        <f>IFERROR(IF(INDEX('Shooter-Squad Assignment'!$AA:$AA,MATCH($A24,'Shooter-Squad Assignment'!$A:$A,0))="","",INDEX('Shooter-Squad Assignment'!$AA:$AA,MATCH($A24,'Shooter-Squad Assignment'!$A:$A,0))),"")</f>
        <v>61</v>
      </c>
      <c r="AY24" t="str">
        <f>IF(ISBLANK($AX24),"",IFERROR(INDEX('Squad Listing'!$C:$C,MATCH($AX24,'Squad Listing'!$A:$A,0)),""))</f>
        <v>High Plains Drifters</v>
      </c>
      <c r="AZ24" t="str">
        <f>IF(ISBLANK($AX24),"",IFERROR(INDEX('Squad Listing'!$D:$D,MATCH($AX24,'Squad Listing'!$A:$A,0)),""))</f>
        <v>Varsity 1</v>
      </c>
      <c r="BA24" s="1" t="s">
        <v>122</v>
      </c>
      <c r="BC24" t="str">
        <f t="shared" si="7"/>
        <v/>
      </c>
      <c r="BD24" t="str">
        <f t="shared" si="8"/>
        <v/>
      </c>
    </row>
    <row r="25" spans="1:56" x14ac:dyDescent="0.3">
      <c r="A25" t="s">
        <v>181</v>
      </c>
      <c r="B25" t="s">
        <v>204</v>
      </c>
      <c r="C25" t="s">
        <v>227</v>
      </c>
      <c r="D25" t="str">
        <f t="shared" si="0"/>
        <v>Harry Last Name25</v>
      </c>
      <c r="F25" s="1" t="s">
        <v>125</v>
      </c>
      <c r="G25" s="1" t="s">
        <v>326</v>
      </c>
      <c r="H25" s="1" t="s">
        <v>326</v>
      </c>
      <c r="I25" s="1" t="s">
        <v>326</v>
      </c>
      <c r="J25" s="10">
        <f>IF(G25="Y",'Tournament Setup'!$C$2,0)+IF(H25="Y",'Tournament Setup'!$C$3,0)+IF(I25="Y",'Tournament Setup'!$C$4,0)</f>
        <v>120</v>
      </c>
      <c r="K25" s="1"/>
      <c r="L25" t="s">
        <v>307</v>
      </c>
      <c r="M25" t="s">
        <v>119</v>
      </c>
      <c r="O25" s="1">
        <f>IFERROR(IF(INDEX('Shooter-Squad Assignment'!$T:$T,MATCH($A25,'Shooter-Squad Assignment'!$A:$A,0))="","",INDEX('Shooter-Squad Assignment'!$T:$T,MATCH($A25,'Shooter-Squad Assignment'!$A:$A,0))),"")</f>
        <v>25</v>
      </c>
      <c r="P25" s="1" t="str">
        <f>IFERROR(IF(INDEX('Shooter-Squad Assignment'!$U:$U,MATCH($A25,'Shooter-Squad Assignment'!$A:$A,0))="","",INDEX('Shooter-Squad Assignment'!$U:$U,MATCH($A25,'Shooter-Squad Assignment'!$A:$A,0))),"")</f>
        <v>25-2</v>
      </c>
      <c r="Q25" s="1" t="str">
        <f>IFERROR(IF(INDEX('Shooter-Squad Assignment'!$I:$I,MATCH($A25,'Shooter-Squad Assignment'!$A:$A,0))="","",IF(INDEX('Shooter-Squad Assignment'!$I:$I,MATCH($A25,'Shooter-Squad Assignment'!$A:$A,0))=1,O25&amp;"-"&amp;1,"")),"")</f>
        <v/>
      </c>
      <c r="R25" t="str">
        <f>IF(ISBLANK($O25),"",IFERROR(INDEX('Squad Listing'!$C:$C,MATCH($O25,'Squad Listing'!$A:$A,0)),""))</f>
        <v>High Plains Drifters</v>
      </c>
      <c r="S25" t="str">
        <f>IF(ISBLANK($O25),"",IFERROR(INDEX('Squad Listing'!$D:$D,MATCH($O25,'Squad Listing'!$A:$A,0)),""))</f>
        <v>Varsity 1</v>
      </c>
      <c r="T25" s="129" t="str">
        <f t="shared" si="1"/>
        <v/>
      </c>
      <c r="U25" s="129">
        <f t="shared" si="2"/>
        <v>72</v>
      </c>
      <c r="W25" s="1" t="s">
        <v>122</v>
      </c>
      <c r="Y25">
        <f t="shared" si="3"/>
        <v>23</v>
      </c>
      <c r="Z25" s="129">
        <f t="shared" si="4"/>
        <v>72</v>
      </c>
      <c r="AB25">
        <v>20</v>
      </c>
      <c r="AC25">
        <v>17</v>
      </c>
      <c r="AD25">
        <v>19</v>
      </c>
      <c r="AE25">
        <v>16</v>
      </c>
      <c r="AK25">
        <f>IFERROR(IF(INDEX('Shooter-Squad Assignment'!$X:$X,MATCH($A25,'Shooter-Squad Assignment'!$A:$A,0))="","",INDEX('Shooter-Squad Assignment'!$X:$X,MATCH($A25,'Shooter-Squad Assignment'!$A:$A,0))),"")</f>
        <v>40</v>
      </c>
      <c r="AL25" t="str">
        <f>IF(ISBLANK($AK25),"",IFERROR(INDEX('Squad Listing'!$C:$C,MATCH($AK25,'Squad Listing'!$A:$A,0)),""))</f>
        <v>High Plains Drifters</v>
      </c>
      <c r="AM25" t="str">
        <f>IF(ISBLANK($AK25),"",IFERROR(INDEX('Squad Listing'!$D:$D,MATCH($AK25,'Squad Listing'!$A:$A,0)),""))</f>
        <v>Open 1</v>
      </c>
      <c r="AP25" t="str">
        <f t="shared" si="5"/>
        <v/>
      </c>
      <c r="AQ25" t="str">
        <f t="shared" si="6"/>
        <v/>
      </c>
      <c r="AX25">
        <f>IFERROR(IF(INDEX('Shooter-Squad Assignment'!$AA:$AA,MATCH($A25,'Shooter-Squad Assignment'!$A:$A,0))="","",INDEX('Shooter-Squad Assignment'!$AA:$AA,MATCH($A25,'Shooter-Squad Assignment'!$A:$A,0))),"")</f>
        <v>61</v>
      </c>
      <c r="AY25" t="str">
        <f>IF(ISBLANK($AX25),"",IFERROR(INDEX('Squad Listing'!$C:$C,MATCH($AX25,'Squad Listing'!$A:$A,0)),""))</f>
        <v>High Plains Drifters</v>
      </c>
      <c r="AZ25" t="str">
        <f>IF(ISBLANK($AX25),"",IFERROR(INDEX('Squad Listing'!$D:$D,MATCH($AX25,'Squad Listing'!$A:$A,0)),""))</f>
        <v>Varsity 1</v>
      </c>
      <c r="BC25" t="str">
        <f t="shared" si="7"/>
        <v/>
      </c>
      <c r="BD25" t="str">
        <f t="shared" si="8"/>
        <v/>
      </c>
    </row>
    <row r="26" spans="1:56" x14ac:dyDescent="0.3">
      <c r="A26" t="s">
        <v>193</v>
      </c>
      <c r="B26" t="s">
        <v>216</v>
      </c>
      <c r="C26" t="s">
        <v>239</v>
      </c>
      <c r="D26" t="str">
        <f t="shared" si="0"/>
        <v>Will Last Name37</v>
      </c>
      <c r="F26" s="1" t="s">
        <v>125</v>
      </c>
      <c r="G26" s="1" t="s">
        <v>326</v>
      </c>
      <c r="H26" s="1" t="s">
        <v>326</v>
      </c>
      <c r="I26" s="1" t="s">
        <v>326</v>
      </c>
      <c r="J26" s="10">
        <f>IF(G26="Y",'Tournament Setup'!$C$2,0)+IF(H26="Y",'Tournament Setup'!$C$3,0)+IF(I26="Y",'Tournament Setup'!$C$4,0)</f>
        <v>120</v>
      </c>
      <c r="K26" s="1"/>
      <c r="L26" t="s">
        <v>307</v>
      </c>
      <c r="M26" t="s">
        <v>119</v>
      </c>
      <c r="O26" s="1">
        <f>IFERROR(IF(INDEX('Shooter-Squad Assignment'!$T:$T,MATCH($A26,'Shooter-Squad Assignment'!$A:$A,0))="","",INDEX('Shooter-Squad Assignment'!$T:$T,MATCH($A26,'Shooter-Squad Assignment'!$A:$A,0))),"")</f>
        <v>25</v>
      </c>
      <c r="P26" s="1" t="str">
        <f>IFERROR(IF(INDEX('Shooter-Squad Assignment'!$U:$U,MATCH($A26,'Shooter-Squad Assignment'!$A:$A,0))="","",INDEX('Shooter-Squad Assignment'!$U:$U,MATCH($A26,'Shooter-Squad Assignment'!$A:$A,0))),"")</f>
        <v>25-3</v>
      </c>
      <c r="Q26" s="1" t="str">
        <f>IFERROR(IF(INDEX('Shooter-Squad Assignment'!$I:$I,MATCH($A26,'Shooter-Squad Assignment'!$A:$A,0))="","",IF(INDEX('Shooter-Squad Assignment'!$I:$I,MATCH($A26,'Shooter-Squad Assignment'!$A:$A,0))=1,O26&amp;"-"&amp;1,"")),"")</f>
        <v/>
      </c>
      <c r="R26" t="str">
        <f>IF(ISBLANK($O26),"",IFERROR(INDEX('Squad Listing'!$C:$C,MATCH($O26,'Squad Listing'!$A:$A,0)),""))</f>
        <v>High Plains Drifters</v>
      </c>
      <c r="S26" t="str">
        <f>IF(ISBLANK($O26),"",IFERROR(INDEX('Squad Listing'!$D:$D,MATCH($O26,'Squad Listing'!$A:$A,0)),""))</f>
        <v>Varsity 1</v>
      </c>
      <c r="T26" s="129" t="str">
        <f t="shared" si="1"/>
        <v/>
      </c>
      <c r="U26" s="129">
        <f t="shared" si="2"/>
        <v>85</v>
      </c>
      <c r="W26" s="1" t="s">
        <v>122</v>
      </c>
      <c r="Y26">
        <f t="shared" si="3"/>
        <v>13</v>
      </c>
      <c r="Z26" s="129">
        <f t="shared" si="4"/>
        <v>85</v>
      </c>
      <c r="AB26">
        <v>20</v>
      </c>
      <c r="AC26">
        <v>21</v>
      </c>
      <c r="AD26">
        <v>22</v>
      </c>
      <c r="AE26">
        <v>22</v>
      </c>
      <c r="AK26">
        <f>IFERROR(IF(INDEX('Shooter-Squad Assignment'!$X:$X,MATCH($A26,'Shooter-Squad Assignment'!$A:$A,0))="","",INDEX('Shooter-Squad Assignment'!$X:$X,MATCH($A26,'Shooter-Squad Assignment'!$A:$A,0))),"")</f>
        <v>40</v>
      </c>
      <c r="AL26" t="str">
        <f>IF(ISBLANK($AK26),"",IFERROR(INDEX('Squad Listing'!$C:$C,MATCH($AK26,'Squad Listing'!$A:$A,0)),""))</f>
        <v>High Plains Drifters</v>
      </c>
      <c r="AM26" t="str">
        <f>IF(ISBLANK($AK26),"",IFERROR(INDEX('Squad Listing'!$D:$D,MATCH($AK26,'Squad Listing'!$A:$A,0)),""))</f>
        <v>Open 1</v>
      </c>
      <c r="AP26" t="str">
        <f t="shared" si="5"/>
        <v/>
      </c>
      <c r="AQ26" t="str">
        <f t="shared" si="6"/>
        <v/>
      </c>
      <c r="AX26">
        <f>IFERROR(IF(INDEX('Shooter-Squad Assignment'!$AA:$AA,MATCH($A26,'Shooter-Squad Assignment'!$A:$A,0))="","",INDEX('Shooter-Squad Assignment'!$AA:$AA,MATCH($A26,'Shooter-Squad Assignment'!$A:$A,0))),"")</f>
        <v>61</v>
      </c>
      <c r="AY26" t="str">
        <f>IF(ISBLANK($AX26),"",IFERROR(INDEX('Squad Listing'!$C:$C,MATCH($AX26,'Squad Listing'!$A:$A,0)),""))</f>
        <v>High Plains Drifters</v>
      </c>
      <c r="AZ26" t="str">
        <f>IF(ISBLANK($AX26),"",IFERROR(INDEX('Squad Listing'!$D:$D,MATCH($AX26,'Squad Listing'!$A:$A,0)),""))</f>
        <v>Varsity 1</v>
      </c>
      <c r="BC26" t="str">
        <f t="shared" si="7"/>
        <v/>
      </c>
      <c r="BD26" t="str">
        <f t="shared" si="8"/>
        <v/>
      </c>
    </row>
    <row r="27" spans="1:56" x14ac:dyDescent="0.3">
      <c r="A27" t="s">
        <v>48</v>
      </c>
      <c r="B27" t="s">
        <v>72</v>
      </c>
      <c r="C27" t="s">
        <v>96</v>
      </c>
      <c r="D27" t="str">
        <f t="shared" si="0"/>
        <v>Bob Last Name12</v>
      </c>
      <c r="F27" s="1" t="s">
        <v>125</v>
      </c>
      <c r="G27" s="1" t="s">
        <v>326</v>
      </c>
      <c r="H27" s="1" t="s">
        <v>326</v>
      </c>
      <c r="I27" s="1" t="s">
        <v>326</v>
      </c>
      <c r="J27" s="10">
        <f>IF(G27="Y",'Tournament Setup'!$C$2,0)+IF(H27="Y",'Tournament Setup'!$C$3,0)+IF(I27="Y",'Tournament Setup'!$C$4,0)</f>
        <v>120</v>
      </c>
      <c r="K27" s="1"/>
      <c r="L27" t="s">
        <v>324</v>
      </c>
      <c r="M27" t="s">
        <v>120</v>
      </c>
      <c r="O27" s="1">
        <f>IFERROR(IF(INDEX('Shooter-Squad Assignment'!$T:$T,MATCH($A27,'Shooter-Squad Assignment'!$A:$A,0))="","",INDEX('Shooter-Squad Assignment'!$T:$T,MATCH($A27,'Shooter-Squad Assignment'!$A:$A,0))),"")</f>
        <v>280</v>
      </c>
      <c r="P27" s="1" t="str">
        <f>IFERROR(IF(INDEX('Shooter-Squad Assignment'!$U:$U,MATCH($A27,'Shooter-Squad Assignment'!$A:$A,0))="","",INDEX('Shooter-Squad Assignment'!$U:$U,MATCH($A27,'Shooter-Squad Assignment'!$A:$A,0))),"")</f>
        <v>280-1</v>
      </c>
      <c r="Q27" s="1" t="str">
        <f>IFERROR(IF(INDEX('Shooter-Squad Assignment'!$I:$I,MATCH($A27,'Shooter-Squad Assignment'!$A:$A,0))="","",IF(INDEX('Shooter-Squad Assignment'!$I:$I,MATCH($A27,'Shooter-Squad Assignment'!$A:$A,0))=1,O27&amp;"-"&amp;1,"")),"")</f>
        <v>280-1</v>
      </c>
      <c r="R27" t="str">
        <f>IF(ISBLANK($O27),"",IFERROR(INDEX('Squad Listing'!$C:$C,MATCH($O27,'Squad Listing'!$A:$A,0)),""))</f>
        <v>Littleton Target Masters</v>
      </c>
      <c r="S27" t="str">
        <f>IF(ISBLANK($O27),"",IFERROR(INDEX('Squad Listing'!$D:$D,MATCH($O27,'Squad Listing'!$A:$A,0)),""))</f>
        <v>Collegiate 1</v>
      </c>
      <c r="T27" s="129">
        <f t="shared" si="1"/>
        <v>189</v>
      </c>
      <c r="U27" s="129">
        <f t="shared" si="2"/>
        <v>48</v>
      </c>
      <c r="W27" s="1" t="s">
        <v>123</v>
      </c>
      <c r="Y27">
        <f t="shared" si="3"/>
        <v>42</v>
      </c>
      <c r="Z27" s="129">
        <f t="shared" si="4"/>
        <v>48</v>
      </c>
      <c r="AB27">
        <v>12</v>
      </c>
      <c r="AC27">
        <v>11</v>
      </c>
      <c r="AD27">
        <v>14</v>
      </c>
      <c r="AE27">
        <v>11</v>
      </c>
      <c r="AK27" t="str">
        <f>IFERROR(IF(INDEX('Shooter-Squad Assignment'!$X:$X,MATCH($A27,'Shooter-Squad Assignment'!$A:$A,0))="","",INDEX('Shooter-Squad Assignment'!$X:$X,MATCH($A27,'Shooter-Squad Assignment'!$A:$A,0))),"")</f>
        <v/>
      </c>
      <c r="AL27" t="str">
        <f>IF(ISBLANK($AK27),"",IFERROR(INDEX('Squad Listing'!$C:$C,MATCH($AK27,'Squad Listing'!$A:$A,0)),""))</f>
        <v/>
      </c>
      <c r="AM27" t="str">
        <f>IF(ISBLANK($AK27),"",IFERROR(INDEX('Squad Listing'!$D:$D,MATCH($AK27,'Squad Listing'!$A:$A,0)),""))</f>
        <v/>
      </c>
      <c r="AN27" s="1" t="s">
        <v>123</v>
      </c>
      <c r="AP27" t="str">
        <f t="shared" si="5"/>
        <v/>
      </c>
      <c r="AQ27" t="str">
        <f t="shared" si="6"/>
        <v/>
      </c>
      <c r="AX27" t="str">
        <f>IFERROR(IF(INDEX('Shooter-Squad Assignment'!$AA:$AA,MATCH($A27,'Shooter-Squad Assignment'!$A:$A,0))="","",INDEX('Shooter-Squad Assignment'!$AA:$AA,MATCH($A27,'Shooter-Squad Assignment'!$A:$A,0))),"")</f>
        <v/>
      </c>
      <c r="AY27" t="str">
        <f>IF(ISBLANK($AX27),"",IFERROR(INDEX('Squad Listing'!$C:$C,MATCH($AX27,'Squad Listing'!$A:$A,0)),""))</f>
        <v/>
      </c>
      <c r="AZ27" t="str">
        <f>IF(ISBLANK($AX27),"",IFERROR(INDEX('Squad Listing'!$D:$D,MATCH($AX27,'Squad Listing'!$A:$A,0)),""))</f>
        <v/>
      </c>
      <c r="BA27" s="1" t="s">
        <v>123</v>
      </c>
      <c r="BC27" t="str">
        <f t="shared" si="7"/>
        <v/>
      </c>
      <c r="BD27" t="str">
        <f t="shared" si="8"/>
        <v/>
      </c>
    </row>
    <row r="28" spans="1:56" x14ac:dyDescent="0.3">
      <c r="A28" t="s">
        <v>54</v>
      </c>
      <c r="B28" t="s">
        <v>78</v>
      </c>
      <c r="C28" t="s">
        <v>102</v>
      </c>
      <c r="D28" t="str">
        <f t="shared" si="0"/>
        <v>Jill Last Name18</v>
      </c>
      <c r="F28" s="1" t="s">
        <v>126</v>
      </c>
      <c r="G28" s="1" t="s">
        <v>326</v>
      </c>
      <c r="H28" s="1" t="s">
        <v>326</v>
      </c>
      <c r="I28" s="1" t="s">
        <v>326</v>
      </c>
      <c r="J28" s="10">
        <f>IF(G28="Y",'Tournament Setup'!$C$2,0)+IF(H28="Y",'Tournament Setup'!$C$3,0)+IF(I28="Y",'Tournament Setup'!$C$4,0)</f>
        <v>120</v>
      </c>
      <c r="K28" s="1"/>
      <c r="L28" t="s">
        <v>324</v>
      </c>
      <c r="M28" t="s">
        <v>120</v>
      </c>
      <c r="O28" s="1">
        <f>IFERROR(IF(INDEX('Shooter-Squad Assignment'!$T:$T,MATCH($A28,'Shooter-Squad Assignment'!$A:$A,0))="","",INDEX('Shooter-Squad Assignment'!$T:$T,MATCH($A28,'Shooter-Squad Assignment'!$A:$A,0))),"")</f>
        <v>280</v>
      </c>
      <c r="P28" s="1" t="str">
        <f>IFERROR(IF(INDEX('Shooter-Squad Assignment'!$U:$U,MATCH($A28,'Shooter-Squad Assignment'!$A:$A,0))="","",INDEX('Shooter-Squad Assignment'!$U:$U,MATCH($A28,'Shooter-Squad Assignment'!$A:$A,0))),"")</f>
        <v>280-2</v>
      </c>
      <c r="Q28" s="1" t="str">
        <f>IFERROR(IF(INDEX('Shooter-Squad Assignment'!$I:$I,MATCH($A28,'Shooter-Squad Assignment'!$A:$A,0))="","",IF(INDEX('Shooter-Squad Assignment'!$I:$I,MATCH($A28,'Shooter-Squad Assignment'!$A:$A,0))=1,O28&amp;"-"&amp;1,"")),"")</f>
        <v/>
      </c>
      <c r="R28" t="str">
        <f>IF(ISBLANK($O28),"",IFERROR(INDEX('Squad Listing'!$C:$C,MATCH($O28,'Squad Listing'!$A:$A,0)),""))</f>
        <v>Littleton Target Masters</v>
      </c>
      <c r="S28" t="str">
        <f>IF(ISBLANK($O28),"",IFERROR(INDEX('Squad Listing'!$D:$D,MATCH($O28,'Squad Listing'!$A:$A,0)),""))</f>
        <v>Collegiate 1</v>
      </c>
      <c r="T28" s="129" t="str">
        <f t="shared" si="1"/>
        <v/>
      </c>
      <c r="U28" s="129">
        <f t="shared" si="2"/>
        <v>90</v>
      </c>
      <c r="W28" s="1" t="s">
        <v>123</v>
      </c>
      <c r="Y28">
        <f t="shared" si="3"/>
        <v>7</v>
      </c>
      <c r="Z28" s="129">
        <f t="shared" si="4"/>
        <v>90</v>
      </c>
      <c r="AB28">
        <v>23</v>
      </c>
      <c r="AC28">
        <v>24</v>
      </c>
      <c r="AD28">
        <v>22</v>
      </c>
      <c r="AE28">
        <v>21</v>
      </c>
      <c r="AK28" t="str">
        <f>IFERROR(IF(INDEX('Shooter-Squad Assignment'!$X:$X,MATCH($A28,'Shooter-Squad Assignment'!$A:$A,0))="","",INDEX('Shooter-Squad Assignment'!$X:$X,MATCH($A28,'Shooter-Squad Assignment'!$A:$A,0))),"")</f>
        <v/>
      </c>
      <c r="AL28" t="str">
        <f>IF(ISBLANK($AK28),"",IFERROR(INDEX('Squad Listing'!$C:$C,MATCH($AK28,'Squad Listing'!$A:$A,0)),""))</f>
        <v/>
      </c>
      <c r="AM28" t="str">
        <f>IF(ISBLANK($AK28),"",IFERROR(INDEX('Squad Listing'!$D:$D,MATCH($AK28,'Squad Listing'!$A:$A,0)),""))</f>
        <v/>
      </c>
      <c r="AN28" s="1" t="s">
        <v>123</v>
      </c>
      <c r="AP28" t="str">
        <f t="shared" si="5"/>
        <v/>
      </c>
      <c r="AQ28" t="str">
        <f t="shared" si="6"/>
        <v/>
      </c>
      <c r="AX28" t="str">
        <f>IFERROR(IF(INDEX('Shooter-Squad Assignment'!$AA:$AA,MATCH($A28,'Shooter-Squad Assignment'!$A:$A,0))="","",INDEX('Shooter-Squad Assignment'!$AA:$AA,MATCH($A28,'Shooter-Squad Assignment'!$A:$A,0))),"")</f>
        <v/>
      </c>
      <c r="AY28" t="str">
        <f>IF(ISBLANK($AX28),"",IFERROR(INDEX('Squad Listing'!$C:$C,MATCH($AX28,'Squad Listing'!$A:$A,0)),""))</f>
        <v/>
      </c>
      <c r="AZ28" t="str">
        <f>IF(ISBLANK($AX28),"",IFERROR(INDEX('Squad Listing'!$D:$D,MATCH($AX28,'Squad Listing'!$A:$A,0)),""))</f>
        <v/>
      </c>
      <c r="BA28" s="1" t="s">
        <v>123</v>
      </c>
      <c r="BC28" t="str">
        <f t="shared" si="7"/>
        <v/>
      </c>
      <c r="BD28" t="str">
        <f t="shared" si="8"/>
        <v/>
      </c>
    </row>
    <row r="29" spans="1:56" x14ac:dyDescent="0.3">
      <c r="A29" t="s">
        <v>186</v>
      </c>
      <c r="B29" t="s">
        <v>209</v>
      </c>
      <c r="C29" t="s">
        <v>232</v>
      </c>
      <c r="D29" t="str">
        <f t="shared" si="0"/>
        <v>Judy Last Name30</v>
      </c>
      <c r="F29" s="1" t="s">
        <v>126</v>
      </c>
      <c r="G29" s="1" t="s">
        <v>326</v>
      </c>
      <c r="H29" s="1" t="s">
        <v>326</v>
      </c>
      <c r="I29" s="1" t="s">
        <v>326</v>
      </c>
      <c r="J29" s="10">
        <f>IF(G29="Y",'Tournament Setup'!$C$2,0)+IF(H29="Y",'Tournament Setup'!$C$3,0)+IF(I29="Y",'Tournament Setup'!$C$4,0)</f>
        <v>120</v>
      </c>
      <c r="K29" s="1"/>
      <c r="L29" t="s">
        <v>324</v>
      </c>
      <c r="M29" t="s">
        <v>120</v>
      </c>
      <c r="O29" s="1">
        <f>IFERROR(IF(INDEX('Shooter-Squad Assignment'!$T:$T,MATCH($A29,'Shooter-Squad Assignment'!$A:$A,0))="","",INDEX('Shooter-Squad Assignment'!$T:$T,MATCH($A29,'Shooter-Squad Assignment'!$A:$A,0))),"")</f>
        <v>280</v>
      </c>
      <c r="P29" s="1" t="str">
        <f>IFERROR(IF(INDEX('Shooter-Squad Assignment'!$U:$U,MATCH($A29,'Shooter-Squad Assignment'!$A:$A,0))="","",INDEX('Shooter-Squad Assignment'!$U:$U,MATCH($A29,'Shooter-Squad Assignment'!$A:$A,0))),"")</f>
        <v>280-3</v>
      </c>
      <c r="Q29" s="1" t="str">
        <f>IFERROR(IF(INDEX('Shooter-Squad Assignment'!$I:$I,MATCH($A29,'Shooter-Squad Assignment'!$A:$A,0))="","",IF(INDEX('Shooter-Squad Assignment'!$I:$I,MATCH($A29,'Shooter-Squad Assignment'!$A:$A,0))=1,O29&amp;"-"&amp;1,"")),"")</f>
        <v/>
      </c>
      <c r="R29" t="str">
        <f>IF(ISBLANK($O29),"",IFERROR(INDEX('Squad Listing'!$C:$C,MATCH($O29,'Squad Listing'!$A:$A,0)),""))</f>
        <v>Littleton Target Masters</v>
      </c>
      <c r="S29" t="str">
        <f>IF(ISBLANK($O29),"",IFERROR(INDEX('Squad Listing'!$D:$D,MATCH($O29,'Squad Listing'!$A:$A,0)),""))</f>
        <v>Collegiate 1</v>
      </c>
      <c r="T29" s="129" t="str">
        <f t="shared" si="1"/>
        <v/>
      </c>
      <c r="U29" s="129">
        <f t="shared" si="2"/>
        <v>51</v>
      </c>
      <c r="W29" s="1" t="s">
        <v>121</v>
      </c>
      <c r="Y29">
        <f t="shared" si="3"/>
        <v>39</v>
      </c>
      <c r="Z29" s="129">
        <f t="shared" si="4"/>
        <v>51</v>
      </c>
      <c r="AB29">
        <v>12</v>
      </c>
      <c r="AC29">
        <v>10</v>
      </c>
      <c r="AD29">
        <v>15</v>
      </c>
      <c r="AE29">
        <v>14</v>
      </c>
      <c r="AK29" t="str">
        <f>IFERROR(IF(INDEX('Shooter-Squad Assignment'!$X:$X,MATCH($A29,'Shooter-Squad Assignment'!$A:$A,0))="","",INDEX('Shooter-Squad Assignment'!$X:$X,MATCH($A29,'Shooter-Squad Assignment'!$A:$A,0))),"")</f>
        <v/>
      </c>
      <c r="AL29" t="str">
        <f>IF(ISBLANK($AK29),"",IFERROR(INDEX('Squad Listing'!$C:$C,MATCH($AK29,'Squad Listing'!$A:$A,0)),""))</f>
        <v/>
      </c>
      <c r="AM29" t="str">
        <f>IF(ISBLANK($AK29),"",IFERROR(INDEX('Squad Listing'!$D:$D,MATCH($AK29,'Squad Listing'!$A:$A,0)),""))</f>
        <v/>
      </c>
      <c r="AP29" t="str">
        <f t="shared" si="5"/>
        <v/>
      </c>
      <c r="AQ29" t="str">
        <f t="shared" si="6"/>
        <v/>
      </c>
      <c r="AX29" t="str">
        <f>IFERROR(IF(INDEX('Shooter-Squad Assignment'!$AA:$AA,MATCH($A29,'Shooter-Squad Assignment'!$A:$A,0))="","",INDEX('Shooter-Squad Assignment'!$AA:$AA,MATCH($A29,'Shooter-Squad Assignment'!$A:$A,0))),"")</f>
        <v/>
      </c>
      <c r="AY29" t="str">
        <f>IF(ISBLANK($AX29),"",IFERROR(INDEX('Squad Listing'!$C:$C,MATCH($AX29,'Squad Listing'!$A:$A,0)),""))</f>
        <v/>
      </c>
      <c r="AZ29" t="str">
        <f>IF(ISBLANK($AX29),"",IFERROR(INDEX('Squad Listing'!$D:$D,MATCH($AX29,'Squad Listing'!$A:$A,0)),""))</f>
        <v/>
      </c>
      <c r="BC29" t="str">
        <f t="shared" si="7"/>
        <v/>
      </c>
      <c r="BD29" t="str">
        <f t="shared" si="8"/>
        <v/>
      </c>
    </row>
    <row r="30" spans="1:56" x14ac:dyDescent="0.3">
      <c r="A30" t="s">
        <v>42</v>
      </c>
      <c r="B30" t="s">
        <v>66</v>
      </c>
      <c r="C30" t="s">
        <v>90</v>
      </c>
      <c r="D30" t="str">
        <f t="shared" si="0"/>
        <v>Ben Last Name6</v>
      </c>
      <c r="F30" s="1" t="s">
        <v>125</v>
      </c>
      <c r="G30" s="1" t="s">
        <v>326</v>
      </c>
      <c r="H30" s="1" t="s">
        <v>326</v>
      </c>
      <c r="I30" s="1" t="s">
        <v>326</v>
      </c>
      <c r="J30" s="10">
        <f>IF(G30="Y",'Tournament Setup'!$C$2,0)+IF(H30="Y",'Tournament Setup'!$C$3,0)+IF(I30="Y",'Tournament Setup'!$C$4,0)</f>
        <v>120</v>
      </c>
      <c r="K30" s="1"/>
      <c r="L30" t="s">
        <v>324</v>
      </c>
      <c r="M30" t="s">
        <v>116</v>
      </c>
      <c r="O30" s="1">
        <f>IFERROR(IF(INDEX('Shooter-Squad Assignment'!$T:$T,MATCH($A30,'Shooter-Squad Assignment'!$A:$A,0))="","",INDEX('Shooter-Squad Assignment'!$T:$T,MATCH($A30,'Shooter-Squad Assignment'!$A:$A,0))),"")</f>
        <v>289</v>
      </c>
      <c r="P30" s="1" t="str">
        <f>IFERROR(IF(INDEX('Shooter-Squad Assignment'!$U:$U,MATCH($A30,'Shooter-Squad Assignment'!$A:$A,0))="","",INDEX('Shooter-Squad Assignment'!$U:$U,MATCH($A30,'Shooter-Squad Assignment'!$A:$A,0))),"")</f>
        <v>289-2</v>
      </c>
      <c r="Q30" s="1" t="str">
        <f>IFERROR(IF(INDEX('Shooter-Squad Assignment'!$I:$I,MATCH($A30,'Shooter-Squad Assignment'!$A:$A,0))="","",IF(INDEX('Shooter-Squad Assignment'!$I:$I,MATCH($A30,'Shooter-Squad Assignment'!$A:$A,0))=1,O30&amp;"-"&amp;1,"")),"")</f>
        <v/>
      </c>
      <c r="R30" t="str">
        <f>IF(ISBLANK($O30),"",IFERROR(INDEX('Squad Listing'!$C:$C,MATCH($O30,'Squad Listing'!$A:$A,0)),""))</f>
        <v>Littleton Target Masters</v>
      </c>
      <c r="S30" t="str">
        <f>IF(ISBLANK($O30),"",IFERROR(INDEX('Squad Listing'!$D:$D,MATCH($O30,'Squad Listing'!$A:$A,0)),""))</f>
        <v>Novice 1</v>
      </c>
      <c r="T30" s="129" t="str">
        <f t="shared" si="1"/>
        <v/>
      </c>
      <c r="U30" s="129">
        <f t="shared" si="2"/>
        <v>51</v>
      </c>
      <c r="W30" s="1" t="s">
        <v>123</v>
      </c>
      <c r="Y30">
        <f t="shared" si="3"/>
        <v>39</v>
      </c>
      <c r="Z30" s="129">
        <f t="shared" si="4"/>
        <v>51</v>
      </c>
      <c r="AB30">
        <v>10</v>
      </c>
      <c r="AC30">
        <v>12</v>
      </c>
      <c r="AD30">
        <v>15</v>
      </c>
      <c r="AE30">
        <v>14</v>
      </c>
      <c r="AK30" t="str">
        <f>IFERROR(IF(INDEX('Shooter-Squad Assignment'!$X:$X,MATCH($A30,'Shooter-Squad Assignment'!$A:$A,0))="","",INDEX('Shooter-Squad Assignment'!$X:$X,MATCH($A30,'Shooter-Squad Assignment'!$A:$A,0))),"")</f>
        <v/>
      </c>
      <c r="AL30" t="str">
        <f>IF(ISBLANK($AK30),"",IFERROR(INDEX('Squad Listing'!$C:$C,MATCH($AK30,'Squad Listing'!$A:$A,0)),""))</f>
        <v/>
      </c>
      <c r="AM30" t="str">
        <f>IF(ISBLANK($AK30),"",IFERROR(INDEX('Squad Listing'!$D:$D,MATCH($AK30,'Squad Listing'!$A:$A,0)),""))</f>
        <v/>
      </c>
      <c r="AN30" s="1" t="s">
        <v>123</v>
      </c>
      <c r="AP30" t="str">
        <f t="shared" si="5"/>
        <v/>
      </c>
      <c r="AQ30" t="str">
        <f t="shared" si="6"/>
        <v/>
      </c>
      <c r="AX30" t="str">
        <f>IFERROR(IF(INDEX('Shooter-Squad Assignment'!$AA:$AA,MATCH($A30,'Shooter-Squad Assignment'!$A:$A,0))="","",INDEX('Shooter-Squad Assignment'!$AA:$AA,MATCH($A30,'Shooter-Squad Assignment'!$A:$A,0))),"")</f>
        <v/>
      </c>
      <c r="AY30" t="str">
        <f>IF(ISBLANK($AX30),"",IFERROR(INDEX('Squad Listing'!$C:$C,MATCH($AX30,'Squad Listing'!$A:$A,0)),""))</f>
        <v/>
      </c>
      <c r="AZ30" t="str">
        <f>IF(ISBLANK($AX30),"",IFERROR(INDEX('Squad Listing'!$D:$D,MATCH($AX30,'Squad Listing'!$A:$A,0)),""))</f>
        <v/>
      </c>
      <c r="BA30" s="1" t="s">
        <v>123</v>
      </c>
      <c r="BC30" t="str">
        <f t="shared" si="7"/>
        <v/>
      </c>
      <c r="BD30" t="str">
        <f t="shared" si="8"/>
        <v/>
      </c>
    </row>
    <row r="31" spans="1:56" x14ac:dyDescent="0.3">
      <c r="A31" t="s">
        <v>60</v>
      </c>
      <c r="B31" t="s">
        <v>84</v>
      </c>
      <c r="C31" t="s">
        <v>108</v>
      </c>
      <c r="D31" t="str">
        <f t="shared" si="0"/>
        <v>Tim Last Name24</v>
      </c>
      <c r="F31" s="1" t="s">
        <v>125</v>
      </c>
      <c r="G31" s="1" t="s">
        <v>326</v>
      </c>
      <c r="H31" s="1" t="s">
        <v>326</v>
      </c>
      <c r="I31" s="1" t="s">
        <v>326</v>
      </c>
      <c r="J31" s="10">
        <f>IF(G31="Y",'Tournament Setup'!$C$2,0)+IF(H31="Y",'Tournament Setup'!$C$3,0)+IF(I31="Y",'Tournament Setup'!$C$4,0)</f>
        <v>120</v>
      </c>
      <c r="K31" s="1"/>
      <c r="L31" t="s">
        <v>324</v>
      </c>
      <c r="M31" t="s">
        <v>116</v>
      </c>
      <c r="O31" s="1" t="str">
        <f>IFERROR(IF(INDEX('Shooter-Squad Assignment'!$T:$T,MATCH($A31,'Shooter-Squad Assignment'!$A:$A,0))="","",INDEX('Shooter-Squad Assignment'!$T:$T,MATCH($A31,'Shooter-Squad Assignment'!$A:$A,0))),"")</f>
        <v/>
      </c>
      <c r="P31" s="1" t="str">
        <f>IFERROR(IF(INDEX('Shooter-Squad Assignment'!$U:$U,MATCH($A31,'Shooter-Squad Assignment'!$A:$A,0))="","",INDEX('Shooter-Squad Assignment'!$U:$U,MATCH($A31,'Shooter-Squad Assignment'!$A:$A,0))),"")</f>
        <v/>
      </c>
      <c r="Q31" s="1" t="str">
        <f>IFERROR(IF(INDEX('Shooter-Squad Assignment'!$I:$I,MATCH($A31,'Shooter-Squad Assignment'!$A:$A,0))="","",IF(INDEX('Shooter-Squad Assignment'!$I:$I,MATCH($A31,'Shooter-Squad Assignment'!$A:$A,0))=1,O31&amp;"-"&amp;1,"")),"")</f>
        <v/>
      </c>
      <c r="R31" t="str">
        <f>IF(ISBLANK($O31),"",IFERROR(INDEX('Squad Listing'!$C:$C,MATCH($O31,'Squad Listing'!$A:$A,0)),""))</f>
        <v/>
      </c>
      <c r="S31" t="str">
        <f>IF(ISBLANK($O31),"",IFERROR(INDEX('Squad Listing'!$D:$D,MATCH($O31,'Squad Listing'!$A:$A,0)),""))</f>
        <v/>
      </c>
      <c r="T31" s="129" t="str">
        <f t="shared" si="1"/>
        <v/>
      </c>
      <c r="U31" s="129">
        <f t="shared" si="2"/>
        <v>70</v>
      </c>
      <c r="W31" s="1" t="s">
        <v>122</v>
      </c>
      <c r="Y31">
        <f t="shared" si="3"/>
        <v>26</v>
      </c>
      <c r="Z31" s="129">
        <f t="shared" si="4"/>
        <v>70</v>
      </c>
      <c r="AB31">
        <v>15</v>
      </c>
      <c r="AC31">
        <v>17</v>
      </c>
      <c r="AD31">
        <v>18</v>
      </c>
      <c r="AE31">
        <v>20</v>
      </c>
      <c r="AK31" t="str">
        <f>IFERROR(IF(INDEX('Shooter-Squad Assignment'!$X:$X,MATCH($A31,'Shooter-Squad Assignment'!$A:$A,0))="","",INDEX('Shooter-Squad Assignment'!$X:$X,MATCH($A31,'Shooter-Squad Assignment'!$A:$A,0))),"")</f>
        <v/>
      </c>
      <c r="AL31" t="str">
        <f>IF(ISBLANK($AK31),"",IFERROR(INDEX('Squad Listing'!$C:$C,MATCH($AK31,'Squad Listing'!$A:$A,0)),""))</f>
        <v/>
      </c>
      <c r="AM31" t="str">
        <f>IF(ISBLANK($AK31),"",IFERROR(INDEX('Squad Listing'!$D:$D,MATCH($AK31,'Squad Listing'!$A:$A,0)),""))</f>
        <v/>
      </c>
      <c r="AN31" s="1" t="s">
        <v>122</v>
      </c>
      <c r="AP31" t="str">
        <f t="shared" si="5"/>
        <v/>
      </c>
      <c r="AQ31" t="str">
        <f t="shared" si="6"/>
        <v/>
      </c>
      <c r="AX31" t="str">
        <f>IFERROR(IF(INDEX('Shooter-Squad Assignment'!$AA:$AA,MATCH($A31,'Shooter-Squad Assignment'!$A:$A,0))="","",INDEX('Shooter-Squad Assignment'!$AA:$AA,MATCH($A31,'Shooter-Squad Assignment'!$A:$A,0))),"")</f>
        <v/>
      </c>
      <c r="AY31" t="str">
        <f>IF(ISBLANK($AX31),"",IFERROR(INDEX('Squad Listing'!$C:$C,MATCH($AX31,'Squad Listing'!$A:$A,0)),""))</f>
        <v/>
      </c>
      <c r="AZ31" t="str">
        <f>IF(ISBLANK($AX31),"",IFERROR(INDEX('Squad Listing'!$D:$D,MATCH($AX31,'Squad Listing'!$A:$A,0)),""))</f>
        <v/>
      </c>
      <c r="BA31" s="1" t="s">
        <v>122</v>
      </c>
      <c r="BC31" t="str">
        <f t="shared" si="7"/>
        <v/>
      </c>
      <c r="BD31" t="str">
        <f t="shared" si="8"/>
        <v/>
      </c>
    </row>
    <row r="32" spans="1:56" x14ac:dyDescent="0.3">
      <c r="A32" t="s">
        <v>192</v>
      </c>
      <c r="B32" t="s">
        <v>215</v>
      </c>
      <c r="C32" t="s">
        <v>238</v>
      </c>
      <c r="D32" t="str">
        <f t="shared" si="0"/>
        <v>Randy Last Name36</v>
      </c>
      <c r="F32" s="1" t="s">
        <v>125</v>
      </c>
      <c r="G32" s="1" t="s">
        <v>326</v>
      </c>
      <c r="H32" s="1" t="s">
        <v>326</v>
      </c>
      <c r="I32" s="1" t="s">
        <v>326</v>
      </c>
      <c r="J32" s="10">
        <f>IF(G32="Y",'Tournament Setup'!$C$2,0)+IF(H32="Y",'Tournament Setup'!$C$3,0)+IF(I32="Y",'Tournament Setup'!$C$4,0)</f>
        <v>120</v>
      </c>
      <c r="K32" s="1"/>
      <c r="L32" t="s">
        <v>324</v>
      </c>
      <c r="M32" t="s">
        <v>116</v>
      </c>
      <c r="O32" s="1">
        <f>IFERROR(IF(INDEX('Shooter-Squad Assignment'!$T:$T,MATCH($A32,'Shooter-Squad Assignment'!$A:$A,0))="","",INDEX('Shooter-Squad Assignment'!$T:$T,MATCH($A32,'Shooter-Squad Assignment'!$A:$A,0))),"")</f>
        <v>289</v>
      </c>
      <c r="P32" s="1" t="str">
        <f>IFERROR(IF(INDEX('Shooter-Squad Assignment'!$U:$U,MATCH($A32,'Shooter-Squad Assignment'!$A:$A,0))="","",INDEX('Shooter-Squad Assignment'!$U:$U,MATCH($A32,'Shooter-Squad Assignment'!$A:$A,0))),"")</f>
        <v>289-1</v>
      </c>
      <c r="Q32" s="1" t="str">
        <f>IFERROR(IF(INDEX('Shooter-Squad Assignment'!$I:$I,MATCH($A32,'Shooter-Squad Assignment'!$A:$A,0))="","",IF(INDEX('Shooter-Squad Assignment'!$I:$I,MATCH($A32,'Shooter-Squad Assignment'!$A:$A,0))=1,O32&amp;"-"&amp;1,"")),"")</f>
        <v>289-1</v>
      </c>
      <c r="R32" t="str">
        <f>IF(ISBLANK($O32),"",IFERROR(INDEX('Squad Listing'!$C:$C,MATCH($O32,'Squad Listing'!$A:$A,0)),""))</f>
        <v>Littleton Target Masters</v>
      </c>
      <c r="S32" t="str">
        <f>IF(ISBLANK($O32),"",IFERROR(INDEX('Squad Listing'!$D:$D,MATCH($O32,'Squad Listing'!$A:$A,0)),""))</f>
        <v>Novice 1</v>
      </c>
      <c r="T32" s="129">
        <f t="shared" si="1"/>
        <v>174</v>
      </c>
      <c r="U32" s="129">
        <f t="shared" si="2"/>
        <v>63</v>
      </c>
      <c r="W32" s="1" t="s">
        <v>123</v>
      </c>
      <c r="Y32">
        <f t="shared" si="3"/>
        <v>31</v>
      </c>
      <c r="Z32" s="129">
        <f t="shared" si="4"/>
        <v>63.1</v>
      </c>
      <c r="AA32" s="129">
        <v>0.1</v>
      </c>
      <c r="AB32">
        <v>15</v>
      </c>
      <c r="AC32">
        <v>15</v>
      </c>
      <c r="AD32">
        <v>15</v>
      </c>
      <c r="AE32">
        <v>18</v>
      </c>
      <c r="AK32" t="str">
        <f>IFERROR(IF(INDEX('Shooter-Squad Assignment'!$X:$X,MATCH($A32,'Shooter-Squad Assignment'!$A:$A,0))="","",INDEX('Shooter-Squad Assignment'!$X:$X,MATCH($A32,'Shooter-Squad Assignment'!$A:$A,0))),"")</f>
        <v/>
      </c>
      <c r="AL32" t="str">
        <f>IF(ISBLANK($AK32),"",IFERROR(INDEX('Squad Listing'!$C:$C,MATCH($AK32,'Squad Listing'!$A:$A,0)),""))</f>
        <v/>
      </c>
      <c r="AM32" t="str">
        <f>IF(ISBLANK($AK32),"",IFERROR(INDEX('Squad Listing'!$D:$D,MATCH($AK32,'Squad Listing'!$A:$A,0)),""))</f>
        <v/>
      </c>
      <c r="AP32" t="str">
        <f t="shared" si="5"/>
        <v/>
      </c>
      <c r="AQ32" t="str">
        <f t="shared" si="6"/>
        <v/>
      </c>
      <c r="AX32" t="str">
        <f>IFERROR(IF(INDEX('Shooter-Squad Assignment'!$AA:$AA,MATCH($A32,'Shooter-Squad Assignment'!$A:$A,0))="","",INDEX('Shooter-Squad Assignment'!$AA:$AA,MATCH($A32,'Shooter-Squad Assignment'!$A:$A,0))),"")</f>
        <v/>
      </c>
      <c r="AY32" t="str">
        <f>IF(ISBLANK($AX32),"",IFERROR(INDEX('Squad Listing'!$C:$C,MATCH($AX32,'Squad Listing'!$A:$A,0)),""))</f>
        <v/>
      </c>
      <c r="AZ32" t="str">
        <f>IF(ISBLANK($AX32),"",IFERROR(INDEX('Squad Listing'!$D:$D,MATCH($AX32,'Squad Listing'!$A:$A,0)),""))</f>
        <v/>
      </c>
      <c r="BC32" t="str">
        <f t="shared" si="7"/>
        <v/>
      </c>
      <c r="BD32" t="str">
        <f t="shared" si="8"/>
        <v/>
      </c>
    </row>
    <row r="33" spans="1:56" x14ac:dyDescent="0.3">
      <c r="A33" t="s">
        <v>198</v>
      </c>
      <c r="B33" t="s">
        <v>221</v>
      </c>
      <c r="C33" t="s">
        <v>244</v>
      </c>
      <c r="D33" t="str">
        <f t="shared" si="0"/>
        <v>Owen Last Name42</v>
      </c>
      <c r="F33" s="1" t="s">
        <v>125</v>
      </c>
      <c r="G33" s="1" t="s">
        <v>326</v>
      </c>
      <c r="H33" s="1" t="s">
        <v>326</v>
      </c>
      <c r="I33" s="1" t="s">
        <v>326</v>
      </c>
      <c r="J33" s="10">
        <f>IF(G33="Y",'Tournament Setup'!$C$2,0)+IF(H33="Y",'Tournament Setup'!$C$3,0)+IF(I33="Y",'Tournament Setup'!$C$4,0)</f>
        <v>120</v>
      </c>
      <c r="K33" s="1"/>
      <c r="L33" t="s">
        <v>324</v>
      </c>
      <c r="M33" t="s">
        <v>116</v>
      </c>
      <c r="O33" s="1">
        <f>IFERROR(IF(INDEX('Shooter-Squad Assignment'!$T:$T,MATCH($A33,'Shooter-Squad Assignment'!$A:$A,0))="","",INDEX('Shooter-Squad Assignment'!$T:$T,MATCH($A33,'Shooter-Squad Assignment'!$A:$A,0))),"")</f>
        <v>289</v>
      </c>
      <c r="P33" s="1" t="str">
        <f>IFERROR(IF(INDEX('Shooter-Squad Assignment'!$U:$U,MATCH($A33,'Shooter-Squad Assignment'!$A:$A,0))="","",INDEX('Shooter-Squad Assignment'!$U:$U,MATCH($A33,'Shooter-Squad Assignment'!$A:$A,0))),"")</f>
        <v>289-3</v>
      </c>
      <c r="Q33" s="1" t="str">
        <f>IFERROR(IF(INDEX('Shooter-Squad Assignment'!$I:$I,MATCH($A33,'Shooter-Squad Assignment'!$A:$A,0))="","",IF(INDEX('Shooter-Squad Assignment'!$I:$I,MATCH($A33,'Shooter-Squad Assignment'!$A:$A,0))=1,O33&amp;"-"&amp;1,"")),"")</f>
        <v/>
      </c>
      <c r="R33" t="str">
        <f>IF(ISBLANK($O33),"",IFERROR(INDEX('Squad Listing'!$C:$C,MATCH($O33,'Squad Listing'!$A:$A,0)),""))</f>
        <v>Littleton Target Masters</v>
      </c>
      <c r="S33" t="str">
        <f>IF(ISBLANK($O33),"",IFERROR(INDEX('Squad Listing'!$D:$D,MATCH($O33,'Squad Listing'!$A:$A,0)),""))</f>
        <v>Novice 1</v>
      </c>
      <c r="T33" s="129" t="str">
        <f t="shared" si="1"/>
        <v/>
      </c>
      <c r="U33" s="129">
        <f t="shared" si="2"/>
        <v>60</v>
      </c>
      <c r="W33" s="1" t="s">
        <v>123</v>
      </c>
      <c r="Y33">
        <f t="shared" si="3"/>
        <v>35</v>
      </c>
      <c r="Z33" s="129">
        <f t="shared" si="4"/>
        <v>60</v>
      </c>
      <c r="AB33">
        <v>12</v>
      </c>
      <c r="AC33">
        <v>17</v>
      </c>
      <c r="AD33">
        <v>16</v>
      </c>
      <c r="AE33">
        <v>15</v>
      </c>
      <c r="AK33" t="str">
        <f>IFERROR(IF(INDEX('Shooter-Squad Assignment'!$X:$X,MATCH($A33,'Shooter-Squad Assignment'!$A:$A,0))="","",INDEX('Shooter-Squad Assignment'!$X:$X,MATCH($A33,'Shooter-Squad Assignment'!$A:$A,0))),"")</f>
        <v/>
      </c>
      <c r="AL33" t="str">
        <f>IF(ISBLANK($AK33),"",IFERROR(INDEX('Squad Listing'!$C:$C,MATCH($AK33,'Squad Listing'!$A:$A,0)),""))</f>
        <v/>
      </c>
      <c r="AM33" t="str">
        <f>IF(ISBLANK($AK33),"",IFERROR(INDEX('Squad Listing'!$D:$D,MATCH($AK33,'Squad Listing'!$A:$A,0)),""))</f>
        <v/>
      </c>
      <c r="AP33" t="str">
        <f t="shared" si="5"/>
        <v/>
      </c>
      <c r="AQ33" t="str">
        <f t="shared" si="6"/>
        <v/>
      </c>
      <c r="AX33" t="str">
        <f>IFERROR(IF(INDEX('Shooter-Squad Assignment'!$AA:$AA,MATCH($A33,'Shooter-Squad Assignment'!$A:$A,0))="","",INDEX('Shooter-Squad Assignment'!$AA:$AA,MATCH($A33,'Shooter-Squad Assignment'!$A:$A,0))),"")</f>
        <v/>
      </c>
      <c r="AY33" t="str">
        <f>IF(ISBLANK($AX33),"",IFERROR(INDEX('Squad Listing'!$C:$C,MATCH($AX33,'Squad Listing'!$A:$A,0)),""))</f>
        <v/>
      </c>
      <c r="AZ33" t="str">
        <f>IF(ISBLANK($AX33),"",IFERROR(INDEX('Squad Listing'!$D:$D,MATCH($AX33,'Squad Listing'!$A:$A,0)),""))</f>
        <v/>
      </c>
      <c r="BC33" t="str">
        <f t="shared" si="7"/>
        <v/>
      </c>
      <c r="BD33" t="str">
        <f t="shared" si="8"/>
        <v/>
      </c>
    </row>
    <row r="34" spans="1:56" x14ac:dyDescent="0.3">
      <c r="A34" t="s">
        <v>250</v>
      </c>
      <c r="B34" t="s">
        <v>252</v>
      </c>
      <c r="C34" t="s">
        <v>251</v>
      </c>
      <c r="D34" t="str">
        <f t="shared" si="0"/>
        <v>Jackson Last Name48</v>
      </c>
      <c r="F34" s="1" t="s">
        <v>125</v>
      </c>
      <c r="G34" s="1" t="s">
        <v>326</v>
      </c>
      <c r="H34" s="1" t="s">
        <v>326</v>
      </c>
      <c r="I34" s="1" t="s">
        <v>326</v>
      </c>
      <c r="J34" s="10">
        <f>IF(G34="Y",'Tournament Setup'!$C$2,0)+IF(H34="Y",'Tournament Setup'!$C$3,0)+IF(I34="Y",'Tournament Setup'!$C$4,0)</f>
        <v>120</v>
      </c>
      <c r="K34" s="1"/>
      <c r="L34" t="s">
        <v>324</v>
      </c>
      <c r="M34" t="s">
        <v>116</v>
      </c>
      <c r="O34" s="1" t="str">
        <f>IFERROR(IF(INDEX('Shooter-Squad Assignment'!$T:$T,MATCH($A34,'Shooter-Squad Assignment'!$A:$A,0))="","",INDEX('Shooter-Squad Assignment'!$T:$T,MATCH($A34,'Shooter-Squad Assignment'!$A:$A,0))),"")</f>
        <v/>
      </c>
      <c r="P34" s="1" t="str">
        <f>IFERROR(IF(INDEX('Shooter-Squad Assignment'!$U:$U,MATCH($A34,'Shooter-Squad Assignment'!$A:$A,0))="","",INDEX('Shooter-Squad Assignment'!$U:$U,MATCH($A34,'Shooter-Squad Assignment'!$A:$A,0))),"")</f>
        <v/>
      </c>
      <c r="Q34" s="1" t="str">
        <f>IFERROR(IF(INDEX('Shooter-Squad Assignment'!$I:$I,MATCH($A34,'Shooter-Squad Assignment'!$A:$A,0))="","",IF(INDEX('Shooter-Squad Assignment'!$I:$I,MATCH($A34,'Shooter-Squad Assignment'!$A:$A,0))=1,O34&amp;"-"&amp;1,"")),"")</f>
        <v/>
      </c>
      <c r="R34" t="str">
        <f>IF(ISBLANK($O34),"",IFERROR(INDEX('Squad Listing'!$C:$C,MATCH($O34,'Squad Listing'!$A:$A,0)),""))</f>
        <v/>
      </c>
      <c r="S34" t="str">
        <f>IF(ISBLANK($O34),"",IFERROR(INDEX('Squad Listing'!$D:$D,MATCH($O34,'Squad Listing'!$A:$A,0)),""))</f>
        <v/>
      </c>
      <c r="T34" s="129" t="str">
        <f t="shared" si="1"/>
        <v/>
      </c>
      <c r="U34" s="129">
        <f t="shared" si="2"/>
        <v>51</v>
      </c>
      <c r="W34" s="1" t="s">
        <v>124</v>
      </c>
      <c r="Y34">
        <f t="shared" si="3"/>
        <v>39</v>
      </c>
      <c r="Z34" s="129">
        <f t="shared" si="4"/>
        <v>51</v>
      </c>
      <c r="AB34">
        <v>12</v>
      </c>
      <c r="AC34">
        <v>12</v>
      </c>
      <c r="AD34">
        <v>12</v>
      </c>
      <c r="AE34">
        <v>15</v>
      </c>
      <c r="AK34" t="str">
        <f>IFERROR(IF(INDEX('Shooter-Squad Assignment'!$X:$X,MATCH($A34,'Shooter-Squad Assignment'!$A:$A,0))="","",INDEX('Shooter-Squad Assignment'!$X:$X,MATCH($A34,'Shooter-Squad Assignment'!$A:$A,0))),"")</f>
        <v/>
      </c>
      <c r="AL34" t="str">
        <f>IF(ISBLANK($AK34),"",IFERROR(INDEX('Squad Listing'!$C:$C,MATCH($AK34,'Squad Listing'!$A:$A,0)),""))</f>
        <v/>
      </c>
      <c r="AM34" t="str">
        <f>IF(ISBLANK($AK34),"",IFERROR(INDEX('Squad Listing'!$D:$D,MATCH($AK34,'Squad Listing'!$A:$A,0)),""))</f>
        <v/>
      </c>
      <c r="AP34" t="str">
        <f t="shared" si="5"/>
        <v/>
      </c>
      <c r="AQ34" t="str">
        <f t="shared" si="6"/>
        <v/>
      </c>
      <c r="AX34" t="str">
        <f>IFERROR(IF(INDEX('Shooter-Squad Assignment'!$AA:$AA,MATCH($A34,'Shooter-Squad Assignment'!$A:$A,0))="","",INDEX('Shooter-Squad Assignment'!$AA:$AA,MATCH($A34,'Shooter-Squad Assignment'!$A:$A,0))),"")</f>
        <v/>
      </c>
      <c r="AY34" t="str">
        <f>IF(ISBLANK($AX34),"",IFERROR(INDEX('Squad Listing'!$C:$C,MATCH($AX34,'Squad Listing'!$A:$A,0)),""))</f>
        <v/>
      </c>
      <c r="AZ34" t="str">
        <f>IF(ISBLANK($AX34),"",IFERROR(INDEX('Squad Listing'!$D:$D,MATCH($AX34,'Squad Listing'!$A:$A,0)),""))</f>
        <v/>
      </c>
      <c r="BC34" t="str">
        <f t="shared" si="7"/>
        <v/>
      </c>
      <c r="BD34" t="str">
        <f t="shared" si="8"/>
        <v/>
      </c>
    </row>
    <row r="35" spans="1:56" x14ac:dyDescent="0.3">
      <c r="A35" t="s">
        <v>50</v>
      </c>
      <c r="B35" t="s">
        <v>74</v>
      </c>
      <c r="C35" t="s">
        <v>98</v>
      </c>
      <c r="D35" t="str">
        <f t="shared" si="0"/>
        <v>Henry Last Name14</v>
      </c>
      <c r="F35" s="1" t="s">
        <v>125</v>
      </c>
      <c r="G35" s="1" t="s">
        <v>326</v>
      </c>
      <c r="H35" s="1" t="s">
        <v>326</v>
      </c>
      <c r="I35" s="1" t="s">
        <v>326</v>
      </c>
      <c r="J35" s="10">
        <f>IF(G35="Y",'Tournament Setup'!$C$2,0)+IF(H35="Y",'Tournament Setup'!$C$3,0)+IF(I35="Y",'Tournament Setup'!$C$4,0)</f>
        <v>120</v>
      </c>
      <c r="K35" s="1"/>
      <c r="L35" t="s">
        <v>320</v>
      </c>
      <c r="M35" t="s">
        <v>117</v>
      </c>
      <c r="O35" s="1">
        <f>IFERROR(IF(INDEX('Shooter-Squad Assignment'!$T:$T,MATCH($A35,'Shooter-Squad Assignment'!$A:$A,0))="","",INDEX('Shooter-Squad Assignment'!$T:$T,MATCH($A35,'Shooter-Squad Assignment'!$A:$A,0))),"")</f>
        <v>67</v>
      </c>
      <c r="P35" s="1" t="str">
        <f>IFERROR(IF(INDEX('Shooter-Squad Assignment'!$U:$U,MATCH($A35,'Shooter-Squad Assignment'!$A:$A,0))="","",INDEX('Shooter-Squad Assignment'!$U:$U,MATCH($A35,'Shooter-Squad Assignment'!$A:$A,0))),"")</f>
        <v>67-2</v>
      </c>
      <c r="Q35" s="1" t="str">
        <f>IFERROR(IF(INDEX('Shooter-Squad Assignment'!$I:$I,MATCH($A35,'Shooter-Squad Assignment'!$A:$A,0))="","",IF(INDEX('Shooter-Squad Assignment'!$I:$I,MATCH($A35,'Shooter-Squad Assignment'!$A:$A,0))=1,O35&amp;"-"&amp;1,"")),"")</f>
        <v/>
      </c>
      <c r="R35" t="str">
        <f>IF(ISBLANK($O35),"",IFERROR(INDEX('Squad Listing'!$C:$C,MATCH($O35,'Squad Listing'!$A:$A,0)),""))</f>
        <v>Rocky Mountain Clay Busters</v>
      </c>
      <c r="S35" t="str">
        <f>IF(ISBLANK($O35),"",IFERROR(INDEX('Squad Listing'!$D:$D,MATCH($O35,'Squad Listing'!$A:$A,0)),""))</f>
        <v>Intermediate 1</v>
      </c>
      <c r="T35" s="129" t="str">
        <f t="shared" si="1"/>
        <v/>
      </c>
      <c r="U35" s="129">
        <f t="shared" si="2"/>
        <v>76</v>
      </c>
      <c r="W35" s="1" t="s">
        <v>121</v>
      </c>
      <c r="Y35">
        <f t="shared" si="3"/>
        <v>19</v>
      </c>
      <c r="Z35" s="129">
        <f t="shared" si="4"/>
        <v>76</v>
      </c>
      <c r="AB35">
        <v>17</v>
      </c>
      <c r="AC35">
        <v>18</v>
      </c>
      <c r="AD35">
        <v>20</v>
      </c>
      <c r="AE35">
        <v>21</v>
      </c>
      <c r="AK35" t="str">
        <f>IFERROR(IF(INDEX('Shooter-Squad Assignment'!$X:$X,MATCH($A35,'Shooter-Squad Assignment'!$A:$A,0))="","",INDEX('Shooter-Squad Assignment'!$X:$X,MATCH($A35,'Shooter-Squad Assignment'!$A:$A,0))),"")</f>
        <v/>
      </c>
      <c r="AL35" t="str">
        <f>IF(ISBLANK($AK35),"",IFERROR(INDEX('Squad Listing'!$C:$C,MATCH($AK35,'Squad Listing'!$A:$A,0)),""))</f>
        <v/>
      </c>
      <c r="AM35" t="str">
        <f>IF(ISBLANK($AK35),"",IFERROR(INDEX('Squad Listing'!$D:$D,MATCH($AK35,'Squad Listing'!$A:$A,0)),""))</f>
        <v/>
      </c>
      <c r="AN35" s="1" t="s">
        <v>121</v>
      </c>
      <c r="AP35" t="str">
        <f t="shared" si="5"/>
        <v/>
      </c>
      <c r="AQ35" t="str">
        <f t="shared" si="6"/>
        <v/>
      </c>
      <c r="AX35" t="str">
        <f>IFERROR(IF(INDEX('Shooter-Squad Assignment'!$AA:$AA,MATCH($A35,'Shooter-Squad Assignment'!$A:$A,0))="","",INDEX('Shooter-Squad Assignment'!$AA:$AA,MATCH($A35,'Shooter-Squad Assignment'!$A:$A,0))),"")</f>
        <v/>
      </c>
      <c r="AY35" t="str">
        <f>IF(ISBLANK($AX35),"",IFERROR(INDEX('Squad Listing'!$C:$C,MATCH($AX35,'Squad Listing'!$A:$A,0)),""))</f>
        <v/>
      </c>
      <c r="AZ35" t="str">
        <f>IF(ISBLANK($AX35),"",IFERROR(INDEX('Squad Listing'!$D:$D,MATCH($AX35,'Squad Listing'!$A:$A,0)),""))</f>
        <v/>
      </c>
      <c r="BA35" s="1" t="s">
        <v>121</v>
      </c>
      <c r="BC35" t="str">
        <f t="shared" si="7"/>
        <v/>
      </c>
      <c r="BD35" t="str">
        <f t="shared" si="8"/>
        <v/>
      </c>
    </row>
    <row r="36" spans="1:56" x14ac:dyDescent="0.3">
      <c r="A36" t="s">
        <v>188</v>
      </c>
      <c r="B36" t="s">
        <v>211</v>
      </c>
      <c r="C36" t="s">
        <v>234</v>
      </c>
      <c r="D36" t="str">
        <f t="shared" si="0"/>
        <v>Kelly Last Name32</v>
      </c>
      <c r="F36" s="1" t="s">
        <v>126</v>
      </c>
      <c r="G36" s="1" t="s">
        <v>326</v>
      </c>
      <c r="H36" s="1" t="s">
        <v>326</v>
      </c>
      <c r="I36" s="1" t="s">
        <v>326</v>
      </c>
      <c r="J36" s="10">
        <f>IF(G36="Y",'Tournament Setup'!$C$2,0)+IF(H36="Y",'Tournament Setup'!$C$3,0)+IF(I36="Y",'Tournament Setup'!$C$4,0)</f>
        <v>120</v>
      </c>
      <c r="K36" s="1"/>
      <c r="L36" t="s">
        <v>320</v>
      </c>
      <c r="M36" t="s">
        <v>117</v>
      </c>
      <c r="O36" s="1">
        <f>IFERROR(IF(INDEX('Shooter-Squad Assignment'!$T:$T,MATCH($A36,'Shooter-Squad Assignment'!$A:$A,0))="","",INDEX('Shooter-Squad Assignment'!$T:$T,MATCH($A36,'Shooter-Squad Assignment'!$A:$A,0))),"")</f>
        <v>67</v>
      </c>
      <c r="P36" s="1" t="str">
        <f>IFERROR(IF(INDEX('Shooter-Squad Assignment'!$U:$U,MATCH($A36,'Shooter-Squad Assignment'!$A:$A,0))="","",INDEX('Shooter-Squad Assignment'!$U:$U,MATCH($A36,'Shooter-Squad Assignment'!$A:$A,0))),"")</f>
        <v>67-3</v>
      </c>
      <c r="Q36" s="1" t="str">
        <f>IFERROR(IF(INDEX('Shooter-Squad Assignment'!$I:$I,MATCH($A36,'Shooter-Squad Assignment'!$A:$A,0))="","",IF(INDEX('Shooter-Squad Assignment'!$I:$I,MATCH($A36,'Shooter-Squad Assignment'!$A:$A,0))=1,O36&amp;"-"&amp;1,"")),"")</f>
        <v/>
      </c>
      <c r="R36" t="str">
        <f>IF(ISBLANK($O36),"",IFERROR(INDEX('Squad Listing'!$C:$C,MATCH($O36,'Squad Listing'!$A:$A,0)),""))</f>
        <v>Rocky Mountain Clay Busters</v>
      </c>
      <c r="S36" t="str">
        <f>IF(ISBLANK($O36),"",IFERROR(INDEX('Squad Listing'!$D:$D,MATCH($O36,'Squad Listing'!$A:$A,0)),""))</f>
        <v>Intermediate 1</v>
      </c>
      <c r="T36" s="129" t="str">
        <f t="shared" si="1"/>
        <v/>
      </c>
      <c r="U36" s="129">
        <f t="shared" si="2"/>
        <v>29</v>
      </c>
      <c r="W36" s="1" t="s">
        <v>123</v>
      </c>
      <c r="Y36">
        <f t="shared" si="3"/>
        <v>48</v>
      </c>
      <c r="Z36" s="129">
        <f t="shared" si="4"/>
        <v>29</v>
      </c>
      <c r="AB36">
        <v>9</v>
      </c>
      <c r="AC36">
        <v>7</v>
      </c>
      <c r="AD36">
        <v>5</v>
      </c>
      <c r="AE36">
        <v>8</v>
      </c>
      <c r="AK36" t="str">
        <f>IFERROR(IF(INDEX('Shooter-Squad Assignment'!$X:$X,MATCH($A36,'Shooter-Squad Assignment'!$A:$A,0))="","",INDEX('Shooter-Squad Assignment'!$X:$X,MATCH($A36,'Shooter-Squad Assignment'!$A:$A,0))),"")</f>
        <v/>
      </c>
      <c r="AL36" t="str">
        <f>IF(ISBLANK($AK36),"",IFERROR(INDEX('Squad Listing'!$C:$C,MATCH($AK36,'Squad Listing'!$A:$A,0)),""))</f>
        <v/>
      </c>
      <c r="AM36" t="str">
        <f>IF(ISBLANK($AK36),"",IFERROR(INDEX('Squad Listing'!$D:$D,MATCH($AK36,'Squad Listing'!$A:$A,0)),""))</f>
        <v/>
      </c>
      <c r="AP36" t="str">
        <f t="shared" si="5"/>
        <v/>
      </c>
      <c r="AQ36" t="str">
        <f t="shared" si="6"/>
        <v/>
      </c>
      <c r="AX36" t="str">
        <f>IFERROR(IF(INDEX('Shooter-Squad Assignment'!$AA:$AA,MATCH($A36,'Shooter-Squad Assignment'!$A:$A,0))="","",INDEX('Shooter-Squad Assignment'!$AA:$AA,MATCH($A36,'Shooter-Squad Assignment'!$A:$A,0))),"")</f>
        <v/>
      </c>
      <c r="AY36" t="str">
        <f>IF(ISBLANK($AX36),"",IFERROR(INDEX('Squad Listing'!$C:$C,MATCH($AX36,'Squad Listing'!$A:$A,0)),""))</f>
        <v/>
      </c>
      <c r="AZ36" t="str">
        <f>IF(ISBLANK($AX36),"",IFERROR(INDEX('Squad Listing'!$D:$D,MATCH($AX36,'Squad Listing'!$A:$A,0)),""))</f>
        <v/>
      </c>
      <c r="BC36" t="str">
        <f t="shared" si="7"/>
        <v/>
      </c>
      <c r="BD36" t="str">
        <f t="shared" si="8"/>
        <v/>
      </c>
    </row>
    <row r="37" spans="1:56" x14ac:dyDescent="0.3">
      <c r="A37" t="s">
        <v>200</v>
      </c>
      <c r="B37" t="s">
        <v>223</v>
      </c>
      <c r="C37" t="s">
        <v>246</v>
      </c>
      <c r="D37" t="str">
        <f t="shared" si="0"/>
        <v>Trisha Last Name44</v>
      </c>
      <c r="F37" s="1" t="s">
        <v>126</v>
      </c>
      <c r="G37" s="1" t="s">
        <v>326</v>
      </c>
      <c r="H37" s="1" t="s">
        <v>326</v>
      </c>
      <c r="I37" s="1" t="s">
        <v>326</v>
      </c>
      <c r="J37" s="10">
        <f>IF(G37="Y",'Tournament Setup'!$C$2,0)+IF(H37="Y",'Tournament Setup'!$C$3,0)+IF(I37="Y",'Tournament Setup'!$C$4,0)</f>
        <v>120</v>
      </c>
      <c r="K37" s="1"/>
      <c r="L37" t="s">
        <v>320</v>
      </c>
      <c r="M37" t="s">
        <v>117</v>
      </c>
      <c r="O37" s="1">
        <f>IFERROR(IF(INDEX('Shooter-Squad Assignment'!$T:$T,MATCH($A37,'Shooter-Squad Assignment'!$A:$A,0))="","",INDEX('Shooter-Squad Assignment'!$T:$T,MATCH($A37,'Shooter-Squad Assignment'!$A:$A,0))),"")</f>
        <v>67</v>
      </c>
      <c r="P37" s="1" t="str">
        <f>IFERROR(IF(INDEX('Shooter-Squad Assignment'!$U:$U,MATCH($A37,'Shooter-Squad Assignment'!$A:$A,0))="","",INDEX('Shooter-Squad Assignment'!$U:$U,MATCH($A37,'Shooter-Squad Assignment'!$A:$A,0))),"")</f>
        <v>67-1</v>
      </c>
      <c r="Q37" s="1" t="str">
        <f>IFERROR(IF(INDEX('Shooter-Squad Assignment'!$I:$I,MATCH($A37,'Shooter-Squad Assignment'!$A:$A,0))="","",IF(INDEX('Shooter-Squad Assignment'!$I:$I,MATCH($A37,'Shooter-Squad Assignment'!$A:$A,0))=1,O37&amp;"-"&amp;1,"")),"")</f>
        <v>67-1</v>
      </c>
      <c r="R37" t="str">
        <f>IF(ISBLANK($O37),"",IFERROR(INDEX('Squad Listing'!$C:$C,MATCH($O37,'Squad Listing'!$A:$A,0)),""))</f>
        <v>Rocky Mountain Clay Busters</v>
      </c>
      <c r="S37" t="str">
        <f>IF(ISBLANK($O37),"",IFERROR(INDEX('Squad Listing'!$D:$D,MATCH($O37,'Squad Listing'!$A:$A,0)),""))</f>
        <v>Intermediate 1</v>
      </c>
      <c r="T37" s="129">
        <f t="shared" si="1"/>
        <v>177</v>
      </c>
      <c r="U37" s="129">
        <f t="shared" si="2"/>
        <v>72</v>
      </c>
      <c r="W37" s="1" t="s">
        <v>124</v>
      </c>
      <c r="Y37">
        <f t="shared" si="3"/>
        <v>22</v>
      </c>
      <c r="Z37" s="129">
        <f t="shared" si="4"/>
        <v>72.099999999999994</v>
      </c>
      <c r="AA37" s="129">
        <v>0.1</v>
      </c>
      <c r="AB37">
        <v>15</v>
      </c>
      <c r="AC37">
        <v>18</v>
      </c>
      <c r="AD37">
        <v>20</v>
      </c>
      <c r="AE37">
        <v>19</v>
      </c>
      <c r="AK37" t="str">
        <f>IFERROR(IF(INDEX('Shooter-Squad Assignment'!$X:$X,MATCH($A37,'Shooter-Squad Assignment'!$A:$A,0))="","",INDEX('Shooter-Squad Assignment'!$X:$X,MATCH($A37,'Shooter-Squad Assignment'!$A:$A,0))),"")</f>
        <v/>
      </c>
      <c r="AL37" t="str">
        <f>IF(ISBLANK($AK37),"",IFERROR(INDEX('Squad Listing'!$C:$C,MATCH($AK37,'Squad Listing'!$A:$A,0)),""))</f>
        <v/>
      </c>
      <c r="AM37" t="str">
        <f>IF(ISBLANK($AK37),"",IFERROR(INDEX('Squad Listing'!$D:$D,MATCH($AK37,'Squad Listing'!$A:$A,0)),""))</f>
        <v/>
      </c>
      <c r="AP37" t="str">
        <f t="shared" si="5"/>
        <v/>
      </c>
      <c r="AQ37" t="str">
        <f t="shared" si="6"/>
        <v/>
      </c>
      <c r="AX37" t="str">
        <f>IFERROR(IF(INDEX('Shooter-Squad Assignment'!$AA:$AA,MATCH($A37,'Shooter-Squad Assignment'!$A:$A,0))="","",INDEX('Shooter-Squad Assignment'!$AA:$AA,MATCH($A37,'Shooter-Squad Assignment'!$A:$A,0))),"")</f>
        <v/>
      </c>
      <c r="AY37" t="str">
        <f>IF(ISBLANK($AX37),"",IFERROR(INDEX('Squad Listing'!$C:$C,MATCH($AX37,'Squad Listing'!$A:$A,0)),""))</f>
        <v/>
      </c>
      <c r="AZ37" t="str">
        <f>IF(ISBLANK($AX37),"",IFERROR(INDEX('Squad Listing'!$D:$D,MATCH($AX37,'Squad Listing'!$A:$A,0)),""))</f>
        <v/>
      </c>
      <c r="BC37" t="str">
        <f t="shared" si="7"/>
        <v/>
      </c>
      <c r="BD37" t="str">
        <f t="shared" si="8"/>
        <v/>
      </c>
    </row>
    <row r="38" spans="1:56" x14ac:dyDescent="0.3">
      <c r="A38" t="s">
        <v>38</v>
      </c>
      <c r="B38" t="s">
        <v>62</v>
      </c>
      <c r="C38" t="s">
        <v>86</v>
      </c>
      <c r="D38" t="str">
        <f t="shared" si="0"/>
        <v>John Last Name2</v>
      </c>
      <c r="F38" s="1" t="s">
        <v>125</v>
      </c>
      <c r="G38" s="1" t="s">
        <v>326</v>
      </c>
      <c r="H38" s="1" t="s">
        <v>326</v>
      </c>
      <c r="I38" s="1" t="s">
        <v>326</v>
      </c>
      <c r="J38" s="10">
        <f>IF(G38="Y",'Tournament Setup'!$C$2,0)+IF(H38="Y",'Tournament Setup'!$C$3,0)+IF(I38="Y",'Tournament Setup'!$C$4,0)</f>
        <v>120</v>
      </c>
      <c r="K38" s="1"/>
      <c r="L38" t="s">
        <v>320</v>
      </c>
      <c r="M38" t="s">
        <v>118</v>
      </c>
      <c r="O38" s="1" t="str">
        <f>IFERROR(IF(INDEX('Shooter-Squad Assignment'!$T:$T,MATCH($A38,'Shooter-Squad Assignment'!$A:$A,0))="","",INDEX('Shooter-Squad Assignment'!$T:$T,MATCH($A38,'Shooter-Squad Assignment'!$A:$A,0))),"")</f>
        <v/>
      </c>
      <c r="P38" s="1" t="str">
        <f>IFERROR(IF(INDEX('Shooter-Squad Assignment'!$U:$U,MATCH($A38,'Shooter-Squad Assignment'!$A:$A,0))="","",INDEX('Shooter-Squad Assignment'!$U:$U,MATCH($A38,'Shooter-Squad Assignment'!$A:$A,0))),"")</f>
        <v/>
      </c>
      <c r="Q38" s="1" t="str">
        <f>IFERROR(IF(INDEX('Shooter-Squad Assignment'!$I:$I,MATCH($A38,'Shooter-Squad Assignment'!$A:$A,0))="","",IF(INDEX('Shooter-Squad Assignment'!$I:$I,MATCH($A38,'Shooter-Squad Assignment'!$A:$A,0))=1,O38&amp;"-"&amp;1,"")),"")</f>
        <v/>
      </c>
      <c r="R38" t="str">
        <f>IF(ISBLANK($O38),"",IFERROR(INDEX('Squad Listing'!$C:$C,MATCH($O38,'Squad Listing'!$A:$A,0)),""))</f>
        <v/>
      </c>
      <c r="S38" t="str">
        <f>IF(ISBLANK($O38),"",IFERROR(INDEX('Squad Listing'!$D:$D,MATCH($O38,'Squad Listing'!$A:$A,0)),""))</f>
        <v/>
      </c>
      <c r="T38" s="129" t="str">
        <f t="shared" si="1"/>
        <v/>
      </c>
      <c r="U38" s="129">
        <f t="shared" si="2"/>
        <v>63</v>
      </c>
      <c r="W38" s="1" t="s">
        <v>122</v>
      </c>
      <c r="Y38">
        <f t="shared" si="3"/>
        <v>32</v>
      </c>
      <c r="Z38" s="129">
        <f t="shared" si="4"/>
        <v>63</v>
      </c>
      <c r="AB38">
        <v>15</v>
      </c>
      <c r="AC38">
        <v>16</v>
      </c>
      <c r="AD38">
        <v>18</v>
      </c>
      <c r="AE38">
        <v>14</v>
      </c>
      <c r="AK38" t="str">
        <f>IFERROR(IF(INDEX('Shooter-Squad Assignment'!$X:$X,MATCH($A38,'Shooter-Squad Assignment'!$A:$A,0))="","",INDEX('Shooter-Squad Assignment'!$X:$X,MATCH($A38,'Shooter-Squad Assignment'!$A:$A,0))),"")</f>
        <v/>
      </c>
      <c r="AL38" t="str">
        <f>IF(ISBLANK($AK38),"",IFERROR(INDEX('Squad Listing'!$C:$C,MATCH($AK38,'Squad Listing'!$A:$A,0)),""))</f>
        <v/>
      </c>
      <c r="AM38" t="str">
        <f>IF(ISBLANK($AK38),"",IFERROR(INDEX('Squad Listing'!$D:$D,MATCH($AK38,'Squad Listing'!$A:$A,0)),""))</f>
        <v/>
      </c>
      <c r="AN38" s="1" t="s">
        <v>122</v>
      </c>
      <c r="AP38" t="str">
        <f t="shared" si="5"/>
        <v/>
      </c>
      <c r="AQ38" t="str">
        <f t="shared" si="6"/>
        <v/>
      </c>
      <c r="AX38" t="str">
        <f>IFERROR(IF(INDEX('Shooter-Squad Assignment'!$AA:$AA,MATCH($A38,'Shooter-Squad Assignment'!$A:$A,0))="","",INDEX('Shooter-Squad Assignment'!$AA:$AA,MATCH($A38,'Shooter-Squad Assignment'!$A:$A,0))),"")</f>
        <v/>
      </c>
      <c r="AY38" t="str">
        <f>IF(ISBLANK($AX38),"",IFERROR(INDEX('Squad Listing'!$C:$C,MATCH($AX38,'Squad Listing'!$A:$A,0)),""))</f>
        <v/>
      </c>
      <c r="AZ38" t="str">
        <f>IF(ISBLANK($AX38),"",IFERROR(INDEX('Squad Listing'!$D:$D,MATCH($AX38,'Squad Listing'!$A:$A,0)),""))</f>
        <v/>
      </c>
      <c r="BA38" s="1" t="s">
        <v>122</v>
      </c>
      <c r="BC38" t="str">
        <f t="shared" si="7"/>
        <v/>
      </c>
      <c r="BD38" t="str">
        <f t="shared" si="8"/>
        <v/>
      </c>
    </row>
    <row r="39" spans="1:56" x14ac:dyDescent="0.3">
      <c r="A39" t="s">
        <v>44</v>
      </c>
      <c r="B39" t="s">
        <v>68</v>
      </c>
      <c r="C39" t="s">
        <v>92</v>
      </c>
      <c r="D39" t="str">
        <f t="shared" si="0"/>
        <v>James Last Name8</v>
      </c>
      <c r="F39" s="1" t="s">
        <v>125</v>
      </c>
      <c r="G39" s="1" t="s">
        <v>326</v>
      </c>
      <c r="H39" s="1" t="s">
        <v>326</v>
      </c>
      <c r="I39" s="1" t="s">
        <v>326</v>
      </c>
      <c r="J39" s="10">
        <f>IF(G39="Y",'Tournament Setup'!$C$2,0)+IF(H39="Y",'Tournament Setup'!$C$3,0)+IF(I39="Y",'Tournament Setup'!$C$4,0)</f>
        <v>120</v>
      </c>
      <c r="K39" s="1"/>
      <c r="L39" t="s">
        <v>320</v>
      </c>
      <c r="M39" t="s">
        <v>118</v>
      </c>
      <c r="O39" s="1">
        <f>IFERROR(IF(INDEX('Shooter-Squad Assignment'!$T:$T,MATCH($A39,'Shooter-Squad Assignment'!$A:$A,0))="","",INDEX('Shooter-Squad Assignment'!$T:$T,MATCH($A39,'Shooter-Squad Assignment'!$A:$A,0))),"")</f>
        <v>70</v>
      </c>
      <c r="P39" s="1" t="str">
        <f>IFERROR(IF(INDEX('Shooter-Squad Assignment'!$U:$U,MATCH($A39,'Shooter-Squad Assignment'!$A:$A,0))="","",INDEX('Shooter-Squad Assignment'!$U:$U,MATCH($A39,'Shooter-Squad Assignment'!$A:$A,0))),"")</f>
        <v>70-2</v>
      </c>
      <c r="Q39" s="1" t="str">
        <f>IFERROR(IF(INDEX('Shooter-Squad Assignment'!$I:$I,MATCH($A39,'Shooter-Squad Assignment'!$A:$A,0))="","",IF(INDEX('Shooter-Squad Assignment'!$I:$I,MATCH($A39,'Shooter-Squad Assignment'!$A:$A,0))=1,O39&amp;"-"&amp;1,"")),"")</f>
        <v/>
      </c>
      <c r="R39" t="str">
        <f>IF(ISBLANK($O39),"",IFERROR(INDEX('Squad Listing'!$C:$C,MATCH($O39,'Squad Listing'!$A:$A,0)),""))</f>
        <v>Rocky Mountain Clay Busters</v>
      </c>
      <c r="S39" t="str">
        <f>IF(ISBLANK($O39),"",IFERROR(INDEX('Squad Listing'!$D:$D,MATCH($O39,'Squad Listing'!$A:$A,0)),""))</f>
        <v>Junior Varsity 1</v>
      </c>
      <c r="T39" s="129" t="str">
        <f t="shared" si="1"/>
        <v/>
      </c>
      <c r="U39" s="129">
        <f t="shared" si="2"/>
        <v>64</v>
      </c>
      <c r="W39" s="1" t="s">
        <v>123</v>
      </c>
      <c r="Y39">
        <f t="shared" si="3"/>
        <v>30</v>
      </c>
      <c r="Z39" s="129">
        <f t="shared" si="4"/>
        <v>64</v>
      </c>
      <c r="AB39">
        <v>13</v>
      </c>
      <c r="AC39">
        <v>15</v>
      </c>
      <c r="AD39">
        <v>17</v>
      </c>
      <c r="AE39">
        <v>19</v>
      </c>
      <c r="AK39" t="str">
        <f>IFERROR(IF(INDEX('Shooter-Squad Assignment'!$X:$X,MATCH($A39,'Shooter-Squad Assignment'!$A:$A,0))="","",INDEX('Shooter-Squad Assignment'!$X:$X,MATCH($A39,'Shooter-Squad Assignment'!$A:$A,0))),"")</f>
        <v/>
      </c>
      <c r="AL39" t="str">
        <f>IF(ISBLANK($AK39),"",IFERROR(INDEX('Squad Listing'!$C:$C,MATCH($AK39,'Squad Listing'!$A:$A,0)),""))</f>
        <v/>
      </c>
      <c r="AM39" t="str">
        <f>IF(ISBLANK($AK39),"",IFERROR(INDEX('Squad Listing'!$D:$D,MATCH($AK39,'Squad Listing'!$A:$A,0)),""))</f>
        <v/>
      </c>
      <c r="AN39" s="1" t="s">
        <v>123</v>
      </c>
      <c r="AP39" t="str">
        <f t="shared" si="5"/>
        <v/>
      </c>
      <c r="AQ39" t="str">
        <f t="shared" si="6"/>
        <v/>
      </c>
      <c r="AX39" t="str">
        <f>IFERROR(IF(INDEX('Shooter-Squad Assignment'!$AA:$AA,MATCH($A39,'Shooter-Squad Assignment'!$A:$A,0))="","",INDEX('Shooter-Squad Assignment'!$AA:$AA,MATCH($A39,'Shooter-Squad Assignment'!$A:$A,0))),"")</f>
        <v/>
      </c>
      <c r="AY39" t="str">
        <f>IF(ISBLANK($AX39),"",IFERROR(INDEX('Squad Listing'!$C:$C,MATCH($AX39,'Squad Listing'!$A:$A,0)),""))</f>
        <v/>
      </c>
      <c r="AZ39" t="str">
        <f>IF(ISBLANK($AX39),"",IFERROR(INDEX('Squad Listing'!$D:$D,MATCH($AX39,'Squad Listing'!$A:$A,0)),""))</f>
        <v/>
      </c>
      <c r="BA39" s="1" t="s">
        <v>123</v>
      </c>
      <c r="BC39" t="str">
        <f t="shared" si="7"/>
        <v/>
      </c>
      <c r="BD39" t="str">
        <f t="shared" si="8"/>
        <v/>
      </c>
    </row>
    <row r="40" spans="1:56" x14ac:dyDescent="0.3">
      <c r="A40" t="s">
        <v>56</v>
      </c>
      <c r="B40" t="s">
        <v>80</v>
      </c>
      <c r="C40" t="s">
        <v>104</v>
      </c>
      <c r="D40" t="str">
        <f t="shared" si="0"/>
        <v>Chris Last Name20</v>
      </c>
      <c r="F40" s="1" t="s">
        <v>125</v>
      </c>
      <c r="G40" s="1" t="s">
        <v>326</v>
      </c>
      <c r="H40" s="1" t="s">
        <v>326</v>
      </c>
      <c r="I40" s="1" t="s">
        <v>326</v>
      </c>
      <c r="J40" s="10">
        <f>IF(G40="Y",'Tournament Setup'!$C$2,0)+IF(H40="Y",'Tournament Setup'!$C$3,0)+IF(I40="Y",'Tournament Setup'!$C$4,0)</f>
        <v>120</v>
      </c>
      <c r="K40" s="1"/>
      <c r="L40" t="s">
        <v>320</v>
      </c>
      <c r="M40" t="s">
        <v>118</v>
      </c>
      <c r="O40" s="1" t="str">
        <f>IFERROR(IF(INDEX('Shooter-Squad Assignment'!$T:$T,MATCH($A40,'Shooter-Squad Assignment'!$A:$A,0))="","",INDEX('Shooter-Squad Assignment'!$T:$T,MATCH($A40,'Shooter-Squad Assignment'!$A:$A,0))),"")</f>
        <v/>
      </c>
      <c r="P40" s="1" t="str">
        <f>IFERROR(IF(INDEX('Shooter-Squad Assignment'!$U:$U,MATCH($A40,'Shooter-Squad Assignment'!$A:$A,0))="","",INDEX('Shooter-Squad Assignment'!$U:$U,MATCH($A40,'Shooter-Squad Assignment'!$A:$A,0))),"")</f>
        <v/>
      </c>
      <c r="Q40" s="1" t="str">
        <f>IFERROR(IF(INDEX('Shooter-Squad Assignment'!$I:$I,MATCH($A40,'Shooter-Squad Assignment'!$A:$A,0))="","",IF(INDEX('Shooter-Squad Assignment'!$I:$I,MATCH($A40,'Shooter-Squad Assignment'!$A:$A,0))=1,O40&amp;"-"&amp;1,"")),"")</f>
        <v/>
      </c>
      <c r="R40" t="str">
        <f>IF(ISBLANK($O40),"",IFERROR(INDEX('Squad Listing'!$C:$C,MATCH($O40,'Squad Listing'!$A:$A,0)),""))</f>
        <v/>
      </c>
      <c r="S40" t="str">
        <f>IF(ISBLANK($O40),"",IFERROR(INDEX('Squad Listing'!$D:$D,MATCH($O40,'Squad Listing'!$A:$A,0)),""))</f>
        <v/>
      </c>
      <c r="T40" s="129" t="str">
        <f t="shared" si="1"/>
        <v/>
      </c>
      <c r="U40" s="129">
        <f t="shared" si="2"/>
        <v>32</v>
      </c>
      <c r="W40" s="1" t="s">
        <v>122</v>
      </c>
      <c r="Y40">
        <f t="shared" si="3"/>
        <v>46</v>
      </c>
      <c r="Z40" s="129">
        <f t="shared" si="4"/>
        <v>32</v>
      </c>
      <c r="AB40">
        <v>5</v>
      </c>
      <c r="AC40">
        <v>8</v>
      </c>
      <c r="AD40">
        <v>9</v>
      </c>
      <c r="AE40">
        <v>10</v>
      </c>
      <c r="AK40" t="str">
        <f>IFERROR(IF(INDEX('Shooter-Squad Assignment'!$X:$X,MATCH($A40,'Shooter-Squad Assignment'!$A:$A,0))="","",INDEX('Shooter-Squad Assignment'!$X:$X,MATCH($A40,'Shooter-Squad Assignment'!$A:$A,0))),"")</f>
        <v/>
      </c>
      <c r="AL40" t="str">
        <f>IF(ISBLANK($AK40),"",IFERROR(INDEX('Squad Listing'!$C:$C,MATCH($AK40,'Squad Listing'!$A:$A,0)),""))</f>
        <v/>
      </c>
      <c r="AM40" t="str">
        <f>IF(ISBLANK($AK40),"",IFERROR(INDEX('Squad Listing'!$D:$D,MATCH($AK40,'Squad Listing'!$A:$A,0)),""))</f>
        <v/>
      </c>
      <c r="AN40" s="1" t="s">
        <v>122</v>
      </c>
      <c r="AP40" t="str">
        <f t="shared" si="5"/>
        <v/>
      </c>
      <c r="AQ40" t="str">
        <f t="shared" si="6"/>
        <v/>
      </c>
      <c r="AX40" t="str">
        <f>IFERROR(IF(INDEX('Shooter-Squad Assignment'!$AA:$AA,MATCH($A40,'Shooter-Squad Assignment'!$A:$A,0))="","",INDEX('Shooter-Squad Assignment'!$AA:$AA,MATCH($A40,'Shooter-Squad Assignment'!$A:$A,0))),"")</f>
        <v/>
      </c>
      <c r="AY40" t="str">
        <f>IF(ISBLANK($AX40),"",IFERROR(INDEX('Squad Listing'!$C:$C,MATCH($AX40,'Squad Listing'!$A:$A,0)),""))</f>
        <v/>
      </c>
      <c r="AZ40" t="str">
        <f>IF(ISBLANK($AX40),"",IFERROR(INDEX('Squad Listing'!$D:$D,MATCH($AX40,'Squad Listing'!$A:$A,0)),""))</f>
        <v/>
      </c>
      <c r="BA40" s="1" t="s">
        <v>122</v>
      </c>
      <c r="BC40" t="str">
        <f t="shared" si="7"/>
        <v/>
      </c>
      <c r="BD40" t="str">
        <f t="shared" si="8"/>
        <v/>
      </c>
    </row>
    <row r="41" spans="1:56" x14ac:dyDescent="0.3">
      <c r="A41" t="s">
        <v>182</v>
      </c>
      <c r="B41" t="s">
        <v>205</v>
      </c>
      <c r="C41" t="s">
        <v>228</v>
      </c>
      <c r="D41" t="str">
        <f t="shared" si="0"/>
        <v>Gary Last Name26</v>
      </c>
      <c r="F41" s="1" t="s">
        <v>125</v>
      </c>
      <c r="G41" s="1" t="s">
        <v>326</v>
      </c>
      <c r="H41" s="1" t="s">
        <v>326</v>
      </c>
      <c r="I41" s="1" t="s">
        <v>326</v>
      </c>
      <c r="J41" s="10">
        <f>IF(G41="Y",'Tournament Setup'!$C$2,0)+IF(H41="Y",'Tournament Setup'!$C$3,0)+IF(I41="Y",'Tournament Setup'!$C$4,0)</f>
        <v>120</v>
      </c>
      <c r="K41" s="1"/>
      <c r="L41" t="s">
        <v>320</v>
      </c>
      <c r="M41" t="s">
        <v>118</v>
      </c>
      <c r="O41" s="1">
        <f>IFERROR(IF(INDEX('Shooter-Squad Assignment'!$T:$T,MATCH($A41,'Shooter-Squad Assignment'!$A:$A,0))="","",INDEX('Shooter-Squad Assignment'!$T:$T,MATCH($A41,'Shooter-Squad Assignment'!$A:$A,0))),"")</f>
        <v>70</v>
      </c>
      <c r="P41" s="1" t="str">
        <f>IFERROR(IF(INDEX('Shooter-Squad Assignment'!$U:$U,MATCH($A41,'Shooter-Squad Assignment'!$A:$A,0))="","",INDEX('Shooter-Squad Assignment'!$U:$U,MATCH($A41,'Shooter-Squad Assignment'!$A:$A,0))),"")</f>
        <v>70-1</v>
      </c>
      <c r="Q41" s="1" t="str">
        <f>IFERROR(IF(INDEX('Shooter-Squad Assignment'!$I:$I,MATCH($A41,'Shooter-Squad Assignment'!$A:$A,0))="","",IF(INDEX('Shooter-Squad Assignment'!$I:$I,MATCH($A41,'Shooter-Squad Assignment'!$A:$A,0))=1,O41&amp;"-"&amp;1,"")),"")</f>
        <v>70-1</v>
      </c>
      <c r="R41" t="str">
        <f>IF(ISBLANK($O41),"",IFERROR(INDEX('Squad Listing'!$C:$C,MATCH($O41,'Squad Listing'!$A:$A,0)),""))</f>
        <v>Rocky Mountain Clay Busters</v>
      </c>
      <c r="S41" t="str">
        <f>IF(ISBLANK($O41),"",IFERROR(INDEX('Squad Listing'!$D:$D,MATCH($O41,'Squad Listing'!$A:$A,0)),""))</f>
        <v>Junior Varsity 1</v>
      </c>
      <c r="T41" s="129">
        <f t="shared" si="1"/>
        <v>239</v>
      </c>
      <c r="U41" s="129">
        <f t="shared" si="2"/>
        <v>86</v>
      </c>
      <c r="W41" s="1" t="s">
        <v>122</v>
      </c>
      <c r="Y41">
        <f t="shared" si="3"/>
        <v>12</v>
      </c>
      <c r="Z41" s="129">
        <f t="shared" si="4"/>
        <v>86</v>
      </c>
      <c r="AB41">
        <v>23</v>
      </c>
      <c r="AC41">
        <v>21</v>
      </c>
      <c r="AD41">
        <v>22</v>
      </c>
      <c r="AE41">
        <v>20</v>
      </c>
      <c r="AK41" t="str">
        <f>IFERROR(IF(INDEX('Shooter-Squad Assignment'!$X:$X,MATCH($A41,'Shooter-Squad Assignment'!$A:$A,0))="","",INDEX('Shooter-Squad Assignment'!$X:$X,MATCH($A41,'Shooter-Squad Assignment'!$A:$A,0))),"")</f>
        <v/>
      </c>
      <c r="AL41" t="str">
        <f>IF(ISBLANK($AK41),"",IFERROR(INDEX('Squad Listing'!$C:$C,MATCH($AK41,'Squad Listing'!$A:$A,0)),""))</f>
        <v/>
      </c>
      <c r="AM41" t="str">
        <f>IF(ISBLANK($AK41),"",IFERROR(INDEX('Squad Listing'!$D:$D,MATCH($AK41,'Squad Listing'!$A:$A,0)),""))</f>
        <v/>
      </c>
      <c r="AP41" t="str">
        <f t="shared" si="5"/>
        <v/>
      </c>
      <c r="AQ41" t="str">
        <f t="shared" si="6"/>
        <v/>
      </c>
      <c r="AX41" t="str">
        <f>IFERROR(IF(INDEX('Shooter-Squad Assignment'!$AA:$AA,MATCH($A41,'Shooter-Squad Assignment'!$A:$A,0))="","",INDEX('Shooter-Squad Assignment'!$AA:$AA,MATCH($A41,'Shooter-Squad Assignment'!$A:$A,0))),"")</f>
        <v/>
      </c>
      <c r="AY41" t="str">
        <f>IF(ISBLANK($AX41),"",IFERROR(INDEX('Squad Listing'!$C:$C,MATCH($AX41,'Squad Listing'!$A:$A,0)),""))</f>
        <v/>
      </c>
      <c r="AZ41" t="str">
        <f>IF(ISBLANK($AX41),"",IFERROR(INDEX('Squad Listing'!$D:$D,MATCH($AX41,'Squad Listing'!$A:$A,0)),""))</f>
        <v/>
      </c>
      <c r="BC41" t="str">
        <f t="shared" si="7"/>
        <v/>
      </c>
      <c r="BD41" t="str">
        <f t="shared" si="8"/>
        <v/>
      </c>
    </row>
    <row r="42" spans="1:56" x14ac:dyDescent="0.3">
      <c r="A42" t="s">
        <v>194</v>
      </c>
      <c r="B42" t="s">
        <v>217</v>
      </c>
      <c r="C42" t="s">
        <v>240</v>
      </c>
      <c r="D42" t="str">
        <f t="shared" si="0"/>
        <v>Stuart Last Name38</v>
      </c>
      <c r="F42" s="1" t="s">
        <v>125</v>
      </c>
      <c r="G42" s="1" t="s">
        <v>326</v>
      </c>
      <c r="H42" s="1" t="s">
        <v>326</v>
      </c>
      <c r="I42" s="1" t="s">
        <v>326</v>
      </c>
      <c r="J42" s="10">
        <f>IF(G42="Y",'Tournament Setup'!$C$2,0)+IF(H42="Y",'Tournament Setup'!$C$3,0)+IF(I42="Y",'Tournament Setup'!$C$4,0)</f>
        <v>120</v>
      </c>
      <c r="K42" s="1"/>
      <c r="L42" t="s">
        <v>320</v>
      </c>
      <c r="M42" t="s">
        <v>118</v>
      </c>
      <c r="O42" s="1">
        <f>IFERROR(IF(INDEX('Shooter-Squad Assignment'!$T:$T,MATCH($A42,'Shooter-Squad Assignment'!$A:$A,0))="","",INDEX('Shooter-Squad Assignment'!$T:$T,MATCH($A42,'Shooter-Squad Assignment'!$A:$A,0))),"")</f>
        <v>70</v>
      </c>
      <c r="P42" s="1" t="str">
        <f>IFERROR(IF(INDEX('Shooter-Squad Assignment'!$U:$U,MATCH($A42,'Shooter-Squad Assignment'!$A:$A,0))="","",INDEX('Shooter-Squad Assignment'!$U:$U,MATCH($A42,'Shooter-Squad Assignment'!$A:$A,0))),"")</f>
        <v>70-3</v>
      </c>
      <c r="Q42" s="1" t="str">
        <f>IFERROR(IF(INDEX('Shooter-Squad Assignment'!$I:$I,MATCH($A42,'Shooter-Squad Assignment'!$A:$A,0))="","",IF(INDEX('Shooter-Squad Assignment'!$I:$I,MATCH($A42,'Shooter-Squad Assignment'!$A:$A,0))=1,O42&amp;"-"&amp;1,"")),"")</f>
        <v/>
      </c>
      <c r="R42" t="str">
        <f>IF(ISBLANK($O42),"",IFERROR(INDEX('Squad Listing'!$C:$C,MATCH($O42,'Squad Listing'!$A:$A,0)),""))</f>
        <v>Rocky Mountain Clay Busters</v>
      </c>
      <c r="S42" t="str">
        <f>IF(ISBLANK($O42),"",IFERROR(INDEX('Squad Listing'!$D:$D,MATCH($O42,'Squad Listing'!$A:$A,0)),""))</f>
        <v>Junior Varsity 1</v>
      </c>
      <c r="T42" s="129" t="str">
        <f t="shared" si="1"/>
        <v/>
      </c>
      <c r="U42" s="129">
        <f t="shared" si="2"/>
        <v>89</v>
      </c>
      <c r="W42" s="1" t="s">
        <v>122</v>
      </c>
      <c r="Y42">
        <f t="shared" si="3"/>
        <v>9</v>
      </c>
      <c r="Z42" s="129">
        <f t="shared" si="4"/>
        <v>89</v>
      </c>
      <c r="AB42">
        <v>23</v>
      </c>
      <c r="AC42">
        <v>23</v>
      </c>
      <c r="AD42">
        <v>23</v>
      </c>
      <c r="AE42">
        <v>20</v>
      </c>
      <c r="AK42" t="str">
        <f>IFERROR(IF(INDEX('Shooter-Squad Assignment'!$X:$X,MATCH($A42,'Shooter-Squad Assignment'!$A:$A,0))="","",INDEX('Shooter-Squad Assignment'!$X:$X,MATCH($A42,'Shooter-Squad Assignment'!$A:$A,0))),"")</f>
        <v/>
      </c>
      <c r="AL42" t="str">
        <f>IF(ISBLANK($AK42),"",IFERROR(INDEX('Squad Listing'!$C:$C,MATCH($AK42,'Squad Listing'!$A:$A,0)),""))</f>
        <v/>
      </c>
      <c r="AM42" t="str">
        <f>IF(ISBLANK($AK42),"",IFERROR(INDEX('Squad Listing'!$D:$D,MATCH($AK42,'Squad Listing'!$A:$A,0)),""))</f>
        <v/>
      </c>
      <c r="AP42" t="str">
        <f t="shared" si="5"/>
        <v/>
      </c>
      <c r="AQ42" t="str">
        <f t="shared" si="6"/>
        <v/>
      </c>
      <c r="AX42" t="str">
        <f>IFERROR(IF(INDEX('Shooter-Squad Assignment'!$AA:$AA,MATCH($A42,'Shooter-Squad Assignment'!$A:$A,0))="","",INDEX('Shooter-Squad Assignment'!$AA:$AA,MATCH($A42,'Shooter-Squad Assignment'!$A:$A,0))),"")</f>
        <v/>
      </c>
      <c r="AY42" t="str">
        <f>IF(ISBLANK($AX42),"",IFERROR(INDEX('Squad Listing'!$C:$C,MATCH($AX42,'Squad Listing'!$A:$A,0)),""))</f>
        <v/>
      </c>
      <c r="AZ42" t="str">
        <f>IF(ISBLANK($AX42),"",IFERROR(INDEX('Squad Listing'!$D:$D,MATCH($AX42,'Squad Listing'!$A:$A,0)),""))</f>
        <v/>
      </c>
      <c r="BC42" t="str">
        <f t="shared" si="7"/>
        <v/>
      </c>
      <c r="BD42" t="str">
        <f t="shared" si="8"/>
        <v/>
      </c>
    </row>
    <row r="43" spans="1:56" x14ac:dyDescent="0.3">
      <c r="A43" t="s">
        <v>51</v>
      </c>
      <c r="B43" t="s">
        <v>75</v>
      </c>
      <c r="C43" t="s">
        <v>99</v>
      </c>
      <c r="D43" t="str">
        <f t="shared" si="0"/>
        <v>Daniel Last Name15</v>
      </c>
      <c r="F43" s="1" t="s">
        <v>125</v>
      </c>
      <c r="G43" s="1" t="s">
        <v>326</v>
      </c>
      <c r="H43" s="1" t="s">
        <v>326</v>
      </c>
      <c r="I43" s="1" t="s">
        <v>326</v>
      </c>
      <c r="J43" s="10">
        <f>IF(G43="Y",'Tournament Setup'!$C$2,0)+IF(H43="Y",'Tournament Setup'!$C$3,0)+IF(I43="Y",'Tournament Setup'!$C$4,0)</f>
        <v>120</v>
      </c>
      <c r="K43" s="1"/>
      <c r="L43" t="s">
        <v>321</v>
      </c>
      <c r="M43" t="s">
        <v>120</v>
      </c>
      <c r="O43" s="1">
        <f>IFERROR(IF(INDEX('Shooter-Squad Assignment'!$T:$T,MATCH($A43,'Shooter-Squad Assignment'!$A:$A,0))="","",INDEX('Shooter-Squad Assignment'!$T:$T,MATCH($A43,'Shooter-Squad Assignment'!$A:$A,0))),"")</f>
        <v>118</v>
      </c>
      <c r="P43" s="1" t="str">
        <f>IFERROR(IF(INDEX('Shooter-Squad Assignment'!$U:$U,MATCH($A43,'Shooter-Squad Assignment'!$A:$A,0))="","",INDEX('Shooter-Squad Assignment'!$U:$U,MATCH($A43,'Shooter-Squad Assignment'!$A:$A,0))),"")</f>
        <v>118-3</v>
      </c>
      <c r="Q43" s="1" t="str">
        <f>IFERROR(IF(INDEX('Shooter-Squad Assignment'!$I:$I,MATCH($A43,'Shooter-Squad Assignment'!$A:$A,0))="","",IF(INDEX('Shooter-Squad Assignment'!$I:$I,MATCH($A43,'Shooter-Squad Assignment'!$A:$A,0))=1,O43&amp;"-"&amp;1,"")),"")</f>
        <v/>
      </c>
      <c r="R43" t="str">
        <f>IF(ISBLANK($O43),"",IFERROR(INDEX('Squad Listing'!$C:$C,MATCH($O43,'Squad Listing'!$A:$A,0)),""))</f>
        <v>Wiggins Tigers Sporting Club</v>
      </c>
      <c r="S43" t="str">
        <f>IF(ISBLANK($O43),"",IFERROR(INDEX('Squad Listing'!$D:$D,MATCH($O43,'Squad Listing'!$A:$A,0)),""))</f>
        <v>Collegiate 1</v>
      </c>
      <c r="T43" s="129" t="str">
        <f t="shared" si="1"/>
        <v/>
      </c>
      <c r="U43" s="129">
        <f t="shared" si="2"/>
        <v>89</v>
      </c>
      <c r="W43" s="1" t="s">
        <v>122</v>
      </c>
      <c r="Y43">
        <f t="shared" si="3"/>
        <v>8</v>
      </c>
      <c r="Z43" s="129">
        <f t="shared" si="4"/>
        <v>89.1</v>
      </c>
      <c r="AA43" s="129">
        <v>0.1</v>
      </c>
      <c r="AB43">
        <v>24</v>
      </c>
      <c r="AC43">
        <v>22</v>
      </c>
      <c r="AD43">
        <v>20</v>
      </c>
      <c r="AE43">
        <v>23</v>
      </c>
      <c r="AK43" t="str">
        <f>IFERROR(IF(INDEX('Shooter-Squad Assignment'!$X:$X,MATCH($A43,'Shooter-Squad Assignment'!$A:$A,0))="","",INDEX('Shooter-Squad Assignment'!$X:$X,MATCH($A43,'Shooter-Squad Assignment'!$A:$A,0))),"")</f>
        <v/>
      </c>
      <c r="AL43" t="str">
        <f>IF(ISBLANK($AK43),"",IFERROR(INDEX('Squad Listing'!$C:$C,MATCH($AK43,'Squad Listing'!$A:$A,0)),""))</f>
        <v/>
      </c>
      <c r="AM43" t="str">
        <f>IF(ISBLANK($AK43),"",IFERROR(INDEX('Squad Listing'!$D:$D,MATCH($AK43,'Squad Listing'!$A:$A,0)),""))</f>
        <v/>
      </c>
      <c r="AN43" s="1" t="s">
        <v>122</v>
      </c>
      <c r="AP43" t="str">
        <f t="shared" si="5"/>
        <v/>
      </c>
      <c r="AQ43" t="str">
        <f t="shared" si="6"/>
        <v/>
      </c>
      <c r="AX43" t="str">
        <f>IFERROR(IF(INDEX('Shooter-Squad Assignment'!$AA:$AA,MATCH($A43,'Shooter-Squad Assignment'!$A:$A,0))="","",INDEX('Shooter-Squad Assignment'!$AA:$AA,MATCH($A43,'Shooter-Squad Assignment'!$A:$A,0))),"")</f>
        <v/>
      </c>
      <c r="AY43" t="str">
        <f>IF(ISBLANK($AX43),"",IFERROR(INDEX('Squad Listing'!$C:$C,MATCH($AX43,'Squad Listing'!$A:$A,0)),""))</f>
        <v/>
      </c>
      <c r="AZ43" t="str">
        <f>IF(ISBLANK($AX43),"",IFERROR(INDEX('Squad Listing'!$D:$D,MATCH($AX43,'Squad Listing'!$A:$A,0)),""))</f>
        <v/>
      </c>
      <c r="BA43" s="1" t="s">
        <v>122</v>
      </c>
      <c r="BC43" t="str">
        <f t="shared" si="7"/>
        <v/>
      </c>
      <c r="BD43" t="str">
        <f t="shared" si="8"/>
        <v/>
      </c>
    </row>
    <row r="44" spans="1:56" x14ac:dyDescent="0.3">
      <c r="A44" t="s">
        <v>183</v>
      </c>
      <c r="B44" t="s">
        <v>206</v>
      </c>
      <c r="C44" t="s">
        <v>229</v>
      </c>
      <c r="D44" t="str">
        <f t="shared" si="0"/>
        <v>Becky Last Name27</v>
      </c>
      <c r="F44" s="1" t="s">
        <v>126</v>
      </c>
      <c r="G44" s="1" t="s">
        <v>326</v>
      </c>
      <c r="H44" s="1" t="s">
        <v>326</v>
      </c>
      <c r="I44" s="1" t="s">
        <v>326</v>
      </c>
      <c r="J44" s="10">
        <f>IF(G44="Y",'Tournament Setup'!$C$2,0)+IF(H44="Y",'Tournament Setup'!$C$3,0)+IF(I44="Y",'Tournament Setup'!$C$4,0)</f>
        <v>120</v>
      </c>
      <c r="K44" s="1"/>
      <c r="L44" t="s">
        <v>321</v>
      </c>
      <c r="M44" t="s">
        <v>120</v>
      </c>
      <c r="O44" s="1">
        <f>IFERROR(IF(INDEX('Shooter-Squad Assignment'!$T:$T,MATCH($A44,'Shooter-Squad Assignment'!$A:$A,0))="","",INDEX('Shooter-Squad Assignment'!$T:$T,MATCH($A44,'Shooter-Squad Assignment'!$A:$A,0))),"")</f>
        <v>118</v>
      </c>
      <c r="P44" s="1" t="str">
        <f>IFERROR(IF(INDEX('Shooter-Squad Assignment'!$U:$U,MATCH($A44,'Shooter-Squad Assignment'!$A:$A,0))="","",INDEX('Shooter-Squad Assignment'!$U:$U,MATCH($A44,'Shooter-Squad Assignment'!$A:$A,0))),"")</f>
        <v>118-2</v>
      </c>
      <c r="Q44" s="1" t="str">
        <f>IFERROR(IF(INDEX('Shooter-Squad Assignment'!$I:$I,MATCH($A44,'Shooter-Squad Assignment'!$A:$A,0))="","",IF(INDEX('Shooter-Squad Assignment'!$I:$I,MATCH($A44,'Shooter-Squad Assignment'!$A:$A,0))=1,O44&amp;"-"&amp;1,"")),"")</f>
        <v/>
      </c>
      <c r="R44" t="str">
        <f>IF(ISBLANK($O44),"",IFERROR(INDEX('Squad Listing'!$C:$C,MATCH($O44,'Squad Listing'!$A:$A,0)),""))</f>
        <v>Wiggins Tigers Sporting Club</v>
      </c>
      <c r="S44" t="str">
        <f>IF(ISBLANK($O44),"",IFERROR(INDEX('Squad Listing'!$D:$D,MATCH($O44,'Squad Listing'!$A:$A,0)),""))</f>
        <v>Collegiate 1</v>
      </c>
      <c r="T44" s="129" t="str">
        <f t="shared" si="1"/>
        <v/>
      </c>
      <c r="U44" s="129">
        <f t="shared" si="2"/>
        <v>45</v>
      </c>
      <c r="W44" s="1" t="s">
        <v>123</v>
      </c>
      <c r="Y44">
        <f t="shared" si="3"/>
        <v>43</v>
      </c>
      <c r="Z44" s="129">
        <f t="shared" si="4"/>
        <v>45</v>
      </c>
      <c r="AB44">
        <v>9</v>
      </c>
      <c r="AC44">
        <v>10</v>
      </c>
      <c r="AD44">
        <v>11</v>
      </c>
      <c r="AE44">
        <v>15</v>
      </c>
      <c r="AK44" t="str">
        <f>IFERROR(IF(INDEX('Shooter-Squad Assignment'!$X:$X,MATCH($A44,'Shooter-Squad Assignment'!$A:$A,0))="","",INDEX('Shooter-Squad Assignment'!$X:$X,MATCH($A44,'Shooter-Squad Assignment'!$A:$A,0))),"")</f>
        <v/>
      </c>
      <c r="AL44" t="str">
        <f>IF(ISBLANK($AK44),"",IFERROR(INDEX('Squad Listing'!$C:$C,MATCH($AK44,'Squad Listing'!$A:$A,0)),""))</f>
        <v/>
      </c>
      <c r="AM44" t="str">
        <f>IF(ISBLANK($AK44),"",IFERROR(INDEX('Squad Listing'!$D:$D,MATCH($AK44,'Squad Listing'!$A:$A,0)),""))</f>
        <v/>
      </c>
      <c r="AP44" t="str">
        <f t="shared" si="5"/>
        <v/>
      </c>
      <c r="AQ44" t="str">
        <f t="shared" si="6"/>
        <v/>
      </c>
      <c r="AX44" t="str">
        <f>IFERROR(IF(INDEX('Shooter-Squad Assignment'!$AA:$AA,MATCH($A44,'Shooter-Squad Assignment'!$A:$A,0))="","",INDEX('Shooter-Squad Assignment'!$AA:$AA,MATCH($A44,'Shooter-Squad Assignment'!$A:$A,0))),"")</f>
        <v/>
      </c>
      <c r="AY44" t="str">
        <f>IF(ISBLANK($AX44),"",IFERROR(INDEX('Squad Listing'!$C:$C,MATCH($AX44,'Squad Listing'!$A:$A,0)),""))</f>
        <v/>
      </c>
      <c r="AZ44" t="str">
        <f>IF(ISBLANK($AX44),"",IFERROR(INDEX('Squad Listing'!$D:$D,MATCH($AX44,'Squad Listing'!$A:$A,0)),""))</f>
        <v/>
      </c>
      <c r="BC44" t="str">
        <f t="shared" si="7"/>
        <v/>
      </c>
      <c r="BD44" t="str">
        <f t="shared" si="8"/>
        <v/>
      </c>
    </row>
    <row r="45" spans="1:56" x14ac:dyDescent="0.3">
      <c r="A45" t="s">
        <v>195</v>
      </c>
      <c r="B45" t="s">
        <v>218</v>
      </c>
      <c r="C45" t="s">
        <v>241</v>
      </c>
      <c r="D45" t="str">
        <f t="shared" si="0"/>
        <v>Chad Last Name39</v>
      </c>
      <c r="F45" s="1" t="s">
        <v>125</v>
      </c>
      <c r="G45" s="1" t="s">
        <v>326</v>
      </c>
      <c r="H45" s="1" t="s">
        <v>326</v>
      </c>
      <c r="I45" s="1" t="s">
        <v>326</v>
      </c>
      <c r="J45" s="10">
        <f>IF(G45="Y",'Tournament Setup'!$C$2,0)+IF(H45="Y",'Tournament Setup'!$C$3,0)+IF(I45="Y",'Tournament Setup'!$C$4,0)</f>
        <v>120</v>
      </c>
      <c r="K45" s="1"/>
      <c r="L45" t="s">
        <v>321</v>
      </c>
      <c r="M45" t="s">
        <v>120</v>
      </c>
      <c r="O45" s="1">
        <f>IFERROR(IF(INDEX('Shooter-Squad Assignment'!$T:$T,MATCH($A45,'Shooter-Squad Assignment'!$A:$A,0))="","",INDEX('Shooter-Squad Assignment'!$T:$T,MATCH($A45,'Shooter-Squad Assignment'!$A:$A,0))),"")</f>
        <v>118</v>
      </c>
      <c r="P45" s="1" t="str">
        <f>IFERROR(IF(INDEX('Shooter-Squad Assignment'!$U:$U,MATCH($A45,'Shooter-Squad Assignment'!$A:$A,0))="","",INDEX('Shooter-Squad Assignment'!$U:$U,MATCH($A45,'Shooter-Squad Assignment'!$A:$A,0))),"")</f>
        <v>118-1</v>
      </c>
      <c r="Q45" s="1" t="str">
        <f>IFERROR(IF(INDEX('Shooter-Squad Assignment'!$I:$I,MATCH($A45,'Shooter-Squad Assignment'!$A:$A,0))="","",IF(INDEX('Shooter-Squad Assignment'!$I:$I,MATCH($A45,'Shooter-Squad Assignment'!$A:$A,0))=1,O45&amp;"-"&amp;1,"")),"")</f>
        <v>118-1</v>
      </c>
      <c r="R45" t="str">
        <f>IF(ISBLANK($O45),"",IFERROR(INDEX('Squad Listing'!$C:$C,MATCH($O45,'Squad Listing'!$A:$A,0)),""))</f>
        <v>Wiggins Tigers Sporting Club</v>
      </c>
      <c r="S45" t="str">
        <f>IF(ISBLANK($O45),"",IFERROR(INDEX('Squad Listing'!$D:$D,MATCH($O45,'Squad Listing'!$A:$A,0)),""))</f>
        <v>Collegiate 1</v>
      </c>
      <c r="T45" s="129">
        <f t="shared" si="1"/>
        <v>177</v>
      </c>
      <c r="U45" s="129">
        <f t="shared" si="2"/>
        <v>43</v>
      </c>
      <c r="W45" s="1" t="s">
        <v>123</v>
      </c>
      <c r="Y45">
        <f t="shared" si="3"/>
        <v>44</v>
      </c>
      <c r="Z45" s="129">
        <f t="shared" si="4"/>
        <v>43</v>
      </c>
      <c r="AB45">
        <v>9</v>
      </c>
      <c r="AC45">
        <v>10</v>
      </c>
      <c r="AD45">
        <v>11</v>
      </c>
      <c r="AE45">
        <v>13</v>
      </c>
      <c r="AK45" t="str">
        <f>IFERROR(IF(INDEX('Shooter-Squad Assignment'!$X:$X,MATCH($A45,'Shooter-Squad Assignment'!$A:$A,0))="","",INDEX('Shooter-Squad Assignment'!$X:$X,MATCH($A45,'Shooter-Squad Assignment'!$A:$A,0))),"")</f>
        <v/>
      </c>
      <c r="AL45" t="str">
        <f>IF(ISBLANK($AK45),"",IFERROR(INDEX('Squad Listing'!$C:$C,MATCH($AK45,'Squad Listing'!$A:$A,0)),""))</f>
        <v/>
      </c>
      <c r="AM45" t="str">
        <f>IF(ISBLANK($AK45),"",IFERROR(INDEX('Squad Listing'!$D:$D,MATCH($AK45,'Squad Listing'!$A:$A,0)),""))</f>
        <v/>
      </c>
      <c r="AP45" t="str">
        <f t="shared" si="5"/>
        <v/>
      </c>
      <c r="AQ45" t="str">
        <f t="shared" si="6"/>
        <v/>
      </c>
      <c r="AX45" t="str">
        <f>IFERROR(IF(INDEX('Shooter-Squad Assignment'!$AA:$AA,MATCH($A45,'Shooter-Squad Assignment'!$A:$A,0))="","",INDEX('Shooter-Squad Assignment'!$AA:$AA,MATCH($A45,'Shooter-Squad Assignment'!$A:$A,0))),"")</f>
        <v/>
      </c>
      <c r="AY45" t="str">
        <f>IF(ISBLANK($AX45),"",IFERROR(INDEX('Squad Listing'!$C:$C,MATCH($AX45,'Squad Listing'!$A:$A,0)),""))</f>
        <v/>
      </c>
      <c r="AZ45" t="str">
        <f>IF(ISBLANK($AX45),"",IFERROR(INDEX('Squad Listing'!$D:$D,MATCH($AX45,'Squad Listing'!$A:$A,0)),""))</f>
        <v/>
      </c>
      <c r="BC45" t="str">
        <f t="shared" si="7"/>
        <v/>
      </c>
      <c r="BD45" t="str">
        <f t="shared" si="8"/>
        <v/>
      </c>
    </row>
    <row r="46" spans="1:56" x14ac:dyDescent="0.3">
      <c r="A46" t="s">
        <v>39</v>
      </c>
      <c r="B46" t="s">
        <v>63</v>
      </c>
      <c r="C46" t="s">
        <v>87</v>
      </c>
      <c r="D46" t="str">
        <f t="shared" si="0"/>
        <v>Cathy Last Name3</v>
      </c>
      <c r="F46" s="1" t="s">
        <v>126</v>
      </c>
      <c r="G46" s="1" t="s">
        <v>326</v>
      </c>
      <c r="H46" s="1" t="s">
        <v>326</v>
      </c>
      <c r="I46" s="1" t="s">
        <v>326</v>
      </c>
      <c r="J46" s="10">
        <f>IF(G46="Y",'Tournament Setup'!$C$2,0)+IF(H46="Y",'Tournament Setup'!$C$3,0)+IF(I46="Y",'Tournament Setup'!$C$4,0)</f>
        <v>120</v>
      </c>
      <c r="K46" s="1"/>
      <c r="L46" t="s">
        <v>321</v>
      </c>
      <c r="M46" t="s">
        <v>116</v>
      </c>
      <c r="O46" s="1" t="str">
        <f>IFERROR(IF(INDEX('Shooter-Squad Assignment'!$T:$T,MATCH($A46,'Shooter-Squad Assignment'!$A:$A,0))="","",INDEX('Shooter-Squad Assignment'!$T:$T,MATCH($A46,'Shooter-Squad Assignment'!$A:$A,0))),"")</f>
        <v/>
      </c>
      <c r="P46" s="1" t="str">
        <f>IFERROR(IF(INDEX('Shooter-Squad Assignment'!$U:$U,MATCH($A46,'Shooter-Squad Assignment'!$A:$A,0))="","",INDEX('Shooter-Squad Assignment'!$U:$U,MATCH($A46,'Shooter-Squad Assignment'!$A:$A,0))),"")</f>
        <v/>
      </c>
      <c r="Q46" s="1" t="str">
        <f>IFERROR(IF(INDEX('Shooter-Squad Assignment'!$I:$I,MATCH($A46,'Shooter-Squad Assignment'!$A:$A,0))="","",IF(INDEX('Shooter-Squad Assignment'!$I:$I,MATCH($A46,'Shooter-Squad Assignment'!$A:$A,0))=1,O46&amp;"-"&amp;1,"")),"")</f>
        <v/>
      </c>
      <c r="R46" t="str">
        <f>IF(ISBLANK($O46),"",IFERROR(INDEX('Squad Listing'!$C:$C,MATCH($O46,'Squad Listing'!$A:$A,0)),""))</f>
        <v/>
      </c>
      <c r="S46" t="str">
        <f>IF(ISBLANK($O46),"",IFERROR(INDEX('Squad Listing'!$D:$D,MATCH($O46,'Squad Listing'!$A:$A,0)),""))</f>
        <v/>
      </c>
      <c r="T46" s="129" t="str">
        <f t="shared" si="1"/>
        <v/>
      </c>
      <c r="U46" s="129">
        <f t="shared" si="2"/>
        <v>96</v>
      </c>
      <c r="W46" s="1" t="s">
        <v>122</v>
      </c>
      <c r="Y46">
        <f t="shared" si="3"/>
        <v>3</v>
      </c>
      <c r="Z46" s="129">
        <f t="shared" si="4"/>
        <v>96</v>
      </c>
      <c r="AB46">
        <v>23</v>
      </c>
      <c r="AC46">
        <v>24</v>
      </c>
      <c r="AD46">
        <v>25</v>
      </c>
      <c r="AE46">
        <v>24</v>
      </c>
      <c r="AK46" t="str">
        <f>IFERROR(IF(INDEX('Shooter-Squad Assignment'!$X:$X,MATCH($A46,'Shooter-Squad Assignment'!$A:$A,0))="","",INDEX('Shooter-Squad Assignment'!$X:$X,MATCH($A46,'Shooter-Squad Assignment'!$A:$A,0))),"")</f>
        <v/>
      </c>
      <c r="AL46" t="str">
        <f>IF(ISBLANK($AK46),"",IFERROR(INDEX('Squad Listing'!$C:$C,MATCH($AK46,'Squad Listing'!$A:$A,0)),""))</f>
        <v/>
      </c>
      <c r="AM46" t="str">
        <f>IF(ISBLANK($AK46),"",IFERROR(INDEX('Squad Listing'!$D:$D,MATCH($AK46,'Squad Listing'!$A:$A,0)),""))</f>
        <v/>
      </c>
      <c r="AN46" s="1" t="s">
        <v>122</v>
      </c>
      <c r="AP46" t="str">
        <f t="shared" si="5"/>
        <v/>
      </c>
      <c r="AQ46" t="str">
        <f t="shared" si="6"/>
        <v/>
      </c>
      <c r="AX46" t="str">
        <f>IFERROR(IF(INDEX('Shooter-Squad Assignment'!$AA:$AA,MATCH($A46,'Shooter-Squad Assignment'!$A:$A,0))="","",INDEX('Shooter-Squad Assignment'!$AA:$AA,MATCH($A46,'Shooter-Squad Assignment'!$A:$A,0))),"")</f>
        <v/>
      </c>
      <c r="AY46" t="str">
        <f>IF(ISBLANK($AX46),"",IFERROR(INDEX('Squad Listing'!$C:$C,MATCH($AX46,'Squad Listing'!$A:$A,0)),""))</f>
        <v/>
      </c>
      <c r="AZ46" t="str">
        <f>IF(ISBLANK($AX46),"",IFERROR(INDEX('Squad Listing'!$D:$D,MATCH($AX46,'Squad Listing'!$A:$A,0)),""))</f>
        <v/>
      </c>
      <c r="BA46" s="1" t="s">
        <v>122</v>
      </c>
      <c r="BC46" t="str">
        <f t="shared" si="7"/>
        <v/>
      </c>
      <c r="BD46" t="str">
        <f t="shared" si="8"/>
        <v/>
      </c>
    </row>
    <row r="47" spans="1:56" x14ac:dyDescent="0.3">
      <c r="A47" t="s">
        <v>45</v>
      </c>
      <c r="B47" t="s">
        <v>69</v>
      </c>
      <c r="C47" t="s">
        <v>93</v>
      </c>
      <c r="D47" t="str">
        <f t="shared" si="0"/>
        <v>Linda Last Name9</v>
      </c>
      <c r="F47" s="1" t="s">
        <v>126</v>
      </c>
      <c r="G47" s="1" t="s">
        <v>326</v>
      </c>
      <c r="H47" s="1" t="s">
        <v>326</v>
      </c>
      <c r="I47" s="1" t="s">
        <v>326</v>
      </c>
      <c r="J47" s="10">
        <f>IF(G47="Y",'Tournament Setup'!$C$2,0)+IF(H47="Y",'Tournament Setup'!$C$3,0)+IF(I47="Y",'Tournament Setup'!$C$4,0)</f>
        <v>120</v>
      </c>
      <c r="K47" s="1"/>
      <c r="L47" t="s">
        <v>321</v>
      </c>
      <c r="M47" t="s">
        <v>116</v>
      </c>
      <c r="O47" s="1" t="str">
        <f>IFERROR(IF(INDEX('Shooter-Squad Assignment'!$T:$T,MATCH($A47,'Shooter-Squad Assignment'!$A:$A,0))="","",INDEX('Shooter-Squad Assignment'!$T:$T,MATCH($A47,'Shooter-Squad Assignment'!$A:$A,0))),"")</f>
        <v/>
      </c>
      <c r="P47" s="1" t="str">
        <f>IFERROR(IF(INDEX('Shooter-Squad Assignment'!$U:$U,MATCH($A47,'Shooter-Squad Assignment'!$A:$A,0))="","",INDEX('Shooter-Squad Assignment'!$U:$U,MATCH($A47,'Shooter-Squad Assignment'!$A:$A,0))),"")</f>
        <v/>
      </c>
      <c r="Q47" s="1" t="str">
        <f>IFERROR(IF(INDEX('Shooter-Squad Assignment'!$I:$I,MATCH($A47,'Shooter-Squad Assignment'!$A:$A,0))="","",IF(INDEX('Shooter-Squad Assignment'!$I:$I,MATCH($A47,'Shooter-Squad Assignment'!$A:$A,0))=1,O47&amp;"-"&amp;1,"")),"")</f>
        <v/>
      </c>
      <c r="R47" t="str">
        <f>IF(ISBLANK($O47),"",IFERROR(INDEX('Squad Listing'!$C:$C,MATCH($O47,'Squad Listing'!$A:$A,0)),""))</f>
        <v/>
      </c>
      <c r="S47" t="str">
        <f>IF(ISBLANK($O47),"",IFERROR(INDEX('Squad Listing'!$D:$D,MATCH($O47,'Squad Listing'!$A:$A,0)),""))</f>
        <v/>
      </c>
      <c r="T47" s="129" t="str">
        <f t="shared" si="1"/>
        <v/>
      </c>
      <c r="U47" s="129">
        <f t="shared" si="2"/>
        <v>75</v>
      </c>
      <c r="W47" s="1" t="s">
        <v>122</v>
      </c>
      <c r="Y47">
        <f t="shared" si="3"/>
        <v>20</v>
      </c>
      <c r="Z47" s="129">
        <f t="shared" si="4"/>
        <v>75</v>
      </c>
      <c r="AB47">
        <v>16</v>
      </c>
      <c r="AC47">
        <v>18</v>
      </c>
      <c r="AD47">
        <v>20</v>
      </c>
      <c r="AE47">
        <v>21</v>
      </c>
      <c r="AK47" t="str">
        <f>IFERROR(IF(INDEX('Shooter-Squad Assignment'!$X:$X,MATCH($A47,'Shooter-Squad Assignment'!$A:$A,0))="","",INDEX('Shooter-Squad Assignment'!$X:$X,MATCH($A47,'Shooter-Squad Assignment'!$A:$A,0))),"")</f>
        <v/>
      </c>
      <c r="AL47" t="str">
        <f>IF(ISBLANK($AK47),"",IFERROR(INDEX('Squad Listing'!$C:$C,MATCH($AK47,'Squad Listing'!$A:$A,0)),""))</f>
        <v/>
      </c>
      <c r="AM47" t="str">
        <f>IF(ISBLANK($AK47),"",IFERROR(INDEX('Squad Listing'!$D:$D,MATCH($AK47,'Squad Listing'!$A:$A,0)),""))</f>
        <v/>
      </c>
      <c r="AN47" s="1" t="s">
        <v>122</v>
      </c>
      <c r="AP47" t="str">
        <f t="shared" si="5"/>
        <v/>
      </c>
      <c r="AQ47" t="str">
        <f t="shared" si="6"/>
        <v/>
      </c>
      <c r="AX47" t="str">
        <f>IFERROR(IF(INDEX('Shooter-Squad Assignment'!$AA:$AA,MATCH($A47,'Shooter-Squad Assignment'!$A:$A,0))="","",INDEX('Shooter-Squad Assignment'!$AA:$AA,MATCH($A47,'Shooter-Squad Assignment'!$A:$A,0))),"")</f>
        <v/>
      </c>
      <c r="AY47" t="str">
        <f>IF(ISBLANK($AX47),"",IFERROR(INDEX('Squad Listing'!$C:$C,MATCH($AX47,'Squad Listing'!$A:$A,0)),""))</f>
        <v/>
      </c>
      <c r="AZ47" t="str">
        <f>IF(ISBLANK($AX47),"",IFERROR(INDEX('Squad Listing'!$D:$D,MATCH($AX47,'Squad Listing'!$A:$A,0)),""))</f>
        <v/>
      </c>
      <c r="BA47" s="1" t="s">
        <v>122</v>
      </c>
      <c r="BC47" t="str">
        <f t="shared" si="7"/>
        <v/>
      </c>
      <c r="BD47" t="str">
        <f t="shared" si="8"/>
        <v/>
      </c>
    </row>
    <row r="48" spans="1:56" x14ac:dyDescent="0.3">
      <c r="A48" t="s">
        <v>57</v>
      </c>
      <c r="B48" t="s">
        <v>81</v>
      </c>
      <c r="C48" t="s">
        <v>105</v>
      </c>
      <c r="D48" t="str">
        <f t="shared" si="0"/>
        <v>Nathan Last Name21</v>
      </c>
      <c r="F48" s="1" t="s">
        <v>125</v>
      </c>
      <c r="G48" s="1" t="s">
        <v>326</v>
      </c>
      <c r="H48" s="1" t="s">
        <v>326</v>
      </c>
      <c r="I48" s="1" t="s">
        <v>326</v>
      </c>
      <c r="J48" s="10">
        <f>IF(G48="Y",'Tournament Setup'!$C$2,0)+IF(H48="Y",'Tournament Setup'!$C$3,0)+IF(I48="Y",'Tournament Setup'!$C$4,0)</f>
        <v>120</v>
      </c>
      <c r="K48" s="1"/>
      <c r="L48" t="s">
        <v>321</v>
      </c>
      <c r="M48" t="s">
        <v>116</v>
      </c>
      <c r="O48" s="1">
        <f>IFERROR(IF(INDEX('Shooter-Squad Assignment'!$T:$T,MATCH($A48,'Shooter-Squad Assignment'!$A:$A,0))="","",INDEX('Shooter-Squad Assignment'!$T:$T,MATCH($A48,'Shooter-Squad Assignment'!$A:$A,0))),"")</f>
        <v>127</v>
      </c>
      <c r="P48" s="1" t="str">
        <f>IFERROR(IF(INDEX('Shooter-Squad Assignment'!$U:$U,MATCH($A48,'Shooter-Squad Assignment'!$A:$A,0))="","",INDEX('Shooter-Squad Assignment'!$U:$U,MATCH($A48,'Shooter-Squad Assignment'!$A:$A,0))),"")</f>
        <v>127-2</v>
      </c>
      <c r="Q48" s="1" t="str">
        <f>IFERROR(IF(INDEX('Shooter-Squad Assignment'!$I:$I,MATCH($A48,'Shooter-Squad Assignment'!$A:$A,0))="","",IF(INDEX('Shooter-Squad Assignment'!$I:$I,MATCH($A48,'Shooter-Squad Assignment'!$A:$A,0))=1,O48&amp;"-"&amp;1,"")),"")</f>
        <v/>
      </c>
      <c r="R48" t="str">
        <f>IF(ISBLANK($O48),"",IFERROR(INDEX('Squad Listing'!$C:$C,MATCH($O48,'Squad Listing'!$A:$A,0)),""))</f>
        <v>Wiggins Tigers Sporting Club</v>
      </c>
      <c r="S48" t="str">
        <f>IF(ISBLANK($O48),"",IFERROR(INDEX('Squad Listing'!$D:$D,MATCH($O48,'Squad Listing'!$A:$A,0)),""))</f>
        <v>Novice 1</v>
      </c>
      <c r="T48" s="129" t="str">
        <f t="shared" si="1"/>
        <v/>
      </c>
      <c r="U48" s="129">
        <f t="shared" si="2"/>
        <v>72</v>
      </c>
      <c r="W48" s="1" t="s">
        <v>123</v>
      </c>
      <c r="Y48">
        <f t="shared" si="3"/>
        <v>23</v>
      </c>
      <c r="Z48" s="129">
        <f t="shared" si="4"/>
        <v>72</v>
      </c>
      <c r="AB48">
        <v>14</v>
      </c>
      <c r="AC48">
        <v>17</v>
      </c>
      <c r="AD48">
        <v>20</v>
      </c>
      <c r="AE48">
        <v>21</v>
      </c>
      <c r="AK48" t="str">
        <f>IFERROR(IF(INDEX('Shooter-Squad Assignment'!$X:$X,MATCH($A48,'Shooter-Squad Assignment'!$A:$A,0))="","",INDEX('Shooter-Squad Assignment'!$X:$X,MATCH($A48,'Shooter-Squad Assignment'!$A:$A,0))),"")</f>
        <v/>
      </c>
      <c r="AL48" t="str">
        <f>IF(ISBLANK($AK48),"",IFERROR(INDEX('Squad Listing'!$C:$C,MATCH($AK48,'Squad Listing'!$A:$A,0)),""))</f>
        <v/>
      </c>
      <c r="AM48" t="str">
        <f>IF(ISBLANK($AK48),"",IFERROR(INDEX('Squad Listing'!$D:$D,MATCH($AK48,'Squad Listing'!$A:$A,0)),""))</f>
        <v/>
      </c>
      <c r="AN48" s="1" t="s">
        <v>123</v>
      </c>
      <c r="AP48" t="str">
        <f t="shared" si="5"/>
        <v/>
      </c>
      <c r="AQ48" t="str">
        <f t="shared" si="6"/>
        <v/>
      </c>
      <c r="AX48" t="str">
        <f>IFERROR(IF(INDEX('Shooter-Squad Assignment'!$AA:$AA,MATCH($A48,'Shooter-Squad Assignment'!$A:$A,0))="","",INDEX('Shooter-Squad Assignment'!$AA:$AA,MATCH($A48,'Shooter-Squad Assignment'!$A:$A,0))),"")</f>
        <v/>
      </c>
      <c r="AY48" t="str">
        <f>IF(ISBLANK($AX48),"",IFERROR(INDEX('Squad Listing'!$C:$C,MATCH($AX48,'Squad Listing'!$A:$A,0)),""))</f>
        <v/>
      </c>
      <c r="AZ48" t="str">
        <f>IF(ISBLANK($AX48),"",IFERROR(INDEX('Squad Listing'!$D:$D,MATCH($AX48,'Squad Listing'!$A:$A,0)),""))</f>
        <v/>
      </c>
      <c r="BA48" s="1" t="s">
        <v>123</v>
      </c>
      <c r="BC48" t="str">
        <f t="shared" si="7"/>
        <v/>
      </c>
      <c r="BD48" t="str">
        <f t="shared" si="8"/>
        <v/>
      </c>
    </row>
    <row r="49" spans="1:77" x14ac:dyDescent="0.3">
      <c r="A49" t="s">
        <v>189</v>
      </c>
      <c r="B49" t="s">
        <v>212</v>
      </c>
      <c r="C49" t="s">
        <v>235</v>
      </c>
      <c r="D49" t="str">
        <f t="shared" si="0"/>
        <v>Missy Last Name33</v>
      </c>
      <c r="F49" s="1" t="s">
        <v>126</v>
      </c>
      <c r="G49" s="1" t="s">
        <v>326</v>
      </c>
      <c r="H49" s="1" t="s">
        <v>326</v>
      </c>
      <c r="I49" s="1" t="s">
        <v>326</v>
      </c>
      <c r="J49" s="10">
        <f>IF(G49="Y",'Tournament Setup'!$C$2,0)+IF(H49="Y",'Tournament Setup'!$C$3,0)+IF(I49="Y",'Tournament Setup'!$C$4,0)</f>
        <v>120</v>
      </c>
      <c r="K49" s="1"/>
      <c r="L49" t="s">
        <v>321</v>
      </c>
      <c r="M49" t="s">
        <v>116</v>
      </c>
      <c r="O49" s="1">
        <f>IFERROR(IF(INDEX('Shooter-Squad Assignment'!$T:$T,MATCH($A49,'Shooter-Squad Assignment'!$A:$A,0))="","",INDEX('Shooter-Squad Assignment'!$T:$T,MATCH($A49,'Shooter-Squad Assignment'!$A:$A,0))),"")</f>
        <v>127</v>
      </c>
      <c r="P49" s="1" t="str">
        <f>IFERROR(IF(INDEX('Shooter-Squad Assignment'!$U:$U,MATCH($A49,'Shooter-Squad Assignment'!$A:$A,0))="","",INDEX('Shooter-Squad Assignment'!$U:$U,MATCH($A49,'Shooter-Squad Assignment'!$A:$A,0))),"")</f>
        <v>127-3</v>
      </c>
      <c r="Q49" s="1" t="str">
        <f>IFERROR(IF(INDEX('Shooter-Squad Assignment'!$I:$I,MATCH($A49,'Shooter-Squad Assignment'!$A:$A,0))="","",IF(INDEX('Shooter-Squad Assignment'!$I:$I,MATCH($A49,'Shooter-Squad Assignment'!$A:$A,0))=1,O49&amp;"-"&amp;1,"")),"")</f>
        <v/>
      </c>
      <c r="R49" t="str">
        <f>IF(ISBLANK($O49),"",IFERROR(INDEX('Squad Listing'!$C:$C,MATCH($O49,'Squad Listing'!$A:$A,0)),""))</f>
        <v>Wiggins Tigers Sporting Club</v>
      </c>
      <c r="S49" t="str">
        <f>IF(ISBLANK($O49),"",IFERROR(INDEX('Squad Listing'!$D:$D,MATCH($O49,'Squad Listing'!$A:$A,0)),""))</f>
        <v>Novice 1</v>
      </c>
      <c r="T49" s="129" t="str">
        <f t="shared" si="1"/>
        <v/>
      </c>
      <c r="U49" s="129">
        <f t="shared" si="2"/>
        <v>73</v>
      </c>
      <c r="W49" s="1" t="s">
        <v>122</v>
      </c>
      <c r="Y49">
        <f t="shared" si="3"/>
        <v>21</v>
      </c>
      <c r="Z49" s="129">
        <f t="shared" si="4"/>
        <v>73</v>
      </c>
      <c r="AB49">
        <v>19</v>
      </c>
      <c r="AC49">
        <v>19</v>
      </c>
      <c r="AD49">
        <v>18</v>
      </c>
      <c r="AE49">
        <v>17</v>
      </c>
      <c r="AK49" t="str">
        <f>IFERROR(IF(INDEX('Shooter-Squad Assignment'!$X:$X,MATCH($A49,'Shooter-Squad Assignment'!$A:$A,0))="","",INDEX('Shooter-Squad Assignment'!$X:$X,MATCH($A49,'Shooter-Squad Assignment'!$A:$A,0))),"")</f>
        <v/>
      </c>
      <c r="AL49" t="str">
        <f>IF(ISBLANK($AK49),"",IFERROR(INDEX('Squad Listing'!$C:$C,MATCH($AK49,'Squad Listing'!$A:$A,0)),""))</f>
        <v/>
      </c>
      <c r="AM49" t="str">
        <f>IF(ISBLANK($AK49),"",IFERROR(INDEX('Squad Listing'!$D:$D,MATCH($AK49,'Squad Listing'!$A:$A,0)),""))</f>
        <v/>
      </c>
      <c r="AP49" t="str">
        <f t="shared" si="5"/>
        <v/>
      </c>
      <c r="AQ49" t="str">
        <f t="shared" si="6"/>
        <v/>
      </c>
      <c r="AX49" t="str">
        <f>IFERROR(IF(INDEX('Shooter-Squad Assignment'!$AA:$AA,MATCH($A49,'Shooter-Squad Assignment'!$A:$A,0))="","",INDEX('Shooter-Squad Assignment'!$AA:$AA,MATCH($A49,'Shooter-Squad Assignment'!$A:$A,0))),"")</f>
        <v/>
      </c>
      <c r="AY49" t="str">
        <f>IF(ISBLANK($AX49),"",IFERROR(INDEX('Squad Listing'!$C:$C,MATCH($AX49,'Squad Listing'!$A:$A,0)),""))</f>
        <v/>
      </c>
      <c r="AZ49" t="str">
        <f>IF(ISBLANK($AX49),"",IFERROR(INDEX('Squad Listing'!$D:$D,MATCH($AX49,'Squad Listing'!$A:$A,0)),""))</f>
        <v/>
      </c>
      <c r="BC49" t="str">
        <f t="shared" si="7"/>
        <v/>
      </c>
      <c r="BD49" t="str">
        <f t="shared" si="8"/>
        <v/>
      </c>
    </row>
    <row r="50" spans="1:77" x14ac:dyDescent="0.3">
      <c r="A50" t="s">
        <v>201</v>
      </c>
      <c r="B50" t="s">
        <v>224</v>
      </c>
      <c r="C50" t="s">
        <v>247</v>
      </c>
      <c r="D50" t="str">
        <f t="shared" si="0"/>
        <v>Dee Last Name45</v>
      </c>
      <c r="F50" s="1" t="s">
        <v>126</v>
      </c>
      <c r="G50" s="1" t="s">
        <v>326</v>
      </c>
      <c r="H50" s="1" t="s">
        <v>326</v>
      </c>
      <c r="I50" s="1" t="s">
        <v>326</v>
      </c>
      <c r="J50" s="10">
        <f>IF(G50="Y",'Tournament Setup'!$C$2,0)+IF(H50="Y",'Tournament Setup'!$C$3,0)+IF(I50="Y",'Tournament Setup'!$C$4,0)</f>
        <v>120</v>
      </c>
      <c r="K50" s="1"/>
      <c r="L50" t="s">
        <v>321</v>
      </c>
      <c r="M50" t="s">
        <v>116</v>
      </c>
      <c r="O50" s="1">
        <f>IFERROR(IF(INDEX('Shooter-Squad Assignment'!$T:$T,MATCH($A50,'Shooter-Squad Assignment'!$A:$A,0))="","",INDEX('Shooter-Squad Assignment'!$T:$T,MATCH($A50,'Shooter-Squad Assignment'!$A:$A,0))),"")</f>
        <v>127</v>
      </c>
      <c r="P50" s="1" t="str">
        <f>IFERROR(IF(INDEX('Shooter-Squad Assignment'!$U:$U,MATCH($A50,'Shooter-Squad Assignment'!$A:$A,0))="","",INDEX('Shooter-Squad Assignment'!$U:$U,MATCH($A50,'Shooter-Squad Assignment'!$A:$A,0))),"")</f>
        <v>127-1</v>
      </c>
      <c r="Q50" s="1" t="str">
        <f>IFERROR(IF(INDEX('Shooter-Squad Assignment'!$I:$I,MATCH($A50,'Shooter-Squad Assignment'!$A:$A,0))="","",IF(INDEX('Shooter-Squad Assignment'!$I:$I,MATCH($A50,'Shooter-Squad Assignment'!$A:$A,0))=1,O50&amp;"-"&amp;1,"")),"")</f>
        <v>127-1</v>
      </c>
      <c r="R50" t="str">
        <f>IF(ISBLANK($O50),"",IFERROR(INDEX('Squad Listing'!$C:$C,MATCH($O50,'Squad Listing'!$A:$A,0)),""))</f>
        <v>Wiggins Tigers Sporting Club</v>
      </c>
      <c r="S50" t="str">
        <f>IF(ISBLANK($O50),"",IFERROR(INDEX('Squad Listing'!$D:$D,MATCH($O50,'Squad Listing'!$A:$A,0)),""))</f>
        <v>Novice 1</v>
      </c>
      <c r="T50" s="129">
        <f t="shared" si="1"/>
        <v>199</v>
      </c>
      <c r="U50" s="129">
        <f t="shared" si="2"/>
        <v>54</v>
      </c>
      <c r="W50" s="1" t="s">
        <v>122</v>
      </c>
      <c r="Y50">
        <f t="shared" si="3"/>
        <v>38</v>
      </c>
      <c r="Z50" s="129">
        <f t="shared" si="4"/>
        <v>54</v>
      </c>
      <c r="AB50">
        <v>13</v>
      </c>
      <c r="AC50">
        <v>12</v>
      </c>
      <c r="AD50">
        <v>15</v>
      </c>
      <c r="AE50">
        <v>14</v>
      </c>
      <c r="AK50" t="str">
        <f>IFERROR(IF(INDEX('Shooter-Squad Assignment'!$X:$X,MATCH($A50,'Shooter-Squad Assignment'!$A:$A,0))="","",INDEX('Shooter-Squad Assignment'!$X:$X,MATCH($A50,'Shooter-Squad Assignment'!$A:$A,0))),"")</f>
        <v/>
      </c>
      <c r="AL50" t="str">
        <f>IF(ISBLANK($AK50),"",IFERROR(INDEX('Squad Listing'!$C:$C,MATCH($AK50,'Squad Listing'!$A:$A,0)),""))</f>
        <v/>
      </c>
      <c r="AM50" t="str">
        <f>IF(ISBLANK($AK50),"",IFERROR(INDEX('Squad Listing'!$D:$D,MATCH($AK50,'Squad Listing'!$A:$A,0)),""))</f>
        <v/>
      </c>
      <c r="AP50" t="str">
        <f t="shared" si="5"/>
        <v/>
      </c>
      <c r="AQ50" t="str">
        <f t="shared" si="6"/>
        <v/>
      </c>
      <c r="AX50" t="str">
        <f>IFERROR(IF(INDEX('Shooter-Squad Assignment'!$AA:$AA,MATCH($A50,'Shooter-Squad Assignment'!$A:$A,0))="","",INDEX('Shooter-Squad Assignment'!$AA:$AA,MATCH($A50,'Shooter-Squad Assignment'!$A:$A,0))),"")</f>
        <v/>
      </c>
      <c r="AY50" t="str">
        <f>IF(ISBLANK($AX50),"",IFERROR(INDEX('Squad Listing'!$C:$C,MATCH($AX50,'Squad Listing'!$A:$A,0)),""))</f>
        <v/>
      </c>
      <c r="AZ50" t="str">
        <f>IF(ISBLANK($AX50),"",IFERROR(INDEX('Squad Listing'!$D:$D,MATCH($AX50,'Squad Listing'!$A:$A,0)),""))</f>
        <v/>
      </c>
      <c r="BC50" t="str">
        <f t="shared" si="7"/>
        <v/>
      </c>
      <c r="BD50" t="str">
        <f t="shared" si="8"/>
        <v/>
      </c>
    </row>
    <row r="51" spans="1:77" x14ac:dyDescent="0.3">
      <c r="A51" s="33" t="s">
        <v>263</v>
      </c>
      <c r="B51" s="33" t="s">
        <v>263</v>
      </c>
      <c r="C51" s="33" t="s">
        <v>263</v>
      </c>
      <c r="D51" s="33"/>
      <c r="E51" s="33" t="s">
        <v>263</v>
      </c>
      <c r="F51" s="33" t="s">
        <v>263</v>
      </c>
      <c r="G51" s="34" t="s">
        <v>263</v>
      </c>
      <c r="H51" s="34" t="s">
        <v>263</v>
      </c>
      <c r="I51" s="34" t="s">
        <v>263</v>
      </c>
      <c r="J51" s="33" t="s">
        <v>263</v>
      </c>
      <c r="K51" s="33" t="s">
        <v>263</v>
      </c>
      <c r="L51" s="33"/>
      <c r="M51" s="33" t="s">
        <v>263</v>
      </c>
      <c r="N51" s="33" t="s">
        <v>263</v>
      </c>
      <c r="O51" s="34" t="s">
        <v>263</v>
      </c>
      <c r="P51" s="34"/>
      <c r="Q51" s="34" t="s">
        <v>263</v>
      </c>
      <c r="R51" s="33" t="s">
        <v>263</v>
      </c>
      <c r="S51" s="33"/>
      <c r="T51" s="130"/>
      <c r="U51" s="130"/>
      <c r="V51" s="35"/>
      <c r="W51" s="33" t="s">
        <v>263</v>
      </c>
      <c r="X51" s="33" t="s">
        <v>263</v>
      </c>
      <c r="Y51" s="33" t="s">
        <v>263</v>
      </c>
      <c r="Z51" s="130" t="s">
        <v>263</v>
      </c>
      <c r="AA51" s="130" t="s">
        <v>263</v>
      </c>
      <c r="AB51" s="33" t="s">
        <v>263</v>
      </c>
      <c r="AC51" s="33" t="s">
        <v>263</v>
      </c>
      <c r="AD51" s="33" t="s">
        <v>263</v>
      </c>
      <c r="AE51" s="33" t="s">
        <v>263</v>
      </c>
      <c r="AF51" s="33"/>
      <c r="AG51" s="33"/>
      <c r="AH51" s="33"/>
      <c r="AI51" s="33"/>
      <c r="AJ51" s="33" t="s">
        <v>263</v>
      </c>
      <c r="AK51" s="33" t="s">
        <v>263</v>
      </c>
      <c r="AL51" s="33" t="s">
        <v>263</v>
      </c>
      <c r="AM51" s="33" t="s">
        <v>263</v>
      </c>
      <c r="AN51" s="33" t="s">
        <v>263</v>
      </c>
      <c r="AO51" s="33" t="s">
        <v>263</v>
      </c>
      <c r="AP51" s="33" t="s">
        <v>263</v>
      </c>
      <c r="AQ51" s="33" t="s">
        <v>263</v>
      </c>
      <c r="AR51" s="33" t="s">
        <v>263</v>
      </c>
      <c r="AS51" s="33" t="s">
        <v>263</v>
      </c>
      <c r="AT51" s="33" t="s">
        <v>263</v>
      </c>
      <c r="AU51" s="33" t="s">
        <v>263</v>
      </c>
      <c r="AV51" s="33" t="s">
        <v>263</v>
      </c>
      <c r="AW51" s="33" t="s">
        <v>263</v>
      </c>
      <c r="AX51" s="33" t="s">
        <v>263</v>
      </c>
      <c r="AY51" s="33" t="s">
        <v>263</v>
      </c>
      <c r="AZ51" s="33" t="s">
        <v>263</v>
      </c>
      <c r="BA51" s="33" t="s">
        <v>263</v>
      </c>
      <c r="BB51" s="33" t="s">
        <v>263</v>
      </c>
      <c r="BC51" s="33" t="s">
        <v>263</v>
      </c>
      <c r="BD51" s="33" t="s">
        <v>263</v>
      </c>
      <c r="BE51" s="33" t="s">
        <v>263</v>
      </c>
      <c r="BF51" s="33" t="s">
        <v>263</v>
      </c>
      <c r="BG51" s="33" t="s">
        <v>263</v>
      </c>
      <c r="BH51" s="33" t="s">
        <v>263</v>
      </c>
      <c r="BI51" s="33" t="s">
        <v>263</v>
      </c>
      <c r="BJ51" s="33" t="s">
        <v>263</v>
      </c>
      <c r="BK51" s="33" t="s">
        <v>263</v>
      </c>
      <c r="BL51" s="33" t="s">
        <v>263</v>
      </c>
      <c r="BM51" s="33" t="s">
        <v>263</v>
      </c>
      <c r="BN51" s="33" t="s">
        <v>263</v>
      </c>
      <c r="BO51" s="33" t="s">
        <v>263</v>
      </c>
      <c r="BP51" s="33" t="s">
        <v>263</v>
      </c>
      <c r="BQ51" s="33" t="s">
        <v>263</v>
      </c>
      <c r="BR51" s="33" t="s">
        <v>263</v>
      </c>
      <c r="BS51" s="33" t="s">
        <v>263</v>
      </c>
      <c r="BT51" s="33" t="s">
        <v>263</v>
      </c>
      <c r="BU51" s="33" t="s">
        <v>263</v>
      </c>
      <c r="BV51" s="33" t="s">
        <v>263</v>
      </c>
      <c r="BW51" s="33" t="s">
        <v>263</v>
      </c>
      <c r="BX51" s="33" t="s">
        <v>263</v>
      </c>
      <c r="BY51" s="33" t="s">
        <v>263</v>
      </c>
    </row>
    <row r="52" spans="1:77" x14ac:dyDescent="0.3">
      <c r="J52" s="10">
        <f>IF(G52="Y",'Tournament Setup'!$C$2,0)+IF(H52="Y",'Tournament Setup'!$C$3,0)+IF(I52="Y",'Tournament Setup'!$C$4,0)</f>
        <v>0</v>
      </c>
      <c r="K52" s="1"/>
      <c r="R52" t="str">
        <f>IF(ISBLANK($O52),"",IFERROR(INDEX('Squad Listing'!$C:$C,MATCH($O52,'Squad Listing'!$A:$A,0)),""))</f>
        <v/>
      </c>
      <c r="S52" t="str">
        <f>IF(ISBLANK($O52),"",IFERROR(INDEX('Squad Listing'!$D:$D,MATCH($O52,'Squad Listing'!$A:$A,0)),""))</f>
        <v/>
      </c>
      <c r="Y52" t="str">
        <f t="shared" ref="Y52:Y83" si="9">IF(_xlfn.NUMBERVALUE(Z52)&gt;0,_xlfn.RANK.EQ(Z52,$Z$3:$Z$250,0),"")</f>
        <v/>
      </c>
      <c r="Z52" s="129" t="str">
        <f t="shared" ref="Z52:Z83" si="10">IF(SUM(AB52:AE52)&gt;0,SUM(AA52:AE52),"")</f>
        <v/>
      </c>
      <c r="AL52" t="str">
        <f>IF(ISBLANK($O52),"",IFERROR(INDEX('Squad Listing'!$C:$C,MATCH($O52,'Squad Listing'!$A:$A,0)),""))</f>
        <v/>
      </c>
      <c r="AM52" t="str">
        <f>IF(ISBLANK($O52),"",IFERROR(INDEX('Squad Listing'!$D:$D,MATCH($O52,'Squad Listing'!$A:$A,0)),""))</f>
        <v/>
      </c>
      <c r="AP52" t="str">
        <f t="shared" ref="AP52:AP83" si="11">IF(_xlfn.NUMBERVALUE(AQ52)&gt;0,_xlfn.RANK.EQ(AQ52,$AQ$3:$AQ$250,0),"")</f>
        <v/>
      </c>
      <c r="AQ52" t="str">
        <f t="shared" ref="AQ52:AQ83" si="12">IF(SUM(AS52:AV52)&gt;0,SUM(AR52:AV52),"")</f>
        <v/>
      </c>
      <c r="AY52" t="str">
        <f>IF(ISBLANK($O52),"",IFERROR(INDEX('Squad Listing'!$C:$C,MATCH($O52,'Squad Listing'!$A:$A,0)),""))</f>
        <v/>
      </c>
      <c r="AZ52" t="str">
        <f>IF(ISBLANK($O52),"",IFERROR(INDEX('Squad Listing'!$D:$D,MATCH($O52,'Squad Listing'!$A:$A,0)),""))</f>
        <v/>
      </c>
      <c r="BC52" t="str">
        <f t="shared" ref="BC52:BC83" si="13">IF(_xlfn.NUMBERVALUE(BD52)&gt;0,_xlfn.RANK.EQ(BD52,$BD$3:$BD$250,0),"")</f>
        <v/>
      </c>
      <c r="BD52" t="str">
        <f t="shared" ref="BD52:BD83" si="14">IF(SUM(BF52:BY52)&gt;0,SUM(BE52:BY52),"")</f>
        <v/>
      </c>
    </row>
    <row r="53" spans="1:77" x14ac:dyDescent="0.3">
      <c r="J53" s="10">
        <f>IF(G53="Y",'Tournament Setup'!$C$2,0)+IF(H53="Y",'Tournament Setup'!$C$3,0)+IF(I53="Y",'Tournament Setup'!$C$4,0)</f>
        <v>0</v>
      </c>
      <c r="K53" s="1"/>
      <c r="R53" t="str">
        <f>IF(ISBLANK($O53),"",IFERROR(INDEX('Squad Listing'!$C:$C,MATCH($O53,'Squad Listing'!$A:$A,0)),""))</f>
        <v/>
      </c>
      <c r="S53" t="str">
        <f>IF(ISBLANK($O53),"",IFERROR(INDEX('Squad Listing'!$D:$D,MATCH($O53,'Squad Listing'!$A:$A,0)),""))</f>
        <v/>
      </c>
      <c r="Y53" t="str">
        <f t="shared" si="9"/>
        <v/>
      </c>
      <c r="Z53" s="129" t="str">
        <f t="shared" si="10"/>
        <v/>
      </c>
      <c r="AL53" t="str">
        <f>IF(ISBLANK($O53),"",IFERROR(INDEX('Squad Listing'!$C:$C,MATCH($O53,'Squad Listing'!$A:$A,0)),""))</f>
        <v/>
      </c>
      <c r="AM53" t="str">
        <f>IF(ISBLANK($O53),"",IFERROR(INDEX('Squad Listing'!$D:$D,MATCH($O53,'Squad Listing'!$A:$A,0)),""))</f>
        <v/>
      </c>
      <c r="AP53" t="str">
        <f t="shared" si="11"/>
        <v/>
      </c>
      <c r="AQ53" t="str">
        <f t="shared" si="12"/>
        <v/>
      </c>
      <c r="AY53" t="str">
        <f>IF(ISBLANK($O53),"",IFERROR(INDEX('Squad Listing'!$C:$C,MATCH($O53,'Squad Listing'!$A:$A,0)),""))</f>
        <v/>
      </c>
      <c r="AZ53" t="str">
        <f>IF(ISBLANK($O53),"",IFERROR(INDEX('Squad Listing'!$D:$D,MATCH($O53,'Squad Listing'!$A:$A,0)),""))</f>
        <v/>
      </c>
      <c r="BC53" t="str">
        <f t="shared" si="13"/>
        <v/>
      </c>
      <c r="BD53" t="str">
        <f t="shared" si="14"/>
        <v/>
      </c>
    </row>
    <row r="54" spans="1:77" x14ac:dyDescent="0.3">
      <c r="J54" s="10">
        <f>IF(G54="Y",'Tournament Setup'!$C$2,0)+IF(H54="Y",'Tournament Setup'!$C$3,0)+IF(I54="Y",'Tournament Setup'!$C$4,0)</f>
        <v>0</v>
      </c>
      <c r="K54" s="1"/>
      <c r="R54" t="str">
        <f>IF(ISBLANK($O54),"",IFERROR(INDEX('Squad Listing'!$C:$C,MATCH($O54,'Squad Listing'!$A:$A,0)),""))</f>
        <v/>
      </c>
      <c r="S54" t="str">
        <f>IF(ISBLANK($O54),"",IFERROR(INDEX('Squad Listing'!$D:$D,MATCH($O54,'Squad Listing'!$A:$A,0)),""))</f>
        <v/>
      </c>
      <c r="Y54" t="str">
        <f t="shared" si="9"/>
        <v/>
      </c>
      <c r="Z54" s="129" t="str">
        <f t="shared" si="10"/>
        <v/>
      </c>
      <c r="AL54" t="str">
        <f>IF(ISBLANK($O54),"",IFERROR(INDEX('Squad Listing'!$C:$C,MATCH($O54,'Squad Listing'!$A:$A,0)),""))</f>
        <v/>
      </c>
      <c r="AM54" t="str">
        <f>IF(ISBLANK($O54),"",IFERROR(INDEX('Squad Listing'!$D:$D,MATCH($O54,'Squad Listing'!$A:$A,0)),""))</f>
        <v/>
      </c>
      <c r="AP54" t="str">
        <f t="shared" si="11"/>
        <v/>
      </c>
      <c r="AQ54" t="str">
        <f t="shared" si="12"/>
        <v/>
      </c>
      <c r="AY54" t="str">
        <f>IF(ISBLANK($O54),"",IFERROR(INDEX('Squad Listing'!$C:$C,MATCH($O54,'Squad Listing'!$A:$A,0)),""))</f>
        <v/>
      </c>
      <c r="AZ54" t="str">
        <f>IF(ISBLANK($O54),"",IFERROR(INDEX('Squad Listing'!$D:$D,MATCH($O54,'Squad Listing'!$A:$A,0)),""))</f>
        <v/>
      </c>
      <c r="BC54" t="str">
        <f t="shared" si="13"/>
        <v/>
      </c>
      <c r="BD54" t="str">
        <f t="shared" si="14"/>
        <v/>
      </c>
    </row>
    <row r="55" spans="1:77" x14ac:dyDescent="0.3">
      <c r="J55" s="10">
        <f>IF(G55="Y",'Tournament Setup'!$C$2,0)+IF(H55="Y",'Tournament Setup'!$C$3,0)+IF(I55="Y",'Tournament Setup'!$C$4,0)</f>
        <v>0</v>
      </c>
      <c r="K55" s="1"/>
      <c r="R55" t="str">
        <f>IF(ISBLANK($O55),"",IFERROR(INDEX('Squad Listing'!$C:$C,MATCH($O55,'Squad Listing'!$A:$A,0)),""))</f>
        <v/>
      </c>
      <c r="S55" t="str">
        <f>IF(ISBLANK($O55),"",IFERROR(INDEX('Squad Listing'!$D:$D,MATCH($O55,'Squad Listing'!$A:$A,0)),""))</f>
        <v/>
      </c>
      <c r="Y55" t="str">
        <f t="shared" si="9"/>
        <v/>
      </c>
      <c r="Z55" s="129" t="str">
        <f t="shared" si="10"/>
        <v/>
      </c>
      <c r="AL55" t="str">
        <f>IF(ISBLANK($O55),"",IFERROR(INDEX('Squad Listing'!$C:$C,MATCH($O55,'Squad Listing'!$A:$A,0)),""))</f>
        <v/>
      </c>
      <c r="AM55" t="str">
        <f>IF(ISBLANK($O55),"",IFERROR(INDEX('Squad Listing'!$D:$D,MATCH($O55,'Squad Listing'!$A:$A,0)),""))</f>
        <v/>
      </c>
      <c r="AP55" t="str">
        <f t="shared" si="11"/>
        <v/>
      </c>
      <c r="AQ55" t="str">
        <f t="shared" si="12"/>
        <v/>
      </c>
      <c r="AY55" t="str">
        <f>IF(ISBLANK($O55),"",IFERROR(INDEX('Squad Listing'!$C:$C,MATCH($O55,'Squad Listing'!$A:$A,0)),""))</f>
        <v/>
      </c>
      <c r="AZ55" t="str">
        <f>IF(ISBLANK($O55),"",IFERROR(INDEX('Squad Listing'!$D:$D,MATCH($O55,'Squad Listing'!$A:$A,0)),""))</f>
        <v/>
      </c>
      <c r="BC55" t="str">
        <f t="shared" si="13"/>
        <v/>
      </c>
      <c r="BD55" t="str">
        <f t="shared" si="14"/>
        <v/>
      </c>
    </row>
    <row r="56" spans="1:77" x14ac:dyDescent="0.3">
      <c r="J56" s="10">
        <f>IF(G56="Y",'Tournament Setup'!$C$2,0)+IF(H56="Y",'Tournament Setup'!$C$3,0)+IF(I56="Y",'Tournament Setup'!$C$4,0)</f>
        <v>0</v>
      </c>
      <c r="K56" s="1"/>
      <c r="R56" t="str">
        <f>IF(ISBLANK($O56),"",IFERROR(INDEX('Squad Listing'!$C:$C,MATCH($O56,'Squad Listing'!$A:$A,0)),""))</f>
        <v/>
      </c>
      <c r="S56" t="str">
        <f>IF(ISBLANK($O56),"",IFERROR(INDEX('Squad Listing'!$D:$D,MATCH($O56,'Squad Listing'!$A:$A,0)),""))</f>
        <v/>
      </c>
      <c r="Y56" t="str">
        <f t="shared" si="9"/>
        <v/>
      </c>
      <c r="Z56" s="129" t="str">
        <f t="shared" si="10"/>
        <v/>
      </c>
      <c r="AL56" t="str">
        <f>IF(ISBLANK($O56),"",IFERROR(INDEX('Squad Listing'!$C:$C,MATCH($O56,'Squad Listing'!$A:$A,0)),""))</f>
        <v/>
      </c>
      <c r="AM56" t="str">
        <f>IF(ISBLANK($O56),"",IFERROR(INDEX('Squad Listing'!$D:$D,MATCH($O56,'Squad Listing'!$A:$A,0)),""))</f>
        <v/>
      </c>
      <c r="AP56" t="str">
        <f t="shared" si="11"/>
        <v/>
      </c>
      <c r="AQ56" t="str">
        <f t="shared" si="12"/>
        <v/>
      </c>
      <c r="AY56" t="str">
        <f>IF(ISBLANK($O56),"",IFERROR(INDEX('Squad Listing'!$C:$C,MATCH($O56,'Squad Listing'!$A:$A,0)),""))</f>
        <v/>
      </c>
      <c r="AZ56" t="str">
        <f>IF(ISBLANK($O56),"",IFERROR(INDEX('Squad Listing'!$D:$D,MATCH($O56,'Squad Listing'!$A:$A,0)),""))</f>
        <v/>
      </c>
      <c r="BC56" t="str">
        <f t="shared" si="13"/>
        <v/>
      </c>
      <c r="BD56" t="str">
        <f t="shared" si="14"/>
        <v/>
      </c>
    </row>
    <row r="57" spans="1:77" x14ac:dyDescent="0.3">
      <c r="J57" s="10">
        <f>IF(G57="Y",'Tournament Setup'!$C$2,0)+IF(H57="Y",'Tournament Setup'!$C$3,0)+IF(I57="Y",'Tournament Setup'!$C$4,0)</f>
        <v>0</v>
      </c>
      <c r="K57" s="1"/>
      <c r="R57" t="str">
        <f>IF(ISBLANK($O57),"",IFERROR(INDEX('Squad Listing'!$C:$C,MATCH($O57,'Squad Listing'!$A:$A,0)),""))</f>
        <v/>
      </c>
      <c r="S57" t="str">
        <f>IF(ISBLANK($O57),"",IFERROR(INDEX('Squad Listing'!$D:$D,MATCH($O57,'Squad Listing'!$A:$A,0)),""))</f>
        <v/>
      </c>
      <c r="Y57" t="str">
        <f t="shared" si="9"/>
        <v/>
      </c>
      <c r="Z57" s="129" t="str">
        <f t="shared" si="10"/>
        <v/>
      </c>
      <c r="AL57" t="str">
        <f>IF(ISBLANK($O57),"",IFERROR(INDEX('Squad Listing'!$C:$C,MATCH($O57,'Squad Listing'!$A:$A,0)),""))</f>
        <v/>
      </c>
      <c r="AM57" t="str">
        <f>IF(ISBLANK($O57),"",IFERROR(INDEX('Squad Listing'!$D:$D,MATCH($O57,'Squad Listing'!$A:$A,0)),""))</f>
        <v/>
      </c>
      <c r="AP57" t="str">
        <f t="shared" si="11"/>
        <v/>
      </c>
      <c r="AQ57" t="str">
        <f t="shared" si="12"/>
        <v/>
      </c>
      <c r="AY57" t="str">
        <f>IF(ISBLANK($O57),"",IFERROR(INDEX('Squad Listing'!$C:$C,MATCH($O57,'Squad Listing'!$A:$A,0)),""))</f>
        <v/>
      </c>
      <c r="AZ57" t="str">
        <f>IF(ISBLANK($O57),"",IFERROR(INDEX('Squad Listing'!$D:$D,MATCH($O57,'Squad Listing'!$A:$A,0)),""))</f>
        <v/>
      </c>
      <c r="BC57" t="str">
        <f t="shared" si="13"/>
        <v/>
      </c>
      <c r="BD57" t="str">
        <f t="shared" si="14"/>
        <v/>
      </c>
    </row>
    <row r="58" spans="1:77" x14ac:dyDescent="0.3">
      <c r="J58" s="10">
        <f>IF(G58="Y",'Tournament Setup'!$C$2,0)+IF(H58="Y",'Tournament Setup'!$C$3,0)+IF(I58="Y",'Tournament Setup'!$C$4,0)</f>
        <v>0</v>
      </c>
      <c r="K58" s="1"/>
      <c r="R58" t="str">
        <f>IF(ISBLANK($O58),"",IFERROR(INDEX('Squad Listing'!$C:$C,MATCH($O58,'Squad Listing'!$A:$A,0)),""))</f>
        <v/>
      </c>
      <c r="S58" t="str">
        <f>IF(ISBLANK($O58),"",IFERROR(INDEX('Squad Listing'!$D:$D,MATCH($O58,'Squad Listing'!$A:$A,0)),""))</f>
        <v/>
      </c>
      <c r="Y58" t="str">
        <f t="shared" si="9"/>
        <v/>
      </c>
      <c r="Z58" s="129" t="str">
        <f t="shared" si="10"/>
        <v/>
      </c>
      <c r="AL58" t="str">
        <f>IF(ISBLANK($O58),"",IFERROR(INDEX('Squad Listing'!$C:$C,MATCH($O58,'Squad Listing'!$A:$A,0)),""))</f>
        <v/>
      </c>
      <c r="AM58" t="str">
        <f>IF(ISBLANK($O58),"",IFERROR(INDEX('Squad Listing'!$D:$D,MATCH($O58,'Squad Listing'!$A:$A,0)),""))</f>
        <v/>
      </c>
      <c r="AP58" t="str">
        <f t="shared" si="11"/>
        <v/>
      </c>
      <c r="AQ58" t="str">
        <f t="shared" si="12"/>
        <v/>
      </c>
      <c r="AY58" t="str">
        <f>IF(ISBLANK($O58),"",IFERROR(INDEX('Squad Listing'!$C:$C,MATCH($O58,'Squad Listing'!$A:$A,0)),""))</f>
        <v/>
      </c>
      <c r="AZ58" t="str">
        <f>IF(ISBLANK($O58),"",IFERROR(INDEX('Squad Listing'!$D:$D,MATCH($O58,'Squad Listing'!$A:$A,0)),""))</f>
        <v/>
      </c>
      <c r="BC58" t="str">
        <f t="shared" si="13"/>
        <v/>
      </c>
      <c r="BD58" t="str">
        <f t="shared" si="14"/>
        <v/>
      </c>
    </row>
    <row r="59" spans="1:77" x14ac:dyDescent="0.3">
      <c r="J59" s="10">
        <f>IF(G59="Y",'Tournament Setup'!$C$2,0)+IF(H59="Y",'Tournament Setup'!$C$3,0)+IF(I59="Y",'Tournament Setup'!$C$4,0)</f>
        <v>0</v>
      </c>
      <c r="K59" s="1"/>
      <c r="R59" t="str">
        <f>IF(ISBLANK($O59),"",IFERROR(INDEX('Squad Listing'!$C:$C,MATCH($O59,'Squad Listing'!$A:$A,0)),""))</f>
        <v/>
      </c>
      <c r="S59" t="str">
        <f>IF(ISBLANK($O59),"",IFERROR(INDEX('Squad Listing'!$D:$D,MATCH($O59,'Squad Listing'!$A:$A,0)),""))</f>
        <v/>
      </c>
      <c r="Y59" t="str">
        <f t="shared" si="9"/>
        <v/>
      </c>
      <c r="Z59" s="129" t="str">
        <f t="shared" si="10"/>
        <v/>
      </c>
      <c r="AL59" t="str">
        <f>IF(ISBLANK($O59),"",IFERROR(INDEX('Squad Listing'!$C:$C,MATCH($O59,'Squad Listing'!$A:$A,0)),""))</f>
        <v/>
      </c>
      <c r="AM59" t="str">
        <f>IF(ISBLANK($O59),"",IFERROR(INDEX('Squad Listing'!$D:$D,MATCH($O59,'Squad Listing'!$A:$A,0)),""))</f>
        <v/>
      </c>
      <c r="AP59" t="str">
        <f t="shared" si="11"/>
        <v/>
      </c>
      <c r="AQ59" t="str">
        <f t="shared" si="12"/>
        <v/>
      </c>
      <c r="AY59" t="str">
        <f>IF(ISBLANK($O59),"",IFERROR(INDEX('Squad Listing'!$C:$C,MATCH($O59,'Squad Listing'!$A:$A,0)),""))</f>
        <v/>
      </c>
      <c r="AZ59" t="str">
        <f>IF(ISBLANK($O59),"",IFERROR(INDEX('Squad Listing'!$D:$D,MATCH($O59,'Squad Listing'!$A:$A,0)),""))</f>
        <v/>
      </c>
      <c r="BC59" t="str">
        <f t="shared" si="13"/>
        <v/>
      </c>
      <c r="BD59" t="str">
        <f t="shared" si="14"/>
        <v/>
      </c>
    </row>
    <row r="60" spans="1:77" x14ac:dyDescent="0.3">
      <c r="J60" s="10">
        <f>IF(G60="Y",'Tournament Setup'!$C$2,0)+IF(H60="Y",'Tournament Setup'!$C$3,0)+IF(I60="Y",'Tournament Setup'!$C$4,0)</f>
        <v>0</v>
      </c>
      <c r="K60" s="1"/>
      <c r="R60" t="str">
        <f>IF(ISBLANK($O60),"",IFERROR(INDEX('Squad Listing'!$C:$C,MATCH($O60,'Squad Listing'!$A:$A,0)),""))</f>
        <v/>
      </c>
      <c r="S60" t="str">
        <f>IF(ISBLANK($O60),"",IFERROR(INDEX('Squad Listing'!$D:$D,MATCH($O60,'Squad Listing'!$A:$A,0)),""))</f>
        <v/>
      </c>
      <c r="Y60" t="str">
        <f t="shared" si="9"/>
        <v/>
      </c>
      <c r="Z60" s="129" t="str">
        <f t="shared" si="10"/>
        <v/>
      </c>
      <c r="AL60" t="str">
        <f>IF(ISBLANK($O60),"",IFERROR(INDEX('Squad Listing'!$C:$C,MATCH($O60,'Squad Listing'!$A:$A,0)),""))</f>
        <v/>
      </c>
      <c r="AM60" t="str">
        <f>IF(ISBLANK($O60),"",IFERROR(INDEX('Squad Listing'!$D:$D,MATCH($O60,'Squad Listing'!$A:$A,0)),""))</f>
        <v/>
      </c>
      <c r="AP60" t="str">
        <f t="shared" si="11"/>
        <v/>
      </c>
      <c r="AQ60" t="str">
        <f t="shared" si="12"/>
        <v/>
      </c>
      <c r="AY60" t="str">
        <f>IF(ISBLANK($O60),"",IFERROR(INDEX('Squad Listing'!$C:$C,MATCH($O60,'Squad Listing'!$A:$A,0)),""))</f>
        <v/>
      </c>
      <c r="AZ60" t="str">
        <f>IF(ISBLANK($O60),"",IFERROR(INDEX('Squad Listing'!$D:$D,MATCH($O60,'Squad Listing'!$A:$A,0)),""))</f>
        <v/>
      </c>
      <c r="BC60" t="str">
        <f t="shared" si="13"/>
        <v/>
      </c>
      <c r="BD60" t="str">
        <f t="shared" si="14"/>
        <v/>
      </c>
    </row>
    <row r="61" spans="1:77" x14ac:dyDescent="0.3">
      <c r="J61" s="10">
        <f>IF(G61="Y",'Tournament Setup'!$C$2,0)+IF(H61="Y",'Tournament Setup'!$C$3,0)+IF(I61="Y",'Tournament Setup'!$C$4,0)</f>
        <v>0</v>
      </c>
      <c r="K61" s="1"/>
      <c r="R61" t="str">
        <f>IF(ISBLANK($O61),"",IFERROR(INDEX('Squad Listing'!$C:$C,MATCH($O61,'Squad Listing'!$A:$A,0)),""))</f>
        <v/>
      </c>
      <c r="S61" t="str">
        <f>IF(ISBLANK($O61),"",IFERROR(INDEX('Squad Listing'!$D:$D,MATCH($O61,'Squad Listing'!$A:$A,0)),""))</f>
        <v/>
      </c>
      <c r="Y61" t="str">
        <f t="shared" si="9"/>
        <v/>
      </c>
      <c r="Z61" s="129" t="str">
        <f t="shared" si="10"/>
        <v/>
      </c>
      <c r="AL61" t="str">
        <f>IF(ISBLANK($O61),"",IFERROR(INDEX('Squad Listing'!$C:$C,MATCH($O61,'Squad Listing'!$A:$A,0)),""))</f>
        <v/>
      </c>
      <c r="AM61" t="str">
        <f>IF(ISBLANK($O61),"",IFERROR(INDEX('Squad Listing'!$D:$D,MATCH($O61,'Squad Listing'!$A:$A,0)),""))</f>
        <v/>
      </c>
      <c r="AP61" t="str">
        <f t="shared" si="11"/>
        <v/>
      </c>
      <c r="AQ61" t="str">
        <f t="shared" si="12"/>
        <v/>
      </c>
      <c r="AY61" t="str">
        <f>IF(ISBLANK($O61),"",IFERROR(INDEX('Squad Listing'!$C:$C,MATCH($O61,'Squad Listing'!$A:$A,0)),""))</f>
        <v/>
      </c>
      <c r="AZ61" t="str">
        <f>IF(ISBLANK($O61),"",IFERROR(INDEX('Squad Listing'!$D:$D,MATCH($O61,'Squad Listing'!$A:$A,0)),""))</f>
        <v/>
      </c>
      <c r="BC61" t="str">
        <f t="shared" si="13"/>
        <v/>
      </c>
      <c r="BD61" t="str">
        <f t="shared" si="14"/>
        <v/>
      </c>
    </row>
    <row r="62" spans="1:77" x14ac:dyDescent="0.3">
      <c r="J62" s="10">
        <f>IF(G62="Y",'Tournament Setup'!$C$2,0)+IF(H62="Y",'Tournament Setup'!$C$3,0)+IF(I62="Y",'Tournament Setup'!$C$4,0)</f>
        <v>0</v>
      </c>
      <c r="K62" s="1"/>
      <c r="R62" t="str">
        <f>IF(ISBLANK($O62),"",IFERROR(INDEX('Squad Listing'!$C:$C,MATCH($O62,'Squad Listing'!$A:$A,0)),""))</f>
        <v/>
      </c>
      <c r="S62" t="str">
        <f>IF(ISBLANK($O62),"",IFERROR(INDEX('Squad Listing'!$D:$D,MATCH($O62,'Squad Listing'!$A:$A,0)),""))</f>
        <v/>
      </c>
      <c r="Y62" t="str">
        <f t="shared" si="9"/>
        <v/>
      </c>
      <c r="Z62" s="129" t="str">
        <f t="shared" si="10"/>
        <v/>
      </c>
      <c r="AL62" t="str">
        <f>IF(ISBLANK($O62),"",IFERROR(INDEX('Squad Listing'!$C:$C,MATCH($O62,'Squad Listing'!$A:$A,0)),""))</f>
        <v/>
      </c>
      <c r="AM62" t="str">
        <f>IF(ISBLANK($O62),"",IFERROR(INDEX('Squad Listing'!$D:$D,MATCH($O62,'Squad Listing'!$A:$A,0)),""))</f>
        <v/>
      </c>
      <c r="AP62" t="str">
        <f t="shared" si="11"/>
        <v/>
      </c>
      <c r="AQ62" t="str">
        <f t="shared" si="12"/>
        <v/>
      </c>
      <c r="AY62" t="str">
        <f>IF(ISBLANK($O62),"",IFERROR(INDEX('Squad Listing'!$C:$C,MATCH($O62,'Squad Listing'!$A:$A,0)),""))</f>
        <v/>
      </c>
      <c r="AZ62" t="str">
        <f>IF(ISBLANK($O62),"",IFERROR(INDEX('Squad Listing'!$D:$D,MATCH($O62,'Squad Listing'!$A:$A,0)),""))</f>
        <v/>
      </c>
      <c r="BC62" t="str">
        <f t="shared" si="13"/>
        <v/>
      </c>
      <c r="BD62" t="str">
        <f t="shared" si="14"/>
        <v/>
      </c>
    </row>
    <row r="63" spans="1:77" x14ac:dyDescent="0.3">
      <c r="J63" s="10">
        <f>IF(G63="Y",'Tournament Setup'!$C$2,0)+IF(H63="Y",'Tournament Setup'!$C$3,0)+IF(I63="Y",'Tournament Setup'!$C$4,0)</f>
        <v>0</v>
      </c>
      <c r="K63" s="1"/>
      <c r="R63" t="str">
        <f>IF(ISBLANK($O63),"",IFERROR(INDEX('Squad Listing'!$C:$C,MATCH($O63,'Squad Listing'!$A:$A,0)),""))</f>
        <v/>
      </c>
      <c r="S63" t="str">
        <f>IF(ISBLANK($O63),"",IFERROR(INDEX('Squad Listing'!$D:$D,MATCH($O63,'Squad Listing'!$A:$A,0)),""))</f>
        <v/>
      </c>
      <c r="Y63" t="str">
        <f t="shared" si="9"/>
        <v/>
      </c>
      <c r="Z63" s="129" t="str">
        <f t="shared" si="10"/>
        <v/>
      </c>
      <c r="AL63" t="str">
        <f>IF(ISBLANK($O63),"",IFERROR(INDEX('Squad Listing'!$C:$C,MATCH($O63,'Squad Listing'!$A:$A,0)),""))</f>
        <v/>
      </c>
      <c r="AM63" t="str">
        <f>IF(ISBLANK($O63),"",IFERROR(INDEX('Squad Listing'!$D:$D,MATCH($O63,'Squad Listing'!$A:$A,0)),""))</f>
        <v/>
      </c>
      <c r="AP63" t="str">
        <f t="shared" si="11"/>
        <v/>
      </c>
      <c r="AQ63" t="str">
        <f t="shared" si="12"/>
        <v/>
      </c>
      <c r="AY63" t="str">
        <f>IF(ISBLANK($O63),"",IFERROR(INDEX('Squad Listing'!$C:$C,MATCH($O63,'Squad Listing'!$A:$A,0)),""))</f>
        <v/>
      </c>
      <c r="AZ63" t="str">
        <f>IF(ISBLANK($O63),"",IFERROR(INDEX('Squad Listing'!$D:$D,MATCH($O63,'Squad Listing'!$A:$A,0)),""))</f>
        <v/>
      </c>
      <c r="BC63" t="str">
        <f t="shared" si="13"/>
        <v/>
      </c>
      <c r="BD63" t="str">
        <f t="shared" si="14"/>
        <v/>
      </c>
    </row>
    <row r="64" spans="1:77" x14ac:dyDescent="0.3">
      <c r="J64" s="10">
        <f>IF(G64="Y",'Tournament Setup'!$C$2,0)+IF(H64="Y",'Tournament Setup'!$C$3,0)+IF(I64="Y",'Tournament Setup'!$C$4,0)</f>
        <v>0</v>
      </c>
      <c r="K64" s="1"/>
      <c r="R64" t="str">
        <f>IF(ISBLANK($O64),"",IFERROR(INDEX('Squad Listing'!$C:$C,MATCH($O64,'Squad Listing'!$A:$A,0)),""))</f>
        <v/>
      </c>
      <c r="S64" t="str">
        <f>IF(ISBLANK($O64),"",IFERROR(INDEX('Squad Listing'!$D:$D,MATCH($O64,'Squad Listing'!$A:$A,0)),""))</f>
        <v/>
      </c>
      <c r="Y64" t="str">
        <f t="shared" si="9"/>
        <v/>
      </c>
      <c r="Z64" s="129" t="str">
        <f t="shared" si="10"/>
        <v/>
      </c>
      <c r="AL64" t="str">
        <f>IF(ISBLANK($O64),"",IFERROR(INDEX('Squad Listing'!$C:$C,MATCH($O64,'Squad Listing'!$A:$A,0)),""))</f>
        <v/>
      </c>
      <c r="AM64" t="str">
        <f>IF(ISBLANK($O64),"",IFERROR(INDEX('Squad Listing'!$D:$D,MATCH($O64,'Squad Listing'!$A:$A,0)),""))</f>
        <v/>
      </c>
      <c r="AP64" t="str">
        <f t="shared" si="11"/>
        <v/>
      </c>
      <c r="AQ64" t="str">
        <f t="shared" si="12"/>
        <v/>
      </c>
      <c r="AY64" t="str">
        <f>IF(ISBLANK($O64),"",IFERROR(INDEX('Squad Listing'!$C:$C,MATCH($O64,'Squad Listing'!$A:$A,0)),""))</f>
        <v/>
      </c>
      <c r="AZ64" t="str">
        <f>IF(ISBLANK($O64),"",IFERROR(INDEX('Squad Listing'!$D:$D,MATCH($O64,'Squad Listing'!$A:$A,0)),""))</f>
        <v/>
      </c>
      <c r="BC64" t="str">
        <f t="shared" si="13"/>
        <v/>
      </c>
      <c r="BD64" t="str">
        <f t="shared" si="14"/>
        <v/>
      </c>
    </row>
    <row r="65" spans="10:56" x14ac:dyDescent="0.3">
      <c r="J65" s="10">
        <f>IF(G65="Y",'Tournament Setup'!$C$2,0)+IF(H65="Y",'Tournament Setup'!$C$3,0)+IF(I65="Y",'Tournament Setup'!$C$4,0)</f>
        <v>0</v>
      </c>
      <c r="K65" s="1"/>
      <c r="R65" t="str">
        <f>IF(ISBLANK($O65),"",IFERROR(INDEX('Squad Listing'!$C:$C,MATCH($O65,'Squad Listing'!$A:$A,0)),""))</f>
        <v/>
      </c>
      <c r="S65" t="str">
        <f>IF(ISBLANK($O65),"",IFERROR(INDEX('Squad Listing'!$D:$D,MATCH($O65,'Squad Listing'!$A:$A,0)),""))</f>
        <v/>
      </c>
      <c r="Y65" t="str">
        <f t="shared" si="9"/>
        <v/>
      </c>
      <c r="Z65" s="129" t="str">
        <f t="shared" si="10"/>
        <v/>
      </c>
      <c r="AL65" t="str">
        <f>IF(ISBLANK($O65),"",IFERROR(INDEX('Squad Listing'!$C:$C,MATCH($O65,'Squad Listing'!$A:$A,0)),""))</f>
        <v/>
      </c>
      <c r="AM65" t="str">
        <f>IF(ISBLANK($O65),"",IFERROR(INDEX('Squad Listing'!$D:$D,MATCH($O65,'Squad Listing'!$A:$A,0)),""))</f>
        <v/>
      </c>
      <c r="AP65" t="str">
        <f t="shared" si="11"/>
        <v/>
      </c>
      <c r="AQ65" t="str">
        <f t="shared" si="12"/>
        <v/>
      </c>
      <c r="AY65" t="str">
        <f>IF(ISBLANK($O65),"",IFERROR(INDEX('Squad Listing'!$C:$C,MATCH($O65,'Squad Listing'!$A:$A,0)),""))</f>
        <v/>
      </c>
      <c r="AZ65" t="str">
        <f>IF(ISBLANK($O65),"",IFERROR(INDEX('Squad Listing'!$D:$D,MATCH($O65,'Squad Listing'!$A:$A,0)),""))</f>
        <v/>
      </c>
      <c r="BC65" t="str">
        <f t="shared" si="13"/>
        <v/>
      </c>
      <c r="BD65" t="str">
        <f t="shared" si="14"/>
        <v/>
      </c>
    </row>
    <row r="66" spans="10:56" x14ac:dyDescent="0.3">
      <c r="J66" s="10">
        <f>IF(G66="Y",'Tournament Setup'!$C$2,0)+IF(H66="Y",'Tournament Setup'!$C$3,0)+IF(I66="Y",'Tournament Setup'!$C$4,0)</f>
        <v>0</v>
      </c>
      <c r="K66" s="1"/>
      <c r="R66" t="str">
        <f>IF(ISBLANK($O66),"",IFERROR(INDEX('Squad Listing'!$C:$C,MATCH($O66,'Squad Listing'!$A:$A,0)),""))</f>
        <v/>
      </c>
      <c r="S66" t="str">
        <f>IF(ISBLANK($O66),"",IFERROR(INDEX('Squad Listing'!$D:$D,MATCH($O66,'Squad Listing'!$A:$A,0)),""))</f>
        <v/>
      </c>
      <c r="Y66" t="str">
        <f t="shared" si="9"/>
        <v/>
      </c>
      <c r="Z66" s="129" t="str">
        <f t="shared" si="10"/>
        <v/>
      </c>
      <c r="AL66" t="str">
        <f>IF(ISBLANK($O66),"",IFERROR(INDEX('Squad Listing'!$C:$C,MATCH($O66,'Squad Listing'!$A:$A,0)),""))</f>
        <v/>
      </c>
      <c r="AM66" t="str">
        <f>IF(ISBLANK($O66),"",IFERROR(INDEX('Squad Listing'!$D:$D,MATCH($O66,'Squad Listing'!$A:$A,0)),""))</f>
        <v/>
      </c>
      <c r="AP66" t="str">
        <f t="shared" si="11"/>
        <v/>
      </c>
      <c r="AQ66" t="str">
        <f t="shared" si="12"/>
        <v/>
      </c>
      <c r="AY66" t="str">
        <f>IF(ISBLANK($O66),"",IFERROR(INDEX('Squad Listing'!$C:$C,MATCH($O66,'Squad Listing'!$A:$A,0)),""))</f>
        <v/>
      </c>
      <c r="AZ66" t="str">
        <f>IF(ISBLANK($O66),"",IFERROR(INDEX('Squad Listing'!$D:$D,MATCH($O66,'Squad Listing'!$A:$A,0)),""))</f>
        <v/>
      </c>
      <c r="BC66" t="str">
        <f t="shared" si="13"/>
        <v/>
      </c>
      <c r="BD66" t="str">
        <f t="shared" si="14"/>
        <v/>
      </c>
    </row>
    <row r="67" spans="10:56" x14ac:dyDescent="0.3">
      <c r="J67" s="10">
        <f>IF(G67="Y",'Tournament Setup'!$C$2,0)+IF(H67="Y",'Tournament Setup'!$C$3,0)+IF(I67="Y",'Tournament Setup'!$C$4,0)</f>
        <v>0</v>
      </c>
      <c r="K67" s="1"/>
      <c r="R67" t="str">
        <f>IF(ISBLANK($O67),"",IFERROR(INDEX('Squad Listing'!$C:$C,MATCH($O67,'Squad Listing'!$A:$A,0)),""))</f>
        <v/>
      </c>
      <c r="S67" t="str">
        <f>IF(ISBLANK($O67),"",IFERROR(INDEX('Squad Listing'!$D:$D,MATCH($O67,'Squad Listing'!$A:$A,0)),""))</f>
        <v/>
      </c>
      <c r="Y67" t="str">
        <f t="shared" si="9"/>
        <v/>
      </c>
      <c r="Z67" s="129" t="str">
        <f t="shared" si="10"/>
        <v/>
      </c>
      <c r="AL67" t="str">
        <f>IF(ISBLANK($O67),"",IFERROR(INDEX('Squad Listing'!$C:$C,MATCH($O67,'Squad Listing'!$A:$A,0)),""))</f>
        <v/>
      </c>
      <c r="AM67" t="str">
        <f>IF(ISBLANK($O67),"",IFERROR(INDEX('Squad Listing'!$D:$D,MATCH($O67,'Squad Listing'!$A:$A,0)),""))</f>
        <v/>
      </c>
      <c r="AP67" t="str">
        <f t="shared" si="11"/>
        <v/>
      </c>
      <c r="AQ67" t="str">
        <f t="shared" si="12"/>
        <v/>
      </c>
      <c r="AY67" t="str">
        <f>IF(ISBLANK($O67),"",IFERROR(INDEX('Squad Listing'!$C:$C,MATCH($O67,'Squad Listing'!$A:$A,0)),""))</f>
        <v/>
      </c>
      <c r="AZ67" t="str">
        <f>IF(ISBLANK($O67),"",IFERROR(INDEX('Squad Listing'!$D:$D,MATCH($O67,'Squad Listing'!$A:$A,0)),""))</f>
        <v/>
      </c>
      <c r="BC67" t="str">
        <f t="shared" si="13"/>
        <v/>
      </c>
      <c r="BD67" t="str">
        <f t="shared" si="14"/>
        <v/>
      </c>
    </row>
    <row r="68" spans="10:56" x14ac:dyDescent="0.3">
      <c r="J68" s="10">
        <f>IF(G68="Y",'Tournament Setup'!$C$2,0)+IF(H68="Y",'Tournament Setup'!$C$3,0)+IF(I68="Y",'Tournament Setup'!$C$4,0)</f>
        <v>0</v>
      </c>
      <c r="K68" s="1"/>
      <c r="R68" t="str">
        <f>IF(ISBLANK($O68),"",IFERROR(INDEX('Squad Listing'!$C:$C,MATCH($O68,'Squad Listing'!$A:$A,0)),""))</f>
        <v/>
      </c>
      <c r="S68" t="str">
        <f>IF(ISBLANK($O68),"",IFERROR(INDEX('Squad Listing'!$D:$D,MATCH($O68,'Squad Listing'!$A:$A,0)),""))</f>
        <v/>
      </c>
      <c r="Y68" t="str">
        <f t="shared" si="9"/>
        <v/>
      </c>
      <c r="Z68" s="129" t="str">
        <f t="shared" si="10"/>
        <v/>
      </c>
      <c r="AL68" t="str">
        <f>IF(ISBLANK($O68),"",IFERROR(INDEX('Squad Listing'!$C:$C,MATCH($O68,'Squad Listing'!$A:$A,0)),""))</f>
        <v/>
      </c>
      <c r="AM68" t="str">
        <f>IF(ISBLANK($O68),"",IFERROR(INDEX('Squad Listing'!$D:$D,MATCH($O68,'Squad Listing'!$A:$A,0)),""))</f>
        <v/>
      </c>
      <c r="AP68" t="str">
        <f t="shared" si="11"/>
        <v/>
      </c>
      <c r="AQ68" t="str">
        <f t="shared" si="12"/>
        <v/>
      </c>
      <c r="AY68" t="str">
        <f>IF(ISBLANK($O68),"",IFERROR(INDEX('Squad Listing'!$C:$C,MATCH($O68,'Squad Listing'!$A:$A,0)),""))</f>
        <v/>
      </c>
      <c r="AZ68" t="str">
        <f>IF(ISBLANK($O68),"",IFERROR(INDEX('Squad Listing'!$D:$D,MATCH($O68,'Squad Listing'!$A:$A,0)),""))</f>
        <v/>
      </c>
      <c r="BC68" t="str">
        <f t="shared" si="13"/>
        <v/>
      </c>
      <c r="BD68" t="str">
        <f t="shared" si="14"/>
        <v/>
      </c>
    </row>
    <row r="69" spans="10:56" x14ac:dyDescent="0.3">
      <c r="J69" s="10">
        <f>IF(G69="Y",'Tournament Setup'!$C$2,0)+IF(H69="Y",'Tournament Setup'!$C$3,0)+IF(I69="Y",'Tournament Setup'!$C$4,0)</f>
        <v>0</v>
      </c>
      <c r="K69" s="1"/>
      <c r="R69" t="str">
        <f>IF(ISBLANK($O69),"",IFERROR(INDEX('Squad Listing'!$C:$C,MATCH($O69,'Squad Listing'!$A:$A,0)),""))</f>
        <v/>
      </c>
      <c r="S69" t="str">
        <f>IF(ISBLANK($O69),"",IFERROR(INDEX('Squad Listing'!$D:$D,MATCH($O69,'Squad Listing'!$A:$A,0)),""))</f>
        <v/>
      </c>
      <c r="Y69" t="str">
        <f t="shared" si="9"/>
        <v/>
      </c>
      <c r="Z69" s="129" t="str">
        <f t="shared" si="10"/>
        <v/>
      </c>
      <c r="AL69" t="str">
        <f>IF(ISBLANK($O69),"",IFERROR(INDEX('Squad Listing'!$C:$C,MATCH($O69,'Squad Listing'!$A:$A,0)),""))</f>
        <v/>
      </c>
      <c r="AM69" t="str">
        <f>IF(ISBLANK($O69),"",IFERROR(INDEX('Squad Listing'!$D:$D,MATCH($O69,'Squad Listing'!$A:$A,0)),""))</f>
        <v/>
      </c>
      <c r="AP69" t="str">
        <f t="shared" si="11"/>
        <v/>
      </c>
      <c r="AQ69" t="str">
        <f t="shared" si="12"/>
        <v/>
      </c>
      <c r="AY69" t="str">
        <f>IF(ISBLANK($O69),"",IFERROR(INDEX('Squad Listing'!$C:$C,MATCH($O69,'Squad Listing'!$A:$A,0)),""))</f>
        <v/>
      </c>
      <c r="AZ69" t="str">
        <f>IF(ISBLANK($O69),"",IFERROR(INDEX('Squad Listing'!$D:$D,MATCH($O69,'Squad Listing'!$A:$A,0)),""))</f>
        <v/>
      </c>
      <c r="BC69" t="str">
        <f t="shared" si="13"/>
        <v/>
      </c>
      <c r="BD69" t="str">
        <f t="shared" si="14"/>
        <v/>
      </c>
    </row>
    <row r="70" spans="10:56" x14ac:dyDescent="0.3">
      <c r="J70" s="10">
        <f>IF(G70="Y",'Tournament Setup'!$C$2,0)+IF(H70="Y",'Tournament Setup'!$C$3,0)+IF(I70="Y",'Tournament Setup'!$C$4,0)</f>
        <v>0</v>
      </c>
      <c r="K70" s="1"/>
      <c r="R70" t="str">
        <f>IF(ISBLANK($O70),"",IFERROR(INDEX('Squad Listing'!$C:$C,MATCH($O70,'Squad Listing'!$A:$A,0)),""))</f>
        <v/>
      </c>
      <c r="S70" t="str">
        <f>IF(ISBLANK($O70),"",IFERROR(INDEX('Squad Listing'!$D:$D,MATCH($O70,'Squad Listing'!$A:$A,0)),""))</f>
        <v/>
      </c>
      <c r="Y70" t="str">
        <f t="shared" si="9"/>
        <v/>
      </c>
      <c r="Z70" s="129" t="str">
        <f t="shared" si="10"/>
        <v/>
      </c>
      <c r="AL70" t="str">
        <f>IF(ISBLANK($O70),"",IFERROR(INDEX('Squad Listing'!$C:$C,MATCH($O70,'Squad Listing'!$A:$A,0)),""))</f>
        <v/>
      </c>
      <c r="AM70" t="str">
        <f>IF(ISBLANK($O70),"",IFERROR(INDEX('Squad Listing'!$D:$D,MATCH($O70,'Squad Listing'!$A:$A,0)),""))</f>
        <v/>
      </c>
      <c r="AP70" t="str">
        <f t="shared" si="11"/>
        <v/>
      </c>
      <c r="AQ70" t="str">
        <f t="shared" si="12"/>
        <v/>
      </c>
      <c r="AY70" t="str">
        <f>IF(ISBLANK($O70),"",IFERROR(INDEX('Squad Listing'!$C:$C,MATCH($O70,'Squad Listing'!$A:$A,0)),""))</f>
        <v/>
      </c>
      <c r="AZ70" t="str">
        <f>IF(ISBLANK($O70),"",IFERROR(INDEX('Squad Listing'!$D:$D,MATCH($O70,'Squad Listing'!$A:$A,0)),""))</f>
        <v/>
      </c>
      <c r="BC70" t="str">
        <f t="shared" si="13"/>
        <v/>
      </c>
      <c r="BD70" t="str">
        <f t="shared" si="14"/>
        <v/>
      </c>
    </row>
    <row r="71" spans="10:56" x14ac:dyDescent="0.3">
      <c r="J71" s="10">
        <f>IF(G71="Y",'Tournament Setup'!$C$2,0)+IF(H71="Y",'Tournament Setup'!$C$3,0)+IF(I71="Y",'Tournament Setup'!$C$4,0)</f>
        <v>0</v>
      </c>
      <c r="K71" s="1"/>
      <c r="R71" t="str">
        <f>IF(ISBLANK($O71),"",IFERROR(INDEX('Squad Listing'!$C:$C,MATCH($O71,'Squad Listing'!$A:$A,0)),""))</f>
        <v/>
      </c>
      <c r="S71" t="str">
        <f>IF(ISBLANK($O71),"",IFERROR(INDEX('Squad Listing'!$D:$D,MATCH($O71,'Squad Listing'!$A:$A,0)),""))</f>
        <v/>
      </c>
      <c r="Y71" t="str">
        <f t="shared" si="9"/>
        <v/>
      </c>
      <c r="Z71" s="129" t="str">
        <f t="shared" si="10"/>
        <v/>
      </c>
      <c r="AL71" t="str">
        <f>IF(ISBLANK($O71),"",IFERROR(INDEX('Squad Listing'!$C:$C,MATCH($O71,'Squad Listing'!$A:$A,0)),""))</f>
        <v/>
      </c>
      <c r="AM71" t="str">
        <f>IF(ISBLANK($O71),"",IFERROR(INDEX('Squad Listing'!$D:$D,MATCH($O71,'Squad Listing'!$A:$A,0)),""))</f>
        <v/>
      </c>
      <c r="AP71" t="str">
        <f t="shared" si="11"/>
        <v/>
      </c>
      <c r="AQ71" t="str">
        <f t="shared" si="12"/>
        <v/>
      </c>
      <c r="AY71" t="str">
        <f>IF(ISBLANK($O71),"",IFERROR(INDEX('Squad Listing'!$C:$C,MATCH($O71,'Squad Listing'!$A:$A,0)),""))</f>
        <v/>
      </c>
      <c r="AZ71" t="str">
        <f>IF(ISBLANK($O71),"",IFERROR(INDEX('Squad Listing'!$D:$D,MATCH($O71,'Squad Listing'!$A:$A,0)),""))</f>
        <v/>
      </c>
      <c r="BC71" t="str">
        <f t="shared" si="13"/>
        <v/>
      </c>
      <c r="BD71" t="str">
        <f t="shared" si="14"/>
        <v/>
      </c>
    </row>
    <row r="72" spans="10:56" x14ac:dyDescent="0.3">
      <c r="J72" s="10">
        <f>IF(G72="Y",'Tournament Setup'!$C$2,0)+IF(H72="Y",'Tournament Setup'!$C$3,0)+IF(I72="Y",'Tournament Setup'!$C$4,0)</f>
        <v>0</v>
      </c>
      <c r="K72" s="1"/>
      <c r="R72" t="str">
        <f>IF(ISBLANK($O72),"",IFERROR(INDEX('Squad Listing'!$C:$C,MATCH($O72,'Squad Listing'!$A:$A,0)),""))</f>
        <v/>
      </c>
      <c r="S72" t="str">
        <f>IF(ISBLANK($O72),"",IFERROR(INDEX('Squad Listing'!$D:$D,MATCH($O72,'Squad Listing'!$A:$A,0)),""))</f>
        <v/>
      </c>
      <c r="Y72" t="str">
        <f t="shared" si="9"/>
        <v/>
      </c>
      <c r="Z72" s="129" t="str">
        <f t="shared" si="10"/>
        <v/>
      </c>
      <c r="AL72" t="str">
        <f>IF(ISBLANK($O72),"",IFERROR(INDEX('Squad Listing'!$C:$C,MATCH($O72,'Squad Listing'!$A:$A,0)),""))</f>
        <v/>
      </c>
      <c r="AM72" t="str">
        <f>IF(ISBLANK($O72),"",IFERROR(INDEX('Squad Listing'!$D:$D,MATCH($O72,'Squad Listing'!$A:$A,0)),""))</f>
        <v/>
      </c>
      <c r="AP72" t="str">
        <f t="shared" si="11"/>
        <v/>
      </c>
      <c r="AQ72" t="str">
        <f t="shared" si="12"/>
        <v/>
      </c>
      <c r="AY72" t="str">
        <f>IF(ISBLANK($O72),"",IFERROR(INDEX('Squad Listing'!$C:$C,MATCH($O72,'Squad Listing'!$A:$A,0)),""))</f>
        <v/>
      </c>
      <c r="AZ72" t="str">
        <f>IF(ISBLANK($O72),"",IFERROR(INDEX('Squad Listing'!$D:$D,MATCH($O72,'Squad Listing'!$A:$A,0)),""))</f>
        <v/>
      </c>
      <c r="BC72" t="str">
        <f t="shared" si="13"/>
        <v/>
      </c>
      <c r="BD72" t="str">
        <f t="shared" si="14"/>
        <v/>
      </c>
    </row>
    <row r="73" spans="10:56" x14ac:dyDescent="0.3">
      <c r="J73" s="10">
        <f>IF(G73="Y",'Tournament Setup'!$C$2,0)+IF(H73="Y",'Tournament Setup'!$C$3,0)+IF(I73="Y",'Tournament Setup'!$C$4,0)</f>
        <v>0</v>
      </c>
      <c r="K73" s="1"/>
      <c r="R73" t="str">
        <f>IF(ISBLANK($O73),"",IFERROR(INDEX('Squad Listing'!$C:$C,MATCH($O73,'Squad Listing'!$A:$A,0)),""))</f>
        <v/>
      </c>
      <c r="S73" t="str">
        <f>IF(ISBLANK($O73),"",IFERROR(INDEX('Squad Listing'!$D:$D,MATCH($O73,'Squad Listing'!$A:$A,0)),""))</f>
        <v/>
      </c>
      <c r="Y73" t="str">
        <f t="shared" si="9"/>
        <v/>
      </c>
      <c r="Z73" s="129" t="str">
        <f t="shared" si="10"/>
        <v/>
      </c>
      <c r="AL73" t="str">
        <f>IF(ISBLANK($O73),"",IFERROR(INDEX('Squad Listing'!$C:$C,MATCH($O73,'Squad Listing'!$A:$A,0)),""))</f>
        <v/>
      </c>
      <c r="AM73" t="str">
        <f>IF(ISBLANK($O73),"",IFERROR(INDEX('Squad Listing'!$D:$D,MATCH($O73,'Squad Listing'!$A:$A,0)),""))</f>
        <v/>
      </c>
      <c r="AP73" t="str">
        <f t="shared" si="11"/>
        <v/>
      </c>
      <c r="AQ73" t="str">
        <f t="shared" si="12"/>
        <v/>
      </c>
      <c r="AY73" t="str">
        <f>IF(ISBLANK($O73),"",IFERROR(INDEX('Squad Listing'!$C:$C,MATCH($O73,'Squad Listing'!$A:$A,0)),""))</f>
        <v/>
      </c>
      <c r="AZ73" t="str">
        <f>IF(ISBLANK($O73),"",IFERROR(INDEX('Squad Listing'!$D:$D,MATCH($O73,'Squad Listing'!$A:$A,0)),""))</f>
        <v/>
      </c>
      <c r="BC73" t="str">
        <f t="shared" si="13"/>
        <v/>
      </c>
      <c r="BD73" t="str">
        <f t="shared" si="14"/>
        <v/>
      </c>
    </row>
    <row r="74" spans="10:56" x14ac:dyDescent="0.3">
      <c r="J74" s="10">
        <f>IF(G74="Y",'Tournament Setup'!$C$2,0)+IF(H74="Y",'Tournament Setup'!$C$3,0)+IF(I74="Y",'Tournament Setup'!$C$4,0)</f>
        <v>0</v>
      </c>
      <c r="K74" s="1"/>
      <c r="R74" t="str">
        <f>IF(ISBLANK($O74),"",IFERROR(INDEX('Squad Listing'!$C:$C,MATCH($O74,'Squad Listing'!$A:$A,0)),""))</f>
        <v/>
      </c>
      <c r="S74" t="str">
        <f>IF(ISBLANK($O74),"",IFERROR(INDEX('Squad Listing'!$D:$D,MATCH($O74,'Squad Listing'!$A:$A,0)),""))</f>
        <v/>
      </c>
      <c r="Y74" t="str">
        <f t="shared" si="9"/>
        <v/>
      </c>
      <c r="Z74" s="129" t="str">
        <f t="shared" si="10"/>
        <v/>
      </c>
      <c r="AL74" t="str">
        <f>IF(ISBLANK($O74),"",IFERROR(INDEX('Squad Listing'!$C:$C,MATCH($O74,'Squad Listing'!$A:$A,0)),""))</f>
        <v/>
      </c>
      <c r="AM74" t="str">
        <f>IF(ISBLANK($O74),"",IFERROR(INDEX('Squad Listing'!$D:$D,MATCH($O74,'Squad Listing'!$A:$A,0)),""))</f>
        <v/>
      </c>
      <c r="AP74" t="str">
        <f t="shared" si="11"/>
        <v/>
      </c>
      <c r="AQ74" t="str">
        <f t="shared" si="12"/>
        <v/>
      </c>
      <c r="AY74" t="str">
        <f>IF(ISBLANK($O74),"",IFERROR(INDEX('Squad Listing'!$C:$C,MATCH($O74,'Squad Listing'!$A:$A,0)),""))</f>
        <v/>
      </c>
      <c r="AZ74" t="str">
        <f>IF(ISBLANK($O74),"",IFERROR(INDEX('Squad Listing'!$D:$D,MATCH($O74,'Squad Listing'!$A:$A,0)),""))</f>
        <v/>
      </c>
      <c r="BC74" t="str">
        <f t="shared" si="13"/>
        <v/>
      </c>
      <c r="BD74" t="str">
        <f t="shared" si="14"/>
        <v/>
      </c>
    </row>
    <row r="75" spans="10:56" x14ac:dyDescent="0.3">
      <c r="J75" s="10">
        <f>IF(G75="Y",'Tournament Setup'!$C$2,0)+IF(H75="Y",'Tournament Setup'!$C$3,0)+IF(I75="Y",'Tournament Setup'!$C$4,0)</f>
        <v>0</v>
      </c>
      <c r="K75" s="1"/>
      <c r="R75" t="str">
        <f>IF(ISBLANK($O75),"",IFERROR(INDEX('Squad Listing'!$C:$C,MATCH($O75,'Squad Listing'!$A:$A,0)),""))</f>
        <v/>
      </c>
      <c r="S75" t="str">
        <f>IF(ISBLANK($O75),"",IFERROR(INDEX('Squad Listing'!$D:$D,MATCH($O75,'Squad Listing'!$A:$A,0)),""))</f>
        <v/>
      </c>
      <c r="Y75" t="str">
        <f t="shared" si="9"/>
        <v/>
      </c>
      <c r="Z75" s="129" t="str">
        <f t="shared" si="10"/>
        <v/>
      </c>
      <c r="AL75" t="str">
        <f>IF(ISBLANK($O75),"",IFERROR(INDEX('Squad Listing'!$C:$C,MATCH($O75,'Squad Listing'!$A:$A,0)),""))</f>
        <v/>
      </c>
      <c r="AM75" t="str">
        <f>IF(ISBLANK($O75),"",IFERROR(INDEX('Squad Listing'!$D:$D,MATCH($O75,'Squad Listing'!$A:$A,0)),""))</f>
        <v/>
      </c>
      <c r="AP75" t="str">
        <f t="shared" si="11"/>
        <v/>
      </c>
      <c r="AQ75" t="str">
        <f t="shared" si="12"/>
        <v/>
      </c>
      <c r="AY75" t="str">
        <f>IF(ISBLANK($O75),"",IFERROR(INDEX('Squad Listing'!$C:$C,MATCH($O75,'Squad Listing'!$A:$A,0)),""))</f>
        <v/>
      </c>
      <c r="AZ75" t="str">
        <f>IF(ISBLANK($O75),"",IFERROR(INDEX('Squad Listing'!$D:$D,MATCH($O75,'Squad Listing'!$A:$A,0)),""))</f>
        <v/>
      </c>
      <c r="BC75" t="str">
        <f t="shared" si="13"/>
        <v/>
      </c>
      <c r="BD75" t="str">
        <f t="shared" si="14"/>
        <v/>
      </c>
    </row>
    <row r="76" spans="10:56" x14ac:dyDescent="0.3">
      <c r="J76" s="10">
        <f>IF(G76="Y",'Tournament Setup'!$C$2,0)+IF(H76="Y",'Tournament Setup'!$C$3,0)+IF(I76="Y",'Tournament Setup'!$C$4,0)</f>
        <v>0</v>
      </c>
      <c r="K76" s="1"/>
      <c r="R76" t="str">
        <f>IF(ISBLANK($O76),"",IFERROR(INDEX('Squad Listing'!$C:$C,MATCH($O76,'Squad Listing'!$A:$A,0)),""))</f>
        <v/>
      </c>
      <c r="S76" t="str">
        <f>IF(ISBLANK($O76),"",IFERROR(INDEX('Squad Listing'!$D:$D,MATCH($O76,'Squad Listing'!$A:$A,0)),""))</f>
        <v/>
      </c>
      <c r="Y76" t="str">
        <f t="shared" si="9"/>
        <v/>
      </c>
      <c r="Z76" s="129" t="str">
        <f t="shared" si="10"/>
        <v/>
      </c>
      <c r="AL76" t="str">
        <f>IF(ISBLANK($O76),"",IFERROR(INDEX('Squad Listing'!$C:$C,MATCH($O76,'Squad Listing'!$A:$A,0)),""))</f>
        <v/>
      </c>
      <c r="AM76" t="str">
        <f>IF(ISBLANK($O76),"",IFERROR(INDEX('Squad Listing'!$D:$D,MATCH($O76,'Squad Listing'!$A:$A,0)),""))</f>
        <v/>
      </c>
      <c r="AP76" t="str">
        <f t="shared" si="11"/>
        <v/>
      </c>
      <c r="AQ76" t="str">
        <f t="shared" si="12"/>
        <v/>
      </c>
      <c r="AY76" t="str">
        <f>IF(ISBLANK($O76),"",IFERROR(INDEX('Squad Listing'!$C:$C,MATCH($O76,'Squad Listing'!$A:$A,0)),""))</f>
        <v/>
      </c>
      <c r="AZ76" t="str">
        <f>IF(ISBLANK($O76),"",IFERROR(INDEX('Squad Listing'!$D:$D,MATCH($O76,'Squad Listing'!$A:$A,0)),""))</f>
        <v/>
      </c>
      <c r="BC76" t="str">
        <f t="shared" si="13"/>
        <v/>
      </c>
      <c r="BD76" t="str">
        <f t="shared" si="14"/>
        <v/>
      </c>
    </row>
    <row r="77" spans="10:56" x14ac:dyDescent="0.3">
      <c r="J77" s="10">
        <f>IF(G77="Y",'Tournament Setup'!$C$2,0)+IF(H77="Y",'Tournament Setup'!$C$3,0)+IF(I77="Y",'Tournament Setup'!$C$4,0)</f>
        <v>0</v>
      </c>
      <c r="K77" s="1"/>
      <c r="R77" t="str">
        <f>IF(ISBLANK($O77),"",IFERROR(INDEX('Squad Listing'!$C:$C,MATCH($O77,'Squad Listing'!$A:$A,0)),""))</f>
        <v/>
      </c>
      <c r="S77" t="str">
        <f>IF(ISBLANK($O77),"",IFERROR(INDEX('Squad Listing'!$D:$D,MATCH($O77,'Squad Listing'!$A:$A,0)),""))</f>
        <v/>
      </c>
      <c r="Y77" t="str">
        <f t="shared" si="9"/>
        <v/>
      </c>
      <c r="Z77" s="129" t="str">
        <f t="shared" si="10"/>
        <v/>
      </c>
      <c r="AL77" t="str">
        <f>IF(ISBLANK($O77),"",IFERROR(INDEX('Squad Listing'!$C:$C,MATCH($O77,'Squad Listing'!$A:$A,0)),""))</f>
        <v/>
      </c>
      <c r="AM77" t="str">
        <f>IF(ISBLANK($O77),"",IFERROR(INDEX('Squad Listing'!$D:$D,MATCH($O77,'Squad Listing'!$A:$A,0)),""))</f>
        <v/>
      </c>
      <c r="AP77" t="str">
        <f t="shared" si="11"/>
        <v/>
      </c>
      <c r="AQ77" t="str">
        <f t="shared" si="12"/>
        <v/>
      </c>
      <c r="AY77" t="str">
        <f>IF(ISBLANK($O77),"",IFERROR(INDEX('Squad Listing'!$C:$C,MATCH($O77,'Squad Listing'!$A:$A,0)),""))</f>
        <v/>
      </c>
      <c r="AZ77" t="str">
        <f>IF(ISBLANK($O77),"",IFERROR(INDEX('Squad Listing'!$D:$D,MATCH($O77,'Squad Listing'!$A:$A,0)),""))</f>
        <v/>
      </c>
      <c r="BC77" t="str">
        <f t="shared" si="13"/>
        <v/>
      </c>
      <c r="BD77" t="str">
        <f t="shared" si="14"/>
        <v/>
      </c>
    </row>
    <row r="78" spans="10:56" x14ac:dyDescent="0.3">
      <c r="J78" s="10">
        <f>IF(G78="Y",'Tournament Setup'!$C$2,0)+IF(H78="Y",'Tournament Setup'!$C$3,0)+IF(I78="Y",'Tournament Setup'!$C$4,0)</f>
        <v>0</v>
      </c>
      <c r="K78" s="1"/>
      <c r="R78" t="str">
        <f>IF(ISBLANK($O78),"",IFERROR(INDEX('Squad Listing'!$C:$C,MATCH($O78,'Squad Listing'!$A:$A,0)),""))</f>
        <v/>
      </c>
      <c r="S78" t="str">
        <f>IF(ISBLANK($O78),"",IFERROR(INDEX('Squad Listing'!$D:$D,MATCH($O78,'Squad Listing'!$A:$A,0)),""))</f>
        <v/>
      </c>
      <c r="Y78" t="str">
        <f t="shared" si="9"/>
        <v/>
      </c>
      <c r="Z78" s="129" t="str">
        <f t="shared" si="10"/>
        <v/>
      </c>
      <c r="AL78" t="str">
        <f>IF(ISBLANK($O78),"",IFERROR(INDEX('Squad Listing'!$C:$C,MATCH($O78,'Squad Listing'!$A:$A,0)),""))</f>
        <v/>
      </c>
      <c r="AM78" t="str">
        <f>IF(ISBLANK($O78),"",IFERROR(INDEX('Squad Listing'!$D:$D,MATCH($O78,'Squad Listing'!$A:$A,0)),""))</f>
        <v/>
      </c>
      <c r="AP78" t="str">
        <f t="shared" si="11"/>
        <v/>
      </c>
      <c r="AQ78" t="str">
        <f t="shared" si="12"/>
        <v/>
      </c>
      <c r="AY78" t="str">
        <f>IF(ISBLANK($O78),"",IFERROR(INDEX('Squad Listing'!$C:$C,MATCH($O78,'Squad Listing'!$A:$A,0)),""))</f>
        <v/>
      </c>
      <c r="AZ78" t="str">
        <f>IF(ISBLANK($O78),"",IFERROR(INDEX('Squad Listing'!$D:$D,MATCH($O78,'Squad Listing'!$A:$A,0)),""))</f>
        <v/>
      </c>
      <c r="BC78" t="str">
        <f t="shared" si="13"/>
        <v/>
      </c>
      <c r="BD78" t="str">
        <f t="shared" si="14"/>
        <v/>
      </c>
    </row>
    <row r="79" spans="10:56" x14ac:dyDescent="0.3">
      <c r="J79" s="10">
        <f>IF(G79="Y",'Tournament Setup'!$C$2,0)+IF(H79="Y",'Tournament Setup'!$C$3,0)+IF(I79="Y",'Tournament Setup'!$C$4,0)</f>
        <v>0</v>
      </c>
      <c r="K79" s="1"/>
      <c r="R79" t="str">
        <f>IF(ISBLANK($O79),"",IFERROR(INDEX('Squad Listing'!$C:$C,MATCH($O79,'Squad Listing'!$A:$A,0)),""))</f>
        <v/>
      </c>
      <c r="S79" t="str">
        <f>IF(ISBLANK($O79),"",IFERROR(INDEX('Squad Listing'!$D:$D,MATCH($O79,'Squad Listing'!$A:$A,0)),""))</f>
        <v/>
      </c>
      <c r="Y79" t="str">
        <f t="shared" si="9"/>
        <v/>
      </c>
      <c r="Z79" s="129" t="str">
        <f t="shared" si="10"/>
        <v/>
      </c>
      <c r="AL79" t="str">
        <f>IF(ISBLANK($O79),"",IFERROR(INDEX('Squad Listing'!$C:$C,MATCH($O79,'Squad Listing'!$A:$A,0)),""))</f>
        <v/>
      </c>
      <c r="AM79" t="str">
        <f>IF(ISBLANK($O79),"",IFERROR(INDEX('Squad Listing'!$D:$D,MATCH($O79,'Squad Listing'!$A:$A,0)),""))</f>
        <v/>
      </c>
      <c r="AP79" t="str">
        <f t="shared" si="11"/>
        <v/>
      </c>
      <c r="AQ79" t="str">
        <f t="shared" si="12"/>
        <v/>
      </c>
      <c r="AY79" t="str">
        <f>IF(ISBLANK($O79),"",IFERROR(INDEX('Squad Listing'!$C:$C,MATCH($O79,'Squad Listing'!$A:$A,0)),""))</f>
        <v/>
      </c>
      <c r="AZ79" t="str">
        <f>IF(ISBLANK($O79),"",IFERROR(INDEX('Squad Listing'!$D:$D,MATCH($O79,'Squad Listing'!$A:$A,0)),""))</f>
        <v/>
      </c>
      <c r="BC79" t="str">
        <f t="shared" si="13"/>
        <v/>
      </c>
      <c r="BD79" t="str">
        <f t="shared" si="14"/>
        <v/>
      </c>
    </row>
    <row r="80" spans="10:56" x14ac:dyDescent="0.3">
      <c r="J80" s="10">
        <f>IF(G80="Y",'Tournament Setup'!$C$2,0)+IF(H80="Y",'Tournament Setup'!$C$3,0)+IF(I80="Y",'Tournament Setup'!$C$4,0)</f>
        <v>0</v>
      </c>
      <c r="K80" s="1"/>
      <c r="R80" t="str">
        <f>IF(ISBLANK($O80),"",IFERROR(INDEX('Squad Listing'!$C:$C,MATCH($O80,'Squad Listing'!$A:$A,0)),""))</f>
        <v/>
      </c>
      <c r="S80" t="str">
        <f>IF(ISBLANK($O80),"",IFERROR(INDEX('Squad Listing'!$D:$D,MATCH($O80,'Squad Listing'!$A:$A,0)),""))</f>
        <v/>
      </c>
      <c r="Y80" t="str">
        <f t="shared" si="9"/>
        <v/>
      </c>
      <c r="Z80" s="129" t="str">
        <f t="shared" si="10"/>
        <v/>
      </c>
      <c r="AL80" t="str">
        <f>IF(ISBLANK($O80),"",IFERROR(INDEX('Squad Listing'!$C:$C,MATCH($O80,'Squad Listing'!$A:$A,0)),""))</f>
        <v/>
      </c>
      <c r="AM80" t="str">
        <f>IF(ISBLANK($O80),"",IFERROR(INDEX('Squad Listing'!$D:$D,MATCH($O80,'Squad Listing'!$A:$A,0)),""))</f>
        <v/>
      </c>
      <c r="AP80" t="str">
        <f t="shared" si="11"/>
        <v/>
      </c>
      <c r="AQ80" t="str">
        <f t="shared" si="12"/>
        <v/>
      </c>
      <c r="AY80" t="str">
        <f>IF(ISBLANK($O80),"",IFERROR(INDEX('Squad Listing'!$C:$C,MATCH($O80,'Squad Listing'!$A:$A,0)),""))</f>
        <v/>
      </c>
      <c r="AZ80" t="str">
        <f>IF(ISBLANK($O80),"",IFERROR(INDEX('Squad Listing'!$D:$D,MATCH($O80,'Squad Listing'!$A:$A,0)),""))</f>
        <v/>
      </c>
      <c r="BC80" t="str">
        <f t="shared" si="13"/>
        <v/>
      </c>
      <c r="BD80" t="str">
        <f t="shared" si="14"/>
        <v/>
      </c>
    </row>
    <row r="81" spans="10:56" x14ac:dyDescent="0.3">
      <c r="J81" s="10">
        <f>IF(G81="Y",'Tournament Setup'!$C$2,0)+IF(H81="Y",'Tournament Setup'!$C$3,0)+IF(I81="Y",'Tournament Setup'!$C$4,0)</f>
        <v>0</v>
      </c>
      <c r="K81" s="1"/>
      <c r="R81" t="str">
        <f>IF(ISBLANK($O81),"",IFERROR(INDEX('Squad Listing'!$C:$C,MATCH($O81,'Squad Listing'!$A:$A,0)),""))</f>
        <v/>
      </c>
      <c r="S81" t="str">
        <f>IF(ISBLANK($O81),"",IFERROR(INDEX('Squad Listing'!$D:$D,MATCH($O81,'Squad Listing'!$A:$A,0)),""))</f>
        <v/>
      </c>
      <c r="Y81" t="str">
        <f t="shared" si="9"/>
        <v/>
      </c>
      <c r="Z81" s="129" t="str">
        <f t="shared" si="10"/>
        <v/>
      </c>
      <c r="AL81" t="str">
        <f>IF(ISBLANK($O81),"",IFERROR(INDEX('Squad Listing'!$C:$C,MATCH($O81,'Squad Listing'!$A:$A,0)),""))</f>
        <v/>
      </c>
      <c r="AM81" t="str">
        <f>IF(ISBLANK($O81),"",IFERROR(INDEX('Squad Listing'!$D:$D,MATCH($O81,'Squad Listing'!$A:$A,0)),""))</f>
        <v/>
      </c>
      <c r="AP81" t="str">
        <f t="shared" si="11"/>
        <v/>
      </c>
      <c r="AQ81" t="str">
        <f t="shared" si="12"/>
        <v/>
      </c>
      <c r="AY81" t="str">
        <f>IF(ISBLANK($O81),"",IFERROR(INDEX('Squad Listing'!$C:$C,MATCH($O81,'Squad Listing'!$A:$A,0)),""))</f>
        <v/>
      </c>
      <c r="AZ81" t="str">
        <f>IF(ISBLANK($O81),"",IFERROR(INDEX('Squad Listing'!$D:$D,MATCH($O81,'Squad Listing'!$A:$A,0)),""))</f>
        <v/>
      </c>
      <c r="BC81" t="str">
        <f t="shared" si="13"/>
        <v/>
      </c>
      <c r="BD81" t="str">
        <f t="shared" si="14"/>
        <v/>
      </c>
    </row>
    <row r="82" spans="10:56" x14ac:dyDescent="0.3">
      <c r="J82" s="10">
        <f>IF(G82="Y",'Tournament Setup'!$C$2,0)+IF(H82="Y",'Tournament Setup'!$C$3,0)+IF(I82="Y",'Tournament Setup'!$C$4,0)</f>
        <v>0</v>
      </c>
      <c r="K82" s="1"/>
      <c r="R82" t="str">
        <f>IF(ISBLANK($O82),"",IFERROR(INDEX('Squad Listing'!$C:$C,MATCH($O82,'Squad Listing'!$A:$A,0)),""))</f>
        <v/>
      </c>
      <c r="S82" t="str">
        <f>IF(ISBLANK($O82),"",IFERROR(INDEX('Squad Listing'!$D:$D,MATCH($O82,'Squad Listing'!$A:$A,0)),""))</f>
        <v/>
      </c>
      <c r="Y82" t="str">
        <f t="shared" si="9"/>
        <v/>
      </c>
      <c r="Z82" s="129" t="str">
        <f t="shared" si="10"/>
        <v/>
      </c>
      <c r="AL82" t="str">
        <f>IF(ISBLANK($O82),"",IFERROR(INDEX('Squad Listing'!$C:$C,MATCH($O82,'Squad Listing'!$A:$A,0)),""))</f>
        <v/>
      </c>
      <c r="AM82" t="str">
        <f>IF(ISBLANK($O82),"",IFERROR(INDEX('Squad Listing'!$D:$D,MATCH($O82,'Squad Listing'!$A:$A,0)),""))</f>
        <v/>
      </c>
      <c r="AP82" t="str">
        <f t="shared" si="11"/>
        <v/>
      </c>
      <c r="AQ82" t="str">
        <f t="shared" si="12"/>
        <v/>
      </c>
      <c r="AY82" t="str">
        <f>IF(ISBLANK($O82),"",IFERROR(INDEX('Squad Listing'!$C:$C,MATCH($O82,'Squad Listing'!$A:$A,0)),""))</f>
        <v/>
      </c>
      <c r="AZ82" t="str">
        <f>IF(ISBLANK($O82),"",IFERROR(INDEX('Squad Listing'!$D:$D,MATCH($O82,'Squad Listing'!$A:$A,0)),""))</f>
        <v/>
      </c>
      <c r="BC82" t="str">
        <f t="shared" si="13"/>
        <v/>
      </c>
      <c r="BD82" t="str">
        <f t="shared" si="14"/>
        <v/>
      </c>
    </row>
    <row r="83" spans="10:56" x14ac:dyDescent="0.3">
      <c r="J83" s="10">
        <f>IF(G83="Y",'Tournament Setup'!$C$2,0)+IF(H83="Y",'Tournament Setup'!$C$3,0)+IF(I83="Y",'Tournament Setup'!$C$4,0)</f>
        <v>0</v>
      </c>
      <c r="K83" s="1"/>
      <c r="R83" t="str">
        <f>IF(ISBLANK($O83),"",IFERROR(INDEX('Squad Listing'!$C:$C,MATCH($O83,'Squad Listing'!$A:$A,0)),""))</f>
        <v/>
      </c>
      <c r="S83" t="str">
        <f>IF(ISBLANK($O83),"",IFERROR(INDEX('Squad Listing'!$D:$D,MATCH($O83,'Squad Listing'!$A:$A,0)),""))</f>
        <v/>
      </c>
      <c r="Y83" t="str">
        <f t="shared" si="9"/>
        <v/>
      </c>
      <c r="Z83" s="129" t="str">
        <f t="shared" si="10"/>
        <v/>
      </c>
      <c r="AL83" t="str">
        <f>IF(ISBLANK($O83),"",IFERROR(INDEX('Squad Listing'!$C:$C,MATCH($O83,'Squad Listing'!$A:$A,0)),""))</f>
        <v/>
      </c>
      <c r="AM83" t="str">
        <f>IF(ISBLANK($O83),"",IFERROR(INDEX('Squad Listing'!$D:$D,MATCH($O83,'Squad Listing'!$A:$A,0)),""))</f>
        <v/>
      </c>
      <c r="AP83" t="str">
        <f t="shared" si="11"/>
        <v/>
      </c>
      <c r="AQ83" t="str">
        <f t="shared" si="12"/>
        <v/>
      </c>
      <c r="AY83" t="str">
        <f>IF(ISBLANK($O83),"",IFERROR(INDEX('Squad Listing'!$C:$C,MATCH($O83,'Squad Listing'!$A:$A,0)),""))</f>
        <v/>
      </c>
      <c r="AZ83" t="str">
        <f>IF(ISBLANK($O83),"",IFERROR(INDEX('Squad Listing'!$D:$D,MATCH($O83,'Squad Listing'!$A:$A,0)),""))</f>
        <v/>
      </c>
      <c r="BC83" t="str">
        <f t="shared" si="13"/>
        <v/>
      </c>
      <c r="BD83" t="str">
        <f t="shared" si="14"/>
        <v/>
      </c>
    </row>
    <row r="84" spans="10:56" x14ac:dyDescent="0.3">
      <c r="J84" s="10">
        <f>IF(G84="Y",'Tournament Setup'!$C$2,0)+IF(H84="Y",'Tournament Setup'!$C$3,0)+IF(I84="Y",'Tournament Setup'!$C$4,0)</f>
        <v>0</v>
      </c>
      <c r="K84" s="1"/>
      <c r="R84" t="str">
        <f>IF(ISBLANK($O84),"",IFERROR(INDEX('Squad Listing'!$C:$C,MATCH($O84,'Squad Listing'!$A:$A,0)),""))</f>
        <v/>
      </c>
      <c r="S84" t="str">
        <f>IF(ISBLANK($O84),"",IFERROR(INDEX('Squad Listing'!$D:$D,MATCH($O84,'Squad Listing'!$A:$A,0)),""))</f>
        <v/>
      </c>
      <c r="Y84" t="str">
        <f t="shared" ref="Y84:Y115" si="15">IF(_xlfn.NUMBERVALUE(Z84)&gt;0,_xlfn.RANK.EQ(Z84,$Z$3:$Z$250,0),"")</f>
        <v/>
      </c>
      <c r="Z84" s="129" t="str">
        <f t="shared" ref="Z84:Z115" si="16">IF(SUM(AB84:AE84)&gt;0,SUM(AA84:AE84),"")</f>
        <v/>
      </c>
      <c r="AL84" t="str">
        <f>IF(ISBLANK($O84),"",IFERROR(INDEX('Squad Listing'!$C:$C,MATCH($O84,'Squad Listing'!$A:$A,0)),""))</f>
        <v/>
      </c>
      <c r="AM84" t="str">
        <f>IF(ISBLANK($O84),"",IFERROR(INDEX('Squad Listing'!$D:$D,MATCH($O84,'Squad Listing'!$A:$A,0)),""))</f>
        <v/>
      </c>
      <c r="AP84" t="str">
        <f t="shared" ref="AP84:AP115" si="17">IF(_xlfn.NUMBERVALUE(AQ84)&gt;0,_xlfn.RANK.EQ(AQ84,$AQ$3:$AQ$250,0),"")</f>
        <v/>
      </c>
      <c r="AQ84" t="str">
        <f t="shared" ref="AQ84:AQ115" si="18">IF(SUM(AS84:AV84)&gt;0,SUM(AR84:AV84),"")</f>
        <v/>
      </c>
      <c r="AY84" t="str">
        <f>IF(ISBLANK($O84),"",IFERROR(INDEX('Squad Listing'!$C:$C,MATCH($O84,'Squad Listing'!$A:$A,0)),""))</f>
        <v/>
      </c>
      <c r="AZ84" t="str">
        <f>IF(ISBLANK($O84),"",IFERROR(INDEX('Squad Listing'!$D:$D,MATCH($O84,'Squad Listing'!$A:$A,0)),""))</f>
        <v/>
      </c>
      <c r="BC84" t="str">
        <f t="shared" ref="BC84:BC115" si="19">IF(_xlfn.NUMBERVALUE(BD84)&gt;0,_xlfn.RANK.EQ(BD84,$BD$3:$BD$250,0),"")</f>
        <v/>
      </c>
      <c r="BD84" t="str">
        <f t="shared" ref="BD84:BD115" si="20">IF(SUM(BF84:BY84)&gt;0,SUM(BE84:BY84),"")</f>
        <v/>
      </c>
    </row>
    <row r="85" spans="10:56" x14ac:dyDescent="0.3">
      <c r="J85" s="10">
        <f>IF(G85="Y",'Tournament Setup'!$C$2,0)+IF(H85="Y",'Tournament Setup'!$C$3,0)+IF(I85="Y",'Tournament Setup'!$C$4,0)</f>
        <v>0</v>
      </c>
      <c r="K85" s="1"/>
      <c r="R85" t="str">
        <f>IF(ISBLANK($O85),"",IFERROR(INDEX('Squad Listing'!$C:$C,MATCH($O85,'Squad Listing'!$A:$A,0)),""))</f>
        <v/>
      </c>
      <c r="S85" t="str">
        <f>IF(ISBLANK($O85),"",IFERROR(INDEX('Squad Listing'!$D:$D,MATCH($O85,'Squad Listing'!$A:$A,0)),""))</f>
        <v/>
      </c>
      <c r="Y85" t="str">
        <f t="shared" si="15"/>
        <v/>
      </c>
      <c r="Z85" s="129" t="str">
        <f t="shared" si="16"/>
        <v/>
      </c>
      <c r="AL85" t="str">
        <f>IF(ISBLANK($O85),"",IFERROR(INDEX('Squad Listing'!$C:$C,MATCH($O85,'Squad Listing'!$A:$A,0)),""))</f>
        <v/>
      </c>
      <c r="AM85" t="str">
        <f>IF(ISBLANK($O85),"",IFERROR(INDEX('Squad Listing'!$D:$D,MATCH($O85,'Squad Listing'!$A:$A,0)),""))</f>
        <v/>
      </c>
      <c r="AP85" t="str">
        <f t="shared" si="17"/>
        <v/>
      </c>
      <c r="AQ85" t="str">
        <f t="shared" si="18"/>
        <v/>
      </c>
      <c r="AY85" t="str">
        <f>IF(ISBLANK($O85),"",IFERROR(INDEX('Squad Listing'!$C:$C,MATCH($O85,'Squad Listing'!$A:$A,0)),""))</f>
        <v/>
      </c>
      <c r="AZ85" t="str">
        <f>IF(ISBLANK($O85),"",IFERROR(INDEX('Squad Listing'!$D:$D,MATCH($O85,'Squad Listing'!$A:$A,0)),""))</f>
        <v/>
      </c>
      <c r="BC85" t="str">
        <f t="shared" si="19"/>
        <v/>
      </c>
      <c r="BD85" t="str">
        <f t="shared" si="20"/>
        <v/>
      </c>
    </row>
    <row r="86" spans="10:56" x14ac:dyDescent="0.3">
      <c r="J86" s="10">
        <f>IF(G86="Y",'Tournament Setup'!$C$2,0)+IF(H86="Y",'Tournament Setup'!$C$3,0)+IF(I86="Y",'Tournament Setup'!$C$4,0)</f>
        <v>0</v>
      </c>
      <c r="K86" s="1"/>
      <c r="R86" t="str">
        <f>IF(ISBLANK($O86),"",IFERROR(INDEX('Squad Listing'!$C:$C,MATCH($O86,'Squad Listing'!$A:$A,0)),""))</f>
        <v/>
      </c>
      <c r="S86" t="str">
        <f>IF(ISBLANK($O86),"",IFERROR(INDEX('Squad Listing'!$D:$D,MATCH($O86,'Squad Listing'!$A:$A,0)),""))</f>
        <v/>
      </c>
      <c r="Y86" t="str">
        <f t="shared" si="15"/>
        <v/>
      </c>
      <c r="Z86" s="129" t="str">
        <f t="shared" si="16"/>
        <v/>
      </c>
      <c r="AL86" t="str">
        <f>IF(ISBLANK($O86),"",IFERROR(INDEX('Squad Listing'!$C:$C,MATCH($O86,'Squad Listing'!$A:$A,0)),""))</f>
        <v/>
      </c>
      <c r="AM86" t="str">
        <f>IF(ISBLANK($O86),"",IFERROR(INDEX('Squad Listing'!$D:$D,MATCH($O86,'Squad Listing'!$A:$A,0)),""))</f>
        <v/>
      </c>
      <c r="AP86" t="str">
        <f t="shared" si="17"/>
        <v/>
      </c>
      <c r="AQ86" t="str">
        <f t="shared" si="18"/>
        <v/>
      </c>
      <c r="AY86" t="str">
        <f>IF(ISBLANK($O86),"",IFERROR(INDEX('Squad Listing'!$C:$C,MATCH($O86,'Squad Listing'!$A:$A,0)),""))</f>
        <v/>
      </c>
      <c r="AZ86" t="str">
        <f>IF(ISBLANK($O86),"",IFERROR(INDEX('Squad Listing'!$D:$D,MATCH($O86,'Squad Listing'!$A:$A,0)),""))</f>
        <v/>
      </c>
      <c r="BC86" t="str">
        <f t="shared" si="19"/>
        <v/>
      </c>
      <c r="BD86" t="str">
        <f t="shared" si="20"/>
        <v/>
      </c>
    </row>
    <row r="87" spans="10:56" x14ac:dyDescent="0.3">
      <c r="J87" s="10">
        <f>IF(G87="Y",'Tournament Setup'!$C$2,0)+IF(H87="Y",'Tournament Setup'!$C$3,0)+IF(I87="Y",'Tournament Setup'!$C$4,0)</f>
        <v>0</v>
      </c>
      <c r="K87" s="1"/>
      <c r="R87" t="str">
        <f>IF(ISBLANK($O87),"",IFERROR(INDEX('Squad Listing'!$C:$C,MATCH($O87,'Squad Listing'!$A:$A,0)),""))</f>
        <v/>
      </c>
      <c r="S87" t="str">
        <f>IF(ISBLANK($O87),"",IFERROR(INDEX('Squad Listing'!$D:$D,MATCH($O87,'Squad Listing'!$A:$A,0)),""))</f>
        <v/>
      </c>
      <c r="Y87" t="str">
        <f t="shared" si="15"/>
        <v/>
      </c>
      <c r="Z87" s="129" t="str">
        <f t="shared" si="16"/>
        <v/>
      </c>
      <c r="AL87" t="str">
        <f>IF(ISBLANK($O87),"",IFERROR(INDEX('Squad Listing'!$C:$C,MATCH($O87,'Squad Listing'!$A:$A,0)),""))</f>
        <v/>
      </c>
      <c r="AM87" t="str">
        <f>IF(ISBLANK($O87),"",IFERROR(INDEX('Squad Listing'!$D:$D,MATCH($O87,'Squad Listing'!$A:$A,0)),""))</f>
        <v/>
      </c>
      <c r="AP87" t="str">
        <f t="shared" si="17"/>
        <v/>
      </c>
      <c r="AQ87" t="str">
        <f t="shared" si="18"/>
        <v/>
      </c>
      <c r="AY87" t="str">
        <f>IF(ISBLANK($O87),"",IFERROR(INDEX('Squad Listing'!$C:$C,MATCH($O87,'Squad Listing'!$A:$A,0)),""))</f>
        <v/>
      </c>
      <c r="AZ87" t="str">
        <f>IF(ISBLANK($O87),"",IFERROR(INDEX('Squad Listing'!$D:$D,MATCH($O87,'Squad Listing'!$A:$A,0)),""))</f>
        <v/>
      </c>
      <c r="BC87" t="str">
        <f t="shared" si="19"/>
        <v/>
      </c>
      <c r="BD87" t="str">
        <f t="shared" si="20"/>
        <v/>
      </c>
    </row>
    <row r="88" spans="10:56" x14ac:dyDescent="0.3">
      <c r="J88" s="10">
        <f>IF(G88="Y",'Tournament Setup'!$C$2,0)+IF(H88="Y",'Tournament Setup'!$C$3,0)+IF(I88="Y",'Tournament Setup'!$C$4,0)</f>
        <v>0</v>
      </c>
      <c r="K88" s="1"/>
      <c r="R88" t="str">
        <f>IF(ISBLANK($O88),"",IFERROR(INDEX('Squad Listing'!$C:$C,MATCH($O88,'Squad Listing'!$A:$A,0)),""))</f>
        <v/>
      </c>
      <c r="S88" t="str">
        <f>IF(ISBLANK($O88),"",IFERROR(INDEX('Squad Listing'!$D:$D,MATCH($O88,'Squad Listing'!$A:$A,0)),""))</f>
        <v/>
      </c>
      <c r="Y88" t="str">
        <f t="shared" si="15"/>
        <v/>
      </c>
      <c r="Z88" s="129" t="str">
        <f t="shared" si="16"/>
        <v/>
      </c>
      <c r="AL88" t="str">
        <f>IF(ISBLANK($O88),"",IFERROR(INDEX('Squad Listing'!$C:$C,MATCH($O88,'Squad Listing'!$A:$A,0)),""))</f>
        <v/>
      </c>
      <c r="AM88" t="str">
        <f>IF(ISBLANK($O88),"",IFERROR(INDEX('Squad Listing'!$D:$D,MATCH($O88,'Squad Listing'!$A:$A,0)),""))</f>
        <v/>
      </c>
      <c r="AP88" t="str">
        <f t="shared" si="17"/>
        <v/>
      </c>
      <c r="AQ88" t="str">
        <f t="shared" si="18"/>
        <v/>
      </c>
      <c r="AY88" t="str">
        <f>IF(ISBLANK($O88),"",IFERROR(INDEX('Squad Listing'!$C:$C,MATCH($O88,'Squad Listing'!$A:$A,0)),""))</f>
        <v/>
      </c>
      <c r="AZ88" t="str">
        <f>IF(ISBLANK($O88),"",IFERROR(INDEX('Squad Listing'!$D:$D,MATCH($O88,'Squad Listing'!$A:$A,0)),""))</f>
        <v/>
      </c>
      <c r="BC88" t="str">
        <f t="shared" si="19"/>
        <v/>
      </c>
      <c r="BD88" t="str">
        <f t="shared" si="20"/>
        <v/>
      </c>
    </row>
    <row r="89" spans="10:56" x14ac:dyDescent="0.3">
      <c r="J89" s="10">
        <f>IF(G89="Y",'Tournament Setup'!$C$2,0)+IF(H89="Y",'Tournament Setup'!$C$3,0)+IF(I89="Y",'Tournament Setup'!$C$4,0)</f>
        <v>0</v>
      </c>
      <c r="K89" s="1"/>
      <c r="R89" t="str">
        <f>IF(ISBLANK($O89),"",IFERROR(INDEX('Squad Listing'!$C:$C,MATCH($O89,'Squad Listing'!$A:$A,0)),""))</f>
        <v/>
      </c>
      <c r="S89" t="str">
        <f>IF(ISBLANK($O89),"",IFERROR(INDEX('Squad Listing'!$D:$D,MATCH($O89,'Squad Listing'!$A:$A,0)),""))</f>
        <v/>
      </c>
      <c r="Y89" t="str">
        <f t="shared" si="15"/>
        <v/>
      </c>
      <c r="Z89" s="129" t="str">
        <f t="shared" si="16"/>
        <v/>
      </c>
      <c r="AL89" t="str">
        <f>IF(ISBLANK($O89),"",IFERROR(INDEX('Squad Listing'!$C:$C,MATCH($O89,'Squad Listing'!$A:$A,0)),""))</f>
        <v/>
      </c>
      <c r="AM89" t="str">
        <f>IF(ISBLANK($O89),"",IFERROR(INDEX('Squad Listing'!$D:$D,MATCH($O89,'Squad Listing'!$A:$A,0)),""))</f>
        <v/>
      </c>
      <c r="AP89" t="str">
        <f t="shared" si="17"/>
        <v/>
      </c>
      <c r="AQ89" t="str">
        <f t="shared" si="18"/>
        <v/>
      </c>
      <c r="AY89" t="str">
        <f>IF(ISBLANK($O89),"",IFERROR(INDEX('Squad Listing'!$C:$C,MATCH($O89,'Squad Listing'!$A:$A,0)),""))</f>
        <v/>
      </c>
      <c r="AZ89" t="str">
        <f>IF(ISBLANK($O89),"",IFERROR(INDEX('Squad Listing'!$D:$D,MATCH($O89,'Squad Listing'!$A:$A,0)),""))</f>
        <v/>
      </c>
      <c r="BC89" t="str">
        <f t="shared" si="19"/>
        <v/>
      </c>
      <c r="BD89" t="str">
        <f t="shared" si="20"/>
        <v/>
      </c>
    </row>
    <row r="90" spans="10:56" x14ac:dyDescent="0.3">
      <c r="J90" s="10">
        <f>IF(G90="Y",'Tournament Setup'!$C$2,0)+IF(H90="Y",'Tournament Setup'!$C$3,0)+IF(I90="Y",'Tournament Setup'!$C$4,0)</f>
        <v>0</v>
      </c>
      <c r="K90" s="1"/>
      <c r="R90" t="str">
        <f>IF(ISBLANK($O90),"",IFERROR(INDEX('Squad Listing'!$C:$C,MATCH($O90,'Squad Listing'!$A:$A,0)),""))</f>
        <v/>
      </c>
      <c r="S90" t="str">
        <f>IF(ISBLANK($O90),"",IFERROR(INDEX('Squad Listing'!$D:$D,MATCH($O90,'Squad Listing'!$A:$A,0)),""))</f>
        <v/>
      </c>
      <c r="Y90" t="str">
        <f t="shared" si="15"/>
        <v/>
      </c>
      <c r="Z90" s="129" t="str">
        <f t="shared" si="16"/>
        <v/>
      </c>
      <c r="AL90" t="str">
        <f>IF(ISBLANK($O90),"",IFERROR(INDEX('Squad Listing'!$C:$C,MATCH($O90,'Squad Listing'!$A:$A,0)),""))</f>
        <v/>
      </c>
      <c r="AM90" t="str">
        <f>IF(ISBLANK($O90),"",IFERROR(INDEX('Squad Listing'!$D:$D,MATCH($O90,'Squad Listing'!$A:$A,0)),""))</f>
        <v/>
      </c>
      <c r="AP90" t="str">
        <f t="shared" si="17"/>
        <v/>
      </c>
      <c r="AQ90" t="str">
        <f t="shared" si="18"/>
        <v/>
      </c>
      <c r="AY90" t="str">
        <f>IF(ISBLANK($O90),"",IFERROR(INDEX('Squad Listing'!$C:$C,MATCH($O90,'Squad Listing'!$A:$A,0)),""))</f>
        <v/>
      </c>
      <c r="AZ90" t="str">
        <f>IF(ISBLANK($O90),"",IFERROR(INDEX('Squad Listing'!$D:$D,MATCH($O90,'Squad Listing'!$A:$A,0)),""))</f>
        <v/>
      </c>
      <c r="BC90" t="str">
        <f t="shared" si="19"/>
        <v/>
      </c>
      <c r="BD90" t="str">
        <f t="shared" si="20"/>
        <v/>
      </c>
    </row>
    <row r="91" spans="10:56" x14ac:dyDescent="0.3">
      <c r="J91" s="10">
        <f>IF(G91="Y",'Tournament Setup'!$C$2,0)+IF(H91="Y",'Tournament Setup'!$C$3,0)+IF(I91="Y",'Tournament Setup'!$C$4,0)</f>
        <v>0</v>
      </c>
      <c r="K91" s="1"/>
      <c r="R91" t="str">
        <f>IF(ISBLANK($O91),"",IFERROR(INDEX('Squad Listing'!$C:$C,MATCH($O91,'Squad Listing'!$A:$A,0)),""))</f>
        <v/>
      </c>
      <c r="S91" t="str">
        <f>IF(ISBLANK($O91),"",IFERROR(INDEX('Squad Listing'!$D:$D,MATCH($O91,'Squad Listing'!$A:$A,0)),""))</f>
        <v/>
      </c>
      <c r="Y91" t="str">
        <f t="shared" si="15"/>
        <v/>
      </c>
      <c r="Z91" s="129" t="str">
        <f t="shared" si="16"/>
        <v/>
      </c>
      <c r="AL91" t="str">
        <f>IF(ISBLANK($O91),"",IFERROR(INDEX('Squad Listing'!$C:$C,MATCH($O91,'Squad Listing'!$A:$A,0)),""))</f>
        <v/>
      </c>
      <c r="AM91" t="str">
        <f>IF(ISBLANK($O91),"",IFERROR(INDEX('Squad Listing'!$D:$D,MATCH($O91,'Squad Listing'!$A:$A,0)),""))</f>
        <v/>
      </c>
      <c r="AP91" t="str">
        <f t="shared" si="17"/>
        <v/>
      </c>
      <c r="AQ91" t="str">
        <f t="shared" si="18"/>
        <v/>
      </c>
      <c r="AY91" t="str">
        <f>IF(ISBLANK($O91),"",IFERROR(INDEX('Squad Listing'!$C:$C,MATCH($O91,'Squad Listing'!$A:$A,0)),""))</f>
        <v/>
      </c>
      <c r="AZ91" t="str">
        <f>IF(ISBLANK($O91),"",IFERROR(INDEX('Squad Listing'!$D:$D,MATCH($O91,'Squad Listing'!$A:$A,0)),""))</f>
        <v/>
      </c>
      <c r="BC91" t="str">
        <f t="shared" si="19"/>
        <v/>
      </c>
      <c r="BD91" t="str">
        <f t="shared" si="20"/>
        <v/>
      </c>
    </row>
    <row r="92" spans="10:56" x14ac:dyDescent="0.3">
      <c r="J92" s="10">
        <f>IF(G92="Y",'Tournament Setup'!$C$2,0)+IF(H92="Y",'Tournament Setup'!$C$3,0)+IF(I92="Y",'Tournament Setup'!$C$4,0)</f>
        <v>0</v>
      </c>
      <c r="K92" s="1"/>
      <c r="R92" t="str">
        <f>IF(ISBLANK($O92),"",IFERROR(INDEX('Squad Listing'!$C:$C,MATCH($O92,'Squad Listing'!$A:$A,0)),""))</f>
        <v/>
      </c>
      <c r="S92" t="str">
        <f>IF(ISBLANK($O92),"",IFERROR(INDEX('Squad Listing'!$D:$D,MATCH($O92,'Squad Listing'!$A:$A,0)),""))</f>
        <v/>
      </c>
      <c r="Y92" t="str">
        <f t="shared" si="15"/>
        <v/>
      </c>
      <c r="Z92" s="129" t="str">
        <f t="shared" si="16"/>
        <v/>
      </c>
      <c r="AL92" t="str">
        <f>IF(ISBLANK($O92),"",IFERROR(INDEX('Squad Listing'!$C:$C,MATCH($O92,'Squad Listing'!$A:$A,0)),""))</f>
        <v/>
      </c>
      <c r="AM92" t="str">
        <f>IF(ISBLANK($O92),"",IFERROR(INDEX('Squad Listing'!$D:$D,MATCH($O92,'Squad Listing'!$A:$A,0)),""))</f>
        <v/>
      </c>
      <c r="AP92" t="str">
        <f t="shared" si="17"/>
        <v/>
      </c>
      <c r="AQ92" t="str">
        <f t="shared" si="18"/>
        <v/>
      </c>
      <c r="AY92" t="str">
        <f>IF(ISBLANK($O92),"",IFERROR(INDEX('Squad Listing'!$C:$C,MATCH($O92,'Squad Listing'!$A:$A,0)),""))</f>
        <v/>
      </c>
      <c r="AZ92" t="str">
        <f>IF(ISBLANK($O92),"",IFERROR(INDEX('Squad Listing'!$D:$D,MATCH($O92,'Squad Listing'!$A:$A,0)),""))</f>
        <v/>
      </c>
      <c r="BC92" t="str">
        <f t="shared" si="19"/>
        <v/>
      </c>
      <c r="BD92" t="str">
        <f t="shared" si="20"/>
        <v/>
      </c>
    </row>
    <row r="93" spans="10:56" x14ac:dyDescent="0.3">
      <c r="J93" s="10">
        <f>IF(G93="Y",'Tournament Setup'!$C$2,0)+IF(H93="Y",'Tournament Setup'!$C$3,0)+IF(I93="Y",'Tournament Setup'!$C$4,0)</f>
        <v>0</v>
      </c>
      <c r="K93" s="1"/>
      <c r="R93" t="str">
        <f>IF(ISBLANK($O93),"",IFERROR(INDEX('Squad Listing'!$C:$C,MATCH($O93,'Squad Listing'!$A:$A,0)),""))</f>
        <v/>
      </c>
      <c r="S93" t="str">
        <f>IF(ISBLANK($O93),"",IFERROR(INDEX('Squad Listing'!$D:$D,MATCH($O93,'Squad Listing'!$A:$A,0)),""))</f>
        <v/>
      </c>
      <c r="Y93" t="str">
        <f t="shared" si="15"/>
        <v/>
      </c>
      <c r="Z93" s="129" t="str">
        <f t="shared" si="16"/>
        <v/>
      </c>
      <c r="AL93" t="str">
        <f>IF(ISBLANK($O93),"",IFERROR(INDEX('Squad Listing'!$C:$C,MATCH($O93,'Squad Listing'!$A:$A,0)),""))</f>
        <v/>
      </c>
      <c r="AM93" t="str">
        <f>IF(ISBLANK($O93),"",IFERROR(INDEX('Squad Listing'!$D:$D,MATCH($O93,'Squad Listing'!$A:$A,0)),""))</f>
        <v/>
      </c>
      <c r="AP93" t="str">
        <f t="shared" si="17"/>
        <v/>
      </c>
      <c r="AQ93" t="str">
        <f t="shared" si="18"/>
        <v/>
      </c>
      <c r="AY93" t="str">
        <f>IF(ISBLANK($O93),"",IFERROR(INDEX('Squad Listing'!$C:$C,MATCH($O93,'Squad Listing'!$A:$A,0)),""))</f>
        <v/>
      </c>
      <c r="AZ93" t="str">
        <f>IF(ISBLANK($O93),"",IFERROR(INDEX('Squad Listing'!$D:$D,MATCH($O93,'Squad Listing'!$A:$A,0)),""))</f>
        <v/>
      </c>
      <c r="BC93" t="str">
        <f t="shared" si="19"/>
        <v/>
      </c>
      <c r="BD93" t="str">
        <f t="shared" si="20"/>
        <v/>
      </c>
    </row>
    <row r="94" spans="10:56" x14ac:dyDescent="0.3">
      <c r="J94" s="10">
        <f>IF(G94="Y",'Tournament Setup'!$C$2,0)+IF(H94="Y",'Tournament Setup'!$C$3,0)+IF(I94="Y",'Tournament Setup'!$C$4,0)</f>
        <v>0</v>
      </c>
      <c r="K94" s="1"/>
      <c r="R94" t="str">
        <f>IF(ISBLANK($O94),"",IFERROR(INDEX('Squad Listing'!$C:$C,MATCH($O94,'Squad Listing'!$A:$A,0)),""))</f>
        <v/>
      </c>
      <c r="S94" t="str">
        <f>IF(ISBLANK($O94),"",IFERROR(INDEX('Squad Listing'!$D:$D,MATCH($O94,'Squad Listing'!$A:$A,0)),""))</f>
        <v/>
      </c>
      <c r="Y94" t="str">
        <f t="shared" si="15"/>
        <v/>
      </c>
      <c r="Z94" s="129" t="str">
        <f t="shared" si="16"/>
        <v/>
      </c>
      <c r="AL94" t="str">
        <f>IF(ISBLANK($O94),"",IFERROR(INDEX('Squad Listing'!$C:$C,MATCH($O94,'Squad Listing'!$A:$A,0)),""))</f>
        <v/>
      </c>
      <c r="AM94" t="str">
        <f>IF(ISBLANK($O94),"",IFERROR(INDEX('Squad Listing'!$D:$D,MATCH($O94,'Squad Listing'!$A:$A,0)),""))</f>
        <v/>
      </c>
      <c r="AP94" t="str">
        <f t="shared" si="17"/>
        <v/>
      </c>
      <c r="AQ94" t="str">
        <f t="shared" si="18"/>
        <v/>
      </c>
      <c r="AY94" t="str">
        <f>IF(ISBLANK($O94),"",IFERROR(INDEX('Squad Listing'!$C:$C,MATCH($O94,'Squad Listing'!$A:$A,0)),""))</f>
        <v/>
      </c>
      <c r="AZ94" t="str">
        <f>IF(ISBLANK($O94),"",IFERROR(INDEX('Squad Listing'!$D:$D,MATCH($O94,'Squad Listing'!$A:$A,0)),""))</f>
        <v/>
      </c>
      <c r="BC94" t="str">
        <f t="shared" si="19"/>
        <v/>
      </c>
      <c r="BD94" t="str">
        <f t="shared" si="20"/>
        <v/>
      </c>
    </row>
    <row r="95" spans="10:56" x14ac:dyDescent="0.3">
      <c r="J95" s="10">
        <f>IF(G95="Y",'Tournament Setup'!$C$2,0)+IF(H95="Y",'Tournament Setup'!$C$3,0)+IF(I95="Y",'Tournament Setup'!$C$4,0)</f>
        <v>0</v>
      </c>
      <c r="K95" s="1"/>
      <c r="R95" t="str">
        <f>IF(ISBLANK($O95),"",IFERROR(INDEX('Squad Listing'!$C:$C,MATCH($O95,'Squad Listing'!$A:$A,0)),""))</f>
        <v/>
      </c>
      <c r="S95" t="str">
        <f>IF(ISBLANK($O95),"",IFERROR(INDEX('Squad Listing'!$D:$D,MATCH($O95,'Squad Listing'!$A:$A,0)),""))</f>
        <v/>
      </c>
      <c r="Y95" t="str">
        <f t="shared" si="15"/>
        <v/>
      </c>
      <c r="Z95" s="129" t="str">
        <f t="shared" si="16"/>
        <v/>
      </c>
      <c r="AL95" t="str">
        <f>IF(ISBLANK($O95),"",IFERROR(INDEX('Squad Listing'!$C:$C,MATCH($O95,'Squad Listing'!$A:$A,0)),""))</f>
        <v/>
      </c>
      <c r="AM95" t="str">
        <f>IF(ISBLANK($O95),"",IFERROR(INDEX('Squad Listing'!$D:$D,MATCH($O95,'Squad Listing'!$A:$A,0)),""))</f>
        <v/>
      </c>
      <c r="AP95" t="str">
        <f t="shared" si="17"/>
        <v/>
      </c>
      <c r="AQ95" t="str">
        <f t="shared" si="18"/>
        <v/>
      </c>
      <c r="AY95" t="str">
        <f>IF(ISBLANK($O95),"",IFERROR(INDEX('Squad Listing'!$C:$C,MATCH($O95,'Squad Listing'!$A:$A,0)),""))</f>
        <v/>
      </c>
      <c r="AZ95" t="str">
        <f>IF(ISBLANK($O95),"",IFERROR(INDEX('Squad Listing'!$D:$D,MATCH($O95,'Squad Listing'!$A:$A,0)),""))</f>
        <v/>
      </c>
      <c r="BC95" t="str">
        <f t="shared" si="19"/>
        <v/>
      </c>
      <c r="BD95" t="str">
        <f t="shared" si="20"/>
        <v/>
      </c>
    </row>
    <row r="96" spans="10:56" x14ac:dyDescent="0.3">
      <c r="J96" s="10">
        <f>IF(G96="Y",'Tournament Setup'!$C$2,0)+IF(H96="Y",'Tournament Setup'!$C$3,0)+IF(I96="Y",'Tournament Setup'!$C$4,0)</f>
        <v>0</v>
      </c>
      <c r="K96" s="1"/>
      <c r="R96" t="str">
        <f>IF(ISBLANK($O96),"",IFERROR(INDEX('Squad Listing'!$C:$C,MATCH($O96,'Squad Listing'!$A:$A,0)),""))</f>
        <v/>
      </c>
      <c r="S96" t="str">
        <f>IF(ISBLANK($O96),"",IFERROR(INDEX('Squad Listing'!$D:$D,MATCH($O96,'Squad Listing'!$A:$A,0)),""))</f>
        <v/>
      </c>
      <c r="Y96" t="str">
        <f t="shared" si="15"/>
        <v/>
      </c>
      <c r="Z96" s="129" t="str">
        <f t="shared" si="16"/>
        <v/>
      </c>
      <c r="AL96" t="str">
        <f>IF(ISBLANK($O96),"",IFERROR(INDEX('Squad Listing'!$C:$C,MATCH($O96,'Squad Listing'!$A:$A,0)),""))</f>
        <v/>
      </c>
      <c r="AM96" t="str">
        <f>IF(ISBLANK($O96),"",IFERROR(INDEX('Squad Listing'!$D:$D,MATCH($O96,'Squad Listing'!$A:$A,0)),""))</f>
        <v/>
      </c>
      <c r="AP96" t="str">
        <f t="shared" si="17"/>
        <v/>
      </c>
      <c r="AQ96" t="str">
        <f t="shared" si="18"/>
        <v/>
      </c>
      <c r="AY96" t="str">
        <f>IF(ISBLANK($O96),"",IFERROR(INDEX('Squad Listing'!$C:$C,MATCH($O96,'Squad Listing'!$A:$A,0)),""))</f>
        <v/>
      </c>
      <c r="AZ96" t="str">
        <f>IF(ISBLANK($O96),"",IFERROR(INDEX('Squad Listing'!$D:$D,MATCH($O96,'Squad Listing'!$A:$A,0)),""))</f>
        <v/>
      </c>
      <c r="BC96" t="str">
        <f t="shared" si="19"/>
        <v/>
      </c>
      <c r="BD96" t="str">
        <f t="shared" si="20"/>
        <v/>
      </c>
    </row>
    <row r="97" spans="10:56" x14ac:dyDescent="0.3">
      <c r="J97" s="10">
        <f>IF(G97="Y",'Tournament Setup'!$C$2,0)+IF(H97="Y",'Tournament Setup'!$C$3,0)+IF(I97="Y",'Tournament Setup'!$C$4,0)</f>
        <v>0</v>
      </c>
      <c r="K97" s="1"/>
      <c r="R97" t="str">
        <f>IF(ISBLANK($O97),"",IFERROR(INDEX('Squad Listing'!$C:$C,MATCH($O97,'Squad Listing'!$A:$A,0)),""))</f>
        <v/>
      </c>
      <c r="S97" t="str">
        <f>IF(ISBLANK($O97),"",IFERROR(INDEX('Squad Listing'!$D:$D,MATCH($O97,'Squad Listing'!$A:$A,0)),""))</f>
        <v/>
      </c>
      <c r="Y97" t="str">
        <f t="shared" si="15"/>
        <v/>
      </c>
      <c r="Z97" s="129" t="str">
        <f t="shared" si="16"/>
        <v/>
      </c>
      <c r="AL97" t="str">
        <f>IF(ISBLANK($O97),"",IFERROR(INDEX('Squad Listing'!$C:$C,MATCH($O97,'Squad Listing'!$A:$A,0)),""))</f>
        <v/>
      </c>
      <c r="AM97" t="str">
        <f>IF(ISBLANK($O97),"",IFERROR(INDEX('Squad Listing'!$D:$D,MATCH($O97,'Squad Listing'!$A:$A,0)),""))</f>
        <v/>
      </c>
      <c r="AP97" t="str">
        <f t="shared" si="17"/>
        <v/>
      </c>
      <c r="AQ97" t="str">
        <f t="shared" si="18"/>
        <v/>
      </c>
      <c r="AY97" t="str">
        <f>IF(ISBLANK($O97),"",IFERROR(INDEX('Squad Listing'!$C:$C,MATCH($O97,'Squad Listing'!$A:$A,0)),""))</f>
        <v/>
      </c>
      <c r="AZ97" t="str">
        <f>IF(ISBLANK($O97),"",IFERROR(INDEX('Squad Listing'!$D:$D,MATCH($O97,'Squad Listing'!$A:$A,0)),""))</f>
        <v/>
      </c>
      <c r="BC97" t="str">
        <f t="shared" si="19"/>
        <v/>
      </c>
      <c r="BD97" t="str">
        <f t="shared" si="20"/>
        <v/>
      </c>
    </row>
    <row r="98" spans="10:56" x14ac:dyDescent="0.3">
      <c r="J98" s="10">
        <f>IF(G98="Y",'Tournament Setup'!$C$2,0)+IF(H98="Y",'Tournament Setup'!$C$3,0)+IF(I98="Y",'Tournament Setup'!$C$4,0)</f>
        <v>0</v>
      </c>
      <c r="K98" s="1"/>
      <c r="R98" t="str">
        <f>IF(ISBLANK($O98),"",IFERROR(INDEX('Squad Listing'!$C:$C,MATCH($O98,'Squad Listing'!$A:$A,0)),""))</f>
        <v/>
      </c>
      <c r="S98" t="str">
        <f>IF(ISBLANK($O98),"",IFERROR(INDEX('Squad Listing'!$D:$D,MATCH($O98,'Squad Listing'!$A:$A,0)),""))</f>
        <v/>
      </c>
      <c r="Y98" t="str">
        <f t="shared" si="15"/>
        <v/>
      </c>
      <c r="Z98" s="129" t="str">
        <f t="shared" si="16"/>
        <v/>
      </c>
      <c r="AL98" t="str">
        <f>IF(ISBLANK($O98),"",IFERROR(INDEX('Squad Listing'!$C:$C,MATCH($O98,'Squad Listing'!$A:$A,0)),""))</f>
        <v/>
      </c>
      <c r="AM98" t="str">
        <f>IF(ISBLANK($O98),"",IFERROR(INDEX('Squad Listing'!$D:$D,MATCH($O98,'Squad Listing'!$A:$A,0)),""))</f>
        <v/>
      </c>
      <c r="AP98" t="str">
        <f t="shared" si="17"/>
        <v/>
      </c>
      <c r="AQ98" t="str">
        <f t="shared" si="18"/>
        <v/>
      </c>
      <c r="AY98" t="str">
        <f>IF(ISBLANK($O98),"",IFERROR(INDEX('Squad Listing'!$C:$C,MATCH($O98,'Squad Listing'!$A:$A,0)),""))</f>
        <v/>
      </c>
      <c r="AZ98" t="str">
        <f>IF(ISBLANK($O98),"",IFERROR(INDEX('Squad Listing'!$D:$D,MATCH($O98,'Squad Listing'!$A:$A,0)),""))</f>
        <v/>
      </c>
      <c r="BC98" t="str">
        <f t="shared" si="19"/>
        <v/>
      </c>
      <c r="BD98" t="str">
        <f t="shared" si="20"/>
        <v/>
      </c>
    </row>
    <row r="99" spans="10:56" x14ac:dyDescent="0.3">
      <c r="J99" s="10">
        <f>IF(G99="Y",'Tournament Setup'!$C$2,0)+IF(H99="Y",'Tournament Setup'!$C$3,0)+IF(I99="Y",'Tournament Setup'!$C$4,0)</f>
        <v>0</v>
      </c>
      <c r="K99" s="1"/>
      <c r="R99" t="str">
        <f>IF(ISBLANK($O99),"",IFERROR(INDEX('Squad Listing'!$C:$C,MATCH($O99,'Squad Listing'!$A:$A,0)),""))</f>
        <v/>
      </c>
      <c r="S99" t="str">
        <f>IF(ISBLANK($O99),"",IFERROR(INDEX('Squad Listing'!$D:$D,MATCH($O99,'Squad Listing'!$A:$A,0)),""))</f>
        <v/>
      </c>
      <c r="Y99" t="str">
        <f t="shared" si="15"/>
        <v/>
      </c>
      <c r="Z99" s="129" t="str">
        <f t="shared" si="16"/>
        <v/>
      </c>
      <c r="AL99" t="str">
        <f>IF(ISBLANK($O99),"",IFERROR(INDEX('Squad Listing'!$C:$C,MATCH($O99,'Squad Listing'!$A:$A,0)),""))</f>
        <v/>
      </c>
      <c r="AM99" t="str">
        <f>IF(ISBLANK($O99),"",IFERROR(INDEX('Squad Listing'!$D:$D,MATCH($O99,'Squad Listing'!$A:$A,0)),""))</f>
        <v/>
      </c>
      <c r="AP99" t="str">
        <f t="shared" si="17"/>
        <v/>
      </c>
      <c r="AQ99" t="str">
        <f t="shared" si="18"/>
        <v/>
      </c>
      <c r="AY99" t="str">
        <f>IF(ISBLANK($O99),"",IFERROR(INDEX('Squad Listing'!$C:$C,MATCH($O99,'Squad Listing'!$A:$A,0)),""))</f>
        <v/>
      </c>
      <c r="AZ99" t="str">
        <f>IF(ISBLANK($O99),"",IFERROR(INDEX('Squad Listing'!$D:$D,MATCH($O99,'Squad Listing'!$A:$A,0)),""))</f>
        <v/>
      </c>
      <c r="BC99" t="str">
        <f t="shared" si="19"/>
        <v/>
      </c>
      <c r="BD99" t="str">
        <f t="shared" si="20"/>
        <v/>
      </c>
    </row>
    <row r="100" spans="10:56" x14ac:dyDescent="0.3">
      <c r="J100" s="10">
        <f>IF(G100="Y",'Tournament Setup'!$C$2,0)+IF(H100="Y",'Tournament Setup'!$C$3,0)+IF(I100="Y",'Tournament Setup'!$C$4,0)</f>
        <v>0</v>
      </c>
      <c r="K100" s="1"/>
      <c r="R100" t="str">
        <f>IF(ISBLANK($O100),"",IFERROR(INDEX('Squad Listing'!$C:$C,MATCH($O100,'Squad Listing'!$A:$A,0)),""))</f>
        <v/>
      </c>
      <c r="S100" t="str">
        <f>IF(ISBLANK($O100),"",IFERROR(INDEX('Squad Listing'!$D:$D,MATCH($O100,'Squad Listing'!$A:$A,0)),""))</f>
        <v/>
      </c>
      <c r="Y100" t="str">
        <f t="shared" si="15"/>
        <v/>
      </c>
      <c r="Z100" s="129" t="str">
        <f t="shared" si="16"/>
        <v/>
      </c>
      <c r="AL100" t="str">
        <f>IF(ISBLANK($O100),"",IFERROR(INDEX('Squad Listing'!$C:$C,MATCH($O100,'Squad Listing'!$A:$A,0)),""))</f>
        <v/>
      </c>
      <c r="AM100" t="str">
        <f>IF(ISBLANK($O100),"",IFERROR(INDEX('Squad Listing'!$D:$D,MATCH($O100,'Squad Listing'!$A:$A,0)),""))</f>
        <v/>
      </c>
      <c r="AP100" t="str">
        <f t="shared" si="17"/>
        <v/>
      </c>
      <c r="AQ100" t="str">
        <f t="shared" si="18"/>
        <v/>
      </c>
      <c r="AY100" t="str">
        <f>IF(ISBLANK($O100),"",IFERROR(INDEX('Squad Listing'!$C:$C,MATCH($O100,'Squad Listing'!$A:$A,0)),""))</f>
        <v/>
      </c>
      <c r="AZ100" t="str">
        <f>IF(ISBLANK($O100),"",IFERROR(INDEX('Squad Listing'!$D:$D,MATCH($O100,'Squad Listing'!$A:$A,0)),""))</f>
        <v/>
      </c>
      <c r="BC100" t="str">
        <f t="shared" si="19"/>
        <v/>
      </c>
      <c r="BD100" t="str">
        <f t="shared" si="20"/>
        <v/>
      </c>
    </row>
    <row r="101" spans="10:56" x14ac:dyDescent="0.3">
      <c r="J101" s="10">
        <f>IF(G101="Y",'Tournament Setup'!$C$2,0)+IF(H101="Y",'Tournament Setup'!$C$3,0)+IF(I101="Y",'Tournament Setup'!$C$4,0)</f>
        <v>0</v>
      </c>
      <c r="K101" s="1"/>
      <c r="R101" t="str">
        <f>IF(ISBLANK($O101),"",IFERROR(INDEX('Squad Listing'!$C:$C,MATCH($O101,'Squad Listing'!$A:$A,0)),""))</f>
        <v/>
      </c>
      <c r="S101" t="str">
        <f>IF(ISBLANK($O101),"",IFERROR(INDEX('Squad Listing'!$D:$D,MATCH($O101,'Squad Listing'!$A:$A,0)),""))</f>
        <v/>
      </c>
      <c r="Y101" t="str">
        <f t="shared" si="15"/>
        <v/>
      </c>
      <c r="Z101" s="129" t="str">
        <f t="shared" si="16"/>
        <v/>
      </c>
      <c r="AL101" t="str">
        <f>IF(ISBLANK($O101),"",IFERROR(INDEX('Squad Listing'!$C:$C,MATCH($O101,'Squad Listing'!$A:$A,0)),""))</f>
        <v/>
      </c>
      <c r="AM101" t="str">
        <f>IF(ISBLANK($O101),"",IFERROR(INDEX('Squad Listing'!$D:$D,MATCH($O101,'Squad Listing'!$A:$A,0)),""))</f>
        <v/>
      </c>
      <c r="AP101" t="str">
        <f t="shared" si="17"/>
        <v/>
      </c>
      <c r="AQ101" t="str">
        <f t="shared" si="18"/>
        <v/>
      </c>
      <c r="AY101" t="str">
        <f>IF(ISBLANK($O101),"",IFERROR(INDEX('Squad Listing'!$C:$C,MATCH($O101,'Squad Listing'!$A:$A,0)),""))</f>
        <v/>
      </c>
      <c r="AZ101" t="str">
        <f>IF(ISBLANK($O101),"",IFERROR(INDEX('Squad Listing'!$D:$D,MATCH($O101,'Squad Listing'!$A:$A,0)),""))</f>
        <v/>
      </c>
      <c r="BC101" t="str">
        <f t="shared" si="19"/>
        <v/>
      </c>
      <c r="BD101" t="str">
        <f t="shared" si="20"/>
        <v/>
      </c>
    </row>
    <row r="102" spans="10:56" x14ac:dyDescent="0.3">
      <c r="J102" s="10">
        <f>IF(G102="Y",'Tournament Setup'!$C$2,0)+IF(H102="Y",'Tournament Setup'!$C$3,0)+IF(I102="Y",'Tournament Setup'!$C$4,0)</f>
        <v>0</v>
      </c>
      <c r="K102" s="1"/>
      <c r="R102" t="str">
        <f>IF(ISBLANK($O102),"",IFERROR(INDEX('Squad Listing'!$C:$C,MATCH($O102,'Squad Listing'!$A:$A,0)),""))</f>
        <v/>
      </c>
      <c r="S102" t="str">
        <f>IF(ISBLANK($O102),"",IFERROR(INDEX('Squad Listing'!$D:$D,MATCH($O102,'Squad Listing'!$A:$A,0)),""))</f>
        <v/>
      </c>
      <c r="Y102" t="str">
        <f t="shared" si="15"/>
        <v/>
      </c>
      <c r="Z102" s="129" t="str">
        <f t="shared" si="16"/>
        <v/>
      </c>
      <c r="AL102" t="str">
        <f>IF(ISBLANK($O102),"",IFERROR(INDEX('Squad Listing'!$C:$C,MATCH($O102,'Squad Listing'!$A:$A,0)),""))</f>
        <v/>
      </c>
      <c r="AM102" t="str">
        <f>IF(ISBLANK($O102),"",IFERROR(INDEX('Squad Listing'!$D:$D,MATCH($O102,'Squad Listing'!$A:$A,0)),""))</f>
        <v/>
      </c>
      <c r="AP102" t="str">
        <f t="shared" si="17"/>
        <v/>
      </c>
      <c r="AQ102" t="str">
        <f t="shared" si="18"/>
        <v/>
      </c>
      <c r="AY102" t="str">
        <f>IF(ISBLANK($O102),"",IFERROR(INDEX('Squad Listing'!$C:$C,MATCH($O102,'Squad Listing'!$A:$A,0)),""))</f>
        <v/>
      </c>
      <c r="AZ102" t="str">
        <f>IF(ISBLANK($O102),"",IFERROR(INDEX('Squad Listing'!$D:$D,MATCH($O102,'Squad Listing'!$A:$A,0)),""))</f>
        <v/>
      </c>
      <c r="BC102" t="str">
        <f t="shared" si="19"/>
        <v/>
      </c>
      <c r="BD102" t="str">
        <f t="shared" si="20"/>
        <v/>
      </c>
    </row>
    <row r="103" spans="10:56" x14ac:dyDescent="0.3">
      <c r="J103" s="10">
        <f>IF(G103="Y",'Tournament Setup'!$C$2,0)+IF(H103="Y",'Tournament Setup'!$C$3,0)+IF(I103="Y",'Tournament Setup'!$C$4,0)</f>
        <v>0</v>
      </c>
      <c r="K103" s="1"/>
      <c r="R103" t="str">
        <f>IF(ISBLANK($O103),"",IFERROR(INDEX('Squad Listing'!$C:$C,MATCH($O103,'Squad Listing'!$A:$A,0)),""))</f>
        <v/>
      </c>
      <c r="S103" t="str">
        <f>IF(ISBLANK($O103),"",IFERROR(INDEX('Squad Listing'!$D:$D,MATCH($O103,'Squad Listing'!$A:$A,0)),""))</f>
        <v/>
      </c>
      <c r="Y103" t="str">
        <f t="shared" si="15"/>
        <v/>
      </c>
      <c r="Z103" s="129" t="str">
        <f t="shared" si="16"/>
        <v/>
      </c>
      <c r="AL103" t="str">
        <f>IF(ISBLANK($O103),"",IFERROR(INDEX('Squad Listing'!$C:$C,MATCH($O103,'Squad Listing'!$A:$A,0)),""))</f>
        <v/>
      </c>
      <c r="AM103" t="str">
        <f>IF(ISBLANK($O103),"",IFERROR(INDEX('Squad Listing'!$D:$D,MATCH($O103,'Squad Listing'!$A:$A,0)),""))</f>
        <v/>
      </c>
      <c r="AP103" t="str">
        <f t="shared" si="17"/>
        <v/>
      </c>
      <c r="AQ103" t="str">
        <f t="shared" si="18"/>
        <v/>
      </c>
      <c r="AY103" t="str">
        <f>IF(ISBLANK($O103),"",IFERROR(INDEX('Squad Listing'!$C:$C,MATCH($O103,'Squad Listing'!$A:$A,0)),""))</f>
        <v/>
      </c>
      <c r="AZ103" t="str">
        <f>IF(ISBLANK($O103),"",IFERROR(INDEX('Squad Listing'!$D:$D,MATCH($O103,'Squad Listing'!$A:$A,0)),""))</f>
        <v/>
      </c>
      <c r="BC103" t="str">
        <f t="shared" si="19"/>
        <v/>
      </c>
      <c r="BD103" t="str">
        <f t="shared" si="20"/>
        <v/>
      </c>
    </row>
    <row r="104" spans="10:56" x14ac:dyDescent="0.3">
      <c r="J104" s="10">
        <f>IF(G104="Y",'Tournament Setup'!$C$2,0)+IF(H104="Y",'Tournament Setup'!$C$3,0)+IF(I104="Y",'Tournament Setup'!$C$4,0)</f>
        <v>0</v>
      </c>
      <c r="K104" s="1"/>
      <c r="R104" t="str">
        <f>IF(ISBLANK($O104),"",IFERROR(INDEX('Squad Listing'!$C:$C,MATCH($O104,'Squad Listing'!$A:$A,0)),""))</f>
        <v/>
      </c>
      <c r="S104" t="str">
        <f>IF(ISBLANK($O104),"",IFERROR(INDEX('Squad Listing'!$D:$D,MATCH($O104,'Squad Listing'!$A:$A,0)),""))</f>
        <v/>
      </c>
      <c r="Y104" t="str">
        <f t="shared" si="15"/>
        <v/>
      </c>
      <c r="Z104" s="129" t="str">
        <f t="shared" si="16"/>
        <v/>
      </c>
      <c r="AL104" t="str">
        <f>IF(ISBLANK($O104),"",IFERROR(INDEX('Squad Listing'!$C:$C,MATCH($O104,'Squad Listing'!$A:$A,0)),""))</f>
        <v/>
      </c>
      <c r="AM104" t="str">
        <f>IF(ISBLANK($O104),"",IFERROR(INDEX('Squad Listing'!$D:$D,MATCH($O104,'Squad Listing'!$A:$A,0)),""))</f>
        <v/>
      </c>
      <c r="AP104" t="str">
        <f t="shared" si="17"/>
        <v/>
      </c>
      <c r="AQ104" t="str">
        <f t="shared" si="18"/>
        <v/>
      </c>
      <c r="AY104" t="str">
        <f>IF(ISBLANK($O104),"",IFERROR(INDEX('Squad Listing'!$C:$C,MATCH($O104,'Squad Listing'!$A:$A,0)),""))</f>
        <v/>
      </c>
      <c r="AZ104" t="str">
        <f>IF(ISBLANK($O104),"",IFERROR(INDEX('Squad Listing'!$D:$D,MATCH($O104,'Squad Listing'!$A:$A,0)),""))</f>
        <v/>
      </c>
      <c r="BC104" t="str">
        <f t="shared" si="19"/>
        <v/>
      </c>
      <c r="BD104" t="str">
        <f t="shared" si="20"/>
        <v/>
      </c>
    </row>
    <row r="105" spans="10:56" x14ac:dyDescent="0.3">
      <c r="J105" s="10">
        <f>IF(G105="Y",'Tournament Setup'!$C$2,0)+IF(H105="Y",'Tournament Setup'!$C$3,0)+IF(I105="Y",'Tournament Setup'!$C$4,0)</f>
        <v>0</v>
      </c>
      <c r="K105" s="1"/>
      <c r="R105" t="str">
        <f>IF(ISBLANK($O105),"",IFERROR(INDEX('Squad Listing'!$C:$C,MATCH($O105,'Squad Listing'!$A:$A,0)),""))</f>
        <v/>
      </c>
      <c r="S105" t="str">
        <f>IF(ISBLANK($O105),"",IFERROR(INDEX('Squad Listing'!$D:$D,MATCH($O105,'Squad Listing'!$A:$A,0)),""))</f>
        <v/>
      </c>
      <c r="Y105" t="str">
        <f t="shared" si="15"/>
        <v/>
      </c>
      <c r="Z105" s="129" t="str">
        <f t="shared" si="16"/>
        <v/>
      </c>
      <c r="AL105" t="str">
        <f>IF(ISBLANK($O105),"",IFERROR(INDEX('Squad Listing'!$C:$C,MATCH($O105,'Squad Listing'!$A:$A,0)),""))</f>
        <v/>
      </c>
      <c r="AM105" t="str">
        <f>IF(ISBLANK($O105),"",IFERROR(INDEX('Squad Listing'!$D:$D,MATCH($O105,'Squad Listing'!$A:$A,0)),""))</f>
        <v/>
      </c>
      <c r="AP105" t="str">
        <f t="shared" si="17"/>
        <v/>
      </c>
      <c r="AQ105" t="str">
        <f t="shared" si="18"/>
        <v/>
      </c>
      <c r="AY105" t="str">
        <f>IF(ISBLANK($O105),"",IFERROR(INDEX('Squad Listing'!$C:$C,MATCH($O105,'Squad Listing'!$A:$A,0)),""))</f>
        <v/>
      </c>
      <c r="AZ105" t="str">
        <f>IF(ISBLANK($O105),"",IFERROR(INDEX('Squad Listing'!$D:$D,MATCH($O105,'Squad Listing'!$A:$A,0)),""))</f>
        <v/>
      </c>
      <c r="BC105" t="str">
        <f t="shared" si="19"/>
        <v/>
      </c>
      <c r="BD105" t="str">
        <f t="shared" si="20"/>
        <v/>
      </c>
    </row>
    <row r="106" spans="10:56" x14ac:dyDescent="0.3">
      <c r="J106" s="10">
        <f>IF(G106="Y",'Tournament Setup'!$C$2,0)+IF(H106="Y",'Tournament Setup'!$C$3,0)+IF(I106="Y",'Tournament Setup'!$C$4,0)</f>
        <v>0</v>
      </c>
      <c r="K106" s="1"/>
      <c r="R106" t="str">
        <f>IF(ISBLANK($O106),"",IFERROR(INDEX('Squad Listing'!$C:$C,MATCH($O106,'Squad Listing'!$A:$A,0)),""))</f>
        <v/>
      </c>
      <c r="S106" t="str">
        <f>IF(ISBLANK($O106),"",IFERROR(INDEX('Squad Listing'!$D:$D,MATCH($O106,'Squad Listing'!$A:$A,0)),""))</f>
        <v/>
      </c>
      <c r="Y106" t="str">
        <f t="shared" si="15"/>
        <v/>
      </c>
      <c r="Z106" s="129" t="str">
        <f t="shared" si="16"/>
        <v/>
      </c>
      <c r="AL106" t="str">
        <f>IF(ISBLANK($O106),"",IFERROR(INDEX('Squad Listing'!$C:$C,MATCH($O106,'Squad Listing'!$A:$A,0)),""))</f>
        <v/>
      </c>
      <c r="AM106" t="str">
        <f>IF(ISBLANK($O106),"",IFERROR(INDEX('Squad Listing'!$D:$D,MATCH($O106,'Squad Listing'!$A:$A,0)),""))</f>
        <v/>
      </c>
      <c r="AP106" t="str">
        <f t="shared" si="17"/>
        <v/>
      </c>
      <c r="AQ106" t="str">
        <f t="shared" si="18"/>
        <v/>
      </c>
      <c r="AY106" t="str">
        <f>IF(ISBLANK($O106),"",IFERROR(INDEX('Squad Listing'!$C:$C,MATCH($O106,'Squad Listing'!$A:$A,0)),""))</f>
        <v/>
      </c>
      <c r="AZ106" t="str">
        <f>IF(ISBLANK($O106),"",IFERROR(INDEX('Squad Listing'!$D:$D,MATCH($O106,'Squad Listing'!$A:$A,0)),""))</f>
        <v/>
      </c>
      <c r="BC106" t="str">
        <f t="shared" si="19"/>
        <v/>
      </c>
      <c r="BD106" t="str">
        <f t="shared" si="20"/>
        <v/>
      </c>
    </row>
    <row r="107" spans="10:56" x14ac:dyDescent="0.3">
      <c r="J107" s="10">
        <f>IF(G107="Y",'Tournament Setup'!$C$2,0)+IF(H107="Y",'Tournament Setup'!$C$3,0)+IF(I107="Y",'Tournament Setup'!$C$4,0)</f>
        <v>0</v>
      </c>
      <c r="K107" s="1"/>
      <c r="R107" t="str">
        <f>IF(ISBLANK($O107),"",IFERROR(INDEX('Squad Listing'!$C:$C,MATCH($O107,'Squad Listing'!$A:$A,0)),""))</f>
        <v/>
      </c>
      <c r="S107" t="str">
        <f>IF(ISBLANK($O107),"",IFERROR(INDEX('Squad Listing'!$D:$D,MATCH($O107,'Squad Listing'!$A:$A,0)),""))</f>
        <v/>
      </c>
      <c r="Y107" t="str">
        <f t="shared" si="15"/>
        <v/>
      </c>
      <c r="Z107" s="129" t="str">
        <f t="shared" si="16"/>
        <v/>
      </c>
      <c r="AL107" t="str">
        <f>IF(ISBLANK($O107),"",IFERROR(INDEX('Squad Listing'!$C:$C,MATCH($O107,'Squad Listing'!$A:$A,0)),""))</f>
        <v/>
      </c>
      <c r="AM107" t="str">
        <f>IF(ISBLANK($O107),"",IFERROR(INDEX('Squad Listing'!$D:$D,MATCH($O107,'Squad Listing'!$A:$A,0)),""))</f>
        <v/>
      </c>
      <c r="AP107" t="str">
        <f t="shared" si="17"/>
        <v/>
      </c>
      <c r="AQ107" t="str">
        <f t="shared" si="18"/>
        <v/>
      </c>
      <c r="AY107" t="str">
        <f>IF(ISBLANK($O107),"",IFERROR(INDEX('Squad Listing'!$C:$C,MATCH($O107,'Squad Listing'!$A:$A,0)),""))</f>
        <v/>
      </c>
      <c r="AZ107" t="str">
        <f>IF(ISBLANK($O107),"",IFERROR(INDEX('Squad Listing'!$D:$D,MATCH($O107,'Squad Listing'!$A:$A,0)),""))</f>
        <v/>
      </c>
      <c r="BC107" t="str">
        <f t="shared" si="19"/>
        <v/>
      </c>
      <c r="BD107" t="str">
        <f t="shared" si="20"/>
        <v/>
      </c>
    </row>
    <row r="108" spans="10:56" x14ac:dyDescent="0.3">
      <c r="J108" s="10">
        <f>IF(G108="Y",'Tournament Setup'!$C$2,0)+IF(H108="Y",'Tournament Setup'!$C$3,0)+IF(I108="Y",'Tournament Setup'!$C$4,0)</f>
        <v>0</v>
      </c>
      <c r="K108" s="1"/>
      <c r="R108" t="str">
        <f>IF(ISBLANK($O108),"",IFERROR(INDEX('Squad Listing'!$C:$C,MATCH($O108,'Squad Listing'!$A:$A,0)),""))</f>
        <v/>
      </c>
      <c r="S108" t="str">
        <f>IF(ISBLANK($O108),"",IFERROR(INDEX('Squad Listing'!$D:$D,MATCH($O108,'Squad Listing'!$A:$A,0)),""))</f>
        <v/>
      </c>
      <c r="Y108" t="str">
        <f t="shared" si="15"/>
        <v/>
      </c>
      <c r="Z108" s="129" t="str">
        <f t="shared" si="16"/>
        <v/>
      </c>
      <c r="AL108" t="str">
        <f>IF(ISBLANK($O108),"",IFERROR(INDEX('Squad Listing'!$C:$C,MATCH($O108,'Squad Listing'!$A:$A,0)),""))</f>
        <v/>
      </c>
      <c r="AM108" t="str">
        <f>IF(ISBLANK($O108),"",IFERROR(INDEX('Squad Listing'!$D:$D,MATCH($O108,'Squad Listing'!$A:$A,0)),""))</f>
        <v/>
      </c>
      <c r="AP108" t="str">
        <f t="shared" si="17"/>
        <v/>
      </c>
      <c r="AQ108" t="str">
        <f t="shared" si="18"/>
        <v/>
      </c>
      <c r="AY108" t="str">
        <f>IF(ISBLANK($O108),"",IFERROR(INDEX('Squad Listing'!$C:$C,MATCH($O108,'Squad Listing'!$A:$A,0)),""))</f>
        <v/>
      </c>
      <c r="AZ108" t="str">
        <f>IF(ISBLANK($O108),"",IFERROR(INDEX('Squad Listing'!$D:$D,MATCH($O108,'Squad Listing'!$A:$A,0)),""))</f>
        <v/>
      </c>
      <c r="BC108" t="str">
        <f t="shared" si="19"/>
        <v/>
      </c>
      <c r="BD108" t="str">
        <f t="shared" si="20"/>
        <v/>
      </c>
    </row>
    <row r="109" spans="10:56" x14ac:dyDescent="0.3">
      <c r="J109" s="10">
        <f>IF(G109="Y",'Tournament Setup'!$C$2,0)+IF(H109="Y",'Tournament Setup'!$C$3,0)+IF(I109="Y",'Tournament Setup'!$C$4,0)</f>
        <v>0</v>
      </c>
      <c r="K109" s="1"/>
      <c r="R109" t="str">
        <f>IF(ISBLANK($O109),"",IFERROR(INDEX('Squad Listing'!$C:$C,MATCH($O109,'Squad Listing'!$A:$A,0)),""))</f>
        <v/>
      </c>
      <c r="S109" t="str">
        <f>IF(ISBLANK($O109),"",IFERROR(INDEX('Squad Listing'!$D:$D,MATCH($O109,'Squad Listing'!$A:$A,0)),""))</f>
        <v/>
      </c>
      <c r="Y109" t="str">
        <f t="shared" si="15"/>
        <v/>
      </c>
      <c r="Z109" s="129" t="str">
        <f t="shared" si="16"/>
        <v/>
      </c>
      <c r="AL109" t="str">
        <f>IF(ISBLANK($O109),"",IFERROR(INDEX('Squad Listing'!$C:$C,MATCH($O109,'Squad Listing'!$A:$A,0)),""))</f>
        <v/>
      </c>
      <c r="AM109" t="str">
        <f>IF(ISBLANK($O109),"",IFERROR(INDEX('Squad Listing'!$D:$D,MATCH($O109,'Squad Listing'!$A:$A,0)),""))</f>
        <v/>
      </c>
      <c r="AP109" t="str">
        <f t="shared" si="17"/>
        <v/>
      </c>
      <c r="AQ109" t="str">
        <f t="shared" si="18"/>
        <v/>
      </c>
      <c r="AY109" t="str">
        <f>IF(ISBLANK($O109),"",IFERROR(INDEX('Squad Listing'!$C:$C,MATCH($O109,'Squad Listing'!$A:$A,0)),""))</f>
        <v/>
      </c>
      <c r="AZ109" t="str">
        <f>IF(ISBLANK($O109),"",IFERROR(INDEX('Squad Listing'!$D:$D,MATCH($O109,'Squad Listing'!$A:$A,0)),""))</f>
        <v/>
      </c>
      <c r="BC109" t="str">
        <f t="shared" si="19"/>
        <v/>
      </c>
      <c r="BD109" t="str">
        <f t="shared" si="20"/>
        <v/>
      </c>
    </row>
    <row r="110" spans="10:56" x14ac:dyDescent="0.3">
      <c r="J110" s="10">
        <f>IF(G110="Y",'Tournament Setup'!$C$2,0)+IF(H110="Y",'Tournament Setup'!$C$3,0)+IF(I110="Y",'Tournament Setup'!$C$4,0)</f>
        <v>0</v>
      </c>
      <c r="K110" s="1"/>
      <c r="R110" t="str">
        <f>IF(ISBLANK($O110),"",IFERROR(INDEX('Squad Listing'!$C:$C,MATCH($O110,'Squad Listing'!$A:$A,0)),""))</f>
        <v/>
      </c>
      <c r="S110" t="str">
        <f>IF(ISBLANK($O110),"",IFERROR(INDEX('Squad Listing'!$D:$D,MATCH($O110,'Squad Listing'!$A:$A,0)),""))</f>
        <v/>
      </c>
      <c r="Y110" t="str">
        <f t="shared" si="15"/>
        <v/>
      </c>
      <c r="Z110" s="129" t="str">
        <f t="shared" si="16"/>
        <v/>
      </c>
      <c r="AL110" t="str">
        <f>IF(ISBLANK($O110),"",IFERROR(INDEX('Squad Listing'!$C:$C,MATCH($O110,'Squad Listing'!$A:$A,0)),""))</f>
        <v/>
      </c>
      <c r="AM110" t="str">
        <f>IF(ISBLANK($O110),"",IFERROR(INDEX('Squad Listing'!$D:$D,MATCH($O110,'Squad Listing'!$A:$A,0)),""))</f>
        <v/>
      </c>
      <c r="AP110" t="str">
        <f t="shared" si="17"/>
        <v/>
      </c>
      <c r="AQ110" t="str">
        <f t="shared" si="18"/>
        <v/>
      </c>
      <c r="AY110" t="str">
        <f>IF(ISBLANK($O110),"",IFERROR(INDEX('Squad Listing'!$C:$C,MATCH($O110,'Squad Listing'!$A:$A,0)),""))</f>
        <v/>
      </c>
      <c r="AZ110" t="str">
        <f>IF(ISBLANK($O110),"",IFERROR(INDEX('Squad Listing'!$D:$D,MATCH($O110,'Squad Listing'!$A:$A,0)),""))</f>
        <v/>
      </c>
      <c r="BC110" t="str">
        <f t="shared" si="19"/>
        <v/>
      </c>
      <c r="BD110" t="str">
        <f t="shared" si="20"/>
        <v/>
      </c>
    </row>
    <row r="111" spans="10:56" x14ac:dyDescent="0.3">
      <c r="J111" s="10">
        <f>IF(G111="Y",'Tournament Setup'!$C$2,0)+IF(H111="Y",'Tournament Setup'!$C$3,0)+IF(I111="Y",'Tournament Setup'!$C$4,0)</f>
        <v>0</v>
      </c>
      <c r="K111" s="1"/>
      <c r="R111" t="str">
        <f>IF(ISBLANK($O111),"",IFERROR(INDEX('Squad Listing'!$C:$C,MATCH($O111,'Squad Listing'!$A:$A,0)),""))</f>
        <v/>
      </c>
      <c r="S111" t="str">
        <f>IF(ISBLANK($O111),"",IFERROR(INDEX('Squad Listing'!$D:$D,MATCH($O111,'Squad Listing'!$A:$A,0)),""))</f>
        <v/>
      </c>
      <c r="Y111" t="str">
        <f t="shared" si="15"/>
        <v/>
      </c>
      <c r="Z111" s="129" t="str">
        <f t="shared" si="16"/>
        <v/>
      </c>
      <c r="AL111" t="str">
        <f>IF(ISBLANK($O111),"",IFERROR(INDEX('Squad Listing'!$C:$C,MATCH($O111,'Squad Listing'!$A:$A,0)),""))</f>
        <v/>
      </c>
      <c r="AM111" t="str">
        <f>IF(ISBLANK($O111),"",IFERROR(INDEX('Squad Listing'!$D:$D,MATCH($O111,'Squad Listing'!$A:$A,0)),""))</f>
        <v/>
      </c>
      <c r="AP111" t="str">
        <f t="shared" si="17"/>
        <v/>
      </c>
      <c r="AQ111" t="str">
        <f t="shared" si="18"/>
        <v/>
      </c>
      <c r="AY111" t="str">
        <f>IF(ISBLANK($O111),"",IFERROR(INDEX('Squad Listing'!$C:$C,MATCH($O111,'Squad Listing'!$A:$A,0)),""))</f>
        <v/>
      </c>
      <c r="AZ111" t="str">
        <f>IF(ISBLANK($O111),"",IFERROR(INDEX('Squad Listing'!$D:$D,MATCH($O111,'Squad Listing'!$A:$A,0)),""))</f>
        <v/>
      </c>
      <c r="BC111" t="str">
        <f t="shared" si="19"/>
        <v/>
      </c>
      <c r="BD111" t="str">
        <f t="shared" si="20"/>
        <v/>
      </c>
    </row>
    <row r="112" spans="10:56" x14ac:dyDescent="0.3">
      <c r="J112" s="10">
        <f>IF(G112="Y",'Tournament Setup'!$C$2,0)+IF(H112="Y",'Tournament Setup'!$C$3,0)+IF(I112="Y",'Tournament Setup'!$C$4,0)</f>
        <v>0</v>
      </c>
      <c r="K112" s="1"/>
      <c r="R112" t="str">
        <f>IF(ISBLANK($O112),"",IFERROR(INDEX('Squad Listing'!$C:$C,MATCH($O112,'Squad Listing'!$A:$A,0)),""))</f>
        <v/>
      </c>
      <c r="S112" t="str">
        <f>IF(ISBLANK($O112),"",IFERROR(INDEX('Squad Listing'!$D:$D,MATCH($O112,'Squad Listing'!$A:$A,0)),""))</f>
        <v/>
      </c>
      <c r="Y112" t="str">
        <f t="shared" si="15"/>
        <v/>
      </c>
      <c r="Z112" s="129" t="str">
        <f t="shared" si="16"/>
        <v/>
      </c>
      <c r="AL112" t="str">
        <f>IF(ISBLANK($O112),"",IFERROR(INDEX('Squad Listing'!$C:$C,MATCH($O112,'Squad Listing'!$A:$A,0)),""))</f>
        <v/>
      </c>
      <c r="AM112" t="str">
        <f>IF(ISBLANK($O112),"",IFERROR(INDEX('Squad Listing'!$D:$D,MATCH($O112,'Squad Listing'!$A:$A,0)),""))</f>
        <v/>
      </c>
      <c r="AP112" t="str">
        <f t="shared" si="17"/>
        <v/>
      </c>
      <c r="AQ112" t="str">
        <f t="shared" si="18"/>
        <v/>
      </c>
      <c r="AY112" t="str">
        <f>IF(ISBLANK($O112),"",IFERROR(INDEX('Squad Listing'!$C:$C,MATCH($O112,'Squad Listing'!$A:$A,0)),""))</f>
        <v/>
      </c>
      <c r="AZ112" t="str">
        <f>IF(ISBLANK($O112),"",IFERROR(INDEX('Squad Listing'!$D:$D,MATCH($O112,'Squad Listing'!$A:$A,0)),""))</f>
        <v/>
      </c>
      <c r="BC112" t="str">
        <f t="shared" si="19"/>
        <v/>
      </c>
      <c r="BD112" t="str">
        <f t="shared" si="20"/>
        <v/>
      </c>
    </row>
    <row r="113" spans="10:56" x14ac:dyDescent="0.3">
      <c r="J113" s="10">
        <f>IF(G113="Y",'Tournament Setup'!$C$2,0)+IF(H113="Y",'Tournament Setup'!$C$3,0)+IF(I113="Y",'Tournament Setup'!$C$4,0)</f>
        <v>0</v>
      </c>
      <c r="K113" s="1"/>
      <c r="R113" t="str">
        <f>IF(ISBLANK($O113),"",IFERROR(INDEX('Squad Listing'!$C:$C,MATCH($O113,'Squad Listing'!$A:$A,0)),""))</f>
        <v/>
      </c>
      <c r="S113" t="str">
        <f>IF(ISBLANK($O113),"",IFERROR(INDEX('Squad Listing'!$D:$D,MATCH($O113,'Squad Listing'!$A:$A,0)),""))</f>
        <v/>
      </c>
      <c r="Y113" t="str">
        <f t="shared" si="15"/>
        <v/>
      </c>
      <c r="Z113" s="129" t="str">
        <f t="shared" si="16"/>
        <v/>
      </c>
      <c r="AL113" t="str">
        <f>IF(ISBLANK($O113),"",IFERROR(INDEX('Squad Listing'!$C:$C,MATCH($O113,'Squad Listing'!$A:$A,0)),""))</f>
        <v/>
      </c>
      <c r="AM113" t="str">
        <f>IF(ISBLANK($O113),"",IFERROR(INDEX('Squad Listing'!$D:$D,MATCH($O113,'Squad Listing'!$A:$A,0)),""))</f>
        <v/>
      </c>
      <c r="AP113" t="str">
        <f t="shared" si="17"/>
        <v/>
      </c>
      <c r="AQ113" t="str">
        <f t="shared" si="18"/>
        <v/>
      </c>
      <c r="AY113" t="str">
        <f>IF(ISBLANK($O113),"",IFERROR(INDEX('Squad Listing'!$C:$C,MATCH($O113,'Squad Listing'!$A:$A,0)),""))</f>
        <v/>
      </c>
      <c r="AZ113" t="str">
        <f>IF(ISBLANK($O113),"",IFERROR(INDEX('Squad Listing'!$D:$D,MATCH($O113,'Squad Listing'!$A:$A,0)),""))</f>
        <v/>
      </c>
      <c r="BC113" t="str">
        <f t="shared" si="19"/>
        <v/>
      </c>
      <c r="BD113" t="str">
        <f t="shared" si="20"/>
        <v/>
      </c>
    </row>
    <row r="114" spans="10:56" x14ac:dyDescent="0.3">
      <c r="J114" s="10">
        <f>IF(G114="Y",'Tournament Setup'!$C$2,0)+IF(H114="Y",'Tournament Setup'!$C$3,0)+IF(I114="Y",'Tournament Setup'!$C$4,0)</f>
        <v>0</v>
      </c>
      <c r="K114" s="1"/>
      <c r="R114" t="str">
        <f>IF(ISBLANK($O114),"",IFERROR(INDEX('Squad Listing'!$C:$C,MATCH($O114,'Squad Listing'!$A:$A,0)),""))</f>
        <v/>
      </c>
      <c r="S114" t="str">
        <f>IF(ISBLANK($O114),"",IFERROR(INDEX('Squad Listing'!$D:$D,MATCH($O114,'Squad Listing'!$A:$A,0)),""))</f>
        <v/>
      </c>
      <c r="Y114" t="str">
        <f t="shared" si="15"/>
        <v/>
      </c>
      <c r="Z114" s="129" t="str">
        <f t="shared" si="16"/>
        <v/>
      </c>
      <c r="AL114" t="str">
        <f>IF(ISBLANK($O114),"",IFERROR(INDEX('Squad Listing'!$C:$C,MATCH($O114,'Squad Listing'!$A:$A,0)),""))</f>
        <v/>
      </c>
      <c r="AM114" t="str">
        <f>IF(ISBLANK($O114),"",IFERROR(INDEX('Squad Listing'!$D:$D,MATCH($O114,'Squad Listing'!$A:$A,0)),""))</f>
        <v/>
      </c>
      <c r="AP114" t="str">
        <f t="shared" si="17"/>
        <v/>
      </c>
      <c r="AQ114" t="str">
        <f t="shared" si="18"/>
        <v/>
      </c>
      <c r="AY114" t="str">
        <f>IF(ISBLANK($O114),"",IFERROR(INDEX('Squad Listing'!$C:$C,MATCH($O114,'Squad Listing'!$A:$A,0)),""))</f>
        <v/>
      </c>
      <c r="AZ114" t="str">
        <f>IF(ISBLANK($O114),"",IFERROR(INDEX('Squad Listing'!$D:$D,MATCH($O114,'Squad Listing'!$A:$A,0)),""))</f>
        <v/>
      </c>
      <c r="BC114" t="str">
        <f t="shared" si="19"/>
        <v/>
      </c>
      <c r="BD114" t="str">
        <f t="shared" si="20"/>
        <v/>
      </c>
    </row>
    <row r="115" spans="10:56" x14ac:dyDescent="0.3">
      <c r="J115" s="10">
        <f>IF(G115="Y",'Tournament Setup'!$C$2,0)+IF(H115="Y",'Tournament Setup'!$C$3,0)+IF(I115="Y",'Tournament Setup'!$C$4,0)</f>
        <v>0</v>
      </c>
      <c r="K115" s="1"/>
      <c r="R115" t="str">
        <f>IF(ISBLANK($O115),"",IFERROR(INDEX('Squad Listing'!$C:$C,MATCH($O115,'Squad Listing'!$A:$A,0)),""))</f>
        <v/>
      </c>
      <c r="S115" t="str">
        <f>IF(ISBLANK($O115),"",IFERROR(INDEX('Squad Listing'!$D:$D,MATCH($O115,'Squad Listing'!$A:$A,0)),""))</f>
        <v/>
      </c>
      <c r="Y115" t="str">
        <f t="shared" si="15"/>
        <v/>
      </c>
      <c r="Z115" s="129" t="str">
        <f t="shared" si="16"/>
        <v/>
      </c>
      <c r="AL115" t="str">
        <f>IF(ISBLANK($O115),"",IFERROR(INDEX('Squad Listing'!$C:$C,MATCH($O115,'Squad Listing'!$A:$A,0)),""))</f>
        <v/>
      </c>
      <c r="AM115" t="str">
        <f>IF(ISBLANK($O115),"",IFERROR(INDEX('Squad Listing'!$D:$D,MATCH($O115,'Squad Listing'!$A:$A,0)),""))</f>
        <v/>
      </c>
      <c r="AP115" t="str">
        <f t="shared" si="17"/>
        <v/>
      </c>
      <c r="AQ115" t="str">
        <f t="shared" si="18"/>
        <v/>
      </c>
      <c r="AY115" t="str">
        <f>IF(ISBLANK($O115),"",IFERROR(INDEX('Squad Listing'!$C:$C,MATCH($O115,'Squad Listing'!$A:$A,0)),""))</f>
        <v/>
      </c>
      <c r="AZ115" t="str">
        <f>IF(ISBLANK($O115),"",IFERROR(INDEX('Squad Listing'!$D:$D,MATCH($O115,'Squad Listing'!$A:$A,0)),""))</f>
        <v/>
      </c>
      <c r="BC115" t="str">
        <f t="shared" si="19"/>
        <v/>
      </c>
      <c r="BD115" t="str">
        <f t="shared" si="20"/>
        <v/>
      </c>
    </row>
    <row r="116" spans="10:56" x14ac:dyDescent="0.3">
      <c r="J116" s="10">
        <f>IF(G116="Y",'Tournament Setup'!$C$2,0)+IF(H116="Y",'Tournament Setup'!$C$3,0)+IF(I116="Y",'Tournament Setup'!$C$4,0)</f>
        <v>0</v>
      </c>
      <c r="K116" s="1"/>
      <c r="R116" t="str">
        <f>IF(ISBLANK($O116),"",IFERROR(INDEX('Squad Listing'!$C:$C,MATCH($O116,'Squad Listing'!$A:$A,0)),""))</f>
        <v/>
      </c>
      <c r="S116" t="str">
        <f>IF(ISBLANK($O116),"",IFERROR(INDEX('Squad Listing'!$D:$D,MATCH($O116,'Squad Listing'!$A:$A,0)),""))</f>
        <v/>
      </c>
      <c r="Y116" t="str">
        <f t="shared" ref="Y116:Y147" si="21">IF(_xlfn.NUMBERVALUE(Z116)&gt;0,_xlfn.RANK.EQ(Z116,$Z$3:$Z$250,0),"")</f>
        <v/>
      </c>
      <c r="Z116" s="129" t="str">
        <f t="shared" ref="Z116:Z147" si="22">IF(SUM(AB116:AE116)&gt;0,SUM(AA116:AE116),"")</f>
        <v/>
      </c>
      <c r="AL116" t="str">
        <f>IF(ISBLANK($O116),"",IFERROR(INDEX('Squad Listing'!$C:$C,MATCH($O116,'Squad Listing'!$A:$A,0)),""))</f>
        <v/>
      </c>
      <c r="AM116" t="str">
        <f>IF(ISBLANK($O116),"",IFERROR(INDEX('Squad Listing'!$D:$D,MATCH($O116,'Squad Listing'!$A:$A,0)),""))</f>
        <v/>
      </c>
      <c r="AP116" t="str">
        <f t="shared" ref="AP116:AP147" si="23">IF(_xlfn.NUMBERVALUE(AQ116)&gt;0,_xlfn.RANK.EQ(AQ116,$AQ$3:$AQ$250,0),"")</f>
        <v/>
      </c>
      <c r="AQ116" t="str">
        <f t="shared" ref="AQ116:AQ147" si="24">IF(SUM(AS116:AV116)&gt;0,SUM(AR116:AV116),"")</f>
        <v/>
      </c>
      <c r="AY116" t="str">
        <f>IF(ISBLANK($O116),"",IFERROR(INDEX('Squad Listing'!$C:$C,MATCH($O116,'Squad Listing'!$A:$A,0)),""))</f>
        <v/>
      </c>
      <c r="AZ116" t="str">
        <f>IF(ISBLANK($O116),"",IFERROR(INDEX('Squad Listing'!$D:$D,MATCH($O116,'Squad Listing'!$A:$A,0)),""))</f>
        <v/>
      </c>
      <c r="BC116" t="str">
        <f t="shared" ref="BC116:BC147" si="25">IF(_xlfn.NUMBERVALUE(BD116)&gt;0,_xlfn.RANK.EQ(BD116,$BD$3:$BD$250,0),"")</f>
        <v/>
      </c>
      <c r="BD116" t="str">
        <f t="shared" ref="BD116:BD147" si="26">IF(SUM(BF116:BY116)&gt;0,SUM(BE116:BY116),"")</f>
        <v/>
      </c>
    </row>
    <row r="117" spans="10:56" x14ac:dyDescent="0.3">
      <c r="J117" s="10">
        <f>IF(G117="Y",'Tournament Setup'!$C$2,0)+IF(H117="Y",'Tournament Setup'!$C$3,0)+IF(I117="Y",'Tournament Setup'!$C$4,0)</f>
        <v>0</v>
      </c>
      <c r="K117" s="1"/>
      <c r="R117" t="str">
        <f>IF(ISBLANK($O117),"",IFERROR(INDEX('Squad Listing'!$C:$C,MATCH($O117,'Squad Listing'!$A:$A,0)),""))</f>
        <v/>
      </c>
      <c r="S117" t="str">
        <f>IF(ISBLANK($O117),"",IFERROR(INDEX('Squad Listing'!$D:$D,MATCH($O117,'Squad Listing'!$A:$A,0)),""))</f>
        <v/>
      </c>
      <c r="Y117" t="str">
        <f t="shared" si="21"/>
        <v/>
      </c>
      <c r="Z117" s="129" t="str">
        <f t="shared" si="22"/>
        <v/>
      </c>
      <c r="AL117" t="str">
        <f>IF(ISBLANK($O117),"",IFERROR(INDEX('Squad Listing'!$C:$C,MATCH($O117,'Squad Listing'!$A:$A,0)),""))</f>
        <v/>
      </c>
      <c r="AM117" t="str">
        <f>IF(ISBLANK($O117),"",IFERROR(INDEX('Squad Listing'!$D:$D,MATCH($O117,'Squad Listing'!$A:$A,0)),""))</f>
        <v/>
      </c>
      <c r="AP117" t="str">
        <f t="shared" si="23"/>
        <v/>
      </c>
      <c r="AQ117" t="str">
        <f t="shared" si="24"/>
        <v/>
      </c>
      <c r="AY117" t="str">
        <f>IF(ISBLANK($O117),"",IFERROR(INDEX('Squad Listing'!$C:$C,MATCH($O117,'Squad Listing'!$A:$A,0)),""))</f>
        <v/>
      </c>
      <c r="AZ117" t="str">
        <f>IF(ISBLANK($O117),"",IFERROR(INDEX('Squad Listing'!$D:$D,MATCH($O117,'Squad Listing'!$A:$A,0)),""))</f>
        <v/>
      </c>
      <c r="BC117" t="str">
        <f t="shared" si="25"/>
        <v/>
      </c>
      <c r="BD117" t="str">
        <f t="shared" si="26"/>
        <v/>
      </c>
    </row>
    <row r="118" spans="10:56" x14ac:dyDescent="0.3">
      <c r="J118" s="10">
        <f>IF(G118="Y",'Tournament Setup'!$C$2,0)+IF(H118="Y",'Tournament Setup'!$C$3,0)+IF(I118="Y",'Tournament Setup'!$C$4,0)</f>
        <v>0</v>
      </c>
      <c r="K118" s="1"/>
      <c r="R118" t="str">
        <f>IF(ISBLANK($O118),"",IFERROR(INDEX('Squad Listing'!$C:$C,MATCH($O118,'Squad Listing'!$A:$A,0)),""))</f>
        <v/>
      </c>
      <c r="S118" t="str">
        <f>IF(ISBLANK($O118),"",IFERROR(INDEX('Squad Listing'!$D:$D,MATCH($O118,'Squad Listing'!$A:$A,0)),""))</f>
        <v/>
      </c>
      <c r="Y118" t="str">
        <f t="shared" si="21"/>
        <v/>
      </c>
      <c r="Z118" s="129" t="str">
        <f t="shared" si="22"/>
        <v/>
      </c>
      <c r="AL118" t="str">
        <f>IF(ISBLANK($O118),"",IFERROR(INDEX('Squad Listing'!$C:$C,MATCH($O118,'Squad Listing'!$A:$A,0)),""))</f>
        <v/>
      </c>
      <c r="AM118" t="str">
        <f>IF(ISBLANK($O118),"",IFERROR(INDEX('Squad Listing'!$D:$D,MATCH($O118,'Squad Listing'!$A:$A,0)),""))</f>
        <v/>
      </c>
      <c r="AP118" t="str">
        <f t="shared" si="23"/>
        <v/>
      </c>
      <c r="AQ118" t="str">
        <f t="shared" si="24"/>
        <v/>
      </c>
      <c r="AY118" t="str">
        <f>IF(ISBLANK($O118),"",IFERROR(INDEX('Squad Listing'!$C:$C,MATCH($O118,'Squad Listing'!$A:$A,0)),""))</f>
        <v/>
      </c>
      <c r="AZ118" t="str">
        <f>IF(ISBLANK($O118),"",IFERROR(INDEX('Squad Listing'!$D:$D,MATCH($O118,'Squad Listing'!$A:$A,0)),""))</f>
        <v/>
      </c>
      <c r="BC118" t="str">
        <f t="shared" si="25"/>
        <v/>
      </c>
      <c r="BD118" t="str">
        <f t="shared" si="26"/>
        <v/>
      </c>
    </row>
    <row r="119" spans="10:56" x14ac:dyDescent="0.3">
      <c r="J119" s="10">
        <f>IF(G119="Y",'Tournament Setup'!$C$2,0)+IF(H119="Y",'Tournament Setup'!$C$3,0)+IF(I119="Y",'Tournament Setup'!$C$4,0)</f>
        <v>0</v>
      </c>
      <c r="K119" s="1"/>
      <c r="R119" t="str">
        <f>IF(ISBLANK($O119),"",IFERROR(INDEX('Squad Listing'!$C:$C,MATCH($O119,'Squad Listing'!$A:$A,0)),""))</f>
        <v/>
      </c>
      <c r="S119" t="str">
        <f>IF(ISBLANK($O119),"",IFERROR(INDEX('Squad Listing'!$D:$D,MATCH($O119,'Squad Listing'!$A:$A,0)),""))</f>
        <v/>
      </c>
      <c r="Y119" t="str">
        <f t="shared" si="21"/>
        <v/>
      </c>
      <c r="Z119" s="129" t="str">
        <f t="shared" si="22"/>
        <v/>
      </c>
      <c r="AL119" t="str">
        <f>IF(ISBLANK($O119),"",IFERROR(INDEX('Squad Listing'!$C:$C,MATCH($O119,'Squad Listing'!$A:$A,0)),""))</f>
        <v/>
      </c>
      <c r="AM119" t="str">
        <f>IF(ISBLANK($O119),"",IFERROR(INDEX('Squad Listing'!$D:$D,MATCH($O119,'Squad Listing'!$A:$A,0)),""))</f>
        <v/>
      </c>
      <c r="AP119" t="str">
        <f t="shared" si="23"/>
        <v/>
      </c>
      <c r="AQ119" t="str">
        <f t="shared" si="24"/>
        <v/>
      </c>
      <c r="AY119" t="str">
        <f>IF(ISBLANK($O119),"",IFERROR(INDEX('Squad Listing'!$C:$C,MATCH($O119,'Squad Listing'!$A:$A,0)),""))</f>
        <v/>
      </c>
      <c r="AZ119" t="str">
        <f>IF(ISBLANK($O119),"",IFERROR(INDEX('Squad Listing'!$D:$D,MATCH($O119,'Squad Listing'!$A:$A,0)),""))</f>
        <v/>
      </c>
      <c r="BC119" t="str">
        <f t="shared" si="25"/>
        <v/>
      </c>
      <c r="BD119" t="str">
        <f t="shared" si="26"/>
        <v/>
      </c>
    </row>
    <row r="120" spans="10:56" x14ac:dyDescent="0.3">
      <c r="J120" s="10">
        <f>IF(G120="Y",'Tournament Setup'!$C$2,0)+IF(H120="Y",'Tournament Setup'!$C$3,0)+IF(I120="Y",'Tournament Setup'!$C$4,0)</f>
        <v>0</v>
      </c>
      <c r="K120" s="1"/>
      <c r="R120" t="str">
        <f>IF(ISBLANK($O120),"",IFERROR(INDEX('Squad Listing'!$C:$C,MATCH($O120,'Squad Listing'!$A:$A,0)),""))</f>
        <v/>
      </c>
      <c r="S120" t="str">
        <f>IF(ISBLANK($O120),"",IFERROR(INDEX('Squad Listing'!$D:$D,MATCH($O120,'Squad Listing'!$A:$A,0)),""))</f>
        <v/>
      </c>
      <c r="Y120" t="str">
        <f t="shared" si="21"/>
        <v/>
      </c>
      <c r="Z120" s="129" t="str">
        <f t="shared" si="22"/>
        <v/>
      </c>
      <c r="AL120" t="str">
        <f>IF(ISBLANK($O120),"",IFERROR(INDEX('Squad Listing'!$C:$C,MATCH($O120,'Squad Listing'!$A:$A,0)),""))</f>
        <v/>
      </c>
      <c r="AM120" t="str">
        <f>IF(ISBLANK($O120),"",IFERROR(INDEX('Squad Listing'!$D:$D,MATCH($O120,'Squad Listing'!$A:$A,0)),""))</f>
        <v/>
      </c>
      <c r="AP120" t="str">
        <f t="shared" si="23"/>
        <v/>
      </c>
      <c r="AQ120" t="str">
        <f t="shared" si="24"/>
        <v/>
      </c>
      <c r="AY120" t="str">
        <f>IF(ISBLANK($O120),"",IFERROR(INDEX('Squad Listing'!$C:$C,MATCH($O120,'Squad Listing'!$A:$A,0)),""))</f>
        <v/>
      </c>
      <c r="AZ120" t="str">
        <f>IF(ISBLANK($O120),"",IFERROR(INDEX('Squad Listing'!$D:$D,MATCH($O120,'Squad Listing'!$A:$A,0)),""))</f>
        <v/>
      </c>
      <c r="BC120" t="str">
        <f t="shared" si="25"/>
        <v/>
      </c>
      <c r="BD120" t="str">
        <f t="shared" si="26"/>
        <v/>
      </c>
    </row>
    <row r="121" spans="10:56" x14ac:dyDescent="0.3">
      <c r="J121" s="10">
        <f>IF(G121="Y",'Tournament Setup'!$C$2,0)+IF(H121="Y",'Tournament Setup'!$C$3,0)+IF(I121="Y",'Tournament Setup'!$C$4,0)</f>
        <v>0</v>
      </c>
      <c r="K121" s="1"/>
      <c r="R121" t="str">
        <f>IF(ISBLANK($O121),"",IFERROR(INDEX('Squad Listing'!$C:$C,MATCH($O121,'Squad Listing'!$A:$A,0)),""))</f>
        <v/>
      </c>
      <c r="S121" t="str">
        <f>IF(ISBLANK($O121),"",IFERROR(INDEX('Squad Listing'!$D:$D,MATCH($O121,'Squad Listing'!$A:$A,0)),""))</f>
        <v/>
      </c>
      <c r="Y121" t="str">
        <f t="shared" si="21"/>
        <v/>
      </c>
      <c r="Z121" s="129" t="str">
        <f t="shared" si="22"/>
        <v/>
      </c>
      <c r="AL121" t="str">
        <f>IF(ISBLANK($O121),"",IFERROR(INDEX('Squad Listing'!$C:$C,MATCH($O121,'Squad Listing'!$A:$A,0)),""))</f>
        <v/>
      </c>
      <c r="AM121" t="str">
        <f>IF(ISBLANK($O121),"",IFERROR(INDEX('Squad Listing'!$D:$D,MATCH($O121,'Squad Listing'!$A:$A,0)),""))</f>
        <v/>
      </c>
      <c r="AP121" t="str">
        <f t="shared" si="23"/>
        <v/>
      </c>
      <c r="AQ121" t="str">
        <f t="shared" si="24"/>
        <v/>
      </c>
      <c r="AY121" t="str">
        <f>IF(ISBLANK($O121),"",IFERROR(INDEX('Squad Listing'!$C:$C,MATCH($O121,'Squad Listing'!$A:$A,0)),""))</f>
        <v/>
      </c>
      <c r="AZ121" t="str">
        <f>IF(ISBLANK($O121),"",IFERROR(INDEX('Squad Listing'!$D:$D,MATCH($O121,'Squad Listing'!$A:$A,0)),""))</f>
        <v/>
      </c>
      <c r="BC121" t="str">
        <f t="shared" si="25"/>
        <v/>
      </c>
      <c r="BD121" t="str">
        <f t="shared" si="26"/>
        <v/>
      </c>
    </row>
    <row r="122" spans="10:56" x14ac:dyDescent="0.3">
      <c r="J122" s="10">
        <f>IF(G122="Y",'Tournament Setup'!$C$2,0)+IF(H122="Y",'Tournament Setup'!$C$3,0)+IF(I122="Y",'Tournament Setup'!$C$4,0)</f>
        <v>0</v>
      </c>
      <c r="K122" s="1"/>
      <c r="R122" t="str">
        <f>IF(ISBLANK($O122),"",IFERROR(INDEX('Squad Listing'!$C:$C,MATCH($O122,'Squad Listing'!$A:$A,0)),""))</f>
        <v/>
      </c>
      <c r="S122" t="str">
        <f>IF(ISBLANK($O122),"",IFERROR(INDEX('Squad Listing'!$D:$D,MATCH($O122,'Squad Listing'!$A:$A,0)),""))</f>
        <v/>
      </c>
      <c r="Y122" t="str">
        <f t="shared" si="21"/>
        <v/>
      </c>
      <c r="Z122" s="129" t="str">
        <f t="shared" si="22"/>
        <v/>
      </c>
      <c r="AL122" t="str">
        <f>IF(ISBLANK($O122),"",IFERROR(INDEX('Squad Listing'!$C:$C,MATCH($O122,'Squad Listing'!$A:$A,0)),""))</f>
        <v/>
      </c>
      <c r="AM122" t="str">
        <f>IF(ISBLANK($O122),"",IFERROR(INDEX('Squad Listing'!$D:$D,MATCH($O122,'Squad Listing'!$A:$A,0)),""))</f>
        <v/>
      </c>
      <c r="AP122" t="str">
        <f t="shared" si="23"/>
        <v/>
      </c>
      <c r="AQ122" t="str">
        <f t="shared" si="24"/>
        <v/>
      </c>
      <c r="AY122" t="str">
        <f>IF(ISBLANK($O122),"",IFERROR(INDEX('Squad Listing'!$C:$C,MATCH($O122,'Squad Listing'!$A:$A,0)),""))</f>
        <v/>
      </c>
      <c r="AZ122" t="str">
        <f>IF(ISBLANK($O122),"",IFERROR(INDEX('Squad Listing'!$D:$D,MATCH($O122,'Squad Listing'!$A:$A,0)),""))</f>
        <v/>
      </c>
      <c r="BC122" t="str">
        <f t="shared" si="25"/>
        <v/>
      </c>
      <c r="BD122" t="str">
        <f t="shared" si="26"/>
        <v/>
      </c>
    </row>
    <row r="123" spans="10:56" x14ac:dyDescent="0.3">
      <c r="J123" s="10">
        <f>IF(G123="Y",'Tournament Setup'!$C$2,0)+IF(H123="Y",'Tournament Setup'!$C$3,0)+IF(I123="Y",'Tournament Setup'!$C$4,0)</f>
        <v>0</v>
      </c>
      <c r="K123" s="1"/>
      <c r="R123" t="str">
        <f>IF(ISBLANK($O123),"",IFERROR(INDEX('Squad Listing'!$C:$C,MATCH($O123,'Squad Listing'!$A:$A,0)),""))</f>
        <v/>
      </c>
      <c r="S123" t="str">
        <f>IF(ISBLANK($O123),"",IFERROR(INDEX('Squad Listing'!$D:$D,MATCH($O123,'Squad Listing'!$A:$A,0)),""))</f>
        <v/>
      </c>
      <c r="Y123" t="str">
        <f t="shared" si="21"/>
        <v/>
      </c>
      <c r="Z123" s="129" t="str">
        <f t="shared" si="22"/>
        <v/>
      </c>
      <c r="AL123" t="str">
        <f>IF(ISBLANK($O123),"",IFERROR(INDEX('Squad Listing'!$C:$C,MATCH($O123,'Squad Listing'!$A:$A,0)),""))</f>
        <v/>
      </c>
      <c r="AM123" t="str">
        <f>IF(ISBLANK($O123),"",IFERROR(INDEX('Squad Listing'!$D:$D,MATCH($O123,'Squad Listing'!$A:$A,0)),""))</f>
        <v/>
      </c>
      <c r="AP123" t="str">
        <f t="shared" si="23"/>
        <v/>
      </c>
      <c r="AQ123" t="str">
        <f t="shared" si="24"/>
        <v/>
      </c>
      <c r="AY123" t="str">
        <f>IF(ISBLANK($O123),"",IFERROR(INDEX('Squad Listing'!$C:$C,MATCH($O123,'Squad Listing'!$A:$A,0)),""))</f>
        <v/>
      </c>
      <c r="AZ123" t="str">
        <f>IF(ISBLANK($O123),"",IFERROR(INDEX('Squad Listing'!$D:$D,MATCH($O123,'Squad Listing'!$A:$A,0)),""))</f>
        <v/>
      </c>
      <c r="BC123" t="str">
        <f t="shared" si="25"/>
        <v/>
      </c>
      <c r="BD123" t="str">
        <f t="shared" si="26"/>
        <v/>
      </c>
    </row>
    <row r="124" spans="10:56" x14ac:dyDescent="0.3">
      <c r="J124" s="10">
        <f>IF(G124="Y",'Tournament Setup'!$C$2,0)+IF(H124="Y",'Tournament Setup'!$C$3,0)+IF(I124="Y",'Tournament Setup'!$C$4,0)</f>
        <v>0</v>
      </c>
      <c r="K124" s="1"/>
      <c r="R124" t="str">
        <f>IF(ISBLANK($O124),"",IFERROR(INDEX('Squad Listing'!$C:$C,MATCH($O124,'Squad Listing'!$A:$A,0)),""))</f>
        <v/>
      </c>
      <c r="S124" t="str">
        <f>IF(ISBLANK($O124),"",IFERROR(INDEX('Squad Listing'!$D:$D,MATCH($O124,'Squad Listing'!$A:$A,0)),""))</f>
        <v/>
      </c>
      <c r="Y124" t="str">
        <f t="shared" si="21"/>
        <v/>
      </c>
      <c r="Z124" s="129" t="str">
        <f t="shared" si="22"/>
        <v/>
      </c>
      <c r="AL124" t="str">
        <f>IF(ISBLANK($O124),"",IFERROR(INDEX('Squad Listing'!$C:$C,MATCH($O124,'Squad Listing'!$A:$A,0)),""))</f>
        <v/>
      </c>
      <c r="AM124" t="str">
        <f>IF(ISBLANK($O124),"",IFERROR(INDEX('Squad Listing'!$D:$D,MATCH($O124,'Squad Listing'!$A:$A,0)),""))</f>
        <v/>
      </c>
      <c r="AP124" t="str">
        <f t="shared" si="23"/>
        <v/>
      </c>
      <c r="AQ124" t="str">
        <f t="shared" si="24"/>
        <v/>
      </c>
      <c r="AY124" t="str">
        <f>IF(ISBLANK($O124),"",IFERROR(INDEX('Squad Listing'!$C:$C,MATCH($O124,'Squad Listing'!$A:$A,0)),""))</f>
        <v/>
      </c>
      <c r="AZ124" t="str">
        <f>IF(ISBLANK($O124),"",IFERROR(INDEX('Squad Listing'!$D:$D,MATCH($O124,'Squad Listing'!$A:$A,0)),""))</f>
        <v/>
      </c>
      <c r="BC124" t="str">
        <f t="shared" si="25"/>
        <v/>
      </c>
      <c r="BD124" t="str">
        <f t="shared" si="26"/>
        <v/>
      </c>
    </row>
    <row r="125" spans="10:56" x14ac:dyDescent="0.3">
      <c r="J125" s="10">
        <f>IF(G125="Y",'Tournament Setup'!$C$2,0)+IF(H125="Y",'Tournament Setup'!$C$3,0)+IF(I125="Y",'Tournament Setup'!$C$4,0)</f>
        <v>0</v>
      </c>
      <c r="K125" s="1"/>
      <c r="R125" t="str">
        <f>IF(ISBLANK($O125),"",IFERROR(INDEX('Squad Listing'!$C:$C,MATCH($O125,'Squad Listing'!$A:$A,0)),""))</f>
        <v/>
      </c>
      <c r="S125" t="str">
        <f>IF(ISBLANK($O125),"",IFERROR(INDEX('Squad Listing'!$D:$D,MATCH($O125,'Squad Listing'!$A:$A,0)),""))</f>
        <v/>
      </c>
      <c r="Y125" t="str">
        <f t="shared" si="21"/>
        <v/>
      </c>
      <c r="Z125" s="129" t="str">
        <f t="shared" si="22"/>
        <v/>
      </c>
      <c r="AL125" t="str">
        <f>IF(ISBLANK($O125),"",IFERROR(INDEX('Squad Listing'!$C:$C,MATCH($O125,'Squad Listing'!$A:$A,0)),""))</f>
        <v/>
      </c>
      <c r="AM125" t="str">
        <f>IF(ISBLANK($O125),"",IFERROR(INDEX('Squad Listing'!$D:$D,MATCH($O125,'Squad Listing'!$A:$A,0)),""))</f>
        <v/>
      </c>
      <c r="AP125" t="str">
        <f t="shared" si="23"/>
        <v/>
      </c>
      <c r="AQ125" t="str">
        <f t="shared" si="24"/>
        <v/>
      </c>
      <c r="AY125" t="str">
        <f>IF(ISBLANK($O125),"",IFERROR(INDEX('Squad Listing'!$C:$C,MATCH($O125,'Squad Listing'!$A:$A,0)),""))</f>
        <v/>
      </c>
      <c r="AZ125" t="str">
        <f>IF(ISBLANK($O125),"",IFERROR(INDEX('Squad Listing'!$D:$D,MATCH($O125,'Squad Listing'!$A:$A,0)),""))</f>
        <v/>
      </c>
      <c r="BC125" t="str">
        <f t="shared" si="25"/>
        <v/>
      </c>
      <c r="BD125" t="str">
        <f t="shared" si="26"/>
        <v/>
      </c>
    </row>
    <row r="126" spans="10:56" x14ac:dyDescent="0.3">
      <c r="J126" s="10">
        <f>IF(G126="Y",'Tournament Setup'!$C$2,0)+IF(H126="Y",'Tournament Setup'!$C$3,0)+IF(I126="Y",'Tournament Setup'!$C$4,0)</f>
        <v>0</v>
      </c>
      <c r="K126" s="1"/>
      <c r="R126" t="str">
        <f>IF(ISBLANK($O126),"",IFERROR(INDEX('Squad Listing'!$C:$C,MATCH($O126,'Squad Listing'!$A:$A,0)),""))</f>
        <v/>
      </c>
      <c r="S126" t="str">
        <f>IF(ISBLANK($O126),"",IFERROR(INDEX('Squad Listing'!$D:$D,MATCH($O126,'Squad Listing'!$A:$A,0)),""))</f>
        <v/>
      </c>
      <c r="Y126" t="str">
        <f t="shared" si="21"/>
        <v/>
      </c>
      <c r="Z126" s="129" t="str">
        <f t="shared" si="22"/>
        <v/>
      </c>
      <c r="AL126" t="str">
        <f>IF(ISBLANK($O126),"",IFERROR(INDEX('Squad Listing'!$C:$C,MATCH($O126,'Squad Listing'!$A:$A,0)),""))</f>
        <v/>
      </c>
      <c r="AM126" t="str">
        <f>IF(ISBLANK($O126),"",IFERROR(INDEX('Squad Listing'!$D:$D,MATCH($O126,'Squad Listing'!$A:$A,0)),""))</f>
        <v/>
      </c>
      <c r="AP126" t="str">
        <f t="shared" si="23"/>
        <v/>
      </c>
      <c r="AQ126" t="str">
        <f t="shared" si="24"/>
        <v/>
      </c>
      <c r="AY126" t="str">
        <f>IF(ISBLANK($O126),"",IFERROR(INDEX('Squad Listing'!$C:$C,MATCH($O126,'Squad Listing'!$A:$A,0)),""))</f>
        <v/>
      </c>
      <c r="AZ126" t="str">
        <f>IF(ISBLANK($O126),"",IFERROR(INDEX('Squad Listing'!$D:$D,MATCH($O126,'Squad Listing'!$A:$A,0)),""))</f>
        <v/>
      </c>
      <c r="BC126" t="str">
        <f t="shared" si="25"/>
        <v/>
      </c>
      <c r="BD126" t="str">
        <f t="shared" si="26"/>
        <v/>
      </c>
    </row>
    <row r="127" spans="10:56" x14ac:dyDescent="0.3">
      <c r="J127" s="10">
        <f>IF(G127="Y",'Tournament Setup'!$C$2,0)+IF(H127="Y",'Tournament Setup'!$C$3,0)+IF(I127="Y",'Tournament Setup'!$C$4,0)</f>
        <v>0</v>
      </c>
      <c r="K127" s="1"/>
      <c r="R127" t="str">
        <f>IF(ISBLANK($O127),"",IFERROR(INDEX('Squad Listing'!$C:$C,MATCH($O127,'Squad Listing'!$A:$A,0)),""))</f>
        <v/>
      </c>
      <c r="S127" t="str">
        <f>IF(ISBLANK($O127),"",IFERROR(INDEX('Squad Listing'!$D:$D,MATCH($O127,'Squad Listing'!$A:$A,0)),""))</f>
        <v/>
      </c>
      <c r="Y127" t="str">
        <f t="shared" si="21"/>
        <v/>
      </c>
      <c r="Z127" s="129" t="str">
        <f t="shared" si="22"/>
        <v/>
      </c>
      <c r="AL127" t="str">
        <f>IF(ISBLANK($O127),"",IFERROR(INDEX('Squad Listing'!$C:$C,MATCH($O127,'Squad Listing'!$A:$A,0)),""))</f>
        <v/>
      </c>
      <c r="AM127" t="str">
        <f>IF(ISBLANK($O127),"",IFERROR(INDEX('Squad Listing'!$D:$D,MATCH($O127,'Squad Listing'!$A:$A,0)),""))</f>
        <v/>
      </c>
      <c r="AP127" t="str">
        <f t="shared" si="23"/>
        <v/>
      </c>
      <c r="AQ127" t="str">
        <f t="shared" si="24"/>
        <v/>
      </c>
      <c r="AY127" t="str">
        <f>IF(ISBLANK($O127),"",IFERROR(INDEX('Squad Listing'!$C:$C,MATCH($O127,'Squad Listing'!$A:$A,0)),""))</f>
        <v/>
      </c>
      <c r="AZ127" t="str">
        <f>IF(ISBLANK($O127),"",IFERROR(INDEX('Squad Listing'!$D:$D,MATCH($O127,'Squad Listing'!$A:$A,0)),""))</f>
        <v/>
      </c>
      <c r="BC127" t="str">
        <f t="shared" si="25"/>
        <v/>
      </c>
      <c r="BD127" t="str">
        <f t="shared" si="26"/>
        <v/>
      </c>
    </row>
    <row r="128" spans="10:56" x14ac:dyDescent="0.3">
      <c r="J128" s="10">
        <f>IF(G128="Y",'Tournament Setup'!$C$2,0)+IF(H128="Y",'Tournament Setup'!$C$3,0)+IF(I128="Y",'Tournament Setup'!$C$4,0)</f>
        <v>0</v>
      </c>
      <c r="K128" s="1"/>
      <c r="R128" t="str">
        <f>IF(ISBLANK($O128),"",IFERROR(INDEX('Squad Listing'!$C:$C,MATCH($O128,'Squad Listing'!$A:$A,0)),""))</f>
        <v/>
      </c>
      <c r="S128" t="str">
        <f>IF(ISBLANK($O128),"",IFERROR(INDEX('Squad Listing'!$D:$D,MATCH($O128,'Squad Listing'!$A:$A,0)),""))</f>
        <v/>
      </c>
      <c r="Y128" t="str">
        <f t="shared" si="21"/>
        <v/>
      </c>
      <c r="Z128" s="129" t="str">
        <f t="shared" si="22"/>
        <v/>
      </c>
      <c r="AL128" t="str">
        <f>IF(ISBLANK($O128),"",IFERROR(INDEX('Squad Listing'!$C:$C,MATCH($O128,'Squad Listing'!$A:$A,0)),""))</f>
        <v/>
      </c>
      <c r="AM128" t="str">
        <f>IF(ISBLANK($O128),"",IFERROR(INDEX('Squad Listing'!$D:$D,MATCH($O128,'Squad Listing'!$A:$A,0)),""))</f>
        <v/>
      </c>
      <c r="AP128" t="str">
        <f t="shared" si="23"/>
        <v/>
      </c>
      <c r="AQ128" t="str">
        <f t="shared" si="24"/>
        <v/>
      </c>
      <c r="AY128" t="str">
        <f>IF(ISBLANK($O128),"",IFERROR(INDEX('Squad Listing'!$C:$C,MATCH($O128,'Squad Listing'!$A:$A,0)),""))</f>
        <v/>
      </c>
      <c r="AZ128" t="str">
        <f>IF(ISBLANK($O128),"",IFERROR(INDEX('Squad Listing'!$D:$D,MATCH($O128,'Squad Listing'!$A:$A,0)),""))</f>
        <v/>
      </c>
      <c r="BC128" t="str">
        <f t="shared" si="25"/>
        <v/>
      </c>
      <c r="BD128" t="str">
        <f t="shared" si="26"/>
        <v/>
      </c>
    </row>
    <row r="129" spans="10:56" x14ac:dyDescent="0.3">
      <c r="J129" s="10">
        <f>IF(G129="Y",'Tournament Setup'!$C$2,0)+IF(H129="Y",'Tournament Setup'!$C$3,0)+IF(I129="Y",'Tournament Setup'!$C$4,0)</f>
        <v>0</v>
      </c>
      <c r="K129" s="1"/>
      <c r="R129" t="str">
        <f>IF(ISBLANK($O129),"",IFERROR(INDEX('Squad Listing'!$C:$C,MATCH($O129,'Squad Listing'!$A:$A,0)),""))</f>
        <v/>
      </c>
      <c r="S129" t="str">
        <f>IF(ISBLANK($O129),"",IFERROR(INDEX('Squad Listing'!$D:$D,MATCH($O129,'Squad Listing'!$A:$A,0)),""))</f>
        <v/>
      </c>
      <c r="Y129" t="str">
        <f t="shared" si="21"/>
        <v/>
      </c>
      <c r="Z129" s="129" t="str">
        <f t="shared" si="22"/>
        <v/>
      </c>
      <c r="AL129" t="str">
        <f>IF(ISBLANK($O129),"",IFERROR(INDEX('Squad Listing'!$C:$C,MATCH($O129,'Squad Listing'!$A:$A,0)),""))</f>
        <v/>
      </c>
      <c r="AM129" t="str">
        <f>IF(ISBLANK($O129),"",IFERROR(INDEX('Squad Listing'!$D:$D,MATCH($O129,'Squad Listing'!$A:$A,0)),""))</f>
        <v/>
      </c>
      <c r="AP129" t="str">
        <f t="shared" si="23"/>
        <v/>
      </c>
      <c r="AQ129" t="str">
        <f t="shared" si="24"/>
        <v/>
      </c>
      <c r="AY129" t="str">
        <f>IF(ISBLANK($O129),"",IFERROR(INDEX('Squad Listing'!$C:$C,MATCH($O129,'Squad Listing'!$A:$A,0)),""))</f>
        <v/>
      </c>
      <c r="AZ129" t="str">
        <f>IF(ISBLANK($O129),"",IFERROR(INDEX('Squad Listing'!$D:$D,MATCH($O129,'Squad Listing'!$A:$A,0)),""))</f>
        <v/>
      </c>
      <c r="BC129" t="str">
        <f t="shared" si="25"/>
        <v/>
      </c>
      <c r="BD129" t="str">
        <f t="shared" si="26"/>
        <v/>
      </c>
    </row>
    <row r="130" spans="10:56" x14ac:dyDescent="0.3">
      <c r="J130" s="10">
        <f>IF(G130="Y",'Tournament Setup'!$C$2,0)+IF(H130="Y",'Tournament Setup'!$C$3,0)+IF(I130="Y",'Tournament Setup'!$C$4,0)</f>
        <v>0</v>
      </c>
      <c r="K130" s="1"/>
      <c r="R130" t="str">
        <f>IF(ISBLANK($O130),"",IFERROR(INDEX('Squad Listing'!$C:$C,MATCH($O130,'Squad Listing'!$A:$A,0)),""))</f>
        <v/>
      </c>
      <c r="S130" t="str">
        <f>IF(ISBLANK($O130),"",IFERROR(INDEX('Squad Listing'!$D:$D,MATCH($O130,'Squad Listing'!$A:$A,0)),""))</f>
        <v/>
      </c>
      <c r="Y130" t="str">
        <f t="shared" si="21"/>
        <v/>
      </c>
      <c r="Z130" s="129" t="str">
        <f t="shared" si="22"/>
        <v/>
      </c>
      <c r="AL130" t="str">
        <f>IF(ISBLANK($O130),"",IFERROR(INDEX('Squad Listing'!$C:$C,MATCH($O130,'Squad Listing'!$A:$A,0)),""))</f>
        <v/>
      </c>
      <c r="AM130" t="str">
        <f>IF(ISBLANK($O130),"",IFERROR(INDEX('Squad Listing'!$D:$D,MATCH($O130,'Squad Listing'!$A:$A,0)),""))</f>
        <v/>
      </c>
      <c r="AP130" t="str">
        <f t="shared" si="23"/>
        <v/>
      </c>
      <c r="AQ130" t="str">
        <f t="shared" si="24"/>
        <v/>
      </c>
      <c r="AY130" t="str">
        <f>IF(ISBLANK($O130),"",IFERROR(INDEX('Squad Listing'!$C:$C,MATCH($O130,'Squad Listing'!$A:$A,0)),""))</f>
        <v/>
      </c>
      <c r="AZ130" t="str">
        <f>IF(ISBLANK($O130),"",IFERROR(INDEX('Squad Listing'!$D:$D,MATCH($O130,'Squad Listing'!$A:$A,0)),""))</f>
        <v/>
      </c>
      <c r="BC130" t="str">
        <f t="shared" si="25"/>
        <v/>
      </c>
      <c r="BD130" t="str">
        <f t="shared" si="26"/>
        <v/>
      </c>
    </row>
    <row r="131" spans="10:56" x14ac:dyDescent="0.3">
      <c r="J131" s="10">
        <f>IF(G131="Y",'Tournament Setup'!$C$2,0)+IF(H131="Y",'Tournament Setup'!$C$3,0)+IF(I131="Y",'Tournament Setup'!$C$4,0)</f>
        <v>0</v>
      </c>
      <c r="K131" s="1"/>
      <c r="R131" t="str">
        <f>IF(ISBLANK($O131),"",IFERROR(INDEX('Squad Listing'!$C:$C,MATCH($O131,'Squad Listing'!$A:$A,0)),""))</f>
        <v/>
      </c>
      <c r="S131" t="str">
        <f>IF(ISBLANK($O131),"",IFERROR(INDEX('Squad Listing'!$D:$D,MATCH($O131,'Squad Listing'!$A:$A,0)),""))</f>
        <v/>
      </c>
      <c r="Y131" t="str">
        <f t="shared" si="21"/>
        <v/>
      </c>
      <c r="Z131" s="129" t="str">
        <f t="shared" si="22"/>
        <v/>
      </c>
      <c r="AL131" t="str">
        <f>IF(ISBLANK($O131),"",IFERROR(INDEX('Squad Listing'!$C:$C,MATCH($O131,'Squad Listing'!$A:$A,0)),""))</f>
        <v/>
      </c>
      <c r="AM131" t="str">
        <f>IF(ISBLANK($O131),"",IFERROR(INDEX('Squad Listing'!$D:$D,MATCH($O131,'Squad Listing'!$A:$A,0)),""))</f>
        <v/>
      </c>
      <c r="AP131" t="str">
        <f t="shared" si="23"/>
        <v/>
      </c>
      <c r="AQ131" t="str">
        <f t="shared" si="24"/>
        <v/>
      </c>
      <c r="AY131" t="str">
        <f>IF(ISBLANK($O131),"",IFERROR(INDEX('Squad Listing'!$C:$C,MATCH($O131,'Squad Listing'!$A:$A,0)),""))</f>
        <v/>
      </c>
      <c r="AZ131" t="str">
        <f>IF(ISBLANK($O131),"",IFERROR(INDEX('Squad Listing'!$D:$D,MATCH($O131,'Squad Listing'!$A:$A,0)),""))</f>
        <v/>
      </c>
      <c r="BC131" t="str">
        <f t="shared" si="25"/>
        <v/>
      </c>
      <c r="BD131" t="str">
        <f t="shared" si="26"/>
        <v/>
      </c>
    </row>
    <row r="132" spans="10:56" x14ac:dyDescent="0.3">
      <c r="J132" s="10">
        <f>IF(G132="Y",'Tournament Setup'!$C$2,0)+IF(H132="Y",'Tournament Setup'!$C$3,0)+IF(I132="Y",'Tournament Setup'!$C$4,0)</f>
        <v>0</v>
      </c>
      <c r="K132" s="1"/>
      <c r="R132" t="str">
        <f>IF(ISBLANK($O132),"",IFERROR(INDEX('Squad Listing'!$C:$C,MATCH($O132,'Squad Listing'!$A:$A,0)),""))</f>
        <v/>
      </c>
      <c r="S132" t="str">
        <f>IF(ISBLANK($O132),"",IFERROR(INDEX('Squad Listing'!$D:$D,MATCH($O132,'Squad Listing'!$A:$A,0)),""))</f>
        <v/>
      </c>
      <c r="Y132" t="str">
        <f t="shared" si="21"/>
        <v/>
      </c>
      <c r="Z132" s="129" t="str">
        <f t="shared" si="22"/>
        <v/>
      </c>
      <c r="AL132" t="str">
        <f>IF(ISBLANK($O132),"",IFERROR(INDEX('Squad Listing'!$C:$C,MATCH($O132,'Squad Listing'!$A:$A,0)),""))</f>
        <v/>
      </c>
      <c r="AM132" t="str">
        <f>IF(ISBLANK($O132),"",IFERROR(INDEX('Squad Listing'!$D:$D,MATCH($O132,'Squad Listing'!$A:$A,0)),""))</f>
        <v/>
      </c>
      <c r="AP132" t="str">
        <f t="shared" si="23"/>
        <v/>
      </c>
      <c r="AQ132" t="str">
        <f t="shared" si="24"/>
        <v/>
      </c>
      <c r="AY132" t="str">
        <f>IF(ISBLANK($O132),"",IFERROR(INDEX('Squad Listing'!$C:$C,MATCH($O132,'Squad Listing'!$A:$A,0)),""))</f>
        <v/>
      </c>
      <c r="AZ132" t="str">
        <f>IF(ISBLANK($O132),"",IFERROR(INDEX('Squad Listing'!$D:$D,MATCH($O132,'Squad Listing'!$A:$A,0)),""))</f>
        <v/>
      </c>
      <c r="BC132" t="str">
        <f t="shared" si="25"/>
        <v/>
      </c>
      <c r="BD132" t="str">
        <f t="shared" si="26"/>
        <v/>
      </c>
    </row>
    <row r="133" spans="10:56" x14ac:dyDescent="0.3">
      <c r="J133" s="10">
        <f>IF(G133="Y",'Tournament Setup'!$C$2,0)+IF(H133="Y",'Tournament Setup'!$C$3,0)+IF(I133="Y",'Tournament Setup'!$C$4,0)</f>
        <v>0</v>
      </c>
      <c r="K133" s="1"/>
      <c r="R133" t="str">
        <f>IF(ISBLANK($O133),"",IFERROR(INDEX('Squad Listing'!$C:$C,MATCH($O133,'Squad Listing'!$A:$A,0)),""))</f>
        <v/>
      </c>
      <c r="S133" t="str">
        <f>IF(ISBLANK($O133),"",IFERROR(INDEX('Squad Listing'!$D:$D,MATCH($O133,'Squad Listing'!$A:$A,0)),""))</f>
        <v/>
      </c>
      <c r="Y133" t="str">
        <f t="shared" si="21"/>
        <v/>
      </c>
      <c r="Z133" s="129" t="str">
        <f t="shared" si="22"/>
        <v/>
      </c>
      <c r="AL133" t="str">
        <f>IF(ISBLANK($O133),"",IFERROR(INDEX('Squad Listing'!$C:$C,MATCH($O133,'Squad Listing'!$A:$A,0)),""))</f>
        <v/>
      </c>
      <c r="AM133" t="str">
        <f>IF(ISBLANK($O133),"",IFERROR(INDEX('Squad Listing'!$D:$D,MATCH($O133,'Squad Listing'!$A:$A,0)),""))</f>
        <v/>
      </c>
      <c r="AP133" t="str">
        <f t="shared" si="23"/>
        <v/>
      </c>
      <c r="AQ133" t="str">
        <f t="shared" si="24"/>
        <v/>
      </c>
      <c r="AY133" t="str">
        <f>IF(ISBLANK($O133),"",IFERROR(INDEX('Squad Listing'!$C:$C,MATCH($O133,'Squad Listing'!$A:$A,0)),""))</f>
        <v/>
      </c>
      <c r="AZ133" t="str">
        <f>IF(ISBLANK($O133),"",IFERROR(INDEX('Squad Listing'!$D:$D,MATCH($O133,'Squad Listing'!$A:$A,0)),""))</f>
        <v/>
      </c>
      <c r="BC133" t="str">
        <f t="shared" si="25"/>
        <v/>
      </c>
      <c r="BD133" t="str">
        <f t="shared" si="26"/>
        <v/>
      </c>
    </row>
    <row r="134" spans="10:56" x14ac:dyDescent="0.3">
      <c r="J134" s="10">
        <f>IF(G134="Y",'Tournament Setup'!$C$2,0)+IF(H134="Y",'Tournament Setup'!$C$3,0)+IF(I134="Y",'Tournament Setup'!$C$4,0)</f>
        <v>0</v>
      </c>
      <c r="K134" s="1"/>
      <c r="R134" t="str">
        <f>IF(ISBLANK($O134),"",IFERROR(INDEX('Squad Listing'!$C:$C,MATCH($O134,'Squad Listing'!$A:$A,0)),""))</f>
        <v/>
      </c>
      <c r="S134" t="str">
        <f>IF(ISBLANK($O134),"",IFERROR(INDEX('Squad Listing'!$D:$D,MATCH($O134,'Squad Listing'!$A:$A,0)),""))</f>
        <v/>
      </c>
      <c r="Y134" t="str">
        <f t="shared" si="21"/>
        <v/>
      </c>
      <c r="Z134" s="129" t="str">
        <f t="shared" si="22"/>
        <v/>
      </c>
      <c r="AL134" t="str">
        <f>IF(ISBLANK($O134),"",IFERROR(INDEX('Squad Listing'!$C:$C,MATCH($O134,'Squad Listing'!$A:$A,0)),""))</f>
        <v/>
      </c>
      <c r="AM134" t="str">
        <f>IF(ISBLANK($O134),"",IFERROR(INDEX('Squad Listing'!$D:$D,MATCH($O134,'Squad Listing'!$A:$A,0)),""))</f>
        <v/>
      </c>
      <c r="AP134" t="str">
        <f t="shared" si="23"/>
        <v/>
      </c>
      <c r="AQ134" t="str">
        <f t="shared" si="24"/>
        <v/>
      </c>
      <c r="AY134" t="str">
        <f>IF(ISBLANK($O134),"",IFERROR(INDEX('Squad Listing'!$C:$C,MATCH($O134,'Squad Listing'!$A:$A,0)),""))</f>
        <v/>
      </c>
      <c r="AZ134" t="str">
        <f>IF(ISBLANK($O134),"",IFERROR(INDEX('Squad Listing'!$D:$D,MATCH($O134,'Squad Listing'!$A:$A,0)),""))</f>
        <v/>
      </c>
      <c r="BC134" t="str">
        <f t="shared" si="25"/>
        <v/>
      </c>
      <c r="BD134" t="str">
        <f t="shared" si="26"/>
        <v/>
      </c>
    </row>
    <row r="135" spans="10:56" x14ac:dyDescent="0.3">
      <c r="J135" s="10">
        <f>IF(G135="Y",'Tournament Setup'!$C$2,0)+IF(H135="Y",'Tournament Setup'!$C$3,0)+IF(I135="Y",'Tournament Setup'!$C$4,0)</f>
        <v>0</v>
      </c>
      <c r="K135" s="1"/>
      <c r="R135" t="str">
        <f>IF(ISBLANK($O135),"",IFERROR(INDEX('Squad Listing'!$C:$C,MATCH($O135,'Squad Listing'!$A:$A,0)),""))</f>
        <v/>
      </c>
      <c r="S135" t="str">
        <f>IF(ISBLANK($O135),"",IFERROR(INDEX('Squad Listing'!$D:$D,MATCH($O135,'Squad Listing'!$A:$A,0)),""))</f>
        <v/>
      </c>
      <c r="Y135" t="str">
        <f t="shared" si="21"/>
        <v/>
      </c>
      <c r="Z135" s="129" t="str">
        <f t="shared" si="22"/>
        <v/>
      </c>
      <c r="AL135" t="str">
        <f>IF(ISBLANK($O135),"",IFERROR(INDEX('Squad Listing'!$C:$C,MATCH($O135,'Squad Listing'!$A:$A,0)),""))</f>
        <v/>
      </c>
      <c r="AM135" t="str">
        <f>IF(ISBLANK($O135),"",IFERROR(INDEX('Squad Listing'!$D:$D,MATCH($O135,'Squad Listing'!$A:$A,0)),""))</f>
        <v/>
      </c>
      <c r="AP135" t="str">
        <f t="shared" si="23"/>
        <v/>
      </c>
      <c r="AQ135" t="str">
        <f t="shared" si="24"/>
        <v/>
      </c>
      <c r="AY135" t="str">
        <f>IF(ISBLANK($O135),"",IFERROR(INDEX('Squad Listing'!$C:$C,MATCH($O135,'Squad Listing'!$A:$A,0)),""))</f>
        <v/>
      </c>
      <c r="AZ135" t="str">
        <f>IF(ISBLANK($O135),"",IFERROR(INDEX('Squad Listing'!$D:$D,MATCH($O135,'Squad Listing'!$A:$A,0)),""))</f>
        <v/>
      </c>
      <c r="BC135" t="str">
        <f t="shared" si="25"/>
        <v/>
      </c>
      <c r="BD135" t="str">
        <f t="shared" si="26"/>
        <v/>
      </c>
    </row>
    <row r="136" spans="10:56" x14ac:dyDescent="0.3">
      <c r="J136" s="10">
        <f>IF(G136="Y",'Tournament Setup'!$C$2,0)+IF(H136="Y",'Tournament Setup'!$C$3,0)+IF(I136="Y",'Tournament Setup'!$C$4,0)</f>
        <v>0</v>
      </c>
      <c r="K136" s="1"/>
      <c r="R136" t="str">
        <f>IF(ISBLANK($O136),"",IFERROR(INDEX('Squad Listing'!$C:$C,MATCH($O136,'Squad Listing'!$A:$A,0)),""))</f>
        <v/>
      </c>
      <c r="S136" t="str">
        <f>IF(ISBLANK($O136),"",IFERROR(INDEX('Squad Listing'!$D:$D,MATCH($O136,'Squad Listing'!$A:$A,0)),""))</f>
        <v/>
      </c>
      <c r="Y136" t="str">
        <f t="shared" si="21"/>
        <v/>
      </c>
      <c r="Z136" s="129" t="str">
        <f t="shared" si="22"/>
        <v/>
      </c>
      <c r="AL136" t="str">
        <f>IF(ISBLANK($O136),"",IFERROR(INDEX('Squad Listing'!$C:$C,MATCH($O136,'Squad Listing'!$A:$A,0)),""))</f>
        <v/>
      </c>
      <c r="AM136" t="str">
        <f>IF(ISBLANK($O136),"",IFERROR(INDEX('Squad Listing'!$D:$D,MATCH($O136,'Squad Listing'!$A:$A,0)),""))</f>
        <v/>
      </c>
      <c r="AP136" t="str">
        <f t="shared" si="23"/>
        <v/>
      </c>
      <c r="AQ136" t="str">
        <f t="shared" si="24"/>
        <v/>
      </c>
      <c r="AY136" t="str">
        <f>IF(ISBLANK($O136),"",IFERROR(INDEX('Squad Listing'!$C:$C,MATCH($O136,'Squad Listing'!$A:$A,0)),""))</f>
        <v/>
      </c>
      <c r="AZ136" t="str">
        <f>IF(ISBLANK($O136),"",IFERROR(INDEX('Squad Listing'!$D:$D,MATCH($O136,'Squad Listing'!$A:$A,0)),""))</f>
        <v/>
      </c>
      <c r="BC136" t="str">
        <f t="shared" si="25"/>
        <v/>
      </c>
      <c r="BD136" t="str">
        <f t="shared" si="26"/>
        <v/>
      </c>
    </row>
    <row r="137" spans="10:56" x14ac:dyDescent="0.3">
      <c r="J137" s="10">
        <f>IF(G137="Y",'Tournament Setup'!$C$2,0)+IF(H137="Y",'Tournament Setup'!$C$3,0)+IF(I137="Y",'Tournament Setup'!$C$4,0)</f>
        <v>0</v>
      </c>
      <c r="K137" s="1"/>
      <c r="R137" t="str">
        <f>IF(ISBLANK($O137),"",IFERROR(INDEX('Squad Listing'!$C:$C,MATCH($O137,'Squad Listing'!$A:$A,0)),""))</f>
        <v/>
      </c>
      <c r="S137" t="str">
        <f>IF(ISBLANK($O137),"",IFERROR(INDEX('Squad Listing'!$D:$D,MATCH($O137,'Squad Listing'!$A:$A,0)),""))</f>
        <v/>
      </c>
      <c r="Y137" t="str">
        <f t="shared" si="21"/>
        <v/>
      </c>
      <c r="Z137" s="129" t="str">
        <f t="shared" si="22"/>
        <v/>
      </c>
      <c r="AL137" t="str">
        <f>IF(ISBLANK($O137),"",IFERROR(INDEX('Squad Listing'!$C:$C,MATCH($O137,'Squad Listing'!$A:$A,0)),""))</f>
        <v/>
      </c>
      <c r="AM137" t="str">
        <f>IF(ISBLANK($O137),"",IFERROR(INDEX('Squad Listing'!$D:$D,MATCH($O137,'Squad Listing'!$A:$A,0)),""))</f>
        <v/>
      </c>
      <c r="AP137" t="str">
        <f t="shared" si="23"/>
        <v/>
      </c>
      <c r="AQ137" t="str">
        <f t="shared" si="24"/>
        <v/>
      </c>
      <c r="AY137" t="str">
        <f>IF(ISBLANK($O137),"",IFERROR(INDEX('Squad Listing'!$C:$C,MATCH($O137,'Squad Listing'!$A:$A,0)),""))</f>
        <v/>
      </c>
      <c r="AZ137" t="str">
        <f>IF(ISBLANK($O137),"",IFERROR(INDEX('Squad Listing'!$D:$D,MATCH($O137,'Squad Listing'!$A:$A,0)),""))</f>
        <v/>
      </c>
      <c r="BC137" t="str">
        <f t="shared" si="25"/>
        <v/>
      </c>
      <c r="BD137" t="str">
        <f t="shared" si="26"/>
        <v/>
      </c>
    </row>
    <row r="138" spans="10:56" x14ac:dyDescent="0.3">
      <c r="J138" s="10">
        <f>IF(G138="Y",'Tournament Setup'!$C$2,0)+IF(H138="Y",'Tournament Setup'!$C$3,0)+IF(I138="Y",'Tournament Setup'!$C$4,0)</f>
        <v>0</v>
      </c>
      <c r="K138" s="1"/>
      <c r="R138" t="str">
        <f>IF(ISBLANK($O138),"",IFERROR(INDEX('Squad Listing'!$C:$C,MATCH($O138,'Squad Listing'!$A:$A,0)),""))</f>
        <v/>
      </c>
      <c r="S138" t="str">
        <f>IF(ISBLANK($O138),"",IFERROR(INDEX('Squad Listing'!$D:$D,MATCH($O138,'Squad Listing'!$A:$A,0)),""))</f>
        <v/>
      </c>
      <c r="Y138" t="str">
        <f t="shared" si="21"/>
        <v/>
      </c>
      <c r="Z138" s="129" t="str">
        <f t="shared" si="22"/>
        <v/>
      </c>
      <c r="AL138" t="str">
        <f>IF(ISBLANK($O138),"",IFERROR(INDEX('Squad Listing'!$C:$C,MATCH($O138,'Squad Listing'!$A:$A,0)),""))</f>
        <v/>
      </c>
      <c r="AM138" t="str">
        <f>IF(ISBLANK($O138),"",IFERROR(INDEX('Squad Listing'!$D:$D,MATCH($O138,'Squad Listing'!$A:$A,0)),""))</f>
        <v/>
      </c>
      <c r="AP138" t="str">
        <f t="shared" si="23"/>
        <v/>
      </c>
      <c r="AQ138" t="str">
        <f t="shared" si="24"/>
        <v/>
      </c>
      <c r="AY138" t="str">
        <f>IF(ISBLANK($O138),"",IFERROR(INDEX('Squad Listing'!$C:$C,MATCH($O138,'Squad Listing'!$A:$A,0)),""))</f>
        <v/>
      </c>
      <c r="AZ138" t="str">
        <f>IF(ISBLANK($O138),"",IFERROR(INDEX('Squad Listing'!$D:$D,MATCH($O138,'Squad Listing'!$A:$A,0)),""))</f>
        <v/>
      </c>
      <c r="BC138" t="str">
        <f t="shared" si="25"/>
        <v/>
      </c>
      <c r="BD138" t="str">
        <f t="shared" si="26"/>
        <v/>
      </c>
    </row>
    <row r="139" spans="10:56" x14ac:dyDescent="0.3">
      <c r="J139" s="10">
        <f>IF(G139="Y",'Tournament Setup'!$C$2,0)+IF(H139="Y",'Tournament Setup'!$C$3,0)+IF(I139="Y",'Tournament Setup'!$C$4,0)</f>
        <v>0</v>
      </c>
      <c r="K139" s="1"/>
      <c r="R139" t="str">
        <f>IF(ISBLANK($O139),"",IFERROR(INDEX('Squad Listing'!$C:$C,MATCH($O139,'Squad Listing'!$A:$A,0)),""))</f>
        <v/>
      </c>
      <c r="S139" t="str">
        <f>IF(ISBLANK($O139),"",IFERROR(INDEX('Squad Listing'!$D:$D,MATCH($O139,'Squad Listing'!$A:$A,0)),""))</f>
        <v/>
      </c>
      <c r="Y139" t="str">
        <f t="shared" si="21"/>
        <v/>
      </c>
      <c r="Z139" s="129" t="str">
        <f t="shared" si="22"/>
        <v/>
      </c>
      <c r="AL139" t="str">
        <f>IF(ISBLANK($O139),"",IFERROR(INDEX('Squad Listing'!$C:$C,MATCH($O139,'Squad Listing'!$A:$A,0)),""))</f>
        <v/>
      </c>
      <c r="AM139" t="str">
        <f>IF(ISBLANK($O139),"",IFERROR(INDEX('Squad Listing'!$D:$D,MATCH($O139,'Squad Listing'!$A:$A,0)),""))</f>
        <v/>
      </c>
      <c r="AP139" t="str">
        <f t="shared" si="23"/>
        <v/>
      </c>
      <c r="AQ139" t="str">
        <f t="shared" si="24"/>
        <v/>
      </c>
      <c r="AY139" t="str">
        <f>IF(ISBLANK($O139),"",IFERROR(INDEX('Squad Listing'!$C:$C,MATCH($O139,'Squad Listing'!$A:$A,0)),""))</f>
        <v/>
      </c>
      <c r="AZ139" t="str">
        <f>IF(ISBLANK($O139),"",IFERROR(INDEX('Squad Listing'!$D:$D,MATCH($O139,'Squad Listing'!$A:$A,0)),""))</f>
        <v/>
      </c>
      <c r="BC139" t="str">
        <f t="shared" si="25"/>
        <v/>
      </c>
      <c r="BD139" t="str">
        <f t="shared" si="26"/>
        <v/>
      </c>
    </row>
    <row r="140" spans="10:56" x14ac:dyDescent="0.3">
      <c r="J140" s="10">
        <f>IF(G140="Y",'Tournament Setup'!$C$2,0)+IF(H140="Y",'Tournament Setup'!$C$3,0)+IF(I140="Y",'Tournament Setup'!$C$4,0)</f>
        <v>0</v>
      </c>
      <c r="K140" s="1"/>
      <c r="R140" t="str">
        <f>IF(ISBLANK($O140),"",IFERROR(INDEX('Squad Listing'!$C:$C,MATCH($O140,'Squad Listing'!$A:$A,0)),""))</f>
        <v/>
      </c>
      <c r="S140" t="str">
        <f>IF(ISBLANK($O140),"",IFERROR(INDEX('Squad Listing'!$D:$D,MATCH($O140,'Squad Listing'!$A:$A,0)),""))</f>
        <v/>
      </c>
      <c r="Y140" t="str">
        <f t="shared" si="21"/>
        <v/>
      </c>
      <c r="Z140" s="129" t="str">
        <f t="shared" si="22"/>
        <v/>
      </c>
      <c r="AL140" t="str">
        <f>IF(ISBLANK($O140),"",IFERROR(INDEX('Squad Listing'!$C:$C,MATCH($O140,'Squad Listing'!$A:$A,0)),""))</f>
        <v/>
      </c>
      <c r="AM140" t="str">
        <f>IF(ISBLANK($O140),"",IFERROR(INDEX('Squad Listing'!$D:$D,MATCH($O140,'Squad Listing'!$A:$A,0)),""))</f>
        <v/>
      </c>
      <c r="AP140" t="str">
        <f t="shared" si="23"/>
        <v/>
      </c>
      <c r="AQ140" t="str">
        <f t="shared" si="24"/>
        <v/>
      </c>
      <c r="AY140" t="str">
        <f>IF(ISBLANK($O140),"",IFERROR(INDEX('Squad Listing'!$C:$C,MATCH($O140,'Squad Listing'!$A:$A,0)),""))</f>
        <v/>
      </c>
      <c r="AZ140" t="str">
        <f>IF(ISBLANK($O140),"",IFERROR(INDEX('Squad Listing'!$D:$D,MATCH($O140,'Squad Listing'!$A:$A,0)),""))</f>
        <v/>
      </c>
      <c r="BC140" t="str">
        <f t="shared" si="25"/>
        <v/>
      </c>
      <c r="BD140" t="str">
        <f t="shared" si="26"/>
        <v/>
      </c>
    </row>
    <row r="141" spans="10:56" x14ac:dyDescent="0.3">
      <c r="J141" s="10">
        <f>IF(G141="Y",'Tournament Setup'!$C$2,0)+IF(H141="Y",'Tournament Setup'!$C$3,0)+IF(I141="Y",'Tournament Setup'!$C$4,0)</f>
        <v>0</v>
      </c>
      <c r="K141" s="1"/>
      <c r="R141" t="str">
        <f>IF(ISBLANK($O141),"",IFERROR(INDEX('Squad Listing'!$C:$C,MATCH($O141,'Squad Listing'!$A:$A,0)),""))</f>
        <v/>
      </c>
      <c r="S141" t="str">
        <f>IF(ISBLANK($O141),"",IFERROR(INDEX('Squad Listing'!$D:$D,MATCH($O141,'Squad Listing'!$A:$A,0)),""))</f>
        <v/>
      </c>
      <c r="Y141" t="str">
        <f t="shared" si="21"/>
        <v/>
      </c>
      <c r="Z141" s="129" t="str">
        <f t="shared" si="22"/>
        <v/>
      </c>
      <c r="AL141" t="str">
        <f>IF(ISBLANK($O141),"",IFERROR(INDEX('Squad Listing'!$C:$C,MATCH($O141,'Squad Listing'!$A:$A,0)),""))</f>
        <v/>
      </c>
      <c r="AM141" t="str">
        <f>IF(ISBLANK($O141),"",IFERROR(INDEX('Squad Listing'!$D:$D,MATCH($O141,'Squad Listing'!$A:$A,0)),""))</f>
        <v/>
      </c>
      <c r="AP141" t="str">
        <f t="shared" si="23"/>
        <v/>
      </c>
      <c r="AQ141" t="str">
        <f t="shared" si="24"/>
        <v/>
      </c>
      <c r="AY141" t="str">
        <f>IF(ISBLANK($O141),"",IFERROR(INDEX('Squad Listing'!$C:$C,MATCH($O141,'Squad Listing'!$A:$A,0)),""))</f>
        <v/>
      </c>
      <c r="AZ141" t="str">
        <f>IF(ISBLANK($O141),"",IFERROR(INDEX('Squad Listing'!$D:$D,MATCH($O141,'Squad Listing'!$A:$A,0)),""))</f>
        <v/>
      </c>
      <c r="BC141" t="str">
        <f t="shared" si="25"/>
        <v/>
      </c>
      <c r="BD141" t="str">
        <f t="shared" si="26"/>
        <v/>
      </c>
    </row>
    <row r="142" spans="10:56" x14ac:dyDescent="0.3">
      <c r="J142" s="10">
        <f>IF(G142="Y",'Tournament Setup'!$C$2,0)+IF(H142="Y",'Tournament Setup'!$C$3,0)+IF(I142="Y",'Tournament Setup'!$C$4,0)</f>
        <v>0</v>
      </c>
      <c r="K142" s="1"/>
      <c r="R142" t="str">
        <f>IF(ISBLANK($O142),"",IFERROR(INDEX('Squad Listing'!$C:$C,MATCH($O142,'Squad Listing'!$A:$A,0)),""))</f>
        <v/>
      </c>
      <c r="S142" t="str">
        <f>IF(ISBLANK($O142),"",IFERROR(INDEX('Squad Listing'!$D:$D,MATCH($O142,'Squad Listing'!$A:$A,0)),""))</f>
        <v/>
      </c>
      <c r="Y142" t="str">
        <f t="shared" si="21"/>
        <v/>
      </c>
      <c r="Z142" s="129" t="str">
        <f t="shared" si="22"/>
        <v/>
      </c>
      <c r="AL142" t="str">
        <f>IF(ISBLANK($O142),"",IFERROR(INDEX('Squad Listing'!$C:$C,MATCH($O142,'Squad Listing'!$A:$A,0)),""))</f>
        <v/>
      </c>
      <c r="AM142" t="str">
        <f>IF(ISBLANK($O142),"",IFERROR(INDEX('Squad Listing'!$D:$D,MATCH($O142,'Squad Listing'!$A:$A,0)),""))</f>
        <v/>
      </c>
      <c r="AP142" t="str">
        <f t="shared" si="23"/>
        <v/>
      </c>
      <c r="AQ142" t="str">
        <f t="shared" si="24"/>
        <v/>
      </c>
      <c r="AY142" t="str">
        <f>IF(ISBLANK($O142),"",IFERROR(INDEX('Squad Listing'!$C:$C,MATCH($O142,'Squad Listing'!$A:$A,0)),""))</f>
        <v/>
      </c>
      <c r="AZ142" t="str">
        <f>IF(ISBLANK($O142),"",IFERROR(INDEX('Squad Listing'!$D:$D,MATCH($O142,'Squad Listing'!$A:$A,0)),""))</f>
        <v/>
      </c>
      <c r="BC142" t="str">
        <f t="shared" si="25"/>
        <v/>
      </c>
      <c r="BD142" t="str">
        <f t="shared" si="26"/>
        <v/>
      </c>
    </row>
    <row r="143" spans="10:56" x14ac:dyDescent="0.3">
      <c r="J143" s="10">
        <f>IF(G143="Y",'Tournament Setup'!$C$2,0)+IF(H143="Y",'Tournament Setup'!$C$3,0)+IF(I143="Y",'Tournament Setup'!$C$4,0)</f>
        <v>0</v>
      </c>
      <c r="K143" s="1"/>
      <c r="R143" t="str">
        <f>IF(ISBLANK($O143),"",IFERROR(INDEX('Squad Listing'!$C:$C,MATCH($O143,'Squad Listing'!$A:$A,0)),""))</f>
        <v/>
      </c>
      <c r="S143" t="str">
        <f>IF(ISBLANK($O143),"",IFERROR(INDEX('Squad Listing'!$D:$D,MATCH($O143,'Squad Listing'!$A:$A,0)),""))</f>
        <v/>
      </c>
      <c r="Y143" t="str">
        <f t="shared" si="21"/>
        <v/>
      </c>
      <c r="Z143" s="129" t="str">
        <f t="shared" si="22"/>
        <v/>
      </c>
      <c r="AL143" t="str">
        <f>IF(ISBLANK($O143),"",IFERROR(INDEX('Squad Listing'!$C:$C,MATCH($O143,'Squad Listing'!$A:$A,0)),""))</f>
        <v/>
      </c>
      <c r="AM143" t="str">
        <f>IF(ISBLANK($O143),"",IFERROR(INDEX('Squad Listing'!$D:$D,MATCH($O143,'Squad Listing'!$A:$A,0)),""))</f>
        <v/>
      </c>
      <c r="AP143" t="str">
        <f t="shared" si="23"/>
        <v/>
      </c>
      <c r="AQ143" t="str">
        <f t="shared" si="24"/>
        <v/>
      </c>
      <c r="AY143" t="str">
        <f>IF(ISBLANK($O143),"",IFERROR(INDEX('Squad Listing'!$C:$C,MATCH($O143,'Squad Listing'!$A:$A,0)),""))</f>
        <v/>
      </c>
      <c r="AZ143" t="str">
        <f>IF(ISBLANK($O143),"",IFERROR(INDEX('Squad Listing'!$D:$D,MATCH($O143,'Squad Listing'!$A:$A,0)),""))</f>
        <v/>
      </c>
      <c r="BC143" t="str">
        <f t="shared" si="25"/>
        <v/>
      </c>
      <c r="BD143" t="str">
        <f t="shared" si="26"/>
        <v/>
      </c>
    </row>
    <row r="144" spans="10:56" x14ac:dyDescent="0.3">
      <c r="J144" s="10">
        <f>IF(G144="Y",'Tournament Setup'!$C$2,0)+IF(H144="Y",'Tournament Setup'!$C$3,0)+IF(I144="Y",'Tournament Setup'!$C$4,0)</f>
        <v>0</v>
      </c>
      <c r="K144" s="1"/>
      <c r="R144" t="str">
        <f>IF(ISBLANK($O144),"",IFERROR(INDEX('Squad Listing'!$C:$C,MATCH($O144,'Squad Listing'!$A:$A,0)),""))</f>
        <v/>
      </c>
      <c r="S144" t="str">
        <f>IF(ISBLANK($O144),"",IFERROR(INDEX('Squad Listing'!$D:$D,MATCH($O144,'Squad Listing'!$A:$A,0)),""))</f>
        <v/>
      </c>
      <c r="Y144" t="str">
        <f t="shared" si="21"/>
        <v/>
      </c>
      <c r="Z144" s="129" t="str">
        <f t="shared" si="22"/>
        <v/>
      </c>
      <c r="AL144" t="str">
        <f>IF(ISBLANK($O144),"",IFERROR(INDEX('Squad Listing'!$C:$C,MATCH($O144,'Squad Listing'!$A:$A,0)),""))</f>
        <v/>
      </c>
      <c r="AM144" t="str">
        <f>IF(ISBLANK($O144),"",IFERROR(INDEX('Squad Listing'!$D:$D,MATCH($O144,'Squad Listing'!$A:$A,0)),""))</f>
        <v/>
      </c>
      <c r="AP144" t="str">
        <f t="shared" si="23"/>
        <v/>
      </c>
      <c r="AQ144" t="str">
        <f t="shared" si="24"/>
        <v/>
      </c>
      <c r="AY144" t="str">
        <f>IF(ISBLANK($O144),"",IFERROR(INDEX('Squad Listing'!$C:$C,MATCH($O144,'Squad Listing'!$A:$A,0)),""))</f>
        <v/>
      </c>
      <c r="AZ144" t="str">
        <f>IF(ISBLANK($O144),"",IFERROR(INDEX('Squad Listing'!$D:$D,MATCH($O144,'Squad Listing'!$A:$A,0)),""))</f>
        <v/>
      </c>
      <c r="BC144" t="str">
        <f t="shared" si="25"/>
        <v/>
      </c>
      <c r="BD144" t="str">
        <f t="shared" si="26"/>
        <v/>
      </c>
    </row>
    <row r="145" spans="1:78" x14ac:dyDescent="0.3">
      <c r="J145" s="10">
        <f>IF(G145="Y",'Tournament Setup'!$C$2,0)+IF(H145="Y",'Tournament Setup'!$C$3,0)+IF(I145="Y",'Tournament Setup'!$C$4,0)</f>
        <v>0</v>
      </c>
      <c r="K145" s="1"/>
      <c r="R145" t="str">
        <f>IF(ISBLANK($O145),"",IFERROR(INDEX('Squad Listing'!$C:$C,MATCH($O145,'Squad Listing'!$A:$A,0)),""))</f>
        <v/>
      </c>
      <c r="S145" t="str">
        <f>IF(ISBLANK($O145),"",IFERROR(INDEX('Squad Listing'!$D:$D,MATCH($O145,'Squad Listing'!$A:$A,0)),""))</f>
        <v/>
      </c>
      <c r="Y145" t="str">
        <f t="shared" si="21"/>
        <v/>
      </c>
      <c r="Z145" s="129" t="str">
        <f t="shared" si="22"/>
        <v/>
      </c>
      <c r="AL145" t="str">
        <f>IF(ISBLANK($O145),"",IFERROR(INDEX('Squad Listing'!$C:$C,MATCH($O145,'Squad Listing'!$A:$A,0)),""))</f>
        <v/>
      </c>
      <c r="AM145" t="str">
        <f>IF(ISBLANK($O145),"",IFERROR(INDEX('Squad Listing'!$D:$D,MATCH($O145,'Squad Listing'!$A:$A,0)),""))</f>
        <v/>
      </c>
      <c r="AP145" t="str">
        <f t="shared" si="23"/>
        <v/>
      </c>
      <c r="AQ145" t="str">
        <f t="shared" si="24"/>
        <v/>
      </c>
      <c r="AY145" t="str">
        <f>IF(ISBLANK($O145),"",IFERROR(INDEX('Squad Listing'!$C:$C,MATCH($O145,'Squad Listing'!$A:$A,0)),""))</f>
        <v/>
      </c>
      <c r="AZ145" t="str">
        <f>IF(ISBLANK($O145),"",IFERROR(INDEX('Squad Listing'!$D:$D,MATCH($O145,'Squad Listing'!$A:$A,0)),""))</f>
        <v/>
      </c>
      <c r="BC145" t="str">
        <f t="shared" si="25"/>
        <v/>
      </c>
      <c r="BD145" t="str">
        <f t="shared" si="26"/>
        <v/>
      </c>
    </row>
    <row r="146" spans="1:78" x14ac:dyDescent="0.3">
      <c r="J146" s="10">
        <f>IF(G146="Y",'Tournament Setup'!$C$2,0)+IF(H146="Y",'Tournament Setup'!$C$3,0)+IF(I146="Y",'Tournament Setup'!$C$4,0)</f>
        <v>0</v>
      </c>
      <c r="K146" s="1"/>
      <c r="R146" t="str">
        <f>IF(ISBLANK($O146),"",IFERROR(INDEX('Squad Listing'!$C:$C,MATCH($O146,'Squad Listing'!$A:$A,0)),""))</f>
        <v/>
      </c>
      <c r="S146" t="str">
        <f>IF(ISBLANK($O146),"",IFERROR(INDEX('Squad Listing'!$D:$D,MATCH($O146,'Squad Listing'!$A:$A,0)),""))</f>
        <v/>
      </c>
      <c r="Y146" t="str">
        <f t="shared" si="21"/>
        <v/>
      </c>
      <c r="Z146" s="129" t="str">
        <f t="shared" si="22"/>
        <v/>
      </c>
      <c r="AL146" t="str">
        <f>IF(ISBLANK($O146),"",IFERROR(INDEX('Squad Listing'!$C:$C,MATCH($O146,'Squad Listing'!$A:$A,0)),""))</f>
        <v/>
      </c>
      <c r="AM146" t="str">
        <f>IF(ISBLANK($O146),"",IFERROR(INDEX('Squad Listing'!$D:$D,MATCH($O146,'Squad Listing'!$A:$A,0)),""))</f>
        <v/>
      </c>
      <c r="AP146" t="str">
        <f t="shared" si="23"/>
        <v/>
      </c>
      <c r="AQ146" t="str">
        <f t="shared" si="24"/>
        <v/>
      </c>
      <c r="AY146" t="str">
        <f>IF(ISBLANK($O146),"",IFERROR(INDEX('Squad Listing'!$C:$C,MATCH($O146,'Squad Listing'!$A:$A,0)),""))</f>
        <v/>
      </c>
      <c r="AZ146" t="str">
        <f>IF(ISBLANK($O146),"",IFERROR(INDEX('Squad Listing'!$D:$D,MATCH($O146,'Squad Listing'!$A:$A,0)),""))</f>
        <v/>
      </c>
      <c r="BC146" t="str">
        <f t="shared" si="25"/>
        <v/>
      </c>
      <c r="BD146" t="str">
        <f t="shared" si="26"/>
        <v/>
      </c>
    </row>
    <row r="147" spans="1:78" x14ac:dyDescent="0.3">
      <c r="J147" s="10">
        <f>IF(G147="Y",'Tournament Setup'!$C$2,0)+IF(H147="Y",'Tournament Setup'!$C$3,0)+IF(I147="Y",'Tournament Setup'!$C$4,0)</f>
        <v>0</v>
      </c>
      <c r="K147" s="1"/>
      <c r="R147" t="str">
        <f>IF(ISBLANK($O147),"",IFERROR(INDEX('Squad Listing'!$C:$C,MATCH($O147,'Squad Listing'!$A:$A,0)),""))</f>
        <v/>
      </c>
      <c r="S147" t="str">
        <f>IF(ISBLANK($O147),"",IFERROR(INDEX('Squad Listing'!$D:$D,MATCH($O147,'Squad Listing'!$A:$A,0)),""))</f>
        <v/>
      </c>
      <c r="Y147" t="str">
        <f t="shared" si="21"/>
        <v/>
      </c>
      <c r="Z147" s="129" t="str">
        <f t="shared" si="22"/>
        <v/>
      </c>
      <c r="AL147" t="str">
        <f>IF(ISBLANK($O147),"",IFERROR(INDEX('Squad Listing'!$C:$C,MATCH($O147,'Squad Listing'!$A:$A,0)),""))</f>
        <v/>
      </c>
      <c r="AM147" t="str">
        <f>IF(ISBLANK($O147),"",IFERROR(INDEX('Squad Listing'!$D:$D,MATCH($O147,'Squad Listing'!$A:$A,0)),""))</f>
        <v/>
      </c>
      <c r="AP147" t="str">
        <f t="shared" si="23"/>
        <v/>
      </c>
      <c r="AQ147" t="str">
        <f t="shared" si="24"/>
        <v/>
      </c>
      <c r="AY147" t="str">
        <f>IF(ISBLANK($O147),"",IFERROR(INDEX('Squad Listing'!$C:$C,MATCH($O147,'Squad Listing'!$A:$A,0)),""))</f>
        <v/>
      </c>
      <c r="AZ147" t="str">
        <f>IF(ISBLANK($O147),"",IFERROR(INDEX('Squad Listing'!$D:$D,MATCH($O147,'Squad Listing'!$A:$A,0)),""))</f>
        <v/>
      </c>
      <c r="BC147" t="str">
        <f t="shared" si="25"/>
        <v/>
      </c>
      <c r="BD147" t="str">
        <f t="shared" si="26"/>
        <v/>
      </c>
    </row>
    <row r="148" spans="1:78" x14ac:dyDescent="0.3">
      <c r="J148" s="10">
        <f>IF(G148="Y",'Tournament Setup'!$C$2,0)+IF(H148="Y",'Tournament Setup'!$C$3,0)+IF(I148="Y",'Tournament Setup'!$C$4,0)</f>
        <v>0</v>
      </c>
      <c r="K148" s="1"/>
      <c r="R148" t="str">
        <f>IF(ISBLANK($O148),"",IFERROR(INDEX('Squad Listing'!$C:$C,MATCH($O148,'Squad Listing'!$A:$A,0)),""))</f>
        <v/>
      </c>
      <c r="S148" t="str">
        <f>IF(ISBLANK($O148),"",IFERROR(INDEX('Squad Listing'!$D:$D,MATCH($O148,'Squad Listing'!$A:$A,0)),""))</f>
        <v/>
      </c>
      <c r="Y148" t="str">
        <f t="shared" ref="Y148:Y151" si="27">IF(_xlfn.NUMBERVALUE(Z148)&gt;0,_xlfn.RANK.EQ(Z148,$Z$3:$Z$250,0),"")</f>
        <v/>
      </c>
      <c r="Z148" s="129" t="str">
        <f t="shared" ref="Z148:Z151" si="28">IF(SUM(AB148:AE148)&gt;0,SUM(AA148:AE148),"")</f>
        <v/>
      </c>
      <c r="AL148" t="str">
        <f>IF(ISBLANK($O148),"",IFERROR(INDEX('Squad Listing'!$C:$C,MATCH($O148,'Squad Listing'!$A:$A,0)),""))</f>
        <v/>
      </c>
      <c r="AM148" t="str">
        <f>IF(ISBLANK($O148),"",IFERROR(INDEX('Squad Listing'!$D:$D,MATCH($O148,'Squad Listing'!$A:$A,0)),""))</f>
        <v/>
      </c>
      <c r="AP148" t="str">
        <f t="shared" ref="AP148:AP179" si="29">IF(_xlfn.NUMBERVALUE(AQ148)&gt;0,_xlfn.RANK.EQ(AQ148,$AQ$3:$AQ$250,0),"")</f>
        <v/>
      </c>
      <c r="AQ148" t="str">
        <f t="shared" ref="AQ148:AQ179" si="30">IF(SUM(AS148:AV148)&gt;0,SUM(AR148:AV148),"")</f>
        <v/>
      </c>
      <c r="AY148" t="str">
        <f>IF(ISBLANK($O148),"",IFERROR(INDEX('Squad Listing'!$C:$C,MATCH($O148,'Squad Listing'!$A:$A,0)),""))</f>
        <v/>
      </c>
      <c r="AZ148" t="str">
        <f>IF(ISBLANK($O148),"",IFERROR(INDEX('Squad Listing'!$D:$D,MATCH($O148,'Squad Listing'!$A:$A,0)),""))</f>
        <v/>
      </c>
      <c r="BC148" t="str">
        <f t="shared" ref="BC148:BC179" si="31">IF(_xlfn.NUMBERVALUE(BD148)&gt;0,_xlfn.RANK.EQ(BD148,$BD$3:$BD$250,0),"")</f>
        <v/>
      </c>
      <c r="BD148" t="str">
        <f t="shared" ref="BD148:BD179" si="32">IF(SUM(BF148:BY148)&gt;0,SUM(BE148:BY148),"")</f>
        <v/>
      </c>
    </row>
    <row r="149" spans="1:78" x14ac:dyDescent="0.3">
      <c r="J149" s="10">
        <f>IF(G149="Y",'Tournament Setup'!$C$2,0)+IF(H149="Y",'Tournament Setup'!$C$3,0)+IF(I149="Y",'Tournament Setup'!$C$4,0)</f>
        <v>0</v>
      </c>
      <c r="K149" s="1"/>
      <c r="R149" t="str">
        <f>IF(ISBLANK($O149),"",IFERROR(INDEX('Squad Listing'!$C:$C,MATCH($O149,'Squad Listing'!$A:$A,0)),""))</f>
        <v/>
      </c>
      <c r="S149" t="str">
        <f>IF(ISBLANK($O149),"",IFERROR(INDEX('Squad Listing'!$D:$D,MATCH($O149,'Squad Listing'!$A:$A,0)),""))</f>
        <v/>
      </c>
      <c r="Y149" t="str">
        <f t="shared" si="27"/>
        <v/>
      </c>
      <c r="Z149" s="129" t="str">
        <f t="shared" si="28"/>
        <v/>
      </c>
      <c r="AL149" t="str">
        <f>IF(ISBLANK($O149),"",IFERROR(INDEX('Squad Listing'!$C:$C,MATCH($O149,'Squad Listing'!$A:$A,0)),""))</f>
        <v/>
      </c>
      <c r="AM149" t="str">
        <f>IF(ISBLANK($O149),"",IFERROR(INDEX('Squad Listing'!$D:$D,MATCH($O149,'Squad Listing'!$A:$A,0)),""))</f>
        <v/>
      </c>
      <c r="AP149" t="str">
        <f t="shared" si="29"/>
        <v/>
      </c>
      <c r="AQ149" t="str">
        <f t="shared" si="30"/>
        <v/>
      </c>
      <c r="AY149" t="str">
        <f>IF(ISBLANK($O149),"",IFERROR(INDEX('Squad Listing'!$C:$C,MATCH($O149,'Squad Listing'!$A:$A,0)),""))</f>
        <v/>
      </c>
      <c r="AZ149" t="str">
        <f>IF(ISBLANK($O149),"",IFERROR(INDEX('Squad Listing'!$D:$D,MATCH($O149,'Squad Listing'!$A:$A,0)),""))</f>
        <v/>
      </c>
      <c r="BC149" t="str">
        <f t="shared" si="31"/>
        <v/>
      </c>
      <c r="BD149" t="str">
        <f t="shared" si="32"/>
        <v/>
      </c>
    </row>
    <row r="150" spans="1:78" x14ac:dyDescent="0.3">
      <c r="J150" s="10">
        <f>IF(G150="Y",'Tournament Setup'!$C$2,0)+IF(H150="Y",'Tournament Setup'!$C$3,0)+IF(I150="Y",'Tournament Setup'!$C$4,0)</f>
        <v>0</v>
      </c>
      <c r="K150" s="1"/>
      <c r="R150" t="str">
        <f>IF(ISBLANK($O150),"",IFERROR(INDEX('Squad Listing'!$C:$C,MATCH($O150,'Squad Listing'!$A:$A,0)),""))</f>
        <v/>
      </c>
      <c r="S150" t="str">
        <f>IF(ISBLANK($O150),"",IFERROR(INDEX('Squad Listing'!$D:$D,MATCH($O150,'Squad Listing'!$A:$A,0)),""))</f>
        <v/>
      </c>
      <c r="Y150" t="str">
        <f t="shared" si="27"/>
        <v/>
      </c>
      <c r="Z150" s="129" t="str">
        <f t="shared" si="28"/>
        <v/>
      </c>
      <c r="AL150" t="str">
        <f>IF(ISBLANK($O150),"",IFERROR(INDEX('Squad Listing'!$C:$C,MATCH($O150,'Squad Listing'!$A:$A,0)),""))</f>
        <v/>
      </c>
      <c r="AM150" t="str">
        <f>IF(ISBLANK($O150),"",IFERROR(INDEX('Squad Listing'!$D:$D,MATCH($O150,'Squad Listing'!$A:$A,0)),""))</f>
        <v/>
      </c>
      <c r="AP150" t="str">
        <f t="shared" si="29"/>
        <v/>
      </c>
      <c r="AQ150" t="str">
        <f t="shared" si="30"/>
        <v/>
      </c>
      <c r="AY150" t="str">
        <f>IF(ISBLANK($O150),"",IFERROR(INDEX('Squad Listing'!$C:$C,MATCH($O150,'Squad Listing'!$A:$A,0)),""))</f>
        <v/>
      </c>
      <c r="AZ150" t="str">
        <f>IF(ISBLANK($O150),"",IFERROR(INDEX('Squad Listing'!$D:$D,MATCH($O150,'Squad Listing'!$A:$A,0)),""))</f>
        <v/>
      </c>
      <c r="BC150" t="str">
        <f t="shared" si="31"/>
        <v/>
      </c>
      <c r="BD150" t="str">
        <f t="shared" si="32"/>
        <v/>
      </c>
    </row>
    <row r="151" spans="1:78" x14ac:dyDescent="0.3">
      <c r="J151" s="10">
        <f>IF(G151="Y",'Tournament Setup'!$C$2,0)+IF(H151="Y",'Tournament Setup'!$C$3,0)+IF(I151="Y",'Tournament Setup'!$C$4,0)</f>
        <v>0</v>
      </c>
      <c r="K151" s="1"/>
      <c r="R151" t="str">
        <f>IF(ISBLANK($O151),"",IFERROR(INDEX('Squad Listing'!$C:$C,MATCH($O151,'Squad Listing'!$A:$A,0)),""))</f>
        <v/>
      </c>
      <c r="S151" t="str">
        <f>IF(ISBLANK($O151),"",IFERROR(INDEX('Squad Listing'!$D:$D,MATCH($O151,'Squad Listing'!$A:$A,0)),""))</f>
        <v/>
      </c>
      <c r="Y151" t="str">
        <f t="shared" si="27"/>
        <v/>
      </c>
      <c r="Z151" s="129" t="str">
        <f t="shared" si="28"/>
        <v/>
      </c>
      <c r="AL151" t="str">
        <f>IF(ISBLANK($O151),"",IFERROR(INDEX('Squad Listing'!$C:$C,MATCH($O151,'Squad Listing'!$A:$A,0)),""))</f>
        <v/>
      </c>
      <c r="AM151" t="str">
        <f>IF(ISBLANK($O151),"",IFERROR(INDEX('Squad Listing'!$D:$D,MATCH($O151,'Squad Listing'!$A:$A,0)),""))</f>
        <v/>
      </c>
      <c r="AP151" t="str">
        <f t="shared" si="29"/>
        <v/>
      </c>
      <c r="AQ151" t="str">
        <f t="shared" si="30"/>
        <v/>
      </c>
      <c r="AY151" t="str">
        <f>IF(ISBLANK($O151),"",IFERROR(INDEX('Squad Listing'!$C:$C,MATCH($O151,'Squad Listing'!$A:$A,0)),""))</f>
        <v/>
      </c>
      <c r="AZ151" t="str">
        <f>IF(ISBLANK($O151),"",IFERROR(INDEX('Squad Listing'!$D:$D,MATCH($O151,'Squad Listing'!$A:$A,0)),""))</f>
        <v/>
      </c>
      <c r="BC151" t="str">
        <f t="shared" si="31"/>
        <v/>
      </c>
      <c r="BD151" t="str">
        <f t="shared" si="32"/>
        <v/>
      </c>
    </row>
    <row r="152" spans="1:78" s="33" customFormat="1" x14ac:dyDescent="0.3">
      <c r="A152"/>
      <c r="B152"/>
      <c r="C152"/>
      <c r="D152"/>
      <c r="E152"/>
      <c r="F152" s="1"/>
      <c r="G152" s="1"/>
      <c r="H152" s="1"/>
      <c r="I152" s="1"/>
      <c r="J152" s="10">
        <f>IF(G152="Y",'Tournament Setup'!$C$2,0)+IF(H152="Y",'Tournament Setup'!$C$3,0)+IF(I152="Y",'Tournament Setup'!$C$4,0)</f>
        <v>0</v>
      </c>
      <c r="K152" s="1"/>
      <c r="L152"/>
      <c r="M152"/>
      <c r="O152" s="1"/>
      <c r="P152" s="1"/>
      <c r="Q152" s="1"/>
      <c r="R152" t="str">
        <f>IF(ISBLANK($O152),"",IFERROR(INDEX('Squad Listing'!$C:$C,MATCH($O152,'Squad Listing'!$A:$A,0)),""))</f>
        <v/>
      </c>
      <c r="S152" t="str">
        <f>IF(ISBLANK($O152),"",IFERROR(INDEX('Squad Listing'!$D:$D,MATCH($O152,'Squad Listing'!$A:$A,0)),""))</f>
        <v/>
      </c>
      <c r="T152" s="129"/>
      <c r="U152" s="129"/>
      <c r="V152" s="10"/>
      <c r="W152" s="1"/>
      <c r="X152" s="1"/>
      <c r="Y152" t="str">
        <f t="shared" ref="Y152" si="33">IF(_xlfn.NUMBERVALUE(Z152)&gt;0,_xlfn.RANK.EQ(Z152,$Z$3:$Z$250,0),"")</f>
        <v/>
      </c>
      <c r="Z152" s="129" t="str">
        <f t="shared" ref="Z152" si="34">IF(SUM(AB152:AE152)&gt;0,SUM(AA152:AE152),"")</f>
        <v/>
      </c>
      <c r="AA152" s="129"/>
      <c r="AB152"/>
      <c r="AC152"/>
      <c r="AD152"/>
      <c r="AE152"/>
      <c r="AF152"/>
      <c r="AG152"/>
      <c r="AH152"/>
      <c r="AI152"/>
      <c r="AK152"/>
      <c r="AL152" t="str">
        <f>IF(ISBLANK($O152),"",IFERROR(INDEX('Squad Listing'!$C:$C,MATCH($O152,'Squad Listing'!$A:$A,0)),""))</f>
        <v/>
      </c>
      <c r="AM152" t="str">
        <f>IF(ISBLANK($O152),"",IFERROR(INDEX('Squad Listing'!$D:$D,MATCH($O152,'Squad Listing'!$A:$A,0)),""))</f>
        <v/>
      </c>
      <c r="AN152" s="1"/>
      <c r="AO152" s="1"/>
      <c r="AP152" t="str">
        <f t="shared" ref="AP152" si="35">IF(_xlfn.NUMBERVALUE(AQ152)&gt;0,_xlfn.RANK.EQ(AQ152,$AQ$3:$AQ$250,0),"")</f>
        <v/>
      </c>
      <c r="AQ152" t="str">
        <f t="shared" ref="AQ152" si="36">IF(SUM(AS152:AV152)&gt;0,SUM(AR152:AV152),"")</f>
        <v/>
      </c>
      <c r="AR152"/>
      <c r="AS152"/>
      <c r="AT152"/>
      <c r="AU152"/>
      <c r="AV152"/>
      <c r="AX152"/>
      <c r="AY152" t="str">
        <f>IF(ISBLANK($O152),"",IFERROR(INDEX('Squad Listing'!$C:$C,MATCH($O152,'Squad Listing'!$A:$A,0)),""))</f>
        <v/>
      </c>
      <c r="AZ152" t="str">
        <f>IF(ISBLANK($O152),"",IFERROR(INDEX('Squad Listing'!$D:$D,MATCH($O152,'Squad Listing'!$A:$A,0)),""))</f>
        <v/>
      </c>
      <c r="BA152" s="1"/>
      <c r="BB152" s="1"/>
      <c r="BC152" t="str">
        <f t="shared" ref="BC152" si="37">IF(_xlfn.NUMBERVALUE(BD152)&gt;0,_xlfn.RANK.EQ(BD152,$BD$3:$BD$250,0),"")</f>
        <v/>
      </c>
      <c r="BD152" t="str">
        <f t="shared" ref="BD152" si="38">IF(SUM(BF152:BY152)&gt;0,SUM(BE152:BY152),"")</f>
        <v/>
      </c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 s="33" t="s">
        <v>263</v>
      </c>
    </row>
  </sheetData>
  <autoFilter ref="A2:BY151" xr:uid="{A096F37B-1CB4-40AE-8D78-DB308C27B263}">
    <sortState xmlns:xlrd2="http://schemas.microsoft.com/office/spreadsheetml/2017/richdata2" ref="A3:BY151">
      <sortCondition ref="L3:L151"/>
      <sortCondition ref="M3:M151"/>
    </sortState>
  </autoFilter>
  <phoneticPr fontId="1" type="noConversion"/>
  <dataValidations count="4">
    <dataValidation type="list" allowBlank="1" showInputMessage="1" showErrorMessage="1" sqref="AX3:AX151 AK3:AK151" xr:uid="{3C2714D1-FB71-4D2E-9C1C-F77BFBE087AB}">
      <formula1>TeamNo</formula1>
    </dataValidation>
    <dataValidation type="list" allowBlank="1" showInputMessage="1" showErrorMessage="1" sqref="G3:I151 K3:K151 L51:M151" xr:uid="{75676019-8CD4-4F00-A6CA-E890FAC555FF}">
      <formula1>"Y,N"</formula1>
    </dataValidation>
    <dataValidation type="list" allowBlank="1" showInputMessage="1" showErrorMessage="1" sqref="L3:L50" xr:uid="{9946B6B4-3E39-4CEA-8919-511ADD00A2CB}">
      <formula1>Teams</formula1>
    </dataValidation>
    <dataValidation type="list" allowBlank="1" showInputMessage="1" showErrorMessage="1" sqref="M3:M50" xr:uid="{46734522-4891-42CC-94B5-4D4CC15554DC}">
      <formula1>AgeConcurrents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22903-9D51-4CAC-ACCC-3D6C2FF34BB1}">
  <sheetPr>
    <tabColor rgb="FF7030A0"/>
  </sheetPr>
  <dimension ref="A1:CS112"/>
  <sheetViews>
    <sheetView zoomScale="90" zoomScaleNormal="90" workbookViewId="0">
      <pane xSplit="3" ySplit="1" topLeftCell="D2" activePane="bottomRight" state="frozen"/>
      <selection activeCell="G7" sqref="G7"/>
      <selection pane="topRight" activeCell="G7" sqref="G7"/>
      <selection pane="bottomLeft" activeCell="G7" sqref="G7"/>
      <selection pane="bottomRight" activeCell="A4" sqref="A4"/>
    </sheetView>
  </sheetViews>
  <sheetFormatPr defaultRowHeight="14.4" x14ac:dyDescent="0.3"/>
  <cols>
    <col min="1" max="1" width="9.88671875" customWidth="1"/>
    <col min="2" max="2" width="9.44140625" customWidth="1"/>
    <col min="3" max="3" width="15.21875" bestFit="1" customWidth="1"/>
    <col min="4" max="4" width="19.21875" customWidth="1"/>
    <col min="5" max="5" width="4.33203125" style="1" bestFit="1" customWidth="1"/>
    <col min="6" max="6" width="12.21875" bestFit="1" customWidth="1"/>
    <col min="7" max="7" width="8.77734375" style="1" bestFit="1" customWidth="1"/>
    <col min="8" max="8" width="10.44140625" customWidth="1"/>
    <col min="9" max="9" width="8" customWidth="1"/>
    <col min="10" max="10" width="8.77734375" customWidth="1"/>
    <col min="11" max="11" width="5.44140625" style="11" bestFit="1" customWidth="1"/>
    <col min="12" max="12" width="6.21875" customWidth="1"/>
    <col min="13" max="13" width="9.44140625" style="1" customWidth="1"/>
    <col min="14" max="14" width="6.21875" customWidth="1"/>
    <col min="15" max="15" width="4.77734375" style="1" bestFit="1" customWidth="1"/>
    <col min="16" max="16" width="9" bestFit="1" customWidth="1"/>
    <col min="17" max="17" width="10" style="1" bestFit="1" customWidth="1"/>
    <col min="18" max="18" width="9.33203125" bestFit="1" customWidth="1"/>
    <col min="19" max="19" width="8.5546875" style="12" customWidth="1"/>
    <col min="20" max="20" width="9.5546875" style="30" customWidth="1"/>
    <col min="21" max="21" width="8" customWidth="1"/>
    <col min="22" max="22" width="7.5546875" customWidth="1"/>
    <col min="23" max="23" width="7.5546875" style="14" customWidth="1"/>
    <col min="24" max="24" width="8" customWidth="1"/>
    <col min="25" max="25" width="7.5546875" customWidth="1"/>
    <col min="26" max="26" width="9" customWidth="1"/>
    <col min="27" max="27" width="8.5546875" customWidth="1"/>
    <col min="28" max="28" width="8.77734375" customWidth="1"/>
    <col min="29" max="29" width="8.77734375" style="15" customWidth="1"/>
    <col min="30" max="30" width="9.5546875" style="30" customWidth="1"/>
    <col min="31" max="31" width="8" customWidth="1"/>
    <col min="32" max="32" width="7.5546875" customWidth="1"/>
    <col min="33" max="33" width="9.88671875" style="14" customWidth="1"/>
    <col min="34" max="34" width="8" customWidth="1"/>
    <col min="35" max="38" width="9.88671875" customWidth="1"/>
    <col min="39" max="39" width="9.88671875" style="15" customWidth="1"/>
    <col min="40" max="40" width="9.5546875" style="30" customWidth="1"/>
    <col min="41" max="41" width="8" customWidth="1"/>
    <col min="42" max="42" width="7.5546875" customWidth="1"/>
    <col min="43" max="43" width="9.88671875" style="14" customWidth="1"/>
    <col min="44" max="44" width="8" customWidth="1"/>
    <col min="45" max="48" width="9.88671875" customWidth="1"/>
    <col min="49" max="49" width="9.88671875" style="15" customWidth="1"/>
    <col min="50" max="50" width="9.5546875" style="30" customWidth="1"/>
    <col min="51" max="51" width="8" customWidth="1"/>
    <col min="52" max="52" width="7.5546875" customWidth="1"/>
    <col min="53" max="53" width="9.88671875" style="14" customWidth="1"/>
    <col min="54" max="54" width="8" customWidth="1"/>
    <col min="55" max="58" width="9.88671875" customWidth="1"/>
    <col min="59" max="59" width="9.88671875" style="15" customWidth="1"/>
    <col min="60" max="60" width="10.109375" style="30" bestFit="1" customWidth="1"/>
    <col min="61" max="62" width="10.109375" bestFit="1" customWidth="1"/>
    <col min="63" max="63" width="9.88671875" style="14" customWidth="1"/>
    <col min="64" max="64" width="10.33203125" customWidth="1"/>
    <col min="65" max="68" width="9.88671875" customWidth="1"/>
    <col min="69" max="69" width="9.88671875" style="15" customWidth="1"/>
    <col min="70" max="70" width="9.88671875" style="14" customWidth="1"/>
    <col min="71" max="71" width="8" customWidth="1"/>
    <col min="72" max="75" width="9.88671875" customWidth="1"/>
    <col min="76" max="76" width="9.88671875" style="15" customWidth="1"/>
    <col min="77" max="77" width="9.88671875" style="14" customWidth="1"/>
    <col min="78" max="78" width="8" customWidth="1"/>
    <col min="79" max="82" width="9.88671875" customWidth="1"/>
    <col min="83" max="83" width="9.88671875" style="15" customWidth="1"/>
    <col min="84" max="84" width="9.88671875" style="14" customWidth="1"/>
    <col min="85" max="85" width="8" customWidth="1"/>
    <col min="86" max="89" width="9.88671875" customWidth="1"/>
    <col min="90" max="90" width="9.88671875" style="15" customWidth="1"/>
    <col min="91" max="91" width="9.88671875" style="14" customWidth="1"/>
    <col min="92" max="92" width="10.33203125" customWidth="1"/>
    <col min="93" max="96" width="9.88671875" customWidth="1"/>
    <col min="97" max="97" width="9.88671875" style="15" customWidth="1"/>
  </cols>
  <sheetData>
    <row r="1" spans="1:97" ht="58.2" customHeight="1" thickBot="1" x14ac:dyDescent="0.35">
      <c r="A1" s="3" t="s">
        <v>0</v>
      </c>
      <c r="B1" s="3" t="s">
        <v>2</v>
      </c>
      <c r="C1" s="3" t="s">
        <v>1</v>
      </c>
      <c r="D1" s="3" t="s">
        <v>145</v>
      </c>
      <c r="E1" s="3" t="s">
        <v>115</v>
      </c>
      <c r="F1" s="3" t="s">
        <v>110</v>
      </c>
      <c r="G1" s="3" t="s">
        <v>111</v>
      </c>
      <c r="H1" s="3" t="s">
        <v>112</v>
      </c>
      <c r="I1" s="153" t="s">
        <v>368</v>
      </c>
      <c r="J1" s="154" t="s">
        <v>387</v>
      </c>
      <c r="K1" s="55" t="s">
        <v>113</v>
      </c>
      <c r="L1" s="13" t="s">
        <v>259</v>
      </c>
      <c r="M1" s="32" t="s">
        <v>180</v>
      </c>
      <c r="N1" s="32" t="s">
        <v>261</v>
      </c>
      <c r="O1" s="5" t="s">
        <v>114</v>
      </c>
      <c r="P1" s="6" t="s">
        <v>151</v>
      </c>
      <c r="Q1" s="7" t="s">
        <v>150</v>
      </c>
      <c r="R1" s="4" t="s">
        <v>152</v>
      </c>
      <c r="S1" s="13" t="s">
        <v>153</v>
      </c>
      <c r="T1" s="121" t="s">
        <v>369</v>
      </c>
      <c r="U1" s="114" t="s">
        <v>370</v>
      </c>
      <c r="V1" s="115" t="s">
        <v>371</v>
      </c>
      <c r="W1" s="18" t="s">
        <v>130</v>
      </c>
      <c r="X1" s="46" t="s">
        <v>253</v>
      </c>
      <c r="Y1" s="19" t="s">
        <v>131</v>
      </c>
      <c r="Z1" s="22" t="s">
        <v>132</v>
      </c>
      <c r="AA1" s="23" t="s">
        <v>133</v>
      </c>
      <c r="AB1" s="20" t="s">
        <v>134</v>
      </c>
      <c r="AC1" s="21" t="s">
        <v>135</v>
      </c>
      <c r="AD1" s="123" t="s">
        <v>373</v>
      </c>
      <c r="AE1" s="124" t="s">
        <v>374</v>
      </c>
      <c r="AF1" s="125" t="s">
        <v>375</v>
      </c>
      <c r="AG1" s="24" t="s">
        <v>156</v>
      </c>
      <c r="AH1" s="48" t="s">
        <v>254</v>
      </c>
      <c r="AI1" s="25" t="s">
        <v>157</v>
      </c>
      <c r="AJ1" s="28" t="s">
        <v>158</v>
      </c>
      <c r="AK1" s="29" t="s">
        <v>159</v>
      </c>
      <c r="AL1" s="26" t="s">
        <v>160</v>
      </c>
      <c r="AM1" s="27" t="s">
        <v>161</v>
      </c>
      <c r="AN1" s="126" t="s">
        <v>376</v>
      </c>
      <c r="AO1" s="127" t="s">
        <v>377</v>
      </c>
      <c r="AP1" s="128" t="s">
        <v>378</v>
      </c>
      <c r="AQ1" s="16" t="s">
        <v>162</v>
      </c>
      <c r="AR1" s="49" t="s">
        <v>255</v>
      </c>
      <c r="AS1" s="7" t="s">
        <v>163</v>
      </c>
      <c r="AT1" s="4" t="s">
        <v>164</v>
      </c>
      <c r="AU1" s="5" t="s">
        <v>165</v>
      </c>
      <c r="AV1" s="6" t="s">
        <v>166</v>
      </c>
      <c r="AW1" s="17" t="s">
        <v>167</v>
      </c>
      <c r="AX1" s="121" t="s">
        <v>384</v>
      </c>
      <c r="AY1" s="114" t="s">
        <v>382</v>
      </c>
      <c r="AZ1" s="115" t="s">
        <v>383</v>
      </c>
      <c r="BA1" s="18" t="s">
        <v>168</v>
      </c>
      <c r="BB1" s="46" t="s">
        <v>256</v>
      </c>
      <c r="BC1" s="19" t="s">
        <v>169</v>
      </c>
      <c r="BD1" s="22" t="s">
        <v>170</v>
      </c>
      <c r="BE1" s="23" t="s">
        <v>171</v>
      </c>
      <c r="BF1" s="20" t="s">
        <v>172</v>
      </c>
      <c r="BG1" s="21" t="s">
        <v>173</v>
      </c>
      <c r="BH1" s="123" t="s">
        <v>379</v>
      </c>
      <c r="BI1" s="124" t="s">
        <v>380</v>
      </c>
      <c r="BJ1" s="125" t="s">
        <v>381</v>
      </c>
      <c r="BK1" s="24" t="s">
        <v>174</v>
      </c>
      <c r="BL1" s="48" t="s">
        <v>257</v>
      </c>
      <c r="BM1" s="25" t="s">
        <v>175</v>
      </c>
      <c r="BN1" s="28" t="s">
        <v>176</v>
      </c>
      <c r="BO1" s="29" t="s">
        <v>177</v>
      </c>
      <c r="BP1" s="26" t="s">
        <v>178</v>
      </c>
      <c r="BQ1" s="27" t="s">
        <v>179</v>
      </c>
      <c r="BR1" s="18" t="s">
        <v>276</v>
      </c>
      <c r="BS1" s="46" t="s">
        <v>277</v>
      </c>
      <c r="BT1" s="19" t="s">
        <v>278</v>
      </c>
      <c r="BU1" s="22" t="s">
        <v>279</v>
      </c>
      <c r="BV1" s="23" t="s">
        <v>280</v>
      </c>
      <c r="BW1" s="20" t="s">
        <v>281</v>
      </c>
      <c r="BX1" s="21" t="s">
        <v>282</v>
      </c>
      <c r="BY1" s="24" t="s">
        <v>283</v>
      </c>
      <c r="BZ1" s="48" t="s">
        <v>284</v>
      </c>
      <c r="CA1" s="25" t="s">
        <v>285</v>
      </c>
      <c r="CB1" s="28" t="s">
        <v>286</v>
      </c>
      <c r="CC1" s="29" t="s">
        <v>287</v>
      </c>
      <c r="CD1" s="26" t="s">
        <v>288</v>
      </c>
      <c r="CE1" s="27" t="s">
        <v>289</v>
      </c>
      <c r="CF1" s="16" t="s">
        <v>290</v>
      </c>
      <c r="CG1" s="49" t="s">
        <v>291</v>
      </c>
      <c r="CH1" s="7" t="s">
        <v>292</v>
      </c>
      <c r="CI1" s="4" t="s">
        <v>293</v>
      </c>
      <c r="CJ1" s="5" t="s">
        <v>294</v>
      </c>
      <c r="CK1" s="6" t="s">
        <v>295</v>
      </c>
      <c r="CL1" s="17" t="s">
        <v>296</v>
      </c>
      <c r="CM1" s="18" t="s">
        <v>297</v>
      </c>
      <c r="CN1" s="46" t="s">
        <v>298</v>
      </c>
      <c r="CO1" s="19" t="s">
        <v>299</v>
      </c>
      <c r="CP1" s="22" t="s">
        <v>300</v>
      </c>
      <c r="CQ1" s="23" t="s">
        <v>301</v>
      </c>
      <c r="CR1" s="20" t="s">
        <v>302</v>
      </c>
      <c r="CS1" s="21" t="s">
        <v>303</v>
      </c>
    </row>
    <row r="2" spans="1:97" x14ac:dyDescent="0.3">
      <c r="A2" t="s">
        <v>37</v>
      </c>
      <c r="B2" t="str">
        <f>IFERROR(INDEX('Tournament List'!$B:$B,MATCH($A2,'Tournament List'!$A:$A,0)),"")</f>
        <v>Jason</v>
      </c>
      <c r="C2" t="str">
        <f>IFERROR(INDEX('Tournament List'!$C:$C,MATCH($A2,'Tournament List'!$A:$A,0)),"")</f>
        <v>Last Name1</v>
      </c>
      <c r="D2" t="str">
        <f t="shared" ref="D2:D33" si="0">B2&amp;" "&amp;C2</f>
        <v>Jason Last Name1</v>
      </c>
      <c r="E2" s="1" t="str">
        <f>IFERROR(INDEX('Tournament List'!F:F,MATCH($A2,'Tournament List'!$A:$A,0)),"")</f>
        <v>M</v>
      </c>
      <c r="F2" t="str">
        <f>IFERROR(INDEX('Tournament List'!M:M,MATCH($A2,'Tournament List'!$A:$A,0)),"")</f>
        <v>Novice</v>
      </c>
      <c r="G2" s="1" t="str">
        <f>IFERROR(INDEX('Tournament List'!W:W,MATCH($A2,'Tournament List'!$A:$A,0)),"")</f>
        <v>D</v>
      </c>
      <c r="H2" s="129">
        <f>IFERROR(INDEX('Tournament List'!Z:Z,MATCH($A2,'Tournament List'!$A:$A,0)),"")</f>
        <v>85</v>
      </c>
      <c r="I2" s="152" t="str">
        <f>IFERROR(INDEX('Tournament List'!T:T,MATCH($A2,'Tournament List'!$A:$A,0)),"")</f>
        <v/>
      </c>
      <c r="J2" s="56" t="str">
        <f>IF(ISNUMBER(I2),IF(COUNTIFS(J$1:J1,_xlfn.RANK.EQ(I2,I$2:I$111,0))&gt;0,_xlfn.MAXIFS(J$1:J1,I$1:I1,I2)+1,_xlfn.RANK.EQ(I2,I$2:I$111,0)),"")</f>
        <v/>
      </c>
      <c r="K2" s="11">
        <f t="shared" ref="K2:K33" si="1">IF(ISNUMBER(H2)=TRUE,IF(H2&gt;0,_xlfn.RANK.EQ(H2,$H$2:$H$111,0),""),"")</f>
        <v>13</v>
      </c>
      <c r="L2" s="56">
        <f>IF(ISNUMBER(H2),IF(COUNTIFS(L$1:L1,_xlfn.RANK.EQ(H2,H$2:H$111,0))&gt;0,_xlfn.MAXIFS(L$1:L1,H$1:H1,H2)+1,_xlfn.RANK.EQ(H2,H$2:H$111,0)),"")</f>
        <v>13</v>
      </c>
      <c r="M2" s="151">
        <f t="shared" ref="M2:M33" si="2">IF(F2&lt;&gt;"Collegiate"=TRUE,$H2,"")</f>
        <v>85</v>
      </c>
      <c r="N2" s="47">
        <f>IF(ISNUMBER(M2),IF(COUNTIFS(N$1:N1,_xlfn.RANK.EQ(M2,M$2:M$111,0))&gt;0,_xlfn.MAXIFS(N$1:N1,M$1:M1,M2)+1,_xlfn.RANK.EQ(M2,M$2:M$111,0)),"")</f>
        <v>11</v>
      </c>
      <c r="O2" s="1" t="str">
        <f>IF(ISNUMBER(M2)=TRUE,IF(_xlfn.RANK.EQ(M2,$M$2:$M$111)&lt;='Tournament Setup'!$B$23,_xlfn.RANK.EQ(M2,$M$2:$M$111),""),"")</f>
        <v/>
      </c>
      <c r="P2" s="150">
        <f t="shared" ref="P2:P33" si="3">IF(AND($E2="M",SUM($O2)=0,F2&lt;&gt;"Collegiate")=TRUE,$H2,"")</f>
        <v>85</v>
      </c>
      <c r="Q2" s="1" t="str">
        <f>IF(ISNUMBER(P2)=TRUE,IF(_xlfn.RANK.EQ(P2,$P$2:$P$111)&lt;='Tournament Setup'!$B$24,_xlfn.RANK.EQ(P2,$P$2:$P$111),""),"")</f>
        <v/>
      </c>
      <c r="R2" s="150" t="str">
        <f t="shared" ref="R2:R33" si="4">IF(AND($E2="F",SUM($O2)=0,F2&lt;&gt;"Collegiate")=TRUE,$H2,"")</f>
        <v/>
      </c>
      <c r="S2" s="12" t="str">
        <f>IF(ISNUMBER(R2)=TRUE,IF(_xlfn.RANK.EQ(R2,$R$2:$R$111)&lt;='Tournament Setup'!$B$25,_xlfn.RANK.EQ(R2,$R$2:$R$111),""),"")</f>
        <v/>
      </c>
      <c r="T2" s="152" t="str">
        <f>IF(AND($F2='Tournament Setup'!$A$29,$I2&lt;&gt;0),$I2,"")</f>
        <v/>
      </c>
      <c r="U2" s="47" t="str">
        <f>IF(ISNUMBER(T2),IF(COUNTIFS(U$1:U1,_xlfn.RANK.EQ(T2,T$2:T$111,0))&gt;0,_xlfn.MAXIFS(U$1:U1,T$1:T1,T2)+1,_xlfn.RANK.EQ(T2,T$2:T$111,0)),"")</f>
        <v/>
      </c>
      <c r="V2" s="1" t="str">
        <f>IF(ISNUMBER(T2)=TRUE,IF(_xlfn.RANK.EQ(T2,$T$3:$T$112)&lt;='Tournament Setup'!$B$46,_xlfn.RANK.EQ(T2,$T$2:$T$111),""),"")</f>
        <v/>
      </c>
      <c r="W2" s="30">
        <f>IF(AND($F2='Tournament Setup'!$A$29,SUM($O2,$Q2,$S2)=0),$H2,"")</f>
        <v>85</v>
      </c>
      <c r="X2" s="47">
        <f>IF(ISNUMBER(W2),IF(COUNTIFS(X$1:X1,_xlfn.RANK.EQ(W2,W$2:W$111,0))&gt;0,_xlfn.MAXIFS(X$1:X1,W$1:W1,W2)+1,_xlfn.RANK.EQ(W2,W$2:W$111,0)),"")</f>
        <v>1</v>
      </c>
      <c r="Y2" s="1" t="str">
        <f>IF(ISNUMBER(W2)=TRUE,IF(_xlfn.RANK.EQ(W2,$W$2:$W$111)&lt;='Tournament Setup'!$B$29,_xlfn.RANK.EQ(W2,$W$2:$W$111),""),"")</f>
        <v/>
      </c>
      <c r="Z2" s="31">
        <f>IF(AND($F2='Tournament Setup'!$A$29,SUM($O2,$Q2)=0,$E2="M",$Y2&gt;'Tournament Setup'!$B$29),$H2,"")</f>
        <v>85</v>
      </c>
      <c r="AA2" s="1">
        <f>IF(ISNUMBER(Z2)=TRUE,IF(_xlfn.RANK.EQ(Z2,$Z$2:$Z$111)&lt;='Tournament Setup'!$C$29,_xlfn.RANK.EQ(Z2,$Z$2:$Z$111),""),"")</f>
        <v>1</v>
      </c>
      <c r="AB2" s="31" t="str">
        <f>IF(AND($F2='Tournament Setup'!$A$29,SUM($O2,$S2)=0,$E2="F",$Y2&gt;'Tournament Setup'!$B$29),$H2,"")</f>
        <v/>
      </c>
      <c r="AC2" s="12" t="str">
        <f>IF(ISNUMBER(AB2)=TRUE,IF(_xlfn.RANK.EQ(AB2,$AB$2:$AB$111)&lt;='Tournament Setup'!$D$29,_xlfn.RANK.EQ(AB2,$AB$2:$AB$111),""),"")</f>
        <v/>
      </c>
      <c r="AD2" s="30" t="str">
        <f>IF(AND($F2='Tournament Setup'!$A$30,$I2&lt;&gt;0),$I2,"")</f>
        <v/>
      </c>
      <c r="AE2" s="47" t="str">
        <f>IF(ISNUMBER(AD2),IF(COUNTIFS(AE$1:AE1,_xlfn.RANK.EQ(AD2,AD$2:AD$111,0))&gt;0,_xlfn.MAXIFS(AE$1:AE1,AD$1:AD1,AD2)+1,_xlfn.RANK.EQ(AD2,AD$2:AD$111,0)),"")</f>
        <v/>
      </c>
      <c r="AF2" s="1" t="str">
        <f>IF(ISNUMBER(AD2)=TRUE,IF(_xlfn.RANK.EQ(AD2,$AD$2:$AD$111)&lt;='Tournament Setup'!$B$46,_xlfn.RANK.EQ(AD2,$AD$2:$AD$111),""),"")</f>
        <v/>
      </c>
      <c r="AG2" s="30" t="str">
        <f>IF(AND($F2='Tournament Setup'!$A$30,SUM($O2,$Q2,$S2)=0),$H2,"")</f>
        <v/>
      </c>
      <c r="AH2" s="47" t="str">
        <f>IF(ISNUMBER(AG2),IF(COUNTIFS(AH$1:AH1,_xlfn.RANK.EQ(AG2,AG$2:AG$111,0))&gt;0,_xlfn.MAXIFS(AH$1:AH1,AG$1:AG1,AG2)+1,_xlfn.RANK.EQ(AG2,AG$2:AG$111,0)),"")</f>
        <v/>
      </c>
      <c r="AI2" s="1" t="str">
        <f>IF(ISNUMBER(AG2)=TRUE,IF(_xlfn.RANK.EQ(AG2,$AG$2:$AG$111)&lt;='Tournament Setup'!$B$30,_xlfn.RANK.EQ(AG2,$AG$2:$AG$111),""),"")</f>
        <v/>
      </c>
      <c r="AJ2" s="31" t="str">
        <f>IF(AND($F2='Tournament Setup'!$A$30,SUM($O2,$Q2)=0,$E2="M",$AI2&gt;'Tournament Setup'!$B$30),$H2,"")</f>
        <v/>
      </c>
      <c r="AK2" s="1" t="str">
        <f>IF(ISNUMBER(AJ2)=TRUE,IF(_xlfn.RANK.EQ(AJ2,$AJ$2:$AJ$111)&lt;='Tournament Setup'!$C$30,_xlfn.RANK.EQ(AJ2,$AJ$2:$AJ$111),""),"")</f>
        <v/>
      </c>
      <c r="AL2" s="31" t="str">
        <f>IF(AND($F2='Tournament Setup'!$A$30,SUM($O2,$S2)=0,$E2="F",$AI2&gt;'Tournament Setup'!$B$30),$H2,"")</f>
        <v/>
      </c>
      <c r="AM2" s="12" t="str">
        <f>IF(ISNUMBER(AL2)=TRUE,IF(_xlfn.RANK.EQ(AL2,$AL$2:$AL$111)&lt;='Tournament Setup'!$D$30,_xlfn.RANK.EQ(AL2,$AL$2:$AL$111),""),"")</f>
        <v/>
      </c>
      <c r="AN2" s="30" t="str">
        <f>IF(AND($F2='Tournament Setup'!$A$31,$I2&lt;&gt;0),$I2,"")</f>
        <v/>
      </c>
      <c r="AO2" s="47" t="str">
        <f>IF(ISNUMBER(AN2),IF(COUNTIFS(AO$1:AO1,_xlfn.RANK.EQ(AN2,AN$2:AN$111,0))&gt;0,_xlfn.MAXIFS(AO$1:AO1,AN$1:AN1,AN2)+1,_xlfn.RANK.EQ(AN2,AN$2:AN$111,0)),"")</f>
        <v/>
      </c>
      <c r="AP2" s="1" t="str">
        <f>IF(ISNUMBER(AN2)=TRUE,IF(_xlfn.RANK.EQ(AN2,$AN$2:$AN$111)&lt;='Tournament Setup'!$B$46,_xlfn.RANK.EQ(AN2,$AN$2:$AN$111),""),"")</f>
        <v/>
      </c>
      <c r="AQ2" s="30" t="str">
        <f>IF(AND($F2='Tournament Setup'!$A$31,SUM($O2,$Q2,$S2)=0),$H2,"")</f>
        <v/>
      </c>
      <c r="AR2" s="47" t="str">
        <f>IF(ISNUMBER(AQ2),IF(COUNTIFS(AR$1:AR1,_xlfn.RANK.EQ(AQ2,AQ$2:AQ$111,0))&gt;0,_xlfn.MAXIFS(AR$1:AR1,AQ$1:AQ1,AQ2)+1,_xlfn.RANK.EQ(AQ2,AQ$2:AQ$111,0)),"")</f>
        <v/>
      </c>
      <c r="AS2" s="1" t="str">
        <f>IF(ISNUMBER(AQ2)=TRUE,IF(_xlfn.RANK.EQ(AQ2,$AQ$2:$AQ$111)&lt;='Tournament Setup'!$B$31,_xlfn.RANK.EQ(AQ2,$AQ$2:$AQ$111),""),"")</f>
        <v/>
      </c>
      <c r="AT2" s="31" t="str">
        <f>IF(AND($F2='Tournament Setup'!$A$31,SUM($O2,$Q2)=0,$E2="M",$AS2&gt;'Tournament Setup'!$B$31),$H2,"")</f>
        <v/>
      </c>
      <c r="AU2" s="1" t="str">
        <f>IF(ISNUMBER(AT2)=TRUE,IF(_xlfn.RANK.EQ(AT2,$AT$2:$AT$111)&lt;='Tournament Setup'!$C$31,_xlfn.RANK.EQ(AT2,$AT$2:$AT$111),""),"")</f>
        <v/>
      </c>
      <c r="AV2" s="31" t="str">
        <f>IF(AND($F2='Tournament Setup'!$A$31,SUM($O2,$S2)=0,$E2="F",$AS2&gt;'Tournament Setup'!$B$31),$H2,"")</f>
        <v/>
      </c>
      <c r="AW2" s="12" t="str">
        <f>IF(ISNUMBER(AV2)=TRUE,IF(_xlfn.RANK.EQ(AV2,$AV$2:$AV$111)&lt;='Tournament Setup'!$D$31,_xlfn.RANK.EQ(AV2,$AV$2:$AV$111),""),"")</f>
        <v/>
      </c>
      <c r="AX2" s="30" t="str">
        <f>IF(AND($F2='Tournament Setup'!$A$32,$I2&lt;&gt;0),$I2,"")</f>
        <v/>
      </c>
      <c r="AY2" s="47" t="str">
        <f>IF(ISNUMBER(AX2),IF(COUNTIFS(AY$1:AY1,_xlfn.RANK.EQ(AX2,AX$2:AX$111,0))&gt;0,_xlfn.MAXIFS(AY$1:AY1,AX$1:AX1,AX2)+1,_xlfn.RANK.EQ(AX2,AX$2:AX$111,0)),"")</f>
        <v/>
      </c>
      <c r="AZ2" s="1" t="str">
        <f>IF(ISNUMBER(AX2)=TRUE,IF(_xlfn.RANK.EQ(AX2,$AX$2:$AX$111)&lt;='Tournament Setup'!$B$46,_xlfn.RANK.EQ(AX2,$AX$2:$AX$111),""),"")</f>
        <v/>
      </c>
      <c r="BA2" s="30" t="str">
        <f>IF(AND($F2='Tournament Setup'!$A$32,SUM($O2,$Q2,$S2)=0),$H2,"")</f>
        <v/>
      </c>
      <c r="BB2" s="47" t="str">
        <f>IF(ISNUMBER(BA2),IF(COUNTIFS(BB$1:BB1,_xlfn.RANK.EQ(BA2,BA$2:BA$111,0))&gt;0,_xlfn.MAXIFS(BB$1:BB1,BA$1:BA1,BA2)+1,_xlfn.RANK.EQ(BA2,BA$2:BA$111,0)),"")</f>
        <v/>
      </c>
      <c r="BC2" s="1" t="str">
        <f>IF(ISNUMBER(BA2)=TRUE,IF(_xlfn.RANK.EQ(BA2,$BA$2:$BA$111)&lt;='Tournament Setup'!$B$32,_xlfn.RANK.EQ(BA2,$BA$2:$BA$111),""),"")</f>
        <v/>
      </c>
      <c r="BD2" s="31" t="str">
        <f>IF(AND($F2='Tournament Setup'!$A$32,SUM($O2,$Q2)=0,$E2="M",$BC2&gt;'Tournament Setup'!$B$32),$H2,"")</f>
        <v/>
      </c>
      <c r="BE2" s="1" t="str">
        <f>IF(ISNUMBER(BD2)=TRUE,IF(_xlfn.RANK.EQ(BD2,$BD$2:$BD$111)&lt;='Tournament Setup'!$C$32,_xlfn.RANK.EQ(BD2,$BD$2:$BD$111),""),"")</f>
        <v/>
      </c>
      <c r="BF2" s="31" t="str">
        <f>IF(AND($F2='Tournament Setup'!$A$32,SUM($O2,$S2)=0,$E2="F",$BC2&gt;'Tournament Setup'!$B$32),$H2,"")</f>
        <v/>
      </c>
      <c r="BG2" s="12" t="str">
        <f>IF(ISNUMBER(BF2)=TRUE,IF(_xlfn.RANK.EQ(BF2,$BF$2:$BF$111)&lt;='Tournament Setup'!$D$32,_xlfn.RANK.EQ(BF2,$BF$2:$BF$111),""),"")</f>
        <v/>
      </c>
      <c r="BH2" s="30" t="str">
        <f>IF(AND($F2='Tournament Setup'!$A$33,$I2&lt;&gt;0),$I2,"")</f>
        <v/>
      </c>
      <c r="BI2" s="47" t="str">
        <f>IF(ISNUMBER(BH2),IF(COUNTIFS(BI$1:BI1,_xlfn.RANK.EQ(BH2,BH$2:BH$111,0))&gt;0,_xlfn.MAXIFS(BI$1:BI1,BH$1:BH1,BH2)+1,_xlfn.RANK.EQ(BH2,BH$2:BH$111,0)),"")</f>
        <v/>
      </c>
      <c r="BJ2" s="1" t="str">
        <f>IF(ISNUMBER(BH2)=TRUE,IF(_xlfn.RANK.EQ(BH2,$BH$2:$BH$111)&lt;='Tournament Setup'!$B$46,_xlfn.RANK.EQ(BH2,$BH$2:$BH$111),""),"")</f>
        <v/>
      </c>
      <c r="BK2" s="30" t="str">
        <f>IF(AND($F2='Tournament Setup'!$A$33,SUM($O2,$Q2,$S2)=0),$H2,"")</f>
        <v/>
      </c>
      <c r="BL2" s="47" t="str">
        <f>IF(ISNUMBER(BK2),IF(COUNTIFS(BL$1:BL1,_xlfn.RANK.EQ(BK2,BK$2:BK$111,0))&gt;0,_xlfn.MAXIFS(BL$1:BL1,BK$1:BK1,BK2)+1,_xlfn.RANK.EQ(BK2,BK$2:BK$111,0)),"")</f>
        <v/>
      </c>
      <c r="BM2" s="1" t="str">
        <f>IF(ISNUMBER(BK2)=TRUE,IF(_xlfn.RANK.EQ(BK2,$BK$2:$BK$111)&lt;='Tournament Setup'!$B$33,_xlfn.RANK.EQ(BK2,$BK$2:$BK$111),""),"")</f>
        <v/>
      </c>
      <c r="BN2" s="31" t="str">
        <f>IF(AND($F2='Tournament Setup'!$A$33,SUM($O2,$Q2)=0,$E2="M",$BM2&gt;'Tournament Setup'!$B$33),$H2,"")</f>
        <v/>
      </c>
      <c r="BO2" s="1" t="str">
        <f>IF(ISNUMBER(BN2)=TRUE,IF(_xlfn.RANK.EQ(BN2,$BN$2:$BN$111)&lt;='Tournament Setup'!$C$33,_xlfn.RANK.EQ(BN2,$BN$2:$BN$111),""),"")</f>
        <v/>
      </c>
      <c r="BP2" s="31" t="str">
        <f>IF(AND($F2='Tournament Setup'!$A$33,SUM($O2,$S2)=0,$E2="F",$BM2&gt;'Tournament Setup'!$B$33),$H2,"")</f>
        <v/>
      </c>
      <c r="BQ2" s="12" t="str">
        <f>IF(ISNUMBER(BP2)=TRUE,IF(_xlfn.RANK.EQ(BP2,$BP$2:$BP$111)&lt;='Tournament Setup'!$D$33,_xlfn.RANK.EQ(BP2,$BP$2:$BP$111),""),"")</f>
        <v/>
      </c>
      <c r="BR2" s="30" t="str">
        <f>IF($G2='Tournament Setup'!$A$38,$H2,"")</f>
        <v/>
      </c>
      <c r="BS2" s="47" t="str">
        <f>IF(ISNUMBER(BR2),IF(COUNTIFS(BS$1:BS1,_xlfn.RANK.EQ(BR2,BR$2:BR$111,0))&gt;0,_xlfn.MAXIFS(BS$1:BS1,BR$1:BR1,BR2)+1,_xlfn.RANK.EQ(BR2,BR$2:BR$111,0)),"")</f>
        <v/>
      </c>
      <c r="BT2" s="1" t="str">
        <f>IF(ISNUMBER(BR2)=TRUE,IF(_xlfn.RANK.EQ(BR2,$BR$2:$BR$111)&lt;='Tournament Setup'!$B$38,_xlfn.RANK.EQ(BR2,$BR$2:$BR$111),""),"")</f>
        <v/>
      </c>
      <c r="BU2" s="31" t="str">
        <f>IF(AND($G2='Tournament Setup'!$A$38,$E2="M",$BT2&gt;'Tournament Setup'!$B$38),$H2,"")</f>
        <v/>
      </c>
      <c r="BV2" s="1" t="str">
        <f>IF(ISNUMBER(BU2)=TRUE,IF(_xlfn.RANK.EQ(BU2,$BU$2:$BU$111)&lt;='Tournament Setup'!$C$38,_xlfn.RANK.EQ(BU2,$BU$2:$BU$111),""),"")</f>
        <v/>
      </c>
      <c r="BW2" s="31" t="str">
        <f>IF(AND($G2='Tournament Setup'!$A$38,$E2="F",$BT2&gt;'Tournament Setup'!$B$38),$H2,"")</f>
        <v/>
      </c>
      <c r="BX2" s="12" t="str">
        <f>IF(ISNUMBER(BW2)=TRUE,IF(_xlfn.RANK.EQ(BW2,$BW$2:$BW$111)&lt;='Tournament Setup'!$D$38,_xlfn.RANK.EQ(BW2,$BW$2:$BW$111),""),"")</f>
        <v/>
      </c>
      <c r="BY2" s="30" t="str">
        <f>IF($G2='Tournament Setup'!$A$39,$H2,"")</f>
        <v/>
      </c>
      <c r="BZ2" s="47" t="str">
        <f>IF(ISNUMBER(BY2),IF(COUNTIFS(BZ$1:BZ1,_xlfn.RANK.EQ(BY2,BY$2:BY$111,0))&gt;0,_xlfn.MAXIFS(BZ$1:BZ1,BY$1:BY1,BY2)+1,_xlfn.RANK.EQ(BY2,BY$2:BY$111,0)),"")</f>
        <v/>
      </c>
      <c r="CA2" s="1" t="str">
        <f>IF(ISNUMBER(BY2)=TRUE,IF(_xlfn.RANK.EQ(BY2,$BY$2:$BY$111)&lt;='Tournament Setup'!$B$39,_xlfn.RANK.EQ(BY2,$BY$2:$BY$111),""),"")</f>
        <v/>
      </c>
      <c r="CB2" s="31" t="str">
        <f>IF(AND($G2='Tournament Setup'!$A$39,$E2="M",$CA2&gt;'Tournament Setup'!$B$39),$H2,"")</f>
        <v/>
      </c>
      <c r="CC2" s="1" t="str">
        <f>IF(ISNUMBER(CB2)=TRUE,IF(_xlfn.RANK.EQ(CB2,$CB$2:$CB$111)&lt;='Tournament Setup'!$C$39,_xlfn.RANK.EQ(CB2,$CB$2:$CB$111),""),"")</f>
        <v/>
      </c>
      <c r="CD2" s="31" t="str">
        <f>IF(AND($G2='Tournament Setup'!$A$39,$E2="F",$CA2&gt;'Tournament Setup'!$B$39),$H2,"")</f>
        <v/>
      </c>
      <c r="CE2" s="12" t="str">
        <f>IF(ISNUMBER(CD2)=TRUE,IF(_xlfn.RANK.EQ(CD2,$CD$2:$CD$111)&lt;='Tournament Setup'!$D$39,_xlfn.RANK.EQ(CD2,$CD$2:$CD$111),""),"")</f>
        <v/>
      </c>
      <c r="CF2" s="30" t="str">
        <f>IF($G2='Tournament Setup'!$A$40,$H2,"")</f>
        <v/>
      </c>
      <c r="CG2" s="47" t="str">
        <f>IF(ISNUMBER(CF2),IF(COUNTIFS(CG$1:CG1,_xlfn.RANK.EQ(CF2,CF$2:CF$111,0))&gt;0,_xlfn.MAXIFS(CG$1:CG1,CF$1:CF1,CF2)+1,_xlfn.RANK.EQ(CF2,CF$2:CF$111,0)),"")</f>
        <v/>
      </c>
      <c r="CH2" s="1" t="str">
        <f>IF(ISNUMBER(CF2)=TRUE,IF(_xlfn.RANK.EQ(CF2,$CF$2:$CF$111)&lt;='Tournament Setup'!$B$40,_xlfn.RANK.EQ(CF2,$CF$2:$CF$111),""),"")</f>
        <v/>
      </c>
      <c r="CI2" s="31" t="str">
        <f>IF(AND($G2='Tournament Setup'!$A$40,$E2="M",$CH2&gt;'Tournament Setup'!$B$40),$H2,"")</f>
        <v/>
      </c>
      <c r="CJ2" s="1" t="str">
        <f>IF(ISNUMBER(CI2)=TRUE,IF(_xlfn.RANK.EQ(CI2,$CI$2:$CI$111)&lt;='Tournament Setup'!$C$40,_xlfn.RANK.EQ(CI2,$CI$2:$CI$111),""),"")</f>
        <v/>
      </c>
      <c r="CK2" s="31" t="str">
        <f>IF(AND($G2='Tournament Setup'!$A$40,$E2="F",$CH2&gt;'Tournament Setup'!$B$40),$H2,"")</f>
        <v/>
      </c>
      <c r="CL2" s="12" t="str">
        <f>IF(ISNUMBER(CK2)=TRUE,IF(_xlfn.RANK.EQ(CK2,$CK$2:$CK$111)&lt;='Tournament Setup'!$D$40,_xlfn.RANK.EQ(CK2,$CK$2:$CK$111),""),"")</f>
        <v/>
      </c>
      <c r="CM2" s="30">
        <f>IF($G2='Tournament Setup'!$A$41,$H2,"")</f>
        <v>85</v>
      </c>
      <c r="CN2" s="47">
        <f>IF(ISNUMBER(CM2),IF(COUNTIFS(CN$1:CN1,_xlfn.RANK.EQ(CM2,CM$2:CM$111,0))&gt;0,_xlfn.MAXIFS(CN$1:CN1,CM$1:CM1,CM2)+1,_xlfn.RANK.EQ(CM2,CM$2:CM$111,0)),"")</f>
        <v>1</v>
      </c>
      <c r="CO2" s="1" t="str">
        <f>IF(ISNUMBER(CM2)=TRUE,IF(_xlfn.RANK.EQ(CM2,$CM$2:$CM$111)&lt;='Tournament Setup'!$B$41,_xlfn.RANK.EQ(CM2,$CM$2:$CM$111),""),"")</f>
        <v/>
      </c>
      <c r="CP2" s="31">
        <f>IF(AND($G2='Tournament Setup'!$A$41,$E2="M",$CO2&gt;'Tournament Setup'!$B$41),$H2,"")</f>
        <v>85</v>
      </c>
      <c r="CQ2" s="1">
        <f>IF(ISNUMBER(CP2)=TRUE,IF(_xlfn.RANK.EQ(CP2,$CP$2:$CP$111)&lt;='Tournament Setup'!$C$41,_xlfn.RANK.EQ(CP2,$CP$2:$CP$111),""),"")</f>
        <v>1</v>
      </c>
      <c r="CR2" s="31" t="str">
        <f>IF(AND($G2='Tournament Setup'!$A$41,$E2="F",$CO2&gt;'Tournament Setup'!$B$41),$H2,"")</f>
        <v/>
      </c>
      <c r="CS2" s="12" t="str">
        <f>IF(ISNUMBER(CR2)=TRUE,IF(_xlfn.RANK.EQ(CR2,$CR$2:$CR$111)&lt;='Tournament Setup'!$D$41,_xlfn.RANK.EQ(CR2,$CR$2:$CR$111),""),"")</f>
        <v/>
      </c>
    </row>
    <row r="3" spans="1:97" x14ac:dyDescent="0.3">
      <c r="A3" t="s">
        <v>38</v>
      </c>
      <c r="B3" t="str">
        <f>IFERROR(INDEX('Tournament List'!$B:$B,MATCH($A3,'Tournament List'!$A:$A,0)),"")</f>
        <v>John</v>
      </c>
      <c r="C3" t="str">
        <f>IFERROR(INDEX('Tournament List'!$C:$C,MATCH($A3,'Tournament List'!$A:$A,0)),"")</f>
        <v>Last Name2</v>
      </c>
      <c r="D3" t="str">
        <f t="shared" si="0"/>
        <v>John Last Name2</v>
      </c>
      <c r="E3" s="1" t="str">
        <f>IFERROR(INDEX('Tournament List'!F:F,MATCH($A3,'Tournament List'!$A:$A,0)),"")</f>
        <v>M</v>
      </c>
      <c r="F3" t="str">
        <f>IFERROR(INDEX('Tournament List'!M:M,MATCH($A3,'Tournament List'!$A:$A,0)),"")</f>
        <v>Junior Varsity</v>
      </c>
      <c r="G3" s="1" t="str">
        <f>IFERROR(INDEX('Tournament List'!W:W,MATCH($A3,'Tournament List'!$A:$A,0)),"")</f>
        <v>B</v>
      </c>
      <c r="H3" s="129">
        <f>IFERROR(INDEX('Tournament List'!Z:Z,MATCH($A3,'Tournament List'!$A:$A,0)),"")</f>
        <v>63</v>
      </c>
      <c r="I3" s="152" t="str">
        <f>IFERROR(INDEX('Tournament List'!T:T,MATCH($A3,'Tournament List'!$A:$A,0)),"")</f>
        <v/>
      </c>
      <c r="J3" s="56" t="str">
        <f>IF(ISNUMBER(I3),IF(COUNTIFS(J$1:J2,_xlfn.RANK.EQ(I3,I$2:I$111,0))&gt;0,_xlfn.MAXIFS(J$1:J2,I$1:I2,I3)+1,_xlfn.RANK.EQ(I3,I$2:I$111,0)),"")</f>
        <v/>
      </c>
      <c r="K3" s="11">
        <f t="shared" si="1"/>
        <v>32</v>
      </c>
      <c r="L3" s="56">
        <f>IF(ISNUMBER(H3),IF(COUNTIFS(L$1:L2,_xlfn.RANK.EQ(H3,H$2:H$111,0))&gt;0,_xlfn.MAXIFS(L$1:L2,H$1:H2,H3)+1,_xlfn.RANK.EQ(H3,H$2:H$111,0)),"")</f>
        <v>32</v>
      </c>
      <c r="M3" s="151">
        <f t="shared" si="2"/>
        <v>63</v>
      </c>
      <c r="N3" s="47">
        <f>IF(ISNUMBER(M3),IF(COUNTIFS(N$1:N2,_xlfn.RANK.EQ(M3,M$2:M$111,0))&gt;0,_xlfn.MAXIFS(N$1:N2,M$1:M2,M3)+1,_xlfn.RANK.EQ(M3,M$2:M$111,0)),"")</f>
        <v>30</v>
      </c>
      <c r="O3" s="1" t="str">
        <f>IF(ISNUMBER(M3)=TRUE,IF(_xlfn.RANK.EQ(M3,$M$2:$M$111)&lt;='Tournament Setup'!$B$23,_xlfn.RANK.EQ(M3,$M$2:$M$111),""),"")</f>
        <v/>
      </c>
      <c r="P3" s="150">
        <f t="shared" si="3"/>
        <v>63</v>
      </c>
      <c r="Q3" s="1" t="str">
        <f>IF(ISNUMBER(P3)=TRUE,IF(_xlfn.RANK.EQ(P3,$P$2:$P$111)&lt;='Tournament Setup'!$B$24,_xlfn.RANK.EQ(P3,$P$2:$P$111),""),"")</f>
        <v/>
      </c>
      <c r="R3" s="150" t="str">
        <f t="shared" si="4"/>
        <v/>
      </c>
      <c r="S3" s="12" t="str">
        <f>IF(ISNUMBER(R3)=TRUE,IF(_xlfn.RANK.EQ(R3,$R$2:$R$111)&lt;='Tournament Setup'!$B$25,_xlfn.RANK.EQ(R3,$R$2:$R$111),""),"")</f>
        <v/>
      </c>
      <c r="T3" s="152" t="str">
        <f>IF(AND($F3='Tournament Setup'!$A$29,$I3&lt;&gt;0),$I3,"")</f>
        <v/>
      </c>
      <c r="U3" s="47" t="str">
        <f>IF(ISNUMBER(T3),IF(COUNTIFS(U$1:U2,_xlfn.RANK.EQ(T3,T$2:T$111,0))&gt;0,_xlfn.MAXIFS(U$1:U2,T$1:T2,T3)+1,_xlfn.RANK.EQ(T3,T$2:T$111,0)),"")</f>
        <v/>
      </c>
      <c r="V3" s="1" t="str">
        <f>IF(ISNUMBER(T3)=TRUE,IF(_xlfn.RANK.EQ(T3,$T$3:$T$112)&lt;='Tournament Setup'!$B$46,_xlfn.RANK.EQ(T3,$T$2:$T$111),""),"")</f>
        <v/>
      </c>
      <c r="W3" s="30" t="str">
        <f>IF(AND($F3='Tournament Setup'!$A$29,SUM($O3,$Q3,$S3)=0),$H3,"")</f>
        <v/>
      </c>
      <c r="X3" s="47" t="str">
        <f>IF(ISNUMBER(W3),IF(COUNTIFS(X$1:X2,_xlfn.RANK.EQ(W3,W$2:W$111,0))&gt;0,_xlfn.MAXIFS(X$1:X2,W$1:W2,W3)+1,_xlfn.RANK.EQ(W3,W$2:W$111,0)),"")</f>
        <v/>
      </c>
      <c r="Y3" s="1" t="str">
        <f>IF(ISNUMBER(W3)=TRUE,IF(_xlfn.RANK.EQ(W3,$W$2:$W$111)&lt;='Tournament Setup'!$B$29,_xlfn.RANK.EQ(W3,$W$2:$W$111),""),"")</f>
        <v/>
      </c>
      <c r="Z3" s="31" t="str">
        <f>IF(AND($F3='Tournament Setup'!$A$29,SUM($O3,$Q3)=0,$E3="M",$Y3&gt;'Tournament Setup'!$B$29),$H3,"")</f>
        <v/>
      </c>
      <c r="AA3" s="1" t="str">
        <f>IF(ISNUMBER(Z3)=TRUE,IF(_xlfn.RANK.EQ(Z3,$Z$2:$Z$111)&lt;='Tournament Setup'!$C$29,_xlfn.RANK.EQ(Z3,$Z$2:$Z$111),""),"")</f>
        <v/>
      </c>
      <c r="AB3" s="31" t="str">
        <f>IF(AND($F3='Tournament Setup'!$A$29,SUM($O3,$S3)=0,$E3="F",$Y3&gt;'Tournament Setup'!$B$29),$H3,"")</f>
        <v/>
      </c>
      <c r="AC3" s="12" t="str">
        <f>IF(ISNUMBER(AB3)=TRUE,IF(_xlfn.RANK.EQ(AB3,$AB$2:$AB$111)&lt;='Tournament Setup'!$D$29,_xlfn.RANK.EQ(AB3,$AB$2:$AB$111),""),"")</f>
        <v/>
      </c>
      <c r="AD3" s="30" t="str">
        <f>IF(AND($F3='Tournament Setup'!$A$30,$I3&lt;&gt;0),$I3,"")</f>
        <v/>
      </c>
      <c r="AE3" s="47" t="str">
        <f>IF(ISNUMBER(AD3),IF(COUNTIFS(AE$1:AE2,_xlfn.RANK.EQ(AD3,AD$2:AD$111,0))&gt;0,_xlfn.MAXIFS(AE$1:AE2,AD$1:AD2,AD3)+1,_xlfn.RANK.EQ(AD3,AD$2:AD$111,0)),"")</f>
        <v/>
      </c>
      <c r="AF3" s="1" t="str">
        <f>IF(ISNUMBER(AD3)=TRUE,IF(_xlfn.RANK.EQ(AD3,$AD$2:$AD$111)&lt;='Tournament Setup'!$B$46,_xlfn.RANK.EQ(AD3,$AD$2:$AD$111),""),"")</f>
        <v/>
      </c>
      <c r="AG3" s="30" t="str">
        <f>IF(AND($F3='Tournament Setup'!$A$30,SUM($O3,$Q3,$S3)=0),$H3,"")</f>
        <v/>
      </c>
      <c r="AH3" s="47" t="str">
        <f>IF(ISNUMBER(AG3),IF(COUNTIFS(AH$1:AH2,_xlfn.RANK.EQ(AG3,AG$2:AG$111,0))&gt;0,_xlfn.MAXIFS(AH$1:AH2,AG$1:AG2,AG3)+1,_xlfn.RANK.EQ(AG3,AG$2:AG$111,0)),"")</f>
        <v/>
      </c>
      <c r="AI3" s="1" t="str">
        <f>IF(ISNUMBER(AG3)=TRUE,IF(_xlfn.RANK.EQ(AG3,$AG$2:$AG$111)&lt;='Tournament Setup'!$B$30,_xlfn.RANK.EQ(AG3,$AG$2:$AG$111),""),"")</f>
        <v/>
      </c>
      <c r="AJ3" s="31" t="str">
        <f>IF(AND($F3='Tournament Setup'!$A$30,SUM($O3,$Q3)=0,$E3="M",$AI3&gt;'Tournament Setup'!$B$30),$H3,"")</f>
        <v/>
      </c>
      <c r="AK3" s="1" t="str">
        <f>IF(ISNUMBER(AJ3)=TRUE,IF(_xlfn.RANK.EQ(AJ3,$AJ$2:$AJ$111)&lt;='Tournament Setup'!$C$30,_xlfn.RANK.EQ(AJ3,$AJ$2:$AJ$111),""),"")</f>
        <v/>
      </c>
      <c r="AL3" s="31" t="str">
        <f>IF(AND($F3='Tournament Setup'!$A$30,SUM($O3,$S3)=0,$E3="F",$AI3&gt;'Tournament Setup'!$B$30),$H3,"")</f>
        <v/>
      </c>
      <c r="AM3" s="12" t="str">
        <f>IF(ISNUMBER(AL3)=TRUE,IF(_xlfn.RANK.EQ(AL3,$AL$2:$AL$111)&lt;='Tournament Setup'!$D$30,_xlfn.RANK.EQ(AL3,$AL$2:$AL$111),""),"")</f>
        <v/>
      </c>
      <c r="AN3" s="30" t="str">
        <f>IF(AND($F3='Tournament Setup'!$A$31,$I3&lt;&gt;0),$I3,"")</f>
        <v/>
      </c>
      <c r="AO3" s="47" t="str">
        <f>IF(ISNUMBER(AN3),IF(COUNTIFS(AO$1:AO2,_xlfn.RANK.EQ(AN3,AN$2:AN$111,0))&gt;0,_xlfn.MAXIFS(AO$1:AO2,AN$1:AN2,AN3)+1,_xlfn.RANK.EQ(AN3,AN$2:AN$111,0)),"")</f>
        <v/>
      </c>
      <c r="AP3" s="1" t="str">
        <f>IF(ISNUMBER(AN3)=TRUE,IF(_xlfn.RANK.EQ(AN3,$AN$2:$AN$111)&lt;='Tournament Setup'!$B$46,_xlfn.RANK.EQ(AN3,$AN$2:$AN$111),""),"")</f>
        <v/>
      </c>
      <c r="AQ3" s="30">
        <f>IF(AND($F3='Tournament Setup'!$A$31,SUM($O3,$Q3,$S3)=0),$H3,"")</f>
        <v>63</v>
      </c>
      <c r="AR3" s="47">
        <f>IF(ISNUMBER(AQ3),IF(COUNTIFS(AR$1:AR2,_xlfn.RANK.EQ(AQ3,AQ$2:AQ$111,0))&gt;0,_xlfn.MAXIFS(AR$1:AR2,AQ$1:AQ2,AQ3)+1,_xlfn.RANK.EQ(AQ3,AQ$2:AQ$111,0)),"")</f>
        <v>6</v>
      </c>
      <c r="AS3" s="1" t="str">
        <f>IF(ISNUMBER(AQ3)=TRUE,IF(_xlfn.RANK.EQ(AQ3,$AQ$2:$AQ$111)&lt;='Tournament Setup'!$B$31,_xlfn.RANK.EQ(AQ3,$AQ$2:$AQ$111),""),"")</f>
        <v/>
      </c>
      <c r="AT3" s="31">
        <f>IF(AND($F3='Tournament Setup'!$A$31,SUM($O3,$Q3)=0,$E3="M",$AS3&gt;'Tournament Setup'!$B$31),$H3,"")</f>
        <v>63</v>
      </c>
      <c r="AU3" s="1" t="str">
        <f>IF(ISNUMBER(AT3)=TRUE,IF(_xlfn.RANK.EQ(AT3,$AT$2:$AT$111)&lt;='Tournament Setup'!$C$31,_xlfn.RANK.EQ(AT3,$AT$2:$AT$111),""),"")</f>
        <v/>
      </c>
      <c r="AV3" s="31" t="str">
        <f>IF(AND($F3='Tournament Setup'!$A$31,SUM($O3,$S3)=0,$E3="F",$AS3&gt;'Tournament Setup'!$B$31),$H3,"")</f>
        <v/>
      </c>
      <c r="AW3" s="12" t="str">
        <f>IF(ISNUMBER(AV3)=TRUE,IF(_xlfn.RANK.EQ(AV3,$AV$2:$AV$111)&lt;='Tournament Setup'!$D$31,_xlfn.RANK.EQ(AV3,$AV$2:$AV$111),""),"")</f>
        <v/>
      </c>
      <c r="AX3" s="30" t="str">
        <f>IF(AND($F3='Tournament Setup'!$A$32,$I3&lt;&gt;0),$I3,"")</f>
        <v/>
      </c>
      <c r="AY3" s="47" t="str">
        <f>IF(ISNUMBER(AX3),IF(COUNTIFS(AY$1:AY2,_xlfn.RANK.EQ(AX3,AX$2:AX$111,0))&gt;0,_xlfn.MAXIFS(AY$1:AY2,AX$1:AX2,AX3)+1,_xlfn.RANK.EQ(AX3,AX$2:AX$111,0)),"")</f>
        <v/>
      </c>
      <c r="AZ3" s="1" t="str">
        <f>IF(ISNUMBER(AX3)=TRUE,IF(_xlfn.RANK.EQ(AX3,$AX$2:$AX$111)&lt;='Tournament Setup'!$B$46,_xlfn.RANK.EQ(AX3,$AX$2:$AX$111),""),"")</f>
        <v/>
      </c>
      <c r="BA3" s="30" t="str">
        <f>IF(AND($F3='Tournament Setup'!$A$32,SUM($O3,$Q3,$S3)=0),$H3,"")</f>
        <v/>
      </c>
      <c r="BB3" s="47" t="str">
        <f>IF(ISNUMBER(BA3),IF(COUNTIFS(BB$1:BB2,_xlfn.RANK.EQ(BA3,BA$2:BA$111,0))&gt;0,_xlfn.MAXIFS(BB$1:BB2,BA$1:BA2,BA3)+1,_xlfn.RANK.EQ(BA3,BA$2:BA$111,0)),"")</f>
        <v/>
      </c>
      <c r="BC3" s="1" t="str">
        <f>IF(ISNUMBER(BA3)=TRUE,IF(_xlfn.RANK.EQ(BA3,$BA$2:$BA$111)&lt;='Tournament Setup'!$B$32,_xlfn.RANK.EQ(BA3,$BA$2:$BA$111),""),"")</f>
        <v/>
      </c>
      <c r="BD3" s="31" t="str">
        <f>IF(AND($F3='Tournament Setup'!$A$32,SUM($O3,$Q3)=0,$E3="M",$BC3&gt;'Tournament Setup'!$B$32),$H3,"")</f>
        <v/>
      </c>
      <c r="BE3" s="1" t="str">
        <f>IF(ISNUMBER(BD3)=TRUE,IF(_xlfn.RANK.EQ(BD3,$BD$2:$BD$111)&lt;='Tournament Setup'!$C$32,_xlfn.RANK.EQ(BD3,$BD$2:$BD$111),""),"")</f>
        <v/>
      </c>
      <c r="BF3" s="31" t="str">
        <f>IF(AND($F3='Tournament Setup'!$A$32,SUM($O3,$S3)=0,$E3="F",$BC3&gt;'Tournament Setup'!$B$32),$H3,"")</f>
        <v/>
      </c>
      <c r="BG3" s="12" t="str">
        <f>IF(ISNUMBER(BF3)=TRUE,IF(_xlfn.RANK.EQ(BF3,$BF$2:$BF$111)&lt;='Tournament Setup'!$D$32,_xlfn.RANK.EQ(BF3,$BF$2:$BF$111),""),"")</f>
        <v/>
      </c>
      <c r="BH3" s="30" t="str">
        <f>IF(AND($F3='Tournament Setup'!$A$33,$I3&lt;&gt;0),$I3,"")</f>
        <v/>
      </c>
      <c r="BI3" s="47" t="str">
        <f>IF(ISNUMBER(BH3),IF(COUNTIFS(BI$1:BI2,_xlfn.RANK.EQ(BH3,BH$2:BH$111,0))&gt;0,_xlfn.MAXIFS(BI$1:BI2,BH$1:BH2,BH3)+1,_xlfn.RANK.EQ(BH3,BH$2:BH$111,0)),"")</f>
        <v/>
      </c>
      <c r="BJ3" s="1" t="str">
        <f>IF(ISNUMBER(BH3)=TRUE,IF(_xlfn.RANK.EQ(BH3,$BH$2:$BH$111)&lt;='Tournament Setup'!$B$46,_xlfn.RANK.EQ(BH3,$BH$2:$BH$111),""),"")</f>
        <v/>
      </c>
      <c r="BK3" s="30" t="str">
        <f>IF(AND($F3='Tournament Setup'!$A$33,SUM($O3,$Q3,$S3)=0),$H3,"")</f>
        <v/>
      </c>
      <c r="BL3" s="47" t="str">
        <f>IF(ISNUMBER(BK3),IF(COUNTIFS(BL$1:BL2,_xlfn.RANK.EQ(BK3,BK$2:BK$111,0))&gt;0,_xlfn.MAXIFS(BL$1:BL2,BK$1:BK2,BK3)+1,_xlfn.RANK.EQ(BK3,BK$2:BK$111,0)),"")</f>
        <v/>
      </c>
      <c r="BM3" s="1" t="str">
        <f>IF(ISNUMBER(BK3)=TRUE,IF(_xlfn.RANK.EQ(BK3,$BK$2:$BK$111)&lt;='Tournament Setup'!$B$33,_xlfn.RANK.EQ(BK3,$BK$2:$BK$111),""),"")</f>
        <v/>
      </c>
      <c r="BN3" s="31" t="str">
        <f>IF(AND($F3='Tournament Setup'!$A$33,SUM($O3,$Q3)=0,$E3="M",$BM3&gt;'Tournament Setup'!$B$33),$H3,"")</f>
        <v/>
      </c>
      <c r="BO3" s="1" t="str">
        <f>IF(ISNUMBER(BN3)=TRUE,IF(_xlfn.RANK.EQ(BN3,$BN$2:$BN$111)&lt;='Tournament Setup'!$C$33,_xlfn.RANK.EQ(BN3,$BN$2:$BN$111),""),"")</f>
        <v/>
      </c>
      <c r="BP3" s="31" t="str">
        <f>IF(AND($F3='Tournament Setup'!$A$33,SUM($O3,$S3)=0,$E3="F",$BM3&gt;'Tournament Setup'!$B$33),$H3,"")</f>
        <v/>
      </c>
      <c r="BQ3" s="12" t="str">
        <f>IF(ISNUMBER(BP3)=TRUE,IF(_xlfn.RANK.EQ(BP3,$BP$2:$BP$111)&lt;='Tournament Setup'!$D$33,_xlfn.RANK.EQ(BP3,$BP$2:$BP$111),""),"")</f>
        <v/>
      </c>
      <c r="BR3" s="30" t="str">
        <f>IF($G3='Tournament Setup'!$A$38,$H3,"")</f>
        <v/>
      </c>
      <c r="BS3" s="47" t="str">
        <f>IF(ISNUMBER(BR3),IF(COUNTIFS(BS$1:BS2,_xlfn.RANK.EQ(BR3,BR$2:BR$111,0))&gt;0,_xlfn.MAXIFS(BS$1:BS2,BR$1:BR2,BR3)+1,_xlfn.RANK.EQ(BR3,BR$2:BR$111,0)),"")</f>
        <v/>
      </c>
      <c r="BT3" s="1" t="str">
        <f>IF(ISNUMBER(BR3)=TRUE,IF(_xlfn.RANK.EQ(BR3,$BR$2:$BR$111)&lt;='Tournament Setup'!$B$38,_xlfn.RANK.EQ(BR3,$BR$2:$BR$111),""),"")</f>
        <v/>
      </c>
      <c r="BU3" s="31" t="str">
        <f>IF(AND($G3='Tournament Setup'!$A$38,$E3="M",$BT3&gt;'Tournament Setup'!$B$38),$H3,"")</f>
        <v/>
      </c>
      <c r="BV3" s="1" t="str">
        <f>IF(ISNUMBER(BU3)=TRUE,IF(_xlfn.RANK.EQ(BU3,$BU$2:$BU$111)&lt;='Tournament Setup'!$C$38,_xlfn.RANK.EQ(BU3,$BU$2:$BU$111),""),"")</f>
        <v/>
      </c>
      <c r="BW3" s="31" t="str">
        <f>IF(AND($G3='Tournament Setup'!$A$38,$E3="F",$BT3&gt;'Tournament Setup'!$B$38),$H3,"")</f>
        <v/>
      </c>
      <c r="BX3" s="12" t="str">
        <f>IF(ISNUMBER(BW3)=TRUE,IF(_xlfn.RANK.EQ(BW3,$BW$2:$BW$111)&lt;='Tournament Setup'!$D$38,_xlfn.RANK.EQ(BW3,$BW$2:$BW$111),""),"")</f>
        <v/>
      </c>
      <c r="BY3" s="30">
        <f>IF($G3='Tournament Setup'!$A$39,$H3,"")</f>
        <v>63</v>
      </c>
      <c r="BZ3" s="47">
        <f>IF(ISNUMBER(BY3),IF(COUNTIFS(BZ$1:BZ2,_xlfn.RANK.EQ(BY3,BY$2:BY$111,0))&gt;0,_xlfn.MAXIFS(BZ$1:BZ2,BY$1:BY2,BY3)+1,_xlfn.RANK.EQ(BY3,BY$2:BY$111,0)),"")</f>
        <v>14</v>
      </c>
      <c r="CA3" s="1" t="str">
        <f>IF(ISNUMBER(BY3)=TRUE,IF(_xlfn.RANK.EQ(BY3,$BY$2:$BY$111)&lt;='Tournament Setup'!$B$39,_xlfn.RANK.EQ(BY3,$BY$2:$BY$111),""),"")</f>
        <v/>
      </c>
      <c r="CB3" s="31">
        <f>IF(AND($G3='Tournament Setup'!$A$39,$E3="M",$CA3&gt;'Tournament Setup'!$B$39),$H3,"")</f>
        <v>63</v>
      </c>
      <c r="CC3" s="1" t="str">
        <f>IF(ISNUMBER(CB3)=TRUE,IF(_xlfn.RANK.EQ(CB3,$CB$2:$CB$111)&lt;='Tournament Setup'!$C$39,_xlfn.RANK.EQ(CB3,$CB$2:$CB$111),""),"")</f>
        <v/>
      </c>
      <c r="CD3" s="31" t="str">
        <f>IF(AND($G3='Tournament Setup'!$A$39,$E3="F",$CA3&gt;'Tournament Setup'!$B$39),$H3,"")</f>
        <v/>
      </c>
      <c r="CE3" s="12" t="str">
        <f>IF(ISNUMBER(CD3)=TRUE,IF(_xlfn.RANK.EQ(CD3,$CD$2:$CD$111)&lt;='Tournament Setup'!$D$39,_xlfn.RANK.EQ(CD3,$CD$2:$CD$111),""),"")</f>
        <v/>
      </c>
      <c r="CF3" s="30" t="str">
        <f>IF($G3='Tournament Setup'!$A$40,$H3,"")</f>
        <v/>
      </c>
      <c r="CG3" s="47" t="str">
        <f>IF(ISNUMBER(CF3),IF(COUNTIFS(CG$1:CG2,_xlfn.RANK.EQ(CF3,CF$2:CF$111,0))&gt;0,_xlfn.MAXIFS(CG$1:CG2,CF$1:CF2,CF3)+1,_xlfn.RANK.EQ(CF3,CF$2:CF$111,0)),"")</f>
        <v/>
      </c>
      <c r="CH3" s="1" t="str">
        <f>IF(ISNUMBER(CF3)=TRUE,IF(_xlfn.RANK.EQ(CF3,$CF$2:$CF$111)&lt;='Tournament Setup'!$B$40,_xlfn.RANK.EQ(CF3,$CF$2:$CF$111),""),"")</f>
        <v/>
      </c>
      <c r="CI3" s="31" t="str">
        <f>IF(AND($G3='Tournament Setup'!$A$40,$E3="M",$CH3&gt;'Tournament Setup'!$B$40),$H3,"")</f>
        <v/>
      </c>
      <c r="CJ3" s="1" t="str">
        <f>IF(ISNUMBER(CI3)=TRUE,IF(_xlfn.RANK.EQ(CI3,$CI$2:$CI$111)&lt;='Tournament Setup'!$C$40,_xlfn.RANK.EQ(CI3,$CI$2:$CI$111),""),"")</f>
        <v/>
      </c>
      <c r="CK3" s="31" t="str">
        <f>IF(AND($G3='Tournament Setup'!$A$40,$E3="F",$CH3&gt;'Tournament Setup'!$B$40),$H3,"")</f>
        <v/>
      </c>
      <c r="CL3" s="12" t="str">
        <f>IF(ISNUMBER(CK3)=TRUE,IF(_xlfn.RANK.EQ(CK3,$CK$2:$CK$111)&lt;='Tournament Setup'!$D$40,_xlfn.RANK.EQ(CK3,$CK$2:$CK$111),""),"")</f>
        <v/>
      </c>
      <c r="CM3" s="30" t="str">
        <f>IF($G3='Tournament Setup'!$A$41,$H3,"")</f>
        <v/>
      </c>
      <c r="CN3" s="47" t="str">
        <f>IF(ISNUMBER(CM3),IF(COUNTIFS(CN$1:CN2,_xlfn.RANK.EQ(CM3,CM$2:CM$111,0))&gt;0,_xlfn.MAXIFS(CN$1:CN2,CM$1:CM2,CM3)+1,_xlfn.RANK.EQ(CM3,CM$2:CM$111,0)),"")</f>
        <v/>
      </c>
      <c r="CO3" s="1" t="str">
        <f>IF(ISNUMBER(CM3)=TRUE,IF(_xlfn.RANK.EQ(CM3,$CM$2:$CM$111)&lt;='Tournament Setup'!$B$41,_xlfn.RANK.EQ(CM3,$CM$2:$CM$111),""),"")</f>
        <v/>
      </c>
      <c r="CP3" s="31" t="str">
        <f>IF(AND($G3='Tournament Setup'!$A$41,$E3="M",$CO3&gt;'Tournament Setup'!$B$41),$H3,"")</f>
        <v/>
      </c>
      <c r="CQ3" s="1" t="str">
        <f>IF(ISNUMBER(CP3)=TRUE,IF(_xlfn.RANK.EQ(CP3,$CP$2:$CP$111)&lt;='Tournament Setup'!$C$41,_xlfn.RANK.EQ(CP3,$CP$2:$CP$111),""),"")</f>
        <v/>
      </c>
      <c r="CR3" s="31" t="str">
        <f>IF(AND($G3='Tournament Setup'!$A$41,$E3="F",$CO3&gt;'Tournament Setup'!$B$41),$H3,"")</f>
        <v/>
      </c>
      <c r="CS3" s="12" t="str">
        <f>IF(ISNUMBER(CR3)=TRUE,IF(_xlfn.RANK.EQ(CR3,$CR$2:$CR$111)&lt;='Tournament Setup'!$D$41,_xlfn.RANK.EQ(CR3,$CR$2:$CR$111),""),"")</f>
        <v/>
      </c>
    </row>
    <row r="4" spans="1:97" x14ac:dyDescent="0.3">
      <c r="A4" t="s">
        <v>39</v>
      </c>
      <c r="B4" t="str">
        <f>IFERROR(INDEX('Tournament List'!$B:$B,MATCH($A4,'Tournament List'!$A:$A,0)),"")</f>
        <v>Cathy</v>
      </c>
      <c r="C4" t="str">
        <f>IFERROR(INDEX('Tournament List'!$C:$C,MATCH($A4,'Tournament List'!$A:$A,0)),"")</f>
        <v>Last Name3</v>
      </c>
      <c r="D4" t="str">
        <f t="shared" si="0"/>
        <v>Cathy Last Name3</v>
      </c>
      <c r="E4" s="1" t="str">
        <f>IFERROR(INDEX('Tournament List'!F:F,MATCH($A4,'Tournament List'!$A:$A,0)),"")</f>
        <v>F</v>
      </c>
      <c r="F4" t="str">
        <f>IFERROR(INDEX('Tournament List'!M:M,MATCH($A4,'Tournament List'!$A:$A,0)),"")</f>
        <v>Novice</v>
      </c>
      <c r="G4" s="1" t="str">
        <f>IFERROR(INDEX('Tournament List'!W:W,MATCH($A4,'Tournament List'!$A:$A,0)),"")</f>
        <v>B</v>
      </c>
      <c r="H4" s="129">
        <f>IFERROR(INDEX('Tournament List'!Z:Z,MATCH($A4,'Tournament List'!$A:$A,0)),"")</f>
        <v>96</v>
      </c>
      <c r="I4" s="152" t="str">
        <f>IFERROR(INDEX('Tournament List'!T:T,MATCH($A4,'Tournament List'!$A:$A,0)),"")</f>
        <v/>
      </c>
      <c r="J4" s="56" t="str">
        <f>IF(ISNUMBER(I4),IF(COUNTIFS(J$1:J3,_xlfn.RANK.EQ(I4,I$2:I$111,0))&gt;0,_xlfn.MAXIFS(J$1:J3,I$1:I3,I4)+1,_xlfn.RANK.EQ(I4,I$2:I$111,0)),"")</f>
        <v/>
      </c>
      <c r="K4" s="11">
        <f t="shared" si="1"/>
        <v>3</v>
      </c>
      <c r="L4" s="56">
        <f>IF(ISNUMBER(H4),IF(COUNTIFS(L$1:L3,_xlfn.RANK.EQ(H4,H$2:H$111,0))&gt;0,_xlfn.MAXIFS(L$1:L3,H$1:H3,H4)+1,_xlfn.RANK.EQ(H4,H$2:H$111,0)),"")</f>
        <v>3</v>
      </c>
      <c r="M4" s="151">
        <f t="shared" si="2"/>
        <v>96</v>
      </c>
      <c r="N4" s="47">
        <f>IF(ISNUMBER(M4),IF(COUNTIFS(N$1:N3,_xlfn.RANK.EQ(M4,M$2:M$111,0))&gt;0,_xlfn.MAXIFS(N$1:N3,M$1:M3,M4)+1,_xlfn.RANK.EQ(M4,M$2:M$111,0)),"")</f>
        <v>3</v>
      </c>
      <c r="O4" s="1" t="str">
        <f>IF(ISNUMBER(M4)=TRUE,IF(_xlfn.RANK.EQ(M4,$M$2:$M$111)&lt;='Tournament Setup'!$B$23,_xlfn.RANK.EQ(M4,$M$2:$M$111),""),"")</f>
        <v/>
      </c>
      <c r="P4" s="150" t="str">
        <f t="shared" si="3"/>
        <v/>
      </c>
      <c r="Q4" s="1" t="str">
        <f>IF(ISNUMBER(P4)=TRUE,IF(_xlfn.RANK.EQ(P4,$P$2:$P$111)&lt;='Tournament Setup'!$B$24,_xlfn.RANK.EQ(P4,$P$2:$P$111),""),"")</f>
        <v/>
      </c>
      <c r="R4" s="150">
        <f t="shared" si="4"/>
        <v>96</v>
      </c>
      <c r="S4" s="12">
        <f>IF(ISNUMBER(R4)=TRUE,IF(_xlfn.RANK.EQ(R4,$R$2:$R$111)&lt;='Tournament Setup'!$B$25,_xlfn.RANK.EQ(R4,$R$2:$R$111),""),"")</f>
        <v>1</v>
      </c>
      <c r="T4" s="152" t="str">
        <f>IF(AND($F4='Tournament Setup'!$A$29,$I4&lt;&gt;0),$I4,"")</f>
        <v/>
      </c>
      <c r="U4" s="47" t="str">
        <f>IF(ISNUMBER(T4),IF(COUNTIFS(U$1:U3,_xlfn.RANK.EQ(T4,T$2:T$111,0))&gt;0,_xlfn.MAXIFS(U$1:U3,T$1:T3,T4)+1,_xlfn.RANK.EQ(T4,T$2:T$111,0)),"")</f>
        <v/>
      </c>
      <c r="V4" s="1" t="str">
        <f>IF(ISNUMBER(T4)=TRUE,IF(_xlfn.RANK.EQ(T4,$T$3:$T$112)&lt;='Tournament Setup'!$B$46,_xlfn.RANK.EQ(T4,$T$2:$T$111),""),"")</f>
        <v/>
      </c>
      <c r="W4" s="30" t="str">
        <f>IF(AND($F4='Tournament Setup'!$A$29,SUM($O4,$Q4,$S4)=0),$H4,"")</f>
        <v/>
      </c>
      <c r="X4" s="47" t="str">
        <f>IF(ISNUMBER(W4),IF(COUNTIFS(X$1:X3,_xlfn.RANK.EQ(W4,W$2:W$111,0))&gt;0,_xlfn.MAXIFS(X$1:X3,W$1:W3,W4)+1,_xlfn.RANK.EQ(W4,W$2:W$111,0)),"")</f>
        <v/>
      </c>
      <c r="Y4" s="1" t="str">
        <f>IF(ISNUMBER(W4)=TRUE,IF(_xlfn.RANK.EQ(W4,$W$2:$W$111)&lt;='Tournament Setup'!$B$29,_xlfn.RANK.EQ(W4,$W$2:$W$111),""),"")</f>
        <v/>
      </c>
      <c r="Z4" s="31" t="str">
        <f>IF(AND($F4='Tournament Setup'!$A$29,SUM($O4,$Q4)=0,$E4="M",$Y4&gt;'Tournament Setup'!$B$29),$H4,"")</f>
        <v/>
      </c>
      <c r="AA4" s="1" t="str">
        <f>IF(ISNUMBER(Z4)=TRUE,IF(_xlfn.RANK.EQ(Z4,$Z$2:$Z$111)&lt;='Tournament Setup'!$C$29,_xlfn.RANK.EQ(Z4,$Z$2:$Z$111),""),"")</f>
        <v/>
      </c>
      <c r="AB4" s="31" t="str">
        <f>IF(AND($F4='Tournament Setup'!$A$29,SUM($O4,$S4)=0,$E4="F",$Y4&gt;'Tournament Setup'!$B$29),$H4,"")</f>
        <v/>
      </c>
      <c r="AC4" s="12" t="str">
        <f>IF(ISNUMBER(AB4)=TRUE,IF(_xlfn.RANK.EQ(AB4,$AB$2:$AB$111)&lt;='Tournament Setup'!$D$29,_xlfn.RANK.EQ(AB4,$AB$2:$AB$111),""),"")</f>
        <v/>
      </c>
      <c r="AD4" s="30" t="str">
        <f>IF(AND($F4='Tournament Setup'!$A$30,$I4&lt;&gt;0),$I4,"")</f>
        <v/>
      </c>
      <c r="AE4" s="47" t="str">
        <f>IF(ISNUMBER(AD4),IF(COUNTIFS(AE$1:AE3,_xlfn.RANK.EQ(AD4,AD$2:AD$111,0))&gt;0,_xlfn.MAXIFS(AE$1:AE3,AD$1:AD3,AD4)+1,_xlfn.RANK.EQ(AD4,AD$2:AD$111,0)),"")</f>
        <v/>
      </c>
      <c r="AF4" s="1" t="str">
        <f>IF(ISNUMBER(AD4)=TRUE,IF(_xlfn.RANK.EQ(AD4,$AD$2:$AD$111)&lt;='Tournament Setup'!$B$46,_xlfn.RANK.EQ(AD4,$AD$2:$AD$111),""),"")</f>
        <v/>
      </c>
      <c r="AG4" s="30" t="str">
        <f>IF(AND($F4='Tournament Setup'!$A$30,SUM($O4,$Q4,$S4)=0),$H4,"")</f>
        <v/>
      </c>
      <c r="AH4" s="47" t="str">
        <f>IF(ISNUMBER(AG4),IF(COUNTIFS(AH$1:AH3,_xlfn.RANK.EQ(AG4,AG$2:AG$111,0))&gt;0,_xlfn.MAXIFS(AH$1:AH3,AG$1:AG3,AG4)+1,_xlfn.RANK.EQ(AG4,AG$2:AG$111,0)),"")</f>
        <v/>
      </c>
      <c r="AI4" s="1" t="str">
        <f>IF(ISNUMBER(AG4)=TRUE,IF(_xlfn.RANK.EQ(AG4,$AG$2:$AG$111)&lt;='Tournament Setup'!$B$30,_xlfn.RANK.EQ(AG4,$AG$2:$AG$111),""),"")</f>
        <v/>
      </c>
      <c r="AJ4" s="31" t="str">
        <f>IF(AND($F4='Tournament Setup'!$A$30,SUM($O4,$Q4)=0,$E4="M",$AI4&gt;'Tournament Setup'!$B$30),$H4,"")</f>
        <v/>
      </c>
      <c r="AK4" s="1" t="str">
        <f>IF(ISNUMBER(AJ4)=TRUE,IF(_xlfn.RANK.EQ(AJ4,$AJ$2:$AJ$111)&lt;='Tournament Setup'!$C$30,_xlfn.RANK.EQ(AJ4,$AJ$2:$AJ$111),""),"")</f>
        <v/>
      </c>
      <c r="AL4" s="31" t="str">
        <f>IF(AND($F4='Tournament Setup'!$A$30,SUM($O4,$S4)=0,$E4="F",$AI4&gt;'Tournament Setup'!$B$30),$H4,"")</f>
        <v/>
      </c>
      <c r="AM4" s="12" t="str">
        <f>IF(ISNUMBER(AL4)=TRUE,IF(_xlfn.RANK.EQ(AL4,$AL$2:$AL$111)&lt;='Tournament Setup'!$D$30,_xlfn.RANK.EQ(AL4,$AL$2:$AL$111),""),"")</f>
        <v/>
      </c>
      <c r="AN4" s="30" t="str">
        <f>IF(AND($F4='Tournament Setup'!$A$31,$I4&lt;&gt;0),$I4,"")</f>
        <v/>
      </c>
      <c r="AO4" s="47" t="str">
        <f>IF(ISNUMBER(AN4),IF(COUNTIFS(AO$1:AO3,_xlfn.RANK.EQ(AN4,AN$2:AN$111,0))&gt;0,_xlfn.MAXIFS(AO$1:AO3,AN$1:AN3,AN4)+1,_xlfn.RANK.EQ(AN4,AN$2:AN$111,0)),"")</f>
        <v/>
      </c>
      <c r="AP4" s="1" t="str">
        <f>IF(ISNUMBER(AN4)=TRUE,IF(_xlfn.RANK.EQ(AN4,$AN$2:$AN$111)&lt;='Tournament Setup'!$B$46,_xlfn.RANK.EQ(AN4,$AN$2:$AN$111),""),"")</f>
        <v/>
      </c>
      <c r="AQ4" s="30" t="str">
        <f>IF(AND($F4='Tournament Setup'!$A$31,SUM($O4,$Q4,$S4)=0),$H4,"")</f>
        <v/>
      </c>
      <c r="AR4" s="47" t="str">
        <f>IF(ISNUMBER(AQ4),IF(COUNTIFS(AR$1:AR3,_xlfn.RANK.EQ(AQ4,AQ$2:AQ$111,0))&gt;0,_xlfn.MAXIFS(AR$1:AR3,AQ$1:AQ3,AQ4)+1,_xlfn.RANK.EQ(AQ4,AQ$2:AQ$111,0)),"")</f>
        <v/>
      </c>
      <c r="AS4" s="1" t="str">
        <f>IF(ISNUMBER(AQ4)=TRUE,IF(_xlfn.RANK.EQ(AQ4,$AQ$2:$AQ$111)&lt;='Tournament Setup'!$B$31,_xlfn.RANK.EQ(AQ4,$AQ$2:$AQ$111),""),"")</f>
        <v/>
      </c>
      <c r="AT4" s="31" t="str">
        <f>IF(AND($F4='Tournament Setup'!$A$31,SUM($O4,$Q4)=0,$E4="M",$AS4&gt;'Tournament Setup'!$B$31),$H4,"")</f>
        <v/>
      </c>
      <c r="AU4" s="1" t="str">
        <f>IF(ISNUMBER(AT4)=TRUE,IF(_xlfn.RANK.EQ(AT4,$AT$2:$AT$111)&lt;='Tournament Setup'!$C$31,_xlfn.RANK.EQ(AT4,$AT$2:$AT$111),""),"")</f>
        <v/>
      </c>
      <c r="AV4" s="31" t="str">
        <f>IF(AND($F4='Tournament Setup'!$A$31,SUM($O4,$S4)=0,$E4="F",$AS4&gt;'Tournament Setup'!$B$31),$H4,"")</f>
        <v/>
      </c>
      <c r="AW4" s="12" t="str">
        <f>IF(ISNUMBER(AV4)=TRUE,IF(_xlfn.RANK.EQ(AV4,$AV$2:$AV$111)&lt;='Tournament Setup'!$D$31,_xlfn.RANK.EQ(AV4,$AV$2:$AV$111),""),"")</f>
        <v/>
      </c>
      <c r="AX4" s="30" t="str">
        <f>IF(AND($F4='Tournament Setup'!$A$32,$I4&lt;&gt;0),$I4,"")</f>
        <v/>
      </c>
      <c r="AY4" s="47" t="str">
        <f>IF(ISNUMBER(AX4),IF(COUNTIFS(AY$1:AY3,_xlfn.RANK.EQ(AX4,AX$2:AX$111,0))&gt;0,_xlfn.MAXIFS(AY$1:AY3,AX$1:AX3,AX4)+1,_xlfn.RANK.EQ(AX4,AX$2:AX$111,0)),"")</f>
        <v/>
      </c>
      <c r="AZ4" s="1" t="str">
        <f>IF(ISNUMBER(AX4)=TRUE,IF(_xlfn.RANK.EQ(AX4,$AX$2:$AX$111)&lt;='Tournament Setup'!$B$46,_xlfn.RANK.EQ(AX4,$AX$2:$AX$111),""),"")</f>
        <v/>
      </c>
      <c r="BA4" s="30" t="str">
        <f>IF(AND($F4='Tournament Setup'!$A$32,SUM($O4,$Q4,$S4)=0),$H4,"")</f>
        <v/>
      </c>
      <c r="BB4" s="47" t="str">
        <f>IF(ISNUMBER(BA4),IF(COUNTIFS(BB$1:BB3,_xlfn.RANK.EQ(BA4,BA$2:BA$111,0))&gt;0,_xlfn.MAXIFS(BB$1:BB3,BA$1:BA3,BA4)+1,_xlfn.RANK.EQ(BA4,BA$2:BA$111,0)),"")</f>
        <v/>
      </c>
      <c r="BC4" s="1" t="str">
        <f>IF(ISNUMBER(BA4)=TRUE,IF(_xlfn.RANK.EQ(BA4,$BA$2:$BA$111)&lt;='Tournament Setup'!$B$32,_xlfn.RANK.EQ(BA4,$BA$2:$BA$111),""),"")</f>
        <v/>
      </c>
      <c r="BD4" s="31" t="str">
        <f>IF(AND($F4='Tournament Setup'!$A$32,SUM($O4,$Q4)=0,$E4="M",$BC4&gt;'Tournament Setup'!$B$32),$H4,"")</f>
        <v/>
      </c>
      <c r="BE4" s="1" t="str">
        <f>IF(ISNUMBER(BD4)=TRUE,IF(_xlfn.RANK.EQ(BD4,$BD$2:$BD$111)&lt;='Tournament Setup'!$C$32,_xlfn.RANK.EQ(BD4,$BD$2:$BD$111),""),"")</f>
        <v/>
      </c>
      <c r="BF4" s="31" t="str">
        <f>IF(AND($F4='Tournament Setup'!$A$32,SUM($O4,$S4)=0,$E4="F",$BC4&gt;'Tournament Setup'!$B$32),$H4,"")</f>
        <v/>
      </c>
      <c r="BG4" s="12" t="str">
        <f>IF(ISNUMBER(BF4)=TRUE,IF(_xlfn.RANK.EQ(BF4,$BF$2:$BF$111)&lt;='Tournament Setup'!$D$32,_xlfn.RANK.EQ(BF4,$BF$2:$BF$111),""),"")</f>
        <v/>
      </c>
      <c r="BH4" s="30" t="str">
        <f>IF(AND($F4='Tournament Setup'!$A$33,$I4&lt;&gt;0),$I4,"")</f>
        <v/>
      </c>
      <c r="BI4" s="47" t="str">
        <f>IF(ISNUMBER(BH4),IF(COUNTIFS(BI$1:BI3,_xlfn.RANK.EQ(BH4,BH$2:BH$111,0))&gt;0,_xlfn.MAXIFS(BI$1:BI3,BH$1:BH3,BH4)+1,_xlfn.RANK.EQ(BH4,BH$2:BH$111,0)),"")</f>
        <v/>
      </c>
      <c r="BJ4" s="1" t="str">
        <f>IF(ISNUMBER(BH4)=TRUE,IF(_xlfn.RANK.EQ(BH4,$BH$2:$BH$111)&lt;='Tournament Setup'!$B$46,_xlfn.RANK.EQ(BH4,$BH$2:$BH$111),""),"")</f>
        <v/>
      </c>
      <c r="BK4" s="30" t="str">
        <f>IF(AND($F4='Tournament Setup'!$A$33,SUM($O4,$Q4,$S4)=0),$H4,"")</f>
        <v/>
      </c>
      <c r="BL4" s="47" t="str">
        <f>IF(ISNUMBER(BK4),IF(COUNTIFS(BL$1:BL3,_xlfn.RANK.EQ(BK4,BK$2:BK$111,0))&gt;0,_xlfn.MAXIFS(BL$1:BL3,BK$1:BK3,BK4)+1,_xlfn.RANK.EQ(BK4,BK$2:BK$111,0)),"")</f>
        <v/>
      </c>
      <c r="BM4" s="1" t="str">
        <f>IF(ISNUMBER(BK4)=TRUE,IF(_xlfn.RANK.EQ(BK4,$BK$2:$BK$111)&lt;='Tournament Setup'!$B$33,_xlfn.RANK.EQ(BK4,$BK$2:$BK$111),""),"")</f>
        <v/>
      </c>
      <c r="BN4" s="31" t="str">
        <f>IF(AND($F4='Tournament Setup'!$A$33,SUM($O4,$Q4)=0,$E4="M",$BM4&gt;'Tournament Setup'!$B$33),$H4,"")</f>
        <v/>
      </c>
      <c r="BO4" s="1" t="str">
        <f>IF(ISNUMBER(BN4)=TRUE,IF(_xlfn.RANK.EQ(BN4,$BN$2:$BN$111)&lt;='Tournament Setup'!$C$33,_xlfn.RANK.EQ(BN4,$BN$2:$BN$111),""),"")</f>
        <v/>
      </c>
      <c r="BP4" s="31" t="str">
        <f>IF(AND($F4='Tournament Setup'!$A$33,SUM($O4,$S4)=0,$E4="F",$BM4&gt;'Tournament Setup'!$B$33),$H4,"")</f>
        <v/>
      </c>
      <c r="BQ4" s="12" t="str">
        <f>IF(ISNUMBER(BP4)=TRUE,IF(_xlfn.RANK.EQ(BP4,$BP$2:$BP$111)&lt;='Tournament Setup'!$D$33,_xlfn.RANK.EQ(BP4,$BP$2:$BP$111),""),"")</f>
        <v/>
      </c>
      <c r="BR4" s="30" t="str">
        <f>IF($G4='Tournament Setup'!$A$38,$H4,"")</f>
        <v/>
      </c>
      <c r="BS4" s="47" t="str">
        <f>IF(ISNUMBER(BR4),IF(COUNTIFS(BS$1:BS3,_xlfn.RANK.EQ(BR4,BR$2:BR$111,0))&gt;0,_xlfn.MAXIFS(BS$1:BS3,BR$1:BR3,BR4)+1,_xlfn.RANK.EQ(BR4,BR$2:BR$111,0)),"")</f>
        <v/>
      </c>
      <c r="BT4" s="1" t="str">
        <f>IF(ISNUMBER(BR4)=TRUE,IF(_xlfn.RANK.EQ(BR4,$BR$2:$BR$111)&lt;='Tournament Setup'!$B$38,_xlfn.RANK.EQ(BR4,$BR$2:$BR$111),""),"")</f>
        <v/>
      </c>
      <c r="BU4" s="31" t="str">
        <f>IF(AND($G4='Tournament Setup'!$A$38,$E4="M",$BT4&gt;'Tournament Setup'!$B$38),$H4,"")</f>
        <v/>
      </c>
      <c r="BV4" s="1" t="str">
        <f>IF(ISNUMBER(BU4)=TRUE,IF(_xlfn.RANK.EQ(BU4,$BU$2:$BU$111)&lt;='Tournament Setup'!$C$38,_xlfn.RANK.EQ(BU4,$BU$2:$BU$111),""),"")</f>
        <v/>
      </c>
      <c r="BW4" s="31" t="str">
        <f>IF(AND($G4='Tournament Setup'!$A$38,$E4="F",$BT4&gt;'Tournament Setup'!$B$38),$H4,"")</f>
        <v/>
      </c>
      <c r="BX4" s="12" t="str">
        <f>IF(ISNUMBER(BW4)=TRUE,IF(_xlfn.RANK.EQ(BW4,$BW$2:$BW$111)&lt;='Tournament Setup'!$D$38,_xlfn.RANK.EQ(BW4,$BW$2:$BW$111),""),"")</f>
        <v/>
      </c>
      <c r="BY4" s="30">
        <f>IF($G4='Tournament Setup'!$A$39,$H4,"")</f>
        <v>96</v>
      </c>
      <c r="BZ4" s="47">
        <f>IF(ISNUMBER(BY4),IF(COUNTIFS(BZ$1:BZ3,_xlfn.RANK.EQ(BY4,BY$2:BY$111,0))&gt;0,_xlfn.MAXIFS(BZ$1:BZ3,BY$1:BY3,BY4)+1,_xlfn.RANK.EQ(BY4,BY$2:BY$111,0)),"")</f>
        <v>2</v>
      </c>
      <c r="CA4" s="1" t="str">
        <f>IF(ISNUMBER(BY4)=TRUE,IF(_xlfn.RANK.EQ(BY4,$BY$2:$BY$111)&lt;='Tournament Setup'!$B$39,_xlfn.RANK.EQ(BY4,$BY$2:$BY$111),""),"")</f>
        <v/>
      </c>
      <c r="CB4" s="31" t="str">
        <f>IF(AND($G4='Tournament Setup'!$A$39,$E4="M",$CA4&gt;'Tournament Setup'!$B$39),$H4,"")</f>
        <v/>
      </c>
      <c r="CC4" s="1" t="str">
        <f>IF(ISNUMBER(CB4)=TRUE,IF(_xlfn.RANK.EQ(CB4,$CB$2:$CB$111)&lt;='Tournament Setup'!$C$39,_xlfn.RANK.EQ(CB4,$CB$2:$CB$111),""),"")</f>
        <v/>
      </c>
      <c r="CD4" s="31">
        <f>IF(AND($G4='Tournament Setup'!$A$39,$E4="F",$CA4&gt;'Tournament Setup'!$B$39),$H4,"")</f>
        <v>96</v>
      </c>
      <c r="CE4" s="12">
        <f>IF(ISNUMBER(CD4)=TRUE,IF(_xlfn.RANK.EQ(CD4,$CD$2:$CD$111)&lt;='Tournament Setup'!$D$39,_xlfn.RANK.EQ(CD4,$CD$2:$CD$111),""),"")</f>
        <v>1</v>
      </c>
      <c r="CF4" s="30" t="str">
        <f>IF($G4='Tournament Setup'!$A$40,$H4,"")</f>
        <v/>
      </c>
      <c r="CG4" s="47" t="str">
        <f>IF(ISNUMBER(CF4),IF(COUNTIFS(CG$1:CG3,_xlfn.RANK.EQ(CF4,CF$2:CF$111,0))&gt;0,_xlfn.MAXIFS(CG$1:CG3,CF$1:CF3,CF4)+1,_xlfn.RANK.EQ(CF4,CF$2:CF$111,0)),"")</f>
        <v/>
      </c>
      <c r="CH4" s="1" t="str">
        <f>IF(ISNUMBER(CF4)=TRUE,IF(_xlfn.RANK.EQ(CF4,$CF$2:$CF$111)&lt;='Tournament Setup'!$B$40,_xlfn.RANK.EQ(CF4,$CF$2:$CF$111),""),"")</f>
        <v/>
      </c>
      <c r="CI4" s="31" t="str">
        <f>IF(AND($G4='Tournament Setup'!$A$40,$E4="M",$CH4&gt;'Tournament Setup'!$B$40),$H4,"")</f>
        <v/>
      </c>
      <c r="CJ4" s="1" t="str">
        <f>IF(ISNUMBER(CI4)=TRUE,IF(_xlfn.RANK.EQ(CI4,$CI$2:$CI$111)&lt;='Tournament Setup'!$C$40,_xlfn.RANK.EQ(CI4,$CI$2:$CI$111),""),"")</f>
        <v/>
      </c>
      <c r="CK4" s="31" t="str">
        <f>IF(AND($G4='Tournament Setup'!$A$40,$E4="F",$CH4&gt;'Tournament Setup'!$B$40),$H4,"")</f>
        <v/>
      </c>
      <c r="CL4" s="12" t="str">
        <f>IF(ISNUMBER(CK4)=TRUE,IF(_xlfn.RANK.EQ(CK4,$CK$2:$CK$111)&lt;='Tournament Setup'!$D$40,_xlfn.RANK.EQ(CK4,$CK$2:$CK$111),""),"")</f>
        <v/>
      </c>
      <c r="CM4" s="30" t="str">
        <f>IF($G4='Tournament Setup'!$A$41,$H4,"")</f>
        <v/>
      </c>
      <c r="CN4" s="47" t="str">
        <f>IF(ISNUMBER(CM4),IF(COUNTIFS(CN$1:CN3,_xlfn.RANK.EQ(CM4,CM$2:CM$111,0))&gt;0,_xlfn.MAXIFS(CN$1:CN3,CM$1:CM3,CM4)+1,_xlfn.RANK.EQ(CM4,CM$2:CM$111,0)),"")</f>
        <v/>
      </c>
      <c r="CO4" s="1" t="str">
        <f>IF(ISNUMBER(CM4)=TRUE,IF(_xlfn.RANK.EQ(CM4,$CM$2:$CM$111)&lt;='Tournament Setup'!$B$41,_xlfn.RANK.EQ(CM4,$CM$2:$CM$111),""),"")</f>
        <v/>
      </c>
      <c r="CP4" s="31" t="str">
        <f>IF(AND($G4='Tournament Setup'!$A$41,$E4="M",$CO4&gt;'Tournament Setup'!$B$41),$H4,"")</f>
        <v/>
      </c>
      <c r="CQ4" s="1" t="str">
        <f>IF(ISNUMBER(CP4)=TRUE,IF(_xlfn.RANK.EQ(CP4,$CP$2:$CP$111)&lt;='Tournament Setup'!$C$41,_xlfn.RANK.EQ(CP4,$CP$2:$CP$111),""),"")</f>
        <v/>
      </c>
      <c r="CR4" s="31" t="str">
        <f>IF(AND($G4='Tournament Setup'!$A$41,$E4="F",$CO4&gt;'Tournament Setup'!$B$41),$H4,"")</f>
        <v/>
      </c>
      <c r="CS4" s="12" t="str">
        <f>IF(ISNUMBER(CR4)=TRUE,IF(_xlfn.RANK.EQ(CR4,$CR$2:$CR$111)&lt;='Tournament Setup'!$D$41,_xlfn.RANK.EQ(CR4,$CR$2:$CR$111),""),"")</f>
        <v/>
      </c>
    </row>
    <row r="5" spans="1:97" x14ac:dyDescent="0.3">
      <c r="A5" t="s">
        <v>40</v>
      </c>
      <c r="B5" t="str">
        <f>IFERROR(INDEX('Tournament List'!$B:$B,MATCH($A5,'Tournament List'!$A:$A,0)),"")</f>
        <v>Susan</v>
      </c>
      <c r="C5" t="str">
        <f>IFERROR(INDEX('Tournament List'!$C:$C,MATCH($A5,'Tournament List'!$A:$A,0)),"")</f>
        <v>Last Name4</v>
      </c>
      <c r="D5" t="str">
        <f t="shared" si="0"/>
        <v>Susan Last Name4</v>
      </c>
      <c r="E5" s="1" t="str">
        <f>IFERROR(INDEX('Tournament List'!F:F,MATCH($A5,'Tournament List'!$A:$A,0)),"")</f>
        <v>F</v>
      </c>
      <c r="F5" t="str">
        <f>IFERROR(INDEX('Tournament List'!M:M,MATCH($A5,'Tournament List'!$A:$A,0)),"")</f>
        <v>Varsity</v>
      </c>
      <c r="G5" s="1" t="str">
        <f>IFERROR(INDEX('Tournament List'!W:W,MATCH($A5,'Tournament List'!$A:$A,0)),"")</f>
        <v>A</v>
      </c>
      <c r="H5" s="129">
        <f>IFERROR(INDEX('Tournament List'!Z:Z,MATCH($A5,'Tournament List'!$A:$A,0)),"")</f>
        <v>82</v>
      </c>
      <c r="I5" s="152" t="str">
        <f>IFERROR(INDEX('Tournament List'!T:T,MATCH($A5,'Tournament List'!$A:$A,0)),"")</f>
        <v/>
      </c>
      <c r="J5" s="56" t="str">
        <f>IF(ISNUMBER(I5),IF(COUNTIFS(J$1:J4,_xlfn.RANK.EQ(I5,I$2:I$111,0))&gt;0,_xlfn.MAXIFS(J$1:J4,I$1:I4,I5)+1,_xlfn.RANK.EQ(I5,I$2:I$111,0)),"")</f>
        <v/>
      </c>
      <c r="K5" s="11">
        <f t="shared" si="1"/>
        <v>16</v>
      </c>
      <c r="L5" s="56">
        <f>IF(ISNUMBER(H5),IF(COUNTIFS(L$1:L4,_xlfn.RANK.EQ(H5,H$2:H$111,0))&gt;0,_xlfn.MAXIFS(L$1:L4,H$1:H4,H5)+1,_xlfn.RANK.EQ(H5,H$2:H$111,0)),"")</f>
        <v>16</v>
      </c>
      <c r="M5" s="151">
        <f t="shared" si="2"/>
        <v>82</v>
      </c>
      <c r="N5" s="47">
        <f>IF(ISNUMBER(M5),IF(COUNTIFS(N$1:N4,_xlfn.RANK.EQ(M5,M$2:M$111,0))&gt;0,_xlfn.MAXIFS(N$1:N4,M$1:M4,M5)+1,_xlfn.RANK.EQ(M5,M$2:M$111,0)),"")</f>
        <v>14</v>
      </c>
      <c r="O5" s="1" t="str">
        <f>IF(ISNUMBER(M5)=TRUE,IF(_xlfn.RANK.EQ(M5,$M$2:$M$111)&lt;='Tournament Setup'!$B$23,_xlfn.RANK.EQ(M5,$M$2:$M$111),""),"")</f>
        <v/>
      </c>
      <c r="P5" s="150" t="str">
        <f t="shared" si="3"/>
        <v/>
      </c>
      <c r="Q5" s="1" t="str">
        <f>IF(ISNUMBER(P5)=TRUE,IF(_xlfn.RANK.EQ(P5,$P$2:$P$111)&lt;='Tournament Setup'!$B$24,_xlfn.RANK.EQ(P5,$P$2:$P$111),""),"")</f>
        <v/>
      </c>
      <c r="R5" s="150">
        <f t="shared" si="4"/>
        <v>82</v>
      </c>
      <c r="S5" s="12" t="str">
        <f>IF(ISNUMBER(R5)=TRUE,IF(_xlfn.RANK.EQ(R5,$R$2:$R$111)&lt;='Tournament Setup'!$B$25,_xlfn.RANK.EQ(R5,$R$2:$R$111),""),"")</f>
        <v/>
      </c>
      <c r="T5" s="152" t="str">
        <f>IF(AND($F5='Tournament Setup'!$A$29,$I5&lt;&gt;0),$I5,"")</f>
        <v/>
      </c>
      <c r="U5" s="47" t="str">
        <f>IF(ISNUMBER(T5),IF(COUNTIFS(U$1:U4,_xlfn.RANK.EQ(T5,T$2:T$111,0))&gt;0,_xlfn.MAXIFS(U$1:U4,T$1:T4,T5)+1,_xlfn.RANK.EQ(T5,T$2:T$111,0)),"")</f>
        <v/>
      </c>
      <c r="V5" s="1" t="str">
        <f>IF(ISNUMBER(T5)=TRUE,IF(_xlfn.RANK.EQ(T5,$T$3:$T$112)&lt;='Tournament Setup'!$B$46,_xlfn.RANK.EQ(T5,$T$2:$T$111),""),"")</f>
        <v/>
      </c>
      <c r="W5" s="30" t="str">
        <f>IF(AND($F5='Tournament Setup'!$A$29,SUM($O5,$Q5,$S5)=0),$H5,"")</f>
        <v/>
      </c>
      <c r="X5" s="47" t="str">
        <f>IF(ISNUMBER(W5),IF(COUNTIFS(X$1:X4,_xlfn.RANK.EQ(W5,W$2:W$111,0))&gt;0,_xlfn.MAXIFS(X$1:X4,W$1:W4,W5)+1,_xlfn.RANK.EQ(W5,W$2:W$111,0)),"")</f>
        <v/>
      </c>
      <c r="Y5" s="1" t="str">
        <f>IF(ISNUMBER(W5)=TRUE,IF(_xlfn.RANK.EQ(W5,$W$2:$W$111)&lt;='Tournament Setup'!$B$29,_xlfn.RANK.EQ(W5,$W$2:$W$111),""),"")</f>
        <v/>
      </c>
      <c r="Z5" s="31" t="str">
        <f>IF(AND($F5='Tournament Setup'!$A$29,SUM($O5,$Q5)=0,$E5="M",$Y5&gt;'Tournament Setup'!$B$29),$H5,"")</f>
        <v/>
      </c>
      <c r="AA5" s="1" t="str">
        <f>IF(ISNUMBER(Z5)=TRUE,IF(_xlfn.RANK.EQ(Z5,$Z$2:$Z$111)&lt;='Tournament Setup'!$C$29,_xlfn.RANK.EQ(Z5,$Z$2:$Z$111),""),"")</f>
        <v/>
      </c>
      <c r="AB5" s="31" t="str">
        <f>IF(AND($F5='Tournament Setup'!$A$29,SUM($O5,$S5)=0,$E5="F",$Y5&gt;'Tournament Setup'!$B$29),$H5,"")</f>
        <v/>
      </c>
      <c r="AC5" s="12" t="str">
        <f>IF(ISNUMBER(AB5)=TRUE,IF(_xlfn.RANK.EQ(AB5,$AB$2:$AB$111)&lt;='Tournament Setup'!$D$29,_xlfn.RANK.EQ(AB5,$AB$2:$AB$111),""),"")</f>
        <v/>
      </c>
      <c r="AD5" s="30" t="str">
        <f>IF(AND($F5='Tournament Setup'!$A$30,$I5&lt;&gt;0),$I5,"")</f>
        <v/>
      </c>
      <c r="AE5" s="47" t="str">
        <f>IF(ISNUMBER(AD5),IF(COUNTIFS(AE$1:AE4,_xlfn.RANK.EQ(AD5,AD$2:AD$111,0))&gt;0,_xlfn.MAXIFS(AE$1:AE4,AD$1:AD4,AD5)+1,_xlfn.RANK.EQ(AD5,AD$2:AD$111,0)),"")</f>
        <v/>
      </c>
      <c r="AF5" s="1" t="str">
        <f>IF(ISNUMBER(AD5)=TRUE,IF(_xlfn.RANK.EQ(AD5,$AD$2:$AD$111)&lt;='Tournament Setup'!$B$46,_xlfn.RANK.EQ(AD5,$AD$2:$AD$111),""),"")</f>
        <v/>
      </c>
      <c r="AG5" s="30" t="str">
        <f>IF(AND($F5='Tournament Setup'!$A$30,SUM($O5,$Q5,$S5)=0),$H5,"")</f>
        <v/>
      </c>
      <c r="AH5" s="47" t="str">
        <f>IF(ISNUMBER(AG5),IF(COUNTIFS(AH$1:AH4,_xlfn.RANK.EQ(AG5,AG$2:AG$111,0))&gt;0,_xlfn.MAXIFS(AH$1:AH4,AG$1:AG4,AG5)+1,_xlfn.RANK.EQ(AG5,AG$2:AG$111,0)),"")</f>
        <v/>
      </c>
      <c r="AI5" s="1" t="str">
        <f>IF(ISNUMBER(AG5)=TRUE,IF(_xlfn.RANK.EQ(AG5,$AG$2:$AG$111)&lt;='Tournament Setup'!$B$30,_xlfn.RANK.EQ(AG5,$AG$2:$AG$111),""),"")</f>
        <v/>
      </c>
      <c r="AJ5" s="31" t="str">
        <f>IF(AND($F5='Tournament Setup'!$A$30,SUM($O5,$Q5)=0,$E5="M",$AI5&gt;'Tournament Setup'!$B$30),$H5,"")</f>
        <v/>
      </c>
      <c r="AK5" s="1" t="str">
        <f>IF(ISNUMBER(AJ5)=TRUE,IF(_xlfn.RANK.EQ(AJ5,$AJ$2:$AJ$111)&lt;='Tournament Setup'!$C$30,_xlfn.RANK.EQ(AJ5,$AJ$2:$AJ$111),""),"")</f>
        <v/>
      </c>
      <c r="AL5" s="31" t="str">
        <f>IF(AND($F5='Tournament Setup'!$A$30,SUM($O5,$S5)=0,$E5="F",$AI5&gt;'Tournament Setup'!$B$30),$H5,"")</f>
        <v/>
      </c>
      <c r="AM5" s="12" t="str">
        <f>IF(ISNUMBER(AL5)=TRUE,IF(_xlfn.RANK.EQ(AL5,$AL$2:$AL$111)&lt;='Tournament Setup'!$D$30,_xlfn.RANK.EQ(AL5,$AL$2:$AL$111),""),"")</f>
        <v/>
      </c>
      <c r="AN5" s="30" t="str">
        <f>IF(AND($F5='Tournament Setup'!$A$31,$I5&lt;&gt;0),$I5,"")</f>
        <v/>
      </c>
      <c r="AO5" s="47" t="str">
        <f>IF(ISNUMBER(AN5),IF(COUNTIFS(AO$1:AO4,_xlfn.RANK.EQ(AN5,AN$2:AN$111,0))&gt;0,_xlfn.MAXIFS(AO$1:AO4,AN$1:AN4,AN5)+1,_xlfn.RANK.EQ(AN5,AN$2:AN$111,0)),"")</f>
        <v/>
      </c>
      <c r="AP5" s="1" t="str">
        <f>IF(ISNUMBER(AN5)=TRUE,IF(_xlfn.RANK.EQ(AN5,$AN$2:$AN$111)&lt;='Tournament Setup'!$B$46,_xlfn.RANK.EQ(AN5,$AN$2:$AN$111),""),"")</f>
        <v/>
      </c>
      <c r="AQ5" s="30" t="str">
        <f>IF(AND($F5='Tournament Setup'!$A$31,SUM($O5,$Q5,$S5)=0),$H5,"")</f>
        <v/>
      </c>
      <c r="AR5" s="47" t="str">
        <f>IF(ISNUMBER(AQ5),IF(COUNTIFS(AR$1:AR4,_xlfn.RANK.EQ(AQ5,AQ$2:AQ$111,0))&gt;0,_xlfn.MAXIFS(AR$1:AR4,AQ$1:AQ4,AQ5)+1,_xlfn.RANK.EQ(AQ5,AQ$2:AQ$111,0)),"")</f>
        <v/>
      </c>
      <c r="AS5" s="1" t="str">
        <f>IF(ISNUMBER(AQ5)=TRUE,IF(_xlfn.RANK.EQ(AQ5,$AQ$2:$AQ$111)&lt;='Tournament Setup'!$B$31,_xlfn.RANK.EQ(AQ5,$AQ$2:$AQ$111),""),"")</f>
        <v/>
      </c>
      <c r="AT5" s="31" t="str">
        <f>IF(AND($F5='Tournament Setup'!$A$31,SUM($O5,$Q5)=0,$E5="M",$AS5&gt;'Tournament Setup'!$B$31),$H5,"")</f>
        <v/>
      </c>
      <c r="AU5" s="1" t="str">
        <f>IF(ISNUMBER(AT5)=TRUE,IF(_xlfn.RANK.EQ(AT5,$AT$2:$AT$111)&lt;='Tournament Setup'!$C$31,_xlfn.RANK.EQ(AT5,$AT$2:$AT$111),""),"")</f>
        <v/>
      </c>
      <c r="AV5" s="31" t="str">
        <f>IF(AND($F5='Tournament Setup'!$A$31,SUM($O5,$S5)=0,$E5="F",$AS5&gt;'Tournament Setup'!$B$31),$H5,"")</f>
        <v/>
      </c>
      <c r="AW5" s="12" t="str">
        <f>IF(ISNUMBER(AV5)=TRUE,IF(_xlfn.RANK.EQ(AV5,$AV$2:$AV$111)&lt;='Tournament Setup'!$D$31,_xlfn.RANK.EQ(AV5,$AV$2:$AV$111),""),"")</f>
        <v/>
      </c>
      <c r="AX5" s="30" t="str">
        <f>IF(AND($F5='Tournament Setup'!$A$32,$I5&lt;&gt;0),$I5,"")</f>
        <v/>
      </c>
      <c r="AY5" s="47" t="str">
        <f>IF(ISNUMBER(AX5),IF(COUNTIFS(AY$1:AY4,_xlfn.RANK.EQ(AX5,AX$2:AX$111,0))&gt;0,_xlfn.MAXIFS(AY$1:AY4,AX$1:AX4,AX5)+1,_xlfn.RANK.EQ(AX5,AX$2:AX$111,0)),"")</f>
        <v/>
      </c>
      <c r="AZ5" s="1" t="str">
        <f>IF(ISNUMBER(AX5)=TRUE,IF(_xlfn.RANK.EQ(AX5,$AX$2:$AX$111)&lt;='Tournament Setup'!$B$46,_xlfn.RANK.EQ(AX5,$AX$2:$AX$111),""),"")</f>
        <v/>
      </c>
      <c r="BA5" s="30">
        <f>IF(AND($F5='Tournament Setup'!$A$32,SUM($O5,$Q5,$S5)=0),$H5,"")</f>
        <v>82</v>
      </c>
      <c r="BB5" s="47">
        <f>IF(ISNUMBER(BA5),IF(COUNTIFS(BB$1:BB4,_xlfn.RANK.EQ(BA5,BA$2:BA$111,0))&gt;0,_xlfn.MAXIFS(BB$1:BB4,BA$1:BA4,BA5)+1,_xlfn.RANK.EQ(BA5,BA$2:BA$111,0)),"")</f>
        <v>4</v>
      </c>
      <c r="BC5" s="1" t="str">
        <f>IF(ISNUMBER(BA5)=TRUE,IF(_xlfn.RANK.EQ(BA5,$BA$2:$BA$111)&lt;='Tournament Setup'!$B$32,_xlfn.RANK.EQ(BA5,$BA$2:$BA$111),""),"")</f>
        <v/>
      </c>
      <c r="BD5" s="31" t="str">
        <f>IF(AND($F5='Tournament Setup'!$A$32,SUM($O5,$Q5)=0,$E5="M",$BC5&gt;'Tournament Setup'!$B$32),$H5,"")</f>
        <v/>
      </c>
      <c r="BE5" s="1" t="str">
        <f>IF(ISNUMBER(BD5)=TRUE,IF(_xlfn.RANK.EQ(BD5,$BD$2:$BD$111)&lt;='Tournament Setup'!$C$32,_xlfn.RANK.EQ(BD5,$BD$2:$BD$111),""),"")</f>
        <v/>
      </c>
      <c r="BF5" s="31">
        <f>IF(AND($F5='Tournament Setup'!$A$32,SUM($O5,$S5)=0,$E5="F",$BC5&gt;'Tournament Setup'!$B$32),$H5,"")</f>
        <v>82</v>
      </c>
      <c r="BG5" s="12">
        <f>IF(ISNUMBER(BF5)=TRUE,IF(_xlfn.RANK.EQ(BF5,$BF$2:$BF$111)&lt;='Tournament Setup'!$D$32,_xlfn.RANK.EQ(BF5,$BF$2:$BF$111),""),"")</f>
        <v>1</v>
      </c>
      <c r="BH5" s="30" t="str">
        <f>IF(AND($F5='Tournament Setup'!$A$33,$I5&lt;&gt;0),$I5,"")</f>
        <v/>
      </c>
      <c r="BI5" s="47" t="str">
        <f>IF(ISNUMBER(BH5),IF(COUNTIFS(BI$1:BI4,_xlfn.RANK.EQ(BH5,BH$2:BH$111,0))&gt;0,_xlfn.MAXIFS(BI$1:BI4,BH$1:BH4,BH5)+1,_xlfn.RANK.EQ(BH5,BH$2:BH$111,0)),"")</f>
        <v/>
      </c>
      <c r="BJ5" s="1" t="str">
        <f>IF(ISNUMBER(BH5)=TRUE,IF(_xlfn.RANK.EQ(BH5,$BH$2:$BH$111)&lt;='Tournament Setup'!$B$46,_xlfn.RANK.EQ(BH5,$BH$2:$BH$111),""),"")</f>
        <v/>
      </c>
      <c r="BK5" s="30" t="str">
        <f>IF(AND($F5='Tournament Setup'!$A$33,SUM($O5,$Q5,$S5)=0),$H5,"")</f>
        <v/>
      </c>
      <c r="BL5" s="47" t="str">
        <f>IF(ISNUMBER(BK5),IF(COUNTIFS(BL$1:BL4,_xlfn.RANK.EQ(BK5,BK$2:BK$111,0))&gt;0,_xlfn.MAXIFS(BL$1:BL4,BK$1:BK4,BK5)+1,_xlfn.RANK.EQ(BK5,BK$2:BK$111,0)),"")</f>
        <v/>
      </c>
      <c r="BM5" s="1" t="str">
        <f>IF(ISNUMBER(BK5)=TRUE,IF(_xlfn.RANK.EQ(BK5,$BK$2:$BK$111)&lt;='Tournament Setup'!$B$33,_xlfn.RANK.EQ(BK5,$BK$2:$BK$111),""),"")</f>
        <v/>
      </c>
      <c r="BN5" s="31" t="str">
        <f>IF(AND($F5='Tournament Setup'!$A$33,SUM($O5,$Q5)=0,$E5="M",$BM5&gt;'Tournament Setup'!$B$33),$H5,"")</f>
        <v/>
      </c>
      <c r="BO5" s="1" t="str">
        <f>IF(ISNUMBER(BN5)=TRUE,IF(_xlfn.RANK.EQ(BN5,$BN$2:$BN$111)&lt;='Tournament Setup'!$C$33,_xlfn.RANK.EQ(BN5,$BN$2:$BN$111),""),"")</f>
        <v/>
      </c>
      <c r="BP5" s="31" t="str">
        <f>IF(AND($F5='Tournament Setup'!$A$33,SUM($O5,$S5)=0,$E5="F",$BM5&gt;'Tournament Setup'!$B$33),$H5,"")</f>
        <v/>
      </c>
      <c r="BQ5" s="12" t="str">
        <f>IF(ISNUMBER(BP5)=TRUE,IF(_xlfn.RANK.EQ(BP5,$BP$2:$BP$111)&lt;='Tournament Setup'!$D$33,_xlfn.RANK.EQ(BP5,$BP$2:$BP$111),""),"")</f>
        <v/>
      </c>
      <c r="BR5" s="30">
        <f>IF($G5='Tournament Setup'!$A$38,$H5,"")</f>
        <v>82</v>
      </c>
      <c r="BS5" s="47">
        <f>IF(ISNUMBER(BR5),IF(COUNTIFS(BS$1:BS4,_xlfn.RANK.EQ(BR5,BR$2:BR$111,0))&gt;0,_xlfn.MAXIFS(BS$1:BS4,BR$1:BR4,BR5)+1,_xlfn.RANK.EQ(BR5,BR$2:BR$111,0)),"")</f>
        <v>3</v>
      </c>
      <c r="BT5" s="1" t="str">
        <f>IF(ISNUMBER(BR5)=TRUE,IF(_xlfn.RANK.EQ(BR5,$BR$2:$BR$111)&lt;='Tournament Setup'!$B$38,_xlfn.RANK.EQ(BR5,$BR$2:$BR$111),""),"")</f>
        <v/>
      </c>
      <c r="BU5" s="31" t="str">
        <f>IF(AND($G5='Tournament Setup'!$A$38,$E5="M",$BT5&gt;'Tournament Setup'!$B$38),$H5,"")</f>
        <v/>
      </c>
      <c r="BV5" s="1" t="str">
        <f>IF(ISNUMBER(BU5)=TRUE,IF(_xlfn.RANK.EQ(BU5,$BU$2:$BU$111)&lt;='Tournament Setup'!$C$38,_xlfn.RANK.EQ(BU5,$BU$2:$BU$111),""),"")</f>
        <v/>
      </c>
      <c r="BW5" s="31">
        <f>IF(AND($G5='Tournament Setup'!$A$38,$E5="F",$BT5&gt;'Tournament Setup'!$B$38),$H5,"")</f>
        <v>82</v>
      </c>
      <c r="BX5" s="12">
        <f>IF(ISNUMBER(BW5)=TRUE,IF(_xlfn.RANK.EQ(BW5,$BW$2:$BW$111)&lt;='Tournament Setup'!$D$38,_xlfn.RANK.EQ(BW5,$BW$2:$BW$111),""),"")</f>
        <v>2</v>
      </c>
      <c r="BY5" s="30" t="str">
        <f>IF($G5='Tournament Setup'!$A$39,$H5,"")</f>
        <v/>
      </c>
      <c r="BZ5" s="47" t="str">
        <f>IF(ISNUMBER(BY5),IF(COUNTIFS(BZ$1:BZ4,_xlfn.RANK.EQ(BY5,BY$2:BY$111,0))&gt;0,_xlfn.MAXIFS(BZ$1:BZ4,BY$1:BY4,BY5)+1,_xlfn.RANK.EQ(BY5,BY$2:BY$111,0)),"")</f>
        <v/>
      </c>
      <c r="CA5" s="1" t="str">
        <f>IF(ISNUMBER(BY5)=TRUE,IF(_xlfn.RANK.EQ(BY5,$BY$2:$BY$111)&lt;='Tournament Setup'!$B$39,_xlfn.RANK.EQ(BY5,$BY$2:$BY$111),""),"")</f>
        <v/>
      </c>
      <c r="CB5" s="31" t="str">
        <f>IF(AND($G5='Tournament Setup'!$A$39,$E5="M",$CA5&gt;'Tournament Setup'!$B$39),$H5,"")</f>
        <v/>
      </c>
      <c r="CC5" s="1" t="str">
        <f>IF(ISNUMBER(CB5)=TRUE,IF(_xlfn.RANK.EQ(CB5,$CB$2:$CB$111)&lt;='Tournament Setup'!$C$39,_xlfn.RANK.EQ(CB5,$CB$2:$CB$111),""),"")</f>
        <v/>
      </c>
      <c r="CD5" s="31" t="str">
        <f>IF(AND($G5='Tournament Setup'!$A$39,$E5="F",$CA5&gt;'Tournament Setup'!$B$39),$H5,"")</f>
        <v/>
      </c>
      <c r="CE5" s="12" t="str">
        <f>IF(ISNUMBER(CD5)=TRUE,IF(_xlfn.RANK.EQ(CD5,$CD$2:$CD$111)&lt;='Tournament Setup'!$D$39,_xlfn.RANK.EQ(CD5,$CD$2:$CD$111),""),"")</f>
        <v/>
      </c>
      <c r="CF5" s="30" t="str">
        <f>IF($G5='Tournament Setup'!$A$40,$H5,"")</f>
        <v/>
      </c>
      <c r="CG5" s="47" t="str">
        <f>IF(ISNUMBER(CF5),IF(COUNTIFS(CG$1:CG4,_xlfn.RANK.EQ(CF5,CF$2:CF$111,0))&gt;0,_xlfn.MAXIFS(CG$1:CG4,CF$1:CF4,CF5)+1,_xlfn.RANK.EQ(CF5,CF$2:CF$111,0)),"")</f>
        <v/>
      </c>
      <c r="CH5" s="1" t="str">
        <f>IF(ISNUMBER(CF5)=TRUE,IF(_xlfn.RANK.EQ(CF5,$CF$2:$CF$111)&lt;='Tournament Setup'!$B$40,_xlfn.RANK.EQ(CF5,$CF$2:$CF$111),""),"")</f>
        <v/>
      </c>
      <c r="CI5" s="31" t="str">
        <f>IF(AND($G5='Tournament Setup'!$A$40,$E5="M",$CH5&gt;'Tournament Setup'!$B$40),$H5,"")</f>
        <v/>
      </c>
      <c r="CJ5" s="1" t="str">
        <f>IF(ISNUMBER(CI5)=TRUE,IF(_xlfn.RANK.EQ(CI5,$CI$2:$CI$111)&lt;='Tournament Setup'!$C$40,_xlfn.RANK.EQ(CI5,$CI$2:$CI$111),""),"")</f>
        <v/>
      </c>
      <c r="CK5" s="31" t="str">
        <f>IF(AND($G5='Tournament Setup'!$A$40,$E5="F",$CH5&gt;'Tournament Setup'!$B$40),$H5,"")</f>
        <v/>
      </c>
      <c r="CL5" s="12" t="str">
        <f>IF(ISNUMBER(CK5)=TRUE,IF(_xlfn.RANK.EQ(CK5,$CK$2:$CK$111)&lt;='Tournament Setup'!$D$40,_xlfn.RANK.EQ(CK5,$CK$2:$CK$111),""),"")</f>
        <v/>
      </c>
      <c r="CM5" s="30" t="str">
        <f>IF($G5='Tournament Setup'!$A$41,$H5,"")</f>
        <v/>
      </c>
      <c r="CN5" s="47" t="str">
        <f>IF(ISNUMBER(CM5),IF(COUNTIFS(CN$1:CN4,_xlfn.RANK.EQ(CM5,CM$2:CM$111,0))&gt;0,_xlfn.MAXIFS(CN$1:CN4,CM$1:CM4,CM5)+1,_xlfn.RANK.EQ(CM5,CM$2:CM$111,0)),"")</f>
        <v/>
      </c>
      <c r="CO5" s="1" t="str">
        <f>IF(ISNUMBER(CM5)=TRUE,IF(_xlfn.RANK.EQ(CM5,$CM$2:$CM$111)&lt;='Tournament Setup'!$B$41,_xlfn.RANK.EQ(CM5,$CM$2:$CM$111),""),"")</f>
        <v/>
      </c>
      <c r="CP5" s="31" t="str">
        <f>IF(AND($G5='Tournament Setup'!$A$41,$E5="M",$CO5&gt;'Tournament Setup'!$B$41),$H5,"")</f>
        <v/>
      </c>
      <c r="CQ5" s="1" t="str">
        <f>IF(ISNUMBER(CP5)=TRUE,IF(_xlfn.RANK.EQ(CP5,$CP$2:$CP$111)&lt;='Tournament Setup'!$C$41,_xlfn.RANK.EQ(CP5,$CP$2:$CP$111),""),"")</f>
        <v/>
      </c>
      <c r="CR5" s="31" t="str">
        <f>IF(AND($G5='Tournament Setup'!$A$41,$E5="F",$CO5&gt;'Tournament Setup'!$B$41),$H5,"")</f>
        <v/>
      </c>
      <c r="CS5" s="12" t="str">
        <f>IF(ISNUMBER(CR5)=TRUE,IF(_xlfn.RANK.EQ(CR5,$CR$2:$CR$111)&lt;='Tournament Setup'!$D$41,_xlfn.RANK.EQ(CR5,$CR$2:$CR$111),""),"")</f>
        <v/>
      </c>
    </row>
    <row r="6" spans="1:97" x14ac:dyDescent="0.3">
      <c r="A6" t="s">
        <v>41</v>
      </c>
      <c r="B6" t="str">
        <f>IFERROR(INDEX('Tournament List'!$B:$B,MATCH($A6,'Tournament List'!$A:$A,0)),"")</f>
        <v>Matt</v>
      </c>
      <c r="C6" t="str">
        <f>IFERROR(INDEX('Tournament List'!$C:$C,MATCH($A6,'Tournament List'!$A:$A,0)),"")</f>
        <v>Last Name5</v>
      </c>
      <c r="D6" t="str">
        <f t="shared" si="0"/>
        <v>Matt Last Name5</v>
      </c>
      <c r="E6" s="1" t="str">
        <f>IFERROR(INDEX('Tournament List'!F:F,MATCH($A6,'Tournament List'!$A:$A,0)),"")</f>
        <v>M</v>
      </c>
      <c r="F6" t="str">
        <f>IFERROR(INDEX('Tournament List'!M:M,MATCH($A6,'Tournament List'!$A:$A,0)),"")</f>
        <v>Varsity</v>
      </c>
      <c r="G6" s="1" t="str">
        <f>IFERROR(INDEX('Tournament List'!W:W,MATCH($A6,'Tournament List'!$A:$A,0)),"")</f>
        <v>A</v>
      </c>
      <c r="H6" s="129">
        <f>IFERROR(INDEX('Tournament List'!Z:Z,MATCH($A6,'Tournament List'!$A:$A,0)),"")</f>
        <v>89</v>
      </c>
      <c r="I6" s="152" t="str">
        <f>IFERROR(INDEX('Tournament List'!T:T,MATCH($A6,'Tournament List'!$A:$A,0)),"")</f>
        <v/>
      </c>
      <c r="J6" s="56" t="str">
        <f>IF(ISNUMBER(I6),IF(COUNTIFS(J$1:J5,_xlfn.RANK.EQ(I6,I$2:I$111,0))&gt;0,_xlfn.MAXIFS(J$1:J5,I$1:I5,I6)+1,_xlfn.RANK.EQ(I6,I$2:I$111,0)),"")</f>
        <v/>
      </c>
      <c r="K6" s="11">
        <f t="shared" si="1"/>
        <v>9</v>
      </c>
      <c r="L6" s="56">
        <f>IF(ISNUMBER(H6),IF(COUNTIFS(L$1:L5,_xlfn.RANK.EQ(H6,H$2:H$111,0))&gt;0,_xlfn.MAXIFS(L$1:L5,H$1:H5,H6)+1,_xlfn.RANK.EQ(H6,H$2:H$111,0)),"")</f>
        <v>9</v>
      </c>
      <c r="M6" s="151">
        <f t="shared" si="2"/>
        <v>89</v>
      </c>
      <c r="N6" s="47">
        <f>IF(ISNUMBER(M6),IF(COUNTIFS(N$1:N5,_xlfn.RANK.EQ(M6,M$2:M$111,0))&gt;0,_xlfn.MAXIFS(N$1:N5,M$1:M5,M6)+1,_xlfn.RANK.EQ(M6,M$2:M$111,0)),"")</f>
        <v>7</v>
      </c>
      <c r="O6" s="1" t="str">
        <f>IF(ISNUMBER(M6)=TRUE,IF(_xlfn.RANK.EQ(M6,$M$2:$M$111)&lt;='Tournament Setup'!$B$23,_xlfn.RANK.EQ(M6,$M$2:$M$111),""),"")</f>
        <v/>
      </c>
      <c r="P6" s="150">
        <f t="shared" si="3"/>
        <v>89</v>
      </c>
      <c r="Q6" s="1" t="str">
        <f>IF(ISNUMBER(P6)=TRUE,IF(_xlfn.RANK.EQ(P6,$P$2:$P$111)&lt;='Tournament Setup'!$B$24,_xlfn.RANK.EQ(P6,$P$2:$P$111),""),"")</f>
        <v/>
      </c>
      <c r="R6" s="150" t="str">
        <f t="shared" si="4"/>
        <v/>
      </c>
      <c r="S6" s="12" t="str">
        <f>IF(ISNUMBER(R6)=TRUE,IF(_xlfn.RANK.EQ(R6,$R$2:$R$111)&lt;='Tournament Setup'!$B$25,_xlfn.RANK.EQ(R6,$R$2:$R$111),""),"")</f>
        <v/>
      </c>
      <c r="T6" s="152" t="str">
        <f>IF(AND($F6='Tournament Setup'!$A$29,$I6&lt;&gt;0),$I6,"")</f>
        <v/>
      </c>
      <c r="U6" s="47" t="str">
        <f>IF(ISNUMBER(T6),IF(COUNTIFS(U$1:U5,_xlfn.RANK.EQ(T6,T$2:T$111,0))&gt;0,_xlfn.MAXIFS(U$1:U5,T$1:T5,T6)+1,_xlfn.RANK.EQ(T6,T$2:T$111,0)),"")</f>
        <v/>
      </c>
      <c r="V6" s="1" t="str">
        <f>IF(ISNUMBER(T6)=TRUE,IF(_xlfn.RANK.EQ(T6,$T$3:$T$112)&lt;='Tournament Setup'!$B$46,_xlfn.RANK.EQ(T6,$T$2:$T$111),""),"")</f>
        <v/>
      </c>
      <c r="W6" s="30" t="str">
        <f>IF(AND($F6='Tournament Setup'!$A$29,SUM($O6,$Q6,$S6)=0),$H6,"")</f>
        <v/>
      </c>
      <c r="X6" s="47" t="str">
        <f>IF(ISNUMBER(W6),IF(COUNTIFS(X$1:X5,_xlfn.RANK.EQ(W6,W$2:W$111,0))&gt;0,_xlfn.MAXIFS(X$1:X5,W$1:W5,W6)+1,_xlfn.RANK.EQ(W6,W$2:W$111,0)),"")</f>
        <v/>
      </c>
      <c r="Y6" s="1" t="str">
        <f>IF(ISNUMBER(W6)=TRUE,IF(_xlfn.RANK.EQ(W6,$W$2:$W$111)&lt;='Tournament Setup'!$B$29,_xlfn.RANK.EQ(W6,$W$2:$W$111),""),"")</f>
        <v/>
      </c>
      <c r="Z6" s="31" t="str">
        <f>IF(AND($F6='Tournament Setup'!$A$29,SUM($O6,$Q6)=0,$E6="M",$Y6&gt;'Tournament Setup'!$B$29),$H6,"")</f>
        <v/>
      </c>
      <c r="AA6" s="1" t="str">
        <f>IF(ISNUMBER(Z6)=TRUE,IF(_xlfn.RANK.EQ(Z6,$Z$2:$Z$111)&lt;='Tournament Setup'!$C$29,_xlfn.RANK.EQ(Z6,$Z$2:$Z$111),""),"")</f>
        <v/>
      </c>
      <c r="AB6" s="31" t="str">
        <f>IF(AND($F6='Tournament Setup'!$A$29,SUM($O6,$S6)=0,$E6="F",$Y6&gt;'Tournament Setup'!$B$29),$H6,"")</f>
        <v/>
      </c>
      <c r="AC6" s="12" t="str">
        <f>IF(ISNUMBER(AB6)=TRUE,IF(_xlfn.RANK.EQ(AB6,$AB$2:$AB$111)&lt;='Tournament Setup'!$D$29,_xlfn.RANK.EQ(AB6,$AB$2:$AB$111),""),"")</f>
        <v/>
      </c>
      <c r="AD6" s="30" t="str">
        <f>IF(AND($F6='Tournament Setup'!$A$30,$I6&lt;&gt;0),$I6,"")</f>
        <v/>
      </c>
      <c r="AE6" s="47" t="str">
        <f>IF(ISNUMBER(AD6),IF(COUNTIFS(AE$1:AE5,_xlfn.RANK.EQ(AD6,AD$2:AD$111,0))&gt;0,_xlfn.MAXIFS(AE$1:AE5,AD$1:AD5,AD6)+1,_xlfn.RANK.EQ(AD6,AD$2:AD$111,0)),"")</f>
        <v/>
      </c>
      <c r="AF6" s="1" t="str">
        <f>IF(ISNUMBER(AD6)=TRUE,IF(_xlfn.RANK.EQ(AD6,$AD$2:$AD$111)&lt;='Tournament Setup'!$B$46,_xlfn.RANK.EQ(AD6,$AD$2:$AD$111),""),"")</f>
        <v/>
      </c>
      <c r="AG6" s="30" t="str">
        <f>IF(AND($F6='Tournament Setup'!$A$30,SUM($O6,$Q6,$S6)=0),$H6,"")</f>
        <v/>
      </c>
      <c r="AH6" s="47" t="str">
        <f>IF(ISNUMBER(AG6),IF(COUNTIFS(AH$1:AH5,_xlfn.RANK.EQ(AG6,AG$2:AG$111,0))&gt;0,_xlfn.MAXIFS(AH$1:AH5,AG$1:AG5,AG6)+1,_xlfn.RANK.EQ(AG6,AG$2:AG$111,0)),"")</f>
        <v/>
      </c>
      <c r="AI6" s="1" t="str">
        <f>IF(ISNUMBER(AG6)=TRUE,IF(_xlfn.RANK.EQ(AG6,$AG$2:$AG$111)&lt;='Tournament Setup'!$B$30,_xlfn.RANK.EQ(AG6,$AG$2:$AG$111),""),"")</f>
        <v/>
      </c>
      <c r="AJ6" s="31" t="str">
        <f>IF(AND($F6='Tournament Setup'!$A$30,SUM($O6,$Q6)=0,$E6="M",$AI6&gt;'Tournament Setup'!$B$30),$H6,"")</f>
        <v/>
      </c>
      <c r="AK6" s="1" t="str">
        <f>IF(ISNUMBER(AJ6)=TRUE,IF(_xlfn.RANK.EQ(AJ6,$AJ$2:$AJ$111)&lt;='Tournament Setup'!$C$30,_xlfn.RANK.EQ(AJ6,$AJ$2:$AJ$111),""),"")</f>
        <v/>
      </c>
      <c r="AL6" s="31" t="str">
        <f>IF(AND($F6='Tournament Setup'!$A$30,SUM($O6,$S6)=0,$E6="F",$AI6&gt;'Tournament Setup'!$B$30),$H6,"")</f>
        <v/>
      </c>
      <c r="AM6" s="12" t="str">
        <f>IF(ISNUMBER(AL6)=TRUE,IF(_xlfn.RANK.EQ(AL6,$AL$2:$AL$111)&lt;='Tournament Setup'!$D$30,_xlfn.RANK.EQ(AL6,$AL$2:$AL$111),""),"")</f>
        <v/>
      </c>
      <c r="AN6" s="30" t="str">
        <f>IF(AND($F6='Tournament Setup'!$A$31,$I6&lt;&gt;0),$I6,"")</f>
        <v/>
      </c>
      <c r="AO6" s="47" t="str">
        <f>IF(ISNUMBER(AN6),IF(COUNTIFS(AO$1:AO5,_xlfn.RANK.EQ(AN6,AN$2:AN$111,0))&gt;0,_xlfn.MAXIFS(AO$1:AO5,AN$1:AN5,AN6)+1,_xlfn.RANK.EQ(AN6,AN$2:AN$111,0)),"")</f>
        <v/>
      </c>
      <c r="AP6" s="1" t="str">
        <f>IF(ISNUMBER(AN6)=TRUE,IF(_xlfn.RANK.EQ(AN6,$AN$2:$AN$111)&lt;='Tournament Setup'!$B$46,_xlfn.RANK.EQ(AN6,$AN$2:$AN$111),""),"")</f>
        <v/>
      </c>
      <c r="AQ6" s="30" t="str">
        <f>IF(AND($F6='Tournament Setup'!$A$31,SUM($O6,$Q6,$S6)=0),$H6,"")</f>
        <v/>
      </c>
      <c r="AR6" s="47" t="str">
        <f>IF(ISNUMBER(AQ6),IF(COUNTIFS(AR$1:AR5,_xlfn.RANK.EQ(AQ6,AQ$2:AQ$111,0))&gt;0,_xlfn.MAXIFS(AR$1:AR5,AQ$1:AQ5,AQ6)+1,_xlfn.RANK.EQ(AQ6,AQ$2:AQ$111,0)),"")</f>
        <v/>
      </c>
      <c r="AS6" s="1" t="str">
        <f>IF(ISNUMBER(AQ6)=TRUE,IF(_xlfn.RANK.EQ(AQ6,$AQ$2:$AQ$111)&lt;='Tournament Setup'!$B$31,_xlfn.RANK.EQ(AQ6,$AQ$2:$AQ$111),""),"")</f>
        <v/>
      </c>
      <c r="AT6" s="31" t="str">
        <f>IF(AND($F6='Tournament Setup'!$A$31,SUM($O6,$Q6)=0,$E6="M",$AS6&gt;'Tournament Setup'!$B$31),$H6,"")</f>
        <v/>
      </c>
      <c r="AU6" s="1" t="str">
        <f>IF(ISNUMBER(AT6)=TRUE,IF(_xlfn.RANK.EQ(AT6,$AT$2:$AT$111)&lt;='Tournament Setup'!$C$31,_xlfn.RANK.EQ(AT6,$AT$2:$AT$111),""),"")</f>
        <v/>
      </c>
      <c r="AV6" s="31" t="str">
        <f>IF(AND($F6='Tournament Setup'!$A$31,SUM($O6,$S6)=0,$E6="F",$AS6&gt;'Tournament Setup'!$B$31),$H6,"")</f>
        <v/>
      </c>
      <c r="AW6" s="12" t="str">
        <f>IF(ISNUMBER(AV6)=TRUE,IF(_xlfn.RANK.EQ(AV6,$AV$2:$AV$111)&lt;='Tournament Setup'!$D$31,_xlfn.RANK.EQ(AV6,$AV$2:$AV$111),""),"")</f>
        <v/>
      </c>
      <c r="AX6" s="30" t="str">
        <f>IF(AND($F6='Tournament Setup'!$A$32,$I6&lt;&gt;0),$I6,"")</f>
        <v/>
      </c>
      <c r="AY6" s="47" t="str">
        <f>IF(ISNUMBER(AX6),IF(COUNTIFS(AY$1:AY5,_xlfn.RANK.EQ(AX6,AX$2:AX$111,0))&gt;0,_xlfn.MAXIFS(AY$1:AY5,AX$1:AX5,AX6)+1,_xlfn.RANK.EQ(AX6,AX$2:AX$111,0)),"")</f>
        <v/>
      </c>
      <c r="AZ6" s="1" t="str">
        <f>IF(ISNUMBER(AX6)=TRUE,IF(_xlfn.RANK.EQ(AX6,$AX$2:$AX$111)&lt;='Tournament Setup'!$B$46,_xlfn.RANK.EQ(AX6,$AX$2:$AX$111),""),"")</f>
        <v/>
      </c>
      <c r="BA6" s="30">
        <f>IF(AND($F6='Tournament Setup'!$A$32,SUM($O6,$Q6,$S6)=0),$H6,"")</f>
        <v>89</v>
      </c>
      <c r="BB6" s="47">
        <f>IF(ISNUMBER(BA6),IF(COUNTIFS(BB$1:BB5,_xlfn.RANK.EQ(BA6,BA$2:BA$111,0))&gt;0,_xlfn.MAXIFS(BB$1:BB5,BA$1:BA5,BA6)+1,_xlfn.RANK.EQ(BA6,BA$2:BA$111,0)),"")</f>
        <v>1</v>
      </c>
      <c r="BC6" s="1" t="str">
        <f>IF(ISNUMBER(BA6)=TRUE,IF(_xlfn.RANK.EQ(BA6,$BA$2:$BA$111)&lt;='Tournament Setup'!$B$32,_xlfn.RANK.EQ(BA6,$BA$2:$BA$111),""),"")</f>
        <v/>
      </c>
      <c r="BD6" s="31">
        <f>IF(AND($F6='Tournament Setup'!$A$32,SUM($O6,$Q6)=0,$E6="M",$BC6&gt;'Tournament Setup'!$B$32),$H6,"")</f>
        <v>89</v>
      </c>
      <c r="BE6" s="1">
        <f>IF(ISNUMBER(BD6)=TRUE,IF(_xlfn.RANK.EQ(BD6,$BD$2:$BD$111)&lt;='Tournament Setup'!$C$32,_xlfn.RANK.EQ(BD6,$BD$2:$BD$111),""),"")</f>
        <v>1</v>
      </c>
      <c r="BF6" s="31" t="str">
        <f>IF(AND($F6='Tournament Setup'!$A$32,SUM($O6,$S6)=0,$E6="F",$BC6&gt;'Tournament Setup'!$B$32),$H6,"")</f>
        <v/>
      </c>
      <c r="BG6" s="12" t="str">
        <f>IF(ISNUMBER(BF6)=TRUE,IF(_xlfn.RANK.EQ(BF6,$BF$2:$BF$111)&lt;='Tournament Setup'!$D$32,_xlfn.RANK.EQ(BF6,$BF$2:$BF$111),""),"")</f>
        <v/>
      </c>
      <c r="BH6" s="30" t="str">
        <f>IF(AND($F6='Tournament Setup'!$A$33,$I6&lt;&gt;0),$I6,"")</f>
        <v/>
      </c>
      <c r="BI6" s="47" t="str">
        <f>IF(ISNUMBER(BH6),IF(COUNTIFS(BI$1:BI5,_xlfn.RANK.EQ(BH6,BH$2:BH$111,0))&gt;0,_xlfn.MAXIFS(BI$1:BI5,BH$1:BH5,BH6)+1,_xlfn.RANK.EQ(BH6,BH$2:BH$111,0)),"")</f>
        <v/>
      </c>
      <c r="BJ6" s="1" t="str">
        <f>IF(ISNUMBER(BH6)=TRUE,IF(_xlfn.RANK.EQ(BH6,$BH$2:$BH$111)&lt;='Tournament Setup'!$B$46,_xlfn.RANK.EQ(BH6,$BH$2:$BH$111),""),"")</f>
        <v/>
      </c>
      <c r="BK6" s="30" t="str">
        <f>IF(AND($F6='Tournament Setup'!$A$33,SUM($O6,$Q6,$S6)=0),$H6,"")</f>
        <v/>
      </c>
      <c r="BL6" s="47" t="str">
        <f>IF(ISNUMBER(BK6),IF(COUNTIFS(BL$1:BL5,_xlfn.RANK.EQ(BK6,BK$2:BK$111,0))&gt;0,_xlfn.MAXIFS(BL$1:BL5,BK$1:BK5,BK6)+1,_xlfn.RANK.EQ(BK6,BK$2:BK$111,0)),"")</f>
        <v/>
      </c>
      <c r="BM6" s="1" t="str">
        <f>IF(ISNUMBER(BK6)=TRUE,IF(_xlfn.RANK.EQ(BK6,$BK$2:$BK$111)&lt;='Tournament Setup'!$B$33,_xlfn.RANK.EQ(BK6,$BK$2:$BK$111),""),"")</f>
        <v/>
      </c>
      <c r="BN6" s="31" t="str">
        <f>IF(AND($F6='Tournament Setup'!$A$33,SUM($O6,$Q6)=0,$E6="M",$BM6&gt;'Tournament Setup'!$B$33),$H6,"")</f>
        <v/>
      </c>
      <c r="BO6" s="1" t="str">
        <f>IF(ISNUMBER(BN6)=TRUE,IF(_xlfn.RANK.EQ(BN6,$BN$2:$BN$111)&lt;='Tournament Setup'!$C$33,_xlfn.RANK.EQ(BN6,$BN$2:$BN$111),""),"")</f>
        <v/>
      </c>
      <c r="BP6" s="31" t="str">
        <f>IF(AND($F6='Tournament Setup'!$A$33,SUM($O6,$S6)=0,$E6="F",$BM6&gt;'Tournament Setup'!$B$33),$H6,"")</f>
        <v/>
      </c>
      <c r="BQ6" s="12" t="str">
        <f>IF(ISNUMBER(BP6)=TRUE,IF(_xlfn.RANK.EQ(BP6,$BP$2:$BP$111)&lt;='Tournament Setup'!$D$33,_xlfn.RANK.EQ(BP6,$BP$2:$BP$111),""),"")</f>
        <v/>
      </c>
      <c r="BR6" s="30">
        <f>IF($G6='Tournament Setup'!$A$38,$H6,"")</f>
        <v>89</v>
      </c>
      <c r="BS6" s="47">
        <f>IF(ISNUMBER(BR6),IF(COUNTIFS(BS$1:BS5,_xlfn.RANK.EQ(BR6,BR$2:BR$111,0))&gt;0,_xlfn.MAXIFS(BS$1:BS5,BR$1:BR5,BR6)+1,_xlfn.RANK.EQ(BR6,BR$2:BR$111,0)),"")</f>
        <v>2</v>
      </c>
      <c r="BT6" s="1" t="str">
        <f>IF(ISNUMBER(BR6)=TRUE,IF(_xlfn.RANK.EQ(BR6,$BR$2:$BR$111)&lt;='Tournament Setup'!$B$38,_xlfn.RANK.EQ(BR6,$BR$2:$BR$111),""),"")</f>
        <v/>
      </c>
      <c r="BU6" s="31">
        <f>IF(AND($G6='Tournament Setup'!$A$38,$E6="M",$BT6&gt;'Tournament Setup'!$B$38),$H6,"")</f>
        <v>89</v>
      </c>
      <c r="BV6" s="1">
        <f>IF(ISNUMBER(BU6)=TRUE,IF(_xlfn.RANK.EQ(BU6,$BU$2:$BU$111)&lt;='Tournament Setup'!$C$38,_xlfn.RANK.EQ(BU6,$BU$2:$BU$111),""),"")</f>
        <v>1</v>
      </c>
      <c r="BW6" s="31" t="str">
        <f>IF(AND($G6='Tournament Setup'!$A$38,$E6="F",$BT6&gt;'Tournament Setup'!$B$38),$H6,"")</f>
        <v/>
      </c>
      <c r="BX6" s="12" t="str">
        <f>IF(ISNUMBER(BW6)=TRUE,IF(_xlfn.RANK.EQ(BW6,$BW$2:$BW$111)&lt;='Tournament Setup'!$D$38,_xlfn.RANK.EQ(BW6,$BW$2:$BW$111),""),"")</f>
        <v/>
      </c>
      <c r="BY6" s="30" t="str">
        <f>IF($G6='Tournament Setup'!$A$39,$H6,"")</f>
        <v/>
      </c>
      <c r="BZ6" s="47" t="str">
        <f>IF(ISNUMBER(BY6),IF(COUNTIFS(BZ$1:BZ5,_xlfn.RANK.EQ(BY6,BY$2:BY$111,0))&gt;0,_xlfn.MAXIFS(BZ$1:BZ5,BY$1:BY5,BY6)+1,_xlfn.RANK.EQ(BY6,BY$2:BY$111,0)),"")</f>
        <v/>
      </c>
      <c r="CA6" s="1" t="str">
        <f>IF(ISNUMBER(BY6)=TRUE,IF(_xlfn.RANK.EQ(BY6,$BY$2:$BY$111)&lt;='Tournament Setup'!$B$39,_xlfn.RANK.EQ(BY6,$BY$2:$BY$111),""),"")</f>
        <v/>
      </c>
      <c r="CB6" s="31" t="str">
        <f>IF(AND($G6='Tournament Setup'!$A$39,$E6="M",$CA6&gt;'Tournament Setup'!$B$39),$H6,"")</f>
        <v/>
      </c>
      <c r="CC6" s="1" t="str">
        <f>IF(ISNUMBER(CB6)=TRUE,IF(_xlfn.RANK.EQ(CB6,$CB$2:$CB$111)&lt;='Tournament Setup'!$C$39,_xlfn.RANK.EQ(CB6,$CB$2:$CB$111),""),"")</f>
        <v/>
      </c>
      <c r="CD6" s="31" t="str">
        <f>IF(AND($G6='Tournament Setup'!$A$39,$E6="F",$CA6&gt;'Tournament Setup'!$B$39),$H6,"")</f>
        <v/>
      </c>
      <c r="CE6" s="12" t="str">
        <f>IF(ISNUMBER(CD6)=TRUE,IF(_xlfn.RANK.EQ(CD6,$CD$2:$CD$111)&lt;='Tournament Setup'!$D$39,_xlfn.RANK.EQ(CD6,$CD$2:$CD$111),""),"")</f>
        <v/>
      </c>
      <c r="CF6" s="30" t="str">
        <f>IF($G6='Tournament Setup'!$A$40,$H6,"")</f>
        <v/>
      </c>
      <c r="CG6" s="47" t="str">
        <f>IF(ISNUMBER(CF6),IF(COUNTIFS(CG$1:CG5,_xlfn.RANK.EQ(CF6,CF$2:CF$111,0))&gt;0,_xlfn.MAXIFS(CG$1:CG5,CF$1:CF5,CF6)+1,_xlfn.RANK.EQ(CF6,CF$2:CF$111,0)),"")</f>
        <v/>
      </c>
      <c r="CH6" s="1" t="str">
        <f>IF(ISNUMBER(CF6)=TRUE,IF(_xlfn.RANK.EQ(CF6,$CF$2:$CF$111)&lt;='Tournament Setup'!$B$40,_xlfn.RANK.EQ(CF6,$CF$2:$CF$111),""),"")</f>
        <v/>
      </c>
      <c r="CI6" s="31" t="str">
        <f>IF(AND($G6='Tournament Setup'!$A$40,$E6="M",$CH6&gt;'Tournament Setup'!$B$40),$H6,"")</f>
        <v/>
      </c>
      <c r="CJ6" s="1" t="str">
        <f>IF(ISNUMBER(CI6)=TRUE,IF(_xlfn.RANK.EQ(CI6,$CI$2:$CI$111)&lt;='Tournament Setup'!$C$40,_xlfn.RANK.EQ(CI6,$CI$2:$CI$111),""),"")</f>
        <v/>
      </c>
      <c r="CK6" s="31" t="str">
        <f>IF(AND($G6='Tournament Setup'!$A$40,$E6="F",$CH6&gt;'Tournament Setup'!$B$40),$H6,"")</f>
        <v/>
      </c>
      <c r="CL6" s="12" t="str">
        <f>IF(ISNUMBER(CK6)=TRUE,IF(_xlfn.RANK.EQ(CK6,$CK$2:$CK$111)&lt;='Tournament Setup'!$D$40,_xlfn.RANK.EQ(CK6,$CK$2:$CK$111),""),"")</f>
        <v/>
      </c>
      <c r="CM6" s="30" t="str">
        <f>IF($G6='Tournament Setup'!$A$41,$H6,"")</f>
        <v/>
      </c>
      <c r="CN6" s="47" t="str">
        <f>IF(ISNUMBER(CM6),IF(COUNTIFS(CN$1:CN5,_xlfn.RANK.EQ(CM6,CM$2:CM$111,0))&gt;0,_xlfn.MAXIFS(CN$1:CN5,CM$1:CM5,CM6)+1,_xlfn.RANK.EQ(CM6,CM$2:CM$111,0)),"")</f>
        <v/>
      </c>
      <c r="CO6" s="1" t="str">
        <f>IF(ISNUMBER(CM6)=TRUE,IF(_xlfn.RANK.EQ(CM6,$CM$2:$CM$111)&lt;='Tournament Setup'!$B$41,_xlfn.RANK.EQ(CM6,$CM$2:$CM$111),""),"")</f>
        <v/>
      </c>
      <c r="CP6" s="31" t="str">
        <f>IF(AND($G6='Tournament Setup'!$A$41,$E6="M",$CO6&gt;'Tournament Setup'!$B$41),$H6,"")</f>
        <v/>
      </c>
      <c r="CQ6" s="1" t="str">
        <f>IF(ISNUMBER(CP6)=TRUE,IF(_xlfn.RANK.EQ(CP6,$CP$2:$CP$111)&lt;='Tournament Setup'!$C$41,_xlfn.RANK.EQ(CP6,$CP$2:$CP$111),""),"")</f>
        <v/>
      </c>
      <c r="CR6" s="31" t="str">
        <f>IF(AND($G6='Tournament Setup'!$A$41,$E6="F",$CO6&gt;'Tournament Setup'!$B$41),$H6,"")</f>
        <v/>
      </c>
      <c r="CS6" s="12" t="str">
        <f>IF(ISNUMBER(CR6)=TRUE,IF(_xlfn.RANK.EQ(CR6,$CR$2:$CR$111)&lt;='Tournament Setup'!$D$41,_xlfn.RANK.EQ(CR6,$CR$2:$CR$111),""),"")</f>
        <v/>
      </c>
    </row>
    <row r="7" spans="1:97" x14ac:dyDescent="0.3">
      <c r="A7" t="s">
        <v>42</v>
      </c>
      <c r="B7" t="str">
        <f>IFERROR(INDEX('Tournament List'!$B:$B,MATCH($A7,'Tournament List'!$A:$A,0)),"")</f>
        <v>Ben</v>
      </c>
      <c r="C7" t="str">
        <f>IFERROR(INDEX('Tournament List'!$C:$C,MATCH($A7,'Tournament List'!$A:$A,0)),"")</f>
        <v>Last Name6</v>
      </c>
      <c r="D7" t="str">
        <f t="shared" si="0"/>
        <v>Ben Last Name6</v>
      </c>
      <c r="E7" s="1" t="str">
        <f>IFERROR(INDEX('Tournament List'!F:F,MATCH($A7,'Tournament List'!$A:$A,0)),"")</f>
        <v>M</v>
      </c>
      <c r="F7" t="str">
        <f>IFERROR(INDEX('Tournament List'!M:M,MATCH($A7,'Tournament List'!$A:$A,0)),"")</f>
        <v>Novice</v>
      </c>
      <c r="G7" s="1" t="str">
        <f>IFERROR(INDEX('Tournament List'!W:W,MATCH($A7,'Tournament List'!$A:$A,0)),"")</f>
        <v>C</v>
      </c>
      <c r="H7" s="129">
        <f>IFERROR(INDEX('Tournament List'!Z:Z,MATCH($A7,'Tournament List'!$A:$A,0)),"")</f>
        <v>51</v>
      </c>
      <c r="I7" s="152" t="str">
        <f>IFERROR(INDEX('Tournament List'!T:T,MATCH($A7,'Tournament List'!$A:$A,0)),"")</f>
        <v/>
      </c>
      <c r="J7" s="56" t="str">
        <f>IF(ISNUMBER(I7),IF(COUNTIFS(J$1:J6,_xlfn.RANK.EQ(I7,I$2:I$111,0))&gt;0,_xlfn.MAXIFS(J$1:J6,I$1:I6,I7)+1,_xlfn.RANK.EQ(I7,I$2:I$111,0)),"")</f>
        <v/>
      </c>
      <c r="K7" s="11">
        <f t="shared" si="1"/>
        <v>39</v>
      </c>
      <c r="L7" s="56">
        <f>IF(ISNUMBER(H7),IF(COUNTIFS(L$1:L6,_xlfn.RANK.EQ(H7,H$2:H$111,0))&gt;0,_xlfn.MAXIFS(L$1:L6,H$1:H6,H7)+1,_xlfn.RANK.EQ(H7,H$2:H$111,0)),"")</f>
        <v>39</v>
      </c>
      <c r="M7" s="151">
        <f t="shared" si="2"/>
        <v>51</v>
      </c>
      <c r="N7" s="47">
        <f>IF(ISNUMBER(M7),IF(COUNTIFS(N$1:N6,_xlfn.RANK.EQ(M7,M$2:M$111,0))&gt;0,_xlfn.MAXIFS(N$1:N6,M$1:M6,M7)+1,_xlfn.RANK.EQ(M7,M$2:M$111,0)),"")</f>
        <v>37</v>
      </c>
      <c r="O7" s="1" t="str">
        <f>IF(ISNUMBER(M7)=TRUE,IF(_xlfn.RANK.EQ(M7,$M$2:$M$111)&lt;='Tournament Setup'!$B$23,_xlfn.RANK.EQ(M7,$M$2:$M$111),""),"")</f>
        <v/>
      </c>
      <c r="P7" s="150">
        <f t="shared" si="3"/>
        <v>51</v>
      </c>
      <c r="Q7" s="1" t="str">
        <f>IF(ISNUMBER(P7)=TRUE,IF(_xlfn.RANK.EQ(P7,$P$2:$P$111)&lt;='Tournament Setup'!$B$24,_xlfn.RANK.EQ(P7,$P$2:$P$111),""),"")</f>
        <v/>
      </c>
      <c r="R7" s="150" t="str">
        <f t="shared" si="4"/>
        <v/>
      </c>
      <c r="S7" s="12" t="str">
        <f>IF(ISNUMBER(R7)=TRUE,IF(_xlfn.RANK.EQ(R7,$R$2:$R$111)&lt;='Tournament Setup'!$B$25,_xlfn.RANK.EQ(R7,$R$2:$R$111),""),"")</f>
        <v/>
      </c>
      <c r="T7" s="152" t="str">
        <f>IF(AND($F7='Tournament Setup'!$A$29,$I7&lt;&gt;0),$I7,"")</f>
        <v/>
      </c>
      <c r="U7" s="47" t="str">
        <f>IF(ISNUMBER(T7),IF(COUNTIFS(U$1:U6,_xlfn.RANK.EQ(T7,T$2:T$111,0))&gt;0,_xlfn.MAXIFS(U$1:U6,T$1:T6,T7)+1,_xlfn.RANK.EQ(T7,T$2:T$111,0)),"")</f>
        <v/>
      </c>
      <c r="V7" s="1" t="str">
        <f>IF(ISNUMBER(T7)=TRUE,IF(_xlfn.RANK.EQ(T7,$T$3:$T$112)&lt;='Tournament Setup'!$B$46,_xlfn.RANK.EQ(T7,$T$2:$T$111),""),"")</f>
        <v/>
      </c>
      <c r="W7" s="30">
        <f>IF(AND($F7='Tournament Setup'!$A$29,SUM($O7,$Q7,$S7)=0),$H7,"")</f>
        <v>51</v>
      </c>
      <c r="X7" s="47">
        <f>IF(ISNUMBER(W7),IF(COUNTIFS(X$1:X6,_xlfn.RANK.EQ(W7,W$2:W$111,0))&gt;0,_xlfn.MAXIFS(X$1:X6,W$1:W6,W7)+1,_xlfn.RANK.EQ(W7,W$2:W$111,0)),"")</f>
        <v>11</v>
      </c>
      <c r="Y7" s="1" t="str">
        <f>IF(ISNUMBER(W7)=TRUE,IF(_xlfn.RANK.EQ(W7,$W$2:$W$111)&lt;='Tournament Setup'!$B$29,_xlfn.RANK.EQ(W7,$W$2:$W$111),""),"")</f>
        <v/>
      </c>
      <c r="Z7" s="31">
        <f>IF(AND($F7='Tournament Setup'!$A$29,SUM($O7,$Q7)=0,$E7="M",$Y7&gt;'Tournament Setup'!$B$29),$H7,"")</f>
        <v>51</v>
      </c>
      <c r="AA7" s="1" t="str">
        <f>IF(ISNUMBER(Z7)=TRUE,IF(_xlfn.RANK.EQ(Z7,$Z$2:$Z$111)&lt;='Tournament Setup'!$C$29,_xlfn.RANK.EQ(Z7,$Z$2:$Z$111),""),"")</f>
        <v/>
      </c>
      <c r="AB7" s="31" t="str">
        <f>IF(AND($F7='Tournament Setup'!$A$29,SUM($O7,$S7)=0,$E7="F",$Y7&gt;'Tournament Setup'!$B$29),$H7,"")</f>
        <v/>
      </c>
      <c r="AC7" s="12" t="str">
        <f>IF(ISNUMBER(AB7)=TRUE,IF(_xlfn.RANK.EQ(AB7,$AB$2:$AB$111)&lt;='Tournament Setup'!$D$29,_xlfn.RANK.EQ(AB7,$AB$2:$AB$111),""),"")</f>
        <v/>
      </c>
      <c r="AD7" s="30" t="str">
        <f>IF(AND($F7='Tournament Setup'!$A$30,$I7&lt;&gt;0),$I7,"")</f>
        <v/>
      </c>
      <c r="AE7" s="47" t="str">
        <f>IF(ISNUMBER(AD7),IF(COUNTIFS(AE$1:AE6,_xlfn.RANK.EQ(AD7,AD$2:AD$111,0))&gt;0,_xlfn.MAXIFS(AE$1:AE6,AD$1:AD6,AD7)+1,_xlfn.RANK.EQ(AD7,AD$2:AD$111,0)),"")</f>
        <v/>
      </c>
      <c r="AF7" s="1" t="str">
        <f>IF(ISNUMBER(AD7)=TRUE,IF(_xlfn.RANK.EQ(AD7,$AD$2:$AD$111)&lt;='Tournament Setup'!$B$46,_xlfn.RANK.EQ(AD7,$AD$2:$AD$111),""),"")</f>
        <v/>
      </c>
      <c r="AG7" s="30" t="str">
        <f>IF(AND($F7='Tournament Setup'!$A$30,SUM($O7,$Q7,$S7)=0),$H7,"")</f>
        <v/>
      </c>
      <c r="AH7" s="47" t="str">
        <f>IF(ISNUMBER(AG7),IF(COUNTIFS(AH$1:AH6,_xlfn.RANK.EQ(AG7,AG$2:AG$111,0))&gt;0,_xlfn.MAXIFS(AH$1:AH6,AG$1:AG6,AG7)+1,_xlfn.RANK.EQ(AG7,AG$2:AG$111,0)),"")</f>
        <v/>
      </c>
      <c r="AI7" s="1" t="str">
        <f>IF(ISNUMBER(AG7)=TRUE,IF(_xlfn.RANK.EQ(AG7,$AG$2:$AG$111)&lt;='Tournament Setup'!$B$30,_xlfn.RANK.EQ(AG7,$AG$2:$AG$111),""),"")</f>
        <v/>
      </c>
      <c r="AJ7" s="31" t="str">
        <f>IF(AND($F7='Tournament Setup'!$A$30,SUM($O7,$Q7)=0,$E7="M",$AI7&gt;'Tournament Setup'!$B$30),$H7,"")</f>
        <v/>
      </c>
      <c r="AK7" s="1" t="str">
        <f>IF(ISNUMBER(AJ7)=TRUE,IF(_xlfn.RANK.EQ(AJ7,$AJ$2:$AJ$111)&lt;='Tournament Setup'!$C$30,_xlfn.RANK.EQ(AJ7,$AJ$2:$AJ$111),""),"")</f>
        <v/>
      </c>
      <c r="AL7" s="31" t="str">
        <f>IF(AND($F7='Tournament Setup'!$A$30,SUM($O7,$S7)=0,$E7="F",$AI7&gt;'Tournament Setup'!$B$30),$H7,"")</f>
        <v/>
      </c>
      <c r="AM7" s="12" t="str">
        <f>IF(ISNUMBER(AL7)=TRUE,IF(_xlfn.RANK.EQ(AL7,$AL$2:$AL$111)&lt;='Tournament Setup'!$D$30,_xlfn.RANK.EQ(AL7,$AL$2:$AL$111),""),"")</f>
        <v/>
      </c>
      <c r="AN7" s="30" t="str">
        <f>IF(AND($F7='Tournament Setup'!$A$31,$I7&lt;&gt;0),$I7,"")</f>
        <v/>
      </c>
      <c r="AO7" s="47" t="str">
        <f>IF(ISNUMBER(AN7),IF(COUNTIFS(AO$1:AO6,_xlfn.RANK.EQ(AN7,AN$2:AN$111,0))&gt;0,_xlfn.MAXIFS(AO$1:AO6,AN$1:AN6,AN7)+1,_xlfn.RANK.EQ(AN7,AN$2:AN$111,0)),"")</f>
        <v/>
      </c>
      <c r="AP7" s="1" t="str">
        <f>IF(ISNUMBER(AN7)=TRUE,IF(_xlfn.RANK.EQ(AN7,$AN$2:$AN$111)&lt;='Tournament Setup'!$B$46,_xlfn.RANK.EQ(AN7,$AN$2:$AN$111),""),"")</f>
        <v/>
      </c>
      <c r="AQ7" s="30" t="str">
        <f>IF(AND($F7='Tournament Setup'!$A$31,SUM($O7,$Q7,$S7)=0),$H7,"")</f>
        <v/>
      </c>
      <c r="AR7" s="47" t="str">
        <f>IF(ISNUMBER(AQ7),IF(COUNTIFS(AR$1:AR6,_xlfn.RANK.EQ(AQ7,AQ$2:AQ$111,0))&gt;0,_xlfn.MAXIFS(AR$1:AR6,AQ$1:AQ6,AQ7)+1,_xlfn.RANK.EQ(AQ7,AQ$2:AQ$111,0)),"")</f>
        <v/>
      </c>
      <c r="AS7" s="1" t="str">
        <f>IF(ISNUMBER(AQ7)=TRUE,IF(_xlfn.RANK.EQ(AQ7,$AQ$2:$AQ$111)&lt;='Tournament Setup'!$B$31,_xlfn.RANK.EQ(AQ7,$AQ$2:$AQ$111),""),"")</f>
        <v/>
      </c>
      <c r="AT7" s="31" t="str">
        <f>IF(AND($F7='Tournament Setup'!$A$31,SUM($O7,$Q7)=0,$E7="M",$AS7&gt;'Tournament Setup'!$B$31),$H7,"")</f>
        <v/>
      </c>
      <c r="AU7" s="1" t="str">
        <f>IF(ISNUMBER(AT7)=TRUE,IF(_xlfn.RANK.EQ(AT7,$AT$2:$AT$111)&lt;='Tournament Setup'!$C$31,_xlfn.RANK.EQ(AT7,$AT$2:$AT$111),""),"")</f>
        <v/>
      </c>
      <c r="AV7" s="31" t="str">
        <f>IF(AND($F7='Tournament Setup'!$A$31,SUM($O7,$S7)=0,$E7="F",$AS7&gt;'Tournament Setup'!$B$31),$H7,"")</f>
        <v/>
      </c>
      <c r="AW7" s="12" t="str">
        <f>IF(ISNUMBER(AV7)=TRUE,IF(_xlfn.RANK.EQ(AV7,$AV$2:$AV$111)&lt;='Tournament Setup'!$D$31,_xlfn.RANK.EQ(AV7,$AV$2:$AV$111),""),"")</f>
        <v/>
      </c>
      <c r="AX7" s="30" t="str">
        <f>IF(AND($F7='Tournament Setup'!$A$32,$I7&lt;&gt;0),$I7,"")</f>
        <v/>
      </c>
      <c r="AY7" s="47" t="str">
        <f>IF(ISNUMBER(AX7),IF(COUNTIFS(AY$1:AY6,_xlfn.RANK.EQ(AX7,AX$2:AX$111,0))&gt;0,_xlfn.MAXIFS(AY$1:AY6,AX$1:AX6,AX7)+1,_xlfn.RANK.EQ(AX7,AX$2:AX$111,0)),"")</f>
        <v/>
      </c>
      <c r="AZ7" s="1" t="str">
        <f>IF(ISNUMBER(AX7)=TRUE,IF(_xlfn.RANK.EQ(AX7,$AX$2:$AX$111)&lt;='Tournament Setup'!$B$46,_xlfn.RANK.EQ(AX7,$AX$2:$AX$111),""),"")</f>
        <v/>
      </c>
      <c r="BA7" s="30" t="str">
        <f>IF(AND($F7='Tournament Setup'!$A$32,SUM($O7,$Q7,$S7)=0),$H7,"")</f>
        <v/>
      </c>
      <c r="BB7" s="47" t="str">
        <f>IF(ISNUMBER(BA7),IF(COUNTIFS(BB$1:BB6,_xlfn.RANK.EQ(BA7,BA$2:BA$111,0))&gt;0,_xlfn.MAXIFS(BB$1:BB6,BA$1:BA6,BA7)+1,_xlfn.RANK.EQ(BA7,BA$2:BA$111,0)),"")</f>
        <v/>
      </c>
      <c r="BC7" s="1" t="str">
        <f>IF(ISNUMBER(BA7)=TRUE,IF(_xlfn.RANK.EQ(BA7,$BA$2:$BA$111)&lt;='Tournament Setup'!$B$32,_xlfn.RANK.EQ(BA7,$BA$2:$BA$111),""),"")</f>
        <v/>
      </c>
      <c r="BD7" s="31" t="str">
        <f>IF(AND($F7='Tournament Setup'!$A$32,SUM($O7,$Q7)=0,$E7="M",$BC7&gt;'Tournament Setup'!$B$32),$H7,"")</f>
        <v/>
      </c>
      <c r="BE7" s="1" t="str">
        <f>IF(ISNUMBER(BD7)=TRUE,IF(_xlfn.RANK.EQ(BD7,$BD$2:$BD$111)&lt;='Tournament Setup'!$C$32,_xlfn.RANK.EQ(BD7,$BD$2:$BD$111),""),"")</f>
        <v/>
      </c>
      <c r="BF7" s="31" t="str">
        <f>IF(AND($F7='Tournament Setup'!$A$32,SUM($O7,$S7)=0,$E7="F",$BC7&gt;'Tournament Setup'!$B$32),$H7,"")</f>
        <v/>
      </c>
      <c r="BG7" s="12" t="str">
        <f>IF(ISNUMBER(BF7)=TRUE,IF(_xlfn.RANK.EQ(BF7,$BF$2:$BF$111)&lt;='Tournament Setup'!$D$32,_xlfn.RANK.EQ(BF7,$BF$2:$BF$111),""),"")</f>
        <v/>
      </c>
      <c r="BH7" s="30" t="str">
        <f>IF(AND($F7='Tournament Setup'!$A$33,$I7&lt;&gt;0),$I7,"")</f>
        <v/>
      </c>
      <c r="BI7" s="47" t="str">
        <f>IF(ISNUMBER(BH7),IF(COUNTIFS(BI$1:BI6,_xlfn.RANK.EQ(BH7,BH$2:BH$111,0))&gt;0,_xlfn.MAXIFS(BI$1:BI6,BH$1:BH6,BH7)+1,_xlfn.RANK.EQ(BH7,BH$2:BH$111,0)),"")</f>
        <v/>
      </c>
      <c r="BJ7" s="1" t="str">
        <f>IF(ISNUMBER(BH7)=TRUE,IF(_xlfn.RANK.EQ(BH7,$BH$2:$BH$111)&lt;='Tournament Setup'!$B$46,_xlfn.RANK.EQ(BH7,$BH$2:$BH$111),""),"")</f>
        <v/>
      </c>
      <c r="BK7" s="30" t="str">
        <f>IF(AND($F7='Tournament Setup'!$A$33,SUM($O7,$Q7,$S7)=0),$H7,"")</f>
        <v/>
      </c>
      <c r="BL7" s="47" t="str">
        <f>IF(ISNUMBER(BK7),IF(COUNTIFS(BL$1:BL6,_xlfn.RANK.EQ(BK7,BK$2:BK$111,0))&gt;0,_xlfn.MAXIFS(BL$1:BL6,BK$1:BK6,BK7)+1,_xlfn.RANK.EQ(BK7,BK$2:BK$111,0)),"")</f>
        <v/>
      </c>
      <c r="BM7" s="1" t="str">
        <f>IF(ISNUMBER(BK7)=TRUE,IF(_xlfn.RANK.EQ(BK7,$BK$2:$BK$111)&lt;='Tournament Setup'!$B$33,_xlfn.RANK.EQ(BK7,$BK$2:$BK$111),""),"")</f>
        <v/>
      </c>
      <c r="BN7" s="31" t="str">
        <f>IF(AND($F7='Tournament Setup'!$A$33,SUM($O7,$Q7)=0,$E7="M",$BM7&gt;'Tournament Setup'!$B$33),$H7,"")</f>
        <v/>
      </c>
      <c r="BO7" s="1" t="str">
        <f>IF(ISNUMBER(BN7)=TRUE,IF(_xlfn.RANK.EQ(BN7,$BN$2:$BN$111)&lt;='Tournament Setup'!$C$33,_xlfn.RANK.EQ(BN7,$BN$2:$BN$111),""),"")</f>
        <v/>
      </c>
      <c r="BP7" s="31" t="str">
        <f>IF(AND($F7='Tournament Setup'!$A$33,SUM($O7,$S7)=0,$E7="F",$BM7&gt;'Tournament Setup'!$B$33),$H7,"")</f>
        <v/>
      </c>
      <c r="BQ7" s="12" t="str">
        <f>IF(ISNUMBER(BP7)=TRUE,IF(_xlfn.RANK.EQ(BP7,$BP$2:$BP$111)&lt;='Tournament Setup'!$D$33,_xlfn.RANK.EQ(BP7,$BP$2:$BP$111),""),"")</f>
        <v/>
      </c>
      <c r="BR7" s="30" t="str">
        <f>IF($G7='Tournament Setup'!$A$38,$H7,"")</f>
        <v/>
      </c>
      <c r="BS7" s="47" t="str">
        <f>IF(ISNUMBER(BR7),IF(COUNTIFS(BS$1:BS6,_xlfn.RANK.EQ(BR7,BR$2:BR$111,0))&gt;0,_xlfn.MAXIFS(BS$1:BS6,BR$1:BR6,BR7)+1,_xlfn.RANK.EQ(BR7,BR$2:BR$111,0)),"")</f>
        <v/>
      </c>
      <c r="BT7" s="1" t="str">
        <f>IF(ISNUMBER(BR7)=TRUE,IF(_xlfn.RANK.EQ(BR7,$BR$2:$BR$111)&lt;='Tournament Setup'!$B$38,_xlfn.RANK.EQ(BR7,$BR$2:$BR$111),""),"")</f>
        <v/>
      </c>
      <c r="BU7" s="31" t="str">
        <f>IF(AND($G7='Tournament Setup'!$A$38,$E7="M",$BT7&gt;'Tournament Setup'!$B$38),$H7,"")</f>
        <v/>
      </c>
      <c r="BV7" s="1" t="str">
        <f>IF(ISNUMBER(BU7)=TRUE,IF(_xlfn.RANK.EQ(BU7,$BU$2:$BU$111)&lt;='Tournament Setup'!$C$38,_xlfn.RANK.EQ(BU7,$BU$2:$BU$111),""),"")</f>
        <v/>
      </c>
      <c r="BW7" s="31" t="str">
        <f>IF(AND($G7='Tournament Setup'!$A$38,$E7="F",$BT7&gt;'Tournament Setup'!$B$38),$H7,"")</f>
        <v/>
      </c>
      <c r="BX7" s="12" t="str">
        <f>IF(ISNUMBER(BW7)=TRUE,IF(_xlfn.RANK.EQ(BW7,$BW$2:$BW$111)&lt;='Tournament Setup'!$D$38,_xlfn.RANK.EQ(BW7,$BW$2:$BW$111),""),"")</f>
        <v/>
      </c>
      <c r="BY7" s="30" t="str">
        <f>IF($G7='Tournament Setup'!$A$39,$H7,"")</f>
        <v/>
      </c>
      <c r="BZ7" s="47" t="str">
        <f>IF(ISNUMBER(BY7),IF(COUNTIFS(BZ$1:BZ6,_xlfn.RANK.EQ(BY7,BY$2:BY$111,0))&gt;0,_xlfn.MAXIFS(BZ$1:BZ6,BY$1:BY6,BY7)+1,_xlfn.RANK.EQ(BY7,BY$2:BY$111,0)),"")</f>
        <v/>
      </c>
      <c r="CA7" s="1" t="str">
        <f>IF(ISNUMBER(BY7)=TRUE,IF(_xlfn.RANK.EQ(BY7,$BY$2:$BY$111)&lt;='Tournament Setup'!$B$39,_xlfn.RANK.EQ(BY7,$BY$2:$BY$111),""),"")</f>
        <v/>
      </c>
      <c r="CB7" s="31" t="str">
        <f>IF(AND($G7='Tournament Setup'!$A$39,$E7="M",$CA7&gt;'Tournament Setup'!$B$39),$H7,"")</f>
        <v/>
      </c>
      <c r="CC7" s="1" t="str">
        <f>IF(ISNUMBER(CB7)=TRUE,IF(_xlfn.RANK.EQ(CB7,$CB$2:$CB$111)&lt;='Tournament Setup'!$C$39,_xlfn.RANK.EQ(CB7,$CB$2:$CB$111),""),"")</f>
        <v/>
      </c>
      <c r="CD7" s="31" t="str">
        <f>IF(AND($G7='Tournament Setup'!$A$39,$E7="F",$CA7&gt;'Tournament Setup'!$B$39),$H7,"")</f>
        <v/>
      </c>
      <c r="CE7" s="12" t="str">
        <f>IF(ISNUMBER(CD7)=TRUE,IF(_xlfn.RANK.EQ(CD7,$CD$2:$CD$111)&lt;='Tournament Setup'!$D$39,_xlfn.RANK.EQ(CD7,$CD$2:$CD$111),""),"")</f>
        <v/>
      </c>
      <c r="CF7" s="30">
        <f>IF($G7='Tournament Setup'!$A$40,$H7,"")</f>
        <v>51</v>
      </c>
      <c r="CG7" s="47">
        <f>IF(ISNUMBER(CF7),IF(COUNTIFS(CG$1:CG6,_xlfn.RANK.EQ(CF7,CF$2:CF$111,0))&gt;0,_xlfn.MAXIFS(CG$1:CG6,CF$1:CF6,CF7)+1,_xlfn.RANK.EQ(CF7,CF$2:CF$111,0)),"")</f>
        <v>12</v>
      </c>
      <c r="CH7" s="1" t="str">
        <f>IF(ISNUMBER(CF7)=TRUE,IF(_xlfn.RANK.EQ(CF7,$CF$2:$CF$111)&lt;='Tournament Setup'!$B$40,_xlfn.RANK.EQ(CF7,$CF$2:$CF$111),""),"")</f>
        <v/>
      </c>
      <c r="CI7" s="31">
        <f>IF(AND($G7='Tournament Setup'!$A$40,$E7="M",$CH7&gt;'Tournament Setup'!$B$40),$H7,"")</f>
        <v>51</v>
      </c>
      <c r="CJ7" s="1" t="str">
        <f>IF(ISNUMBER(CI7)=TRUE,IF(_xlfn.RANK.EQ(CI7,$CI$2:$CI$111)&lt;='Tournament Setup'!$C$40,_xlfn.RANK.EQ(CI7,$CI$2:$CI$111),""),"")</f>
        <v/>
      </c>
      <c r="CK7" s="31" t="str">
        <f>IF(AND($G7='Tournament Setup'!$A$40,$E7="F",$CH7&gt;'Tournament Setup'!$B$40),$H7,"")</f>
        <v/>
      </c>
      <c r="CL7" s="12" t="str">
        <f>IF(ISNUMBER(CK7)=TRUE,IF(_xlfn.RANK.EQ(CK7,$CK$2:$CK$111)&lt;='Tournament Setup'!$D$40,_xlfn.RANK.EQ(CK7,$CK$2:$CK$111),""),"")</f>
        <v/>
      </c>
      <c r="CM7" s="30" t="str">
        <f>IF($G7='Tournament Setup'!$A$41,$H7,"")</f>
        <v/>
      </c>
      <c r="CN7" s="47" t="str">
        <f>IF(ISNUMBER(CM7),IF(COUNTIFS(CN$1:CN6,_xlfn.RANK.EQ(CM7,CM$2:CM$111,0))&gt;0,_xlfn.MAXIFS(CN$1:CN6,CM$1:CM6,CM7)+1,_xlfn.RANK.EQ(CM7,CM$2:CM$111,0)),"")</f>
        <v/>
      </c>
      <c r="CO7" s="1" t="str">
        <f>IF(ISNUMBER(CM7)=TRUE,IF(_xlfn.RANK.EQ(CM7,$CM$2:$CM$111)&lt;='Tournament Setup'!$B$41,_xlfn.RANK.EQ(CM7,$CM$2:$CM$111),""),"")</f>
        <v/>
      </c>
      <c r="CP7" s="31" t="str">
        <f>IF(AND($G7='Tournament Setup'!$A$41,$E7="M",$CO7&gt;'Tournament Setup'!$B$41),$H7,"")</f>
        <v/>
      </c>
      <c r="CQ7" s="1" t="str">
        <f>IF(ISNUMBER(CP7)=TRUE,IF(_xlfn.RANK.EQ(CP7,$CP$2:$CP$111)&lt;='Tournament Setup'!$C$41,_xlfn.RANK.EQ(CP7,$CP$2:$CP$111),""),"")</f>
        <v/>
      </c>
      <c r="CR7" s="31" t="str">
        <f>IF(AND($G7='Tournament Setup'!$A$41,$E7="F",$CO7&gt;'Tournament Setup'!$B$41),$H7,"")</f>
        <v/>
      </c>
      <c r="CS7" s="12" t="str">
        <f>IF(ISNUMBER(CR7)=TRUE,IF(_xlfn.RANK.EQ(CR7,$CR$2:$CR$111)&lt;='Tournament Setup'!$D$41,_xlfn.RANK.EQ(CR7,$CR$2:$CR$111),""),"")</f>
        <v/>
      </c>
    </row>
    <row r="8" spans="1:97" x14ac:dyDescent="0.3">
      <c r="A8" t="s">
        <v>43</v>
      </c>
      <c r="B8" t="str">
        <f>IFERROR(INDEX('Tournament List'!$B:$B,MATCH($A8,'Tournament List'!$A:$A,0)),"")</f>
        <v>Blake</v>
      </c>
      <c r="C8" t="str">
        <f>IFERROR(INDEX('Tournament List'!$C:$C,MATCH($A8,'Tournament List'!$A:$A,0)),"")</f>
        <v>Last Name7</v>
      </c>
      <c r="D8" t="str">
        <f t="shared" si="0"/>
        <v>Blake Last Name7</v>
      </c>
      <c r="E8" s="1" t="str">
        <f>IFERROR(INDEX('Tournament List'!F:F,MATCH($A8,'Tournament List'!$A:$A,0)),"")</f>
        <v>M</v>
      </c>
      <c r="F8" t="str">
        <f>IFERROR(INDEX('Tournament List'!M:M,MATCH($A8,'Tournament List'!$A:$A,0)),"")</f>
        <v>Intermediate</v>
      </c>
      <c r="G8" s="1" t="str">
        <f>IFERROR(INDEX('Tournament List'!W:W,MATCH($A8,'Tournament List'!$A:$A,0)),"")</f>
        <v>C</v>
      </c>
      <c r="H8" s="129">
        <f>IFERROR(INDEX('Tournament List'!Z:Z,MATCH($A8,'Tournament List'!$A:$A,0)),"")</f>
        <v>97</v>
      </c>
      <c r="I8" s="152">
        <f>IFERROR(INDEX('Tournament List'!T:T,MATCH($A8,'Tournament List'!$A:$A,0)),"")</f>
        <v>277</v>
      </c>
      <c r="J8" s="56">
        <f>IF(ISNUMBER(I8),IF(COUNTIFS(J$1:J7,_xlfn.RANK.EQ(I8,I$2:I$111,0))&gt;0,_xlfn.MAXIFS(J$1:J7,I$1:I7,I8)+1,_xlfn.RANK.EQ(I8,I$2:I$111,0)),"")</f>
        <v>1</v>
      </c>
      <c r="K8" s="11">
        <f t="shared" si="1"/>
        <v>2</v>
      </c>
      <c r="L8" s="56">
        <f>IF(ISNUMBER(H8),IF(COUNTIFS(L$1:L7,_xlfn.RANK.EQ(H8,H$2:H$111,0))&gt;0,_xlfn.MAXIFS(L$1:L7,H$1:H7,H8)+1,_xlfn.RANK.EQ(H8,H$2:H$111,0)),"")</f>
        <v>2</v>
      </c>
      <c r="M8" s="151">
        <f t="shared" si="2"/>
        <v>97</v>
      </c>
      <c r="N8" s="47">
        <f>IF(ISNUMBER(M8),IF(COUNTIFS(N$1:N7,_xlfn.RANK.EQ(M8,M$2:M$111,0))&gt;0,_xlfn.MAXIFS(N$1:N7,M$1:M7,M8)+1,_xlfn.RANK.EQ(M8,M$2:M$111,0)),"")</f>
        <v>2</v>
      </c>
      <c r="O8" s="1" t="str">
        <f>IF(ISNUMBER(M8)=TRUE,IF(_xlfn.RANK.EQ(M8,$M$2:$M$111)&lt;='Tournament Setup'!$B$23,_xlfn.RANK.EQ(M8,$M$2:$M$111),""),"")</f>
        <v/>
      </c>
      <c r="P8" s="150">
        <f t="shared" si="3"/>
        <v>97</v>
      </c>
      <c r="Q8" s="1">
        <f>IF(ISNUMBER(P8)=TRUE,IF(_xlfn.RANK.EQ(P8,$P$2:$P$111)&lt;='Tournament Setup'!$B$24,_xlfn.RANK.EQ(P8,$P$2:$P$111),""),"")</f>
        <v>2</v>
      </c>
      <c r="R8" s="150" t="str">
        <f t="shared" si="4"/>
        <v/>
      </c>
      <c r="S8" s="12" t="str">
        <f>IF(ISNUMBER(R8)=TRUE,IF(_xlfn.RANK.EQ(R8,$R$2:$R$111)&lt;='Tournament Setup'!$B$25,_xlfn.RANK.EQ(R8,$R$2:$R$111),""),"")</f>
        <v/>
      </c>
      <c r="T8" s="152" t="str">
        <f>IF(AND($F8='Tournament Setup'!$A$29,$I8&lt;&gt;0),$I8,"")</f>
        <v/>
      </c>
      <c r="U8" s="47" t="str">
        <f>IF(ISNUMBER(T8),IF(COUNTIFS(U$1:U7,_xlfn.RANK.EQ(T8,T$2:T$111,0))&gt;0,_xlfn.MAXIFS(U$1:U7,T$1:T7,T8)+1,_xlfn.RANK.EQ(T8,T$2:T$111,0)),"")</f>
        <v/>
      </c>
      <c r="V8" s="1" t="str">
        <f>IF(ISNUMBER(T8)=TRUE,IF(_xlfn.RANK.EQ(T8,$T$3:$T$112)&lt;='Tournament Setup'!$B$46,_xlfn.RANK.EQ(T8,$T$2:$T$111),""),"")</f>
        <v/>
      </c>
      <c r="W8" s="30" t="str">
        <f>IF(AND($F8='Tournament Setup'!$A$29,SUM($O8,$Q8,$S8)=0),$H8,"")</f>
        <v/>
      </c>
      <c r="X8" s="47" t="str">
        <f>IF(ISNUMBER(W8),IF(COUNTIFS(X$1:X7,_xlfn.RANK.EQ(W8,W$2:W$111,0))&gt;0,_xlfn.MAXIFS(X$1:X7,W$1:W7,W8)+1,_xlfn.RANK.EQ(W8,W$2:W$111,0)),"")</f>
        <v/>
      </c>
      <c r="Y8" s="1" t="str">
        <f>IF(ISNUMBER(W8)=TRUE,IF(_xlfn.RANK.EQ(W8,$W$2:$W$111)&lt;='Tournament Setup'!$B$29,_xlfn.RANK.EQ(W8,$W$2:$W$111),""),"")</f>
        <v/>
      </c>
      <c r="Z8" s="31" t="str">
        <f>IF(AND($F8='Tournament Setup'!$A$29,SUM($O8,$Q8)=0,$E8="M",$Y8&gt;'Tournament Setup'!$B$29),$H8,"")</f>
        <v/>
      </c>
      <c r="AA8" s="1" t="str">
        <f>IF(ISNUMBER(Z8)=TRUE,IF(_xlfn.RANK.EQ(Z8,$Z$2:$Z$111)&lt;='Tournament Setup'!$C$29,_xlfn.RANK.EQ(Z8,$Z$2:$Z$111),""),"")</f>
        <v/>
      </c>
      <c r="AB8" s="31" t="str">
        <f>IF(AND($F8='Tournament Setup'!$A$29,SUM($O8,$S8)=0,$E8="F",$Y8&gt;'Tournament Setup'!$B$29),$H8,"")</f>
        <v/>
      </c>
      <c r="AC8" s="12" t="str">
        <f>IF(ISNUMBER(AB8)=TRUE,IF(_xlfn.RANK.EQ(AB8,$AB$2:$AB$111)&lt;='Tournament Setup'!$D$29,_xlfn.RANK.EQ(AB8,$AB$2:$AB$111),""),"")</f>
        <v/>
      </c>
      <c r="AD8" s="30">
        <f>IF(AND($F8='Tournament Setup'!$A$30,$I8&lt;&gt;0),$I8,"")</f>
        <v>277</v>
      </c>
      <c r="AE8" s="47">
        <f>IF(ISNUMBER(AD8),IF(COUNTIFS(AE$1:AE7,_xlfn.RANK.EQ(AD8,AD$2:AD$111,0))&gt;0,_xlfn.MAXIFS(AE$1:AE7,AD$1:AD7,AD8)+1,_xlfn.RANK.EQ(AD8,AD$2:AD$111,0)),"")</f>
        <v>1</v>
      </c>
      <c r="AF8" s="1">
        <f>IF(ISNUMBER(AD8)=TRUE,IF(_xlfn.RANK.EQ(AD8,$AD$2:$AD$111)&lt;='Tournament Setup'!$B$46,_xlfn.RANK.EQ(AD8,$AD$2:$AD$111),""),"")</f>
        <v>1</v>
      </c>
      <c r="AG8" s="30" t="str">
        <f>IF(AND($F8='Tournament Setup'!$A$30,SUM($O8,$Q8,$S8)=0),$H8,"")</f>
        <v/>
      </c>
      <c r="AH8" s="47" t="str">
        <f>IF(ISNUMBER(AG8),IF(COUNTIFS(AH$1:AH7,_xlfn.RANK.EQ(AG8,AG$2:AG$111,0))&gt;0,_xlfn.MAXIFS(AH$1:AH7,AG$1:AG7,AG8)+1,_xlfn.RANK.EQ(AG8,AG$2:AG$111,0)),"")</f>
        <v/>
      </c>
      <c r="AI8" s="1" t="str">
        <f>IF(ISNUMBER(AG8)=TRUE,IF(_xlfn.RANK.EQ(AG8,$AG$2:$AG$111)&lt;='Tournament Setup'!$B$30,_xlfn.RANK.EQ(AG8,$AG$2:$AG$111),""),"")</f>
        <v/>
      </c>
      <c r="AJ8" s="31" t="str">
        <f>IF(AND($F8='Tournament Setup'!$A$30,SUM($O8,$Q8)=0,$E8="M",$AI8&gt;'Tournament Setup'!$B$30),$H8,"")</f>
        <v/>
      </c>
      <c r="AK8" s="1" t="str">
        <f>IF(ISNUMBER(AJ8)=TRUE,IF(_xlfn.RANK.EQ(AJ8,$AJ$2:$AJ$111)&lt;='Tournament Setup'!$C$30,_xlfn.RANK.EQ(AJ8,$AJ$2:$AJ$111),""),"")</f>
        <v/>
      </c>
      <c r="AL8" s="31" t="str">
        <f>IF(AND($F8='Tournament Setup'!$A$30,SUM($O8,$S8)=0,$E8="F",$AI8&gt;'Tournament Setup'!$B$30),$H8,"")</f>
        <v/>
      </c>
      <c r="AM8" s="12" t="str">
        <f>IF(ISNUMBER(AL8)=TRUE,IF(_xlfn.RANK.EQ(AL8,$AL$2:$AL$111)&lt;='Tournament Setup'!$D$30,_xlfn.RANK.EQ(AL8,$AL$2:$AL$111),""),"")</f>
        <v/>
      </c>
      <c r="AN8" s="30" t="str">
        <f>IF(AND($F8='Tournament Setup'!$A$31,$I8&lt;&gt;0),$I8,"")</f>
        <v/>
      </c>
      <c r="AO8" s="47" t="str">
        <f>IF(ISNUMBER(AN8),IF(COUNTIFS(AO$1:AO7,_xlfn.RANK.EQ(AN8,AN$2:AN$111,0))&gt;0,_xlfn.MAXIFS(AO$1:AO7,AN$1:AN7,AN8)+1,_xlfn.RANK.EQ(AN8,AN$2:AN$111,0)),"")</f>
        <v/>
      </c>
      <c r="AP8" s="1" t="str">
        <f>IF(ISNUMBER(AN8)=TRUE,IF(_xlfn.RANK.EQ(AN8,$AN$2:$AN$111)&lt;='Tournament Setup'!$B$46,_xlfn.RANK.EQ(AN8,$AN$2:$AN$111),""),"")</f>
        <v/>
      </c>
      <c r="AQ8" s="30" t="str">
        <f>IF(AND($F8='Tournament Setup'!$A$31,SUM($O8,$Q8,$S8)=0),$H8,"")</f>
        <v/>
      </c>
      <c r="AR8" s="47" t="str">
        <f>IF(ISNUMBER(AQ8),IF(COUNTIFS(AR$1:AR7,_xlfn.RANK.EQ(AQ8,AQ$2:AQ$111,0))&gt;0,_xlfn.MAXIFS(AR$1:AR7,AQ$1:AQ7,AQ8)+1,_xlfn.RANK.EQ(AQ8,AQ$2:AQ$111,0)),"")</f>
        <v/>
      </c>
      <c r="AS8" s="1" t="str">
        <f>IF(ISNUMBER(AQ8)=TRUE,IF(_xlfn.RANK.EQ(AQ8,$AQ$2:$AQ$111)&lt;='Tournament Setup'!$B$31,_xlfn.RANK.EQ(AQ8,$AQ$2:$AQ$111),""),"")</f>
        <v/>
      </c>
      <c r="AT8" s="31" t="str">
        <f>IF(AND($F8='Tournament Setup'!$A$31,SUM($O8,$Q8)=0,$E8="M",$AS8&gt;'Tournament Setup'!$B$31),$H8,"")</f>
        <v/>
      </c>
      <c r="AU8" s="1" t="str">
        <f>IF(ISNUMBER(AT8)=TRUE,IF(_xlfn.RANK.EQ(AT8,$AT$2:$AT$111)&lt;='Tournament Setup'!$C$31,_xlfn.RANK.EQ(AT8,$AT$2:$AT$111),""),"")</f>
        <v/>
      </c>
      <c r="AV8" s="31" t="str">
        <f>IF(AND($F8='Tournament Setup'!$A$31,SUM($O8,$S8)=0,$E8="F",$AS8&gt;'Tournament Setup'!$B$31),$H8,"")</f>
        <v/>
      </c>
      <c r="AW8" s="12" t="str">
        <f>IF(ISNUMBER(AV8)=TRUE,IF(_xlfn.RANK.EQ(AV8,$AV$2:$AV$111)&lt;='Tournament Setup'!$D$31,_xlfn.RANK.EQ(AV8,$AV$2:$AV$111),""),"")</f>
        <v/>
      </c>
      <c r="AX8" s="30" t="str">
        <f>IF(AND($F8='Tournament Setup'!$A$32,$I8&lt;&gt;0),$I8,"")</f>
        <v/>
      </c>
      <c r="AY8" s="47" t="str">
        <f>IF(ISNUMBER(AX8),IF(COUNTIFS(AY$1:AY7,_xlfn.RANK.EQ(AX8,AX$2:AX$111,0))&gt;0,_xlfn.MAXIFS(AY$1:AY7,AX$1:AX7,AX8)+1,_xlfn.RANK.EQ(AX8,AX$2:AX$111,0)),"")</f>
        <v/>
      </c>
      <c r="AZ8" s="1" t="str">
        <f>IF(ISNUMBER(AX8)=TRUE,IF(_xlfn.RANK.EQ(AX8,$AX$2:$AX$111)&lt;='Tournament Setup'!$B$46,_xlfn.RANK.EQ(AX8,$AX$2:$AX$111),""),"")</f>
        <v/>
      </c>
      <c r="BA8" s="30" t="str">
        <f>IF(AND($F8='Tournament Setup'!$A$32,SUM($O8,$Q8,$S8)=0),$H8,"")</f>
        <v/>
      </c>
      <c r="BB8" s="47" t="str">
        <f>IF(ISNUMBER(BA8),IF(COUNTIFS(BB$1:BB7,_xlfn.RANK.EQ(BA8,BA$2:BA$111,0))&gt;0,_xlfn.MAXIFS(BB$1:BB7,BA$1:BA7,BA8)+1,_xlfn.RANK.EQ(BA8,BA$2:BA$111,0)),"")</f>
        <v/>
      </c>
      <c r="BC8" s="1" t="str">
        <f>IF(ISNUMBER(BA8)=TRUE,IF(_xlfn.RANK.EQ(BA8,$BA$2:$BA$111)&lt;='Tournament Setup'!$B$32,_xlfn.RANK.EQ(BA8,$BA$2:$BA$111),""),"")</f>
        <v/>
      </c>
      <c r="BD8" s="31" t="str">
        <f>IF(AND($F8='Tournament Setup'!$A$32,SUM($O8,$Q8)=0,$E8="M",$BC8&gt;'Tournament Setup'!$B$32),$H8,"")</f>
        <v/>
      </c>
      <c r="BE8" s="1" t="str">
        <f>IF(ISNUMBER(BD8)=TRUE,IF(_xlfn.RANK.EQ(BD8,$BD$2:$BD$111)&lt;='Tournament Setup'!$C$32,_xlfn.RANK.EQ(BD8,$BD$2:$BD$111),""),"")</f>
        <v/>
      </c>
      <c r="BF8" s="31" t="str">
        <f>IF(AND($F8='Tournament Setup'!$A$32,SUM($O8,$S8)=0,$E8="F",$BC8&gt;'Tournament Setup'!$B$32),$H8,"")</f>
        <v/>
      </c>
      <c r="BG8" s="12" t="str">
        <f>IF(ISNUMBER(BF8)=TRUE,IF(_xlfn.RANK.EQ(BF8,$BF$2:$BF$111)&lt;='Tournament Setup'!$D$32,_xlfn.RANK.EQ(BF8,$BF$2:$BF$111),""),"")</f>
        <v/>
      </c>
      <c r="BH8" s="30" t="str">
        <f>IF(AND($F8='Tournament Setup'!$A$33,$I8&lt;&gt;0),$I8,"")</f>
        <v/>
      </c>
      <c r="BI8" s="47" t="str">
        <f>IF(ISNUMBER(BH8),IF(COUNTIFS(BI$1:BI7,_xlfn.RANK.EQ(BH8,BH$2:BH$111,0))&gt;0,_xlfn.MAXIFS(BI$1:BI7,BH$1:BH7,BH8)+1,_xlfn.RANK.EQ(BH8,BH$2:BH$111,0)),"")</f>
        <v/>
      </c>
      <c r="BJ8" s="1" t="str">
        <f>IF(ISNUMBER(BH8)=TRUE,IF(_xlfn.RANK.EQ(BH8,$BH$2:$BH$111)&lt;='Tournament Setup'!$B$46,_xlfn.RANK.EQ(BH8,$BH$2:$BH$111),""),"")</f>
        <v/>
      </c>
      <c r="BK8" s="30" t="str">
        <f>IF(AND($F8='Tournament Setup'!$A$33,SUM($O8,$Q8,$S8)=0),$H8,"")</f>
        <v/>
      </c>
      <c r="BL8" s="47" t="str">
        <f>IF(ISNUMBER(BK8),IF(COUNTIFS(BL$1:BL7,_xlfn.RANK.EQ(BK8,BK$2:BK$111,0))&gt;0,_xlfn.MAXIFS(BL$1:BL7,BK$1:BK7,BK8)+1,_xlfn.RANK.EQ(BK8,BK$2:BK$111,0)),"")</f>
        <v/>
      </c>
      <c r="BM8" s="1" t="str">
        <f>IF(ISNUMBER(BK8)=TRUE,IF(_xlfn.RANK.EQ(BK8,$BK$2:$BK$111)&lt;='Tournament Setup'!$B$33,_xlfn.RANK.EQ(BK8,$BK$2:$BK$111),""),"")</f>
        <v/>
      </c>
      <c r="BN8" s="31" t="str">
        <f>IF(AND($F8='Tournament Setup'!$A$33,SUM($O8,$Q8)=0,$E8="M",$BM8&gt;'Tournament Setup'!$B$33),$H8,"")</f>
        <v/>
      </c>
      <c r="BO8" s="1" t="str">
        <f>IF(ISNUMBER(BN8)=TRUE,IF(_xlfn.RANK.EQ(BN8,$BN$2:$BN$111)&lt;='Tournament Setup'!$C$33,_xlfn.RANK.EQ(BN8,$BN$2:$BN$111),""),"")</f>
        <v/>
      </c>
      <c r="BP8" s="31" t="str">
        <f>IF(AND($F8='Tournament Setup'!$A$33,SUM($O8,$S8)=0,$E8="F",$BM8&gt;'Tournament Setup'!$B$33),$H8,"")</f>
        <v/>
      </c>
      <c r="BQ8" s="12" t="str">
        <f>IF(ISNUMBER(BP8)=TRUE,IF(_xlfn.RANK.EQ(BP8,$BP$2:$BP$111)&lt;='Tournament Setup'!$D$33,_xlfn.RANK.EQ(BP8,$BP$2:$BP$111),""),"")</f>
        <v/>
      </c>
      <c r="BR8" s="30" t="str">
        <f>IF($G8='Tournament Setup'!$A$38,$H8,"")</f>
        <v/>
      </c>
      <c r="BS8" s="47" t="str">
        <f>IF(ISNUMBER(BR8),IF(COUNTIFS(BS$1:BS7,_xlfn.RANK.EQ(BR8,BR$2:BR$111,0))&gt;0,_xlfn.MAXIFS(BS$1:BS7,BR$1:BR7,BR8)+1,_xlfn.RANK.EQ(BR8,BR$2:BR$111,0)),"")</f>
        <v/>
      </c>
      <c r="BT8" s="1" t="str">
        <f>IF(ISNUMBER(BR8)=TRUE,IF(_xlfn.RANK.EQ(BR8,$BR$2:$BR$111)&lt;='Tournament Setup'!$B$38,_xlfn.RANK.EQ(BR8,$BR$2:$BR$111),""),"")</f>
        <v/>
      </c>
      <c r="BU8" s="31" t="str">
        <f>IF(AND($G8='Tournament Setup'!$A$38,$E8="M",$BT8&gt;'Tournament Setup'!$B$38),$H8,"")</f>
        <v/>
      </c>
      <c r="BV8" s="1" t="str">
        <f>IF(ISNUMBER(BU8)=TRUE,IF(_xlfn.RANK.EQ(BU8,$BU$2:$BU$111)&lt;='Tournament Setup'!$C$38,_xlfn.RANK.EQ(BU8,$BU$2:$BU$111),""),"")</f>
        <v/>
      </c>
      <c r="BW8" s="31" t="str">
        <f>IF(AND($G8='Tournament Setup'!$A$38,$E8="F",$BT8&gt;'Tournament Setup'!$B$38),$H8,"")</f>
        <v/>
      </c>
      <c r="BX8" s="12" t="str">
        <f>IF(ISNUMBER(BW8)=TRUE,IF(_xlfn.RANK.EQ(BW8,$BW$2:$BW$111)&lt;='Tournament Setup'!$D$38,_xlfn.RANK.EQ(BW8,$BW$2:$BW$111),""),"")</f>
        <v/>
      </c>
      <c r="BY8" s="30" t="str">
        <f>IF($G8='Tournament Setup'!$A$39,$H8,"")</f>
        <v/>
      </c>
      <c r="BZ8" s="47" t="str">
        <f>IF(ISNUMBER(BY8),IF(COUNTIFS(BZ$1:BZ7,_xlfn.RANK.EQ(BY8,BY$2:BY$111,0))&gt;0,_xlfn.MAXIFS(BZ$1:BZ7,BY$1:BY7,BY8)+1,_xlfn.RANK.EQ(BY8,BY$2:BY$111,0)),"")</f>
        <v/>
      </c>
      <c r="CA8" s="1" t="str">
        <f>IF(ISNUMBER(BY8)=TRUE,IF(_xlfn.RANK.EQ(BY8,$BY$2:$BY$111)&lt;='Tournament Setup'!$B$39,_xlfn.RANK.EQ(BY8,$BY$2:$BY$111),""),"")</f>
        <v/>
      </c>
      <c r="CB8" s="31" t="str">
        <f>IF(AND($G8='Tournament Setup'!$A$39,$E8="M",$CA8&gt;'Tournament Setup'!$B$39),$H8,"")</f>
        <v/>
      </c>
      <c r="CC8" s="1" t="str">
        <f>IF(ISNUMBER(CB8)=TRUE,IF(_xlfn.RANK.EQ(CB8,$CB$2:$CB$111)&lt;='Tournament Setup'!$C$39,_xlfn.RANK.EQ(CB8,$CB$2:$CB$111),""),"")</f>
        <v/>
      </c>
      <c r="CD8" s="31" t="str">
        <f>IF(AND($G8='Tournament Setup'!$A$39,$E8="F",$CA8&gt;'Tournament Setup'!$B$39),$H8,"")</f>
        <v/>
      </c>
      <c r="CE8" s="12" t="str">
        <f>IF(ISNUMBER(CD8)=TRUE,IF(_xlfn.RANK.EQ(CD8,$CD$2:$CD$111)&lt;='Tournament Setup'!$D$39,_xlfn.RANK.EQ(CD8,$CD$2:$CD$111),""),"")</f>
        <v/>
      </c>
      <c r="CF8" s="30">
        <f>IF($G8='Tournament Setup'!$A$40,$H8,"")</f>
        <v>97</v>
      </c>
      <c r="CG8" s="47">
        <f>IF(ISNUMBER(CF8),IF(COUNTIFS(CG$1:CG7,_xlfn.RANK.EQ(CF8,CF$2:CF$111,0))&gt;0,_xlfn.MAXIFS(CG$1:CG7,CF$1:CF7,CF8)+1,_xlfn.RANK.EQ(CF8,CF$2:CF$111,0)),"")</f>
        <v>1</v>
      </c>
      <c r="CH8" s="1" t="str">
        <f>IF(ISNUMBER(CF8)=TRUE,IF(_xlfn.RANK.EQ(CF8,$CF$2:$CF$111)&lt;='Tournament Setup'!$B$40,_xlfn.RANK.EQ(CF8,$CF$2:$CF$111),""),"")</f>
        <v/>
      </c>
      <c r="CI8" s="31">
        <f>IF(AND($G8='Tournament Setup'!$A$40,$E8="M",$CH8&gt;'Tournament Setup'!$B$40),$H8,"")</f>
        <v>97</v>
      </c>
      <c r="CJ8" s="1">
        <f>IF(ISNUMBER(CI8)=TRUE,IF(_xlfn.RANK.EQ(CI8,$CI$2:$CI$111)&lt;='Tournament Setup'!$C$40,_xlfn.RANK.EQ(CI8,$CI$2:$CI$111),""),"")</f>
        <v>1</v>
      </c>
      <c r="CK8" s="31" t="str">
        <f>IF(AND($G8='Tournament Setup'!$A$40,$E8="F",$CH8&gt;'Tournament Setup'!$B$40),$H8,"")</f>
        <v/>
      </c>
      <c r="CL8" s="12" t="str">
        <f>IF(ISNUMBER(CK8)=TRUE,IF(_xlfn.RANK.EQ(CK8,$CK$2:$CK$111)&lt;='Tournament Setup'!$D$40,_xlfn.RANK.EQ(CK8,$CK$2:$CK$111),""),"")</f>
        <v/>
      </c>
      <c r="CM8" s="30" t="str">
        <f>IF($G8='Tournament Setup'!$A$41,$H8,"")</f>
        <v/>
      </c>
      <c r="CN8" s="47" t="str">
        <f>IF(ISNUMBER(CM8),IF(COUNTIFS(CN$1:CN7,_xlfn.RANK.EQ(CM8,CM$2:CM$111,0))&gt;0,_xlfn.MAXIFS(CN$1:CN7,CM$1:CM7,CM8)+1,_xlfn.RANK.EQ(CM8,CM$2:CM$111,0)),"")</f>
        <v/>
      </c>
      <c r="CO8" s="1" t="str">
        <f>IF(ISNUMBER(CM8)=TRUE,IF(_xlfn.RANK.EQ(CM8,$CM$2:$CM$111)&lt;='Tournament Setup'!$B$41,_xlfn.RANK.EQ(CM8,$CM$2:$CM$111),""),"")</f>
        <v/>
      </c>
      <c r="CP8" s="31" t="str">
        <f>IF(AND($G8='Tournament Setup'!$A$41,$E8="M",$CO8&gt;'Tournament Setup'!$B$41),$H8,"")</f>
        <v/>
      </c>
      <c r="CQ8" s="1" t="str">
        <f>IF(ISNUMBER(CP8)=TRUE,IF(_xlfn.RANK.EQ(CP8,$CP$2:$CP$111)&lt;='Tournament Setup'!$C$41,_xlfn.RANK.EQ(CP8,$CP$2:$CP$111),""),"")</f>
        <v/>
      </c>
      <c r="CR8" s="31" t="str">
        <f>IF(AND($G8='Tournament Setup'!$A$41,$E8="F",$CO8&gt;'Tournament Setup'!$B$41),$H8,"")</f>
        <v/>
      </c>
      <c r="CS8" s="12" t="str">
        <f>IF(ISNUMBER(CR8)=TRUE,IF(_xlfn.RANK.EQ(CR8,$CR$2:$CR$111)&lt;='Tournament Setup'!$D$41,_xlfn.RANK.EQ(CR8,$CR$2:$CR$111),""),"")</f>
        <v/>
      </c>
    </row>
    <row r="9" spans="1:97" x14ac:dyDescent="0.3">
      <c r="A9" t="s">
        <v>44</v>
      </c>
      <c r="B9" t="str">
        <f>IFERROR(INDEX('Tournament List'!$B:$B,MATCH($A9,'Tournament List'!$A:$A,0)),"")</f>
        <v>James</v>
      </c>
      <c r="C9" t="str">
        <f>IFERROR(INDEX('Tournament List'!$C:$C,MATCH($A9,'Tournament List'!$A:$A,0)),"")</f>
        <v>Last Name8</v>
      </c>
      <c r="D9" t="str">
        <f t="shared" si="0"/>
        <v>James Last Name8</v>
      </c>
      <c r="E9" s="1" t="str">
        <f>IFERROR(INDEX('Tournament List'!F:F,MATCH($A9,'Tournament List'!$A:$A,0)),"")</f>
        <v>M</v>
      </c>
      <c r="F9" t="str">
        <f>IFERROR(INDEX('Tournament List'!M:M,MATCH($A9,'Tournament List'!$A:$A,0)),"")</f>
        <v>Junior Varsity</v>
      </c>
      <c r="G9" s="1" t="str">
        <f>IFERROR(INDEX('Tournament List'!W:W,MATCH($A9,'Tournament List'!$A:$A,0)),"")</f>
        <v>C</v>
      </c>
      <c r="H9" s="129">
        <f>IFERROR(INDEX('Tournament List'!Z:Z,MATCH($A9,'Tournament List'!$A:$A,0)),"")</f>
        <v>64</v>
      </c>
      <c r="I9" s="152" t="str">
        <f>IFERROR(INDEX('Tournament List'!T:T,MATCH($A9,'Tournament List'!$A:$A,0)),"")</f>
        <v/>
      </c>
      <c r="J9" s="56" t="str">
        <f>IF(ISNUMBER(I9),IF(COUNTIFS(J$1:J8,_xlfn.RANK.EQ(I9,I$2:I$111,0))&gt;0,_xlfn.MAXIFS(J$1:J8,I$1:I8,I9)+1,_xlfn.RANK.EQ(I9,I$2:I$111,0)),"")</f>
        <v/>
      </c>
      <c r="K9" s="11">
        <f t="shared" si="1"/>
        <v>30</v>
      </c>
      <c r="L9" s="56">
        <f>IF(ISNUMBER(H9),IF(COUNTIFS(L$1:L8,_xlfn.RANK.EQ(H9,H$2:H$111,0))&gt;0,_xlfn.MAXIFS(L$1:L8,H$1:H8,H9)+1,_xlfn.RANK.EQ(H9,H$2:H$111,0)),"")</f>
        <v>30</v>
      </c>
      <c r="M9" s="151">
        <f t="shared" si="2"/>
        <v>64</v>
      </c>
      <c r="N9" s="47">
        <f>IF(ISNUMBER(M9),IF(COUNTIFS(N$1:N8,_xlfn.RANK.EQ(M9,M$2:M$111,0))&gt;0,_xlfn.MAXIFS(N$1:N8,M$1:M8,M9)+1,_xlfn.RANK.EQ(M9,M$2:M$111,0)),"")</f>
        <v>28</v>
      </c>
      <c r="O9" s="1" t="str">
        <f>IF(ISNUMBER(M9)=TRUE,IF(_xlfn.RANK.EQ(M9,$M$2:$M$111)&lt;='Tournament Setup'!$B$23,_xlfn.RANK.EQ(M9,$M$2:$M$111),""),"")</f>
        <v/>
      </c>
      <c r="P9" s="150">
        <f t="shared" si="3"/>
        <v>64</v>
      </c>
      <c r="Q9" s="1" t="str">
        <f>IF(ISNUMBER(P9)=TRUE,IF(_xlfn.RANK.EQ(P9,$P$2:$P$111)&lt;='Tournament Setup'!$B$24,_xlfn.RANK.EQ(P9,$P$2:$P$111),""),"")</f>
        <v/>
      </c>
      <c r="R9" s="150" t="str">
        <f t="shared" si="4"/>
        <v/>
      </c>
      <c r="S9" s="12" t="str">
        <f>IF(ISNUMBER(R9)=TRUE,IF(_xlfn.RANK.EQ(R9,$R$2:$R$111)&lt;='Tournament Setup'!$B$25,_xlfn.RANK.EQ(R9,$R$2:$R$111),""),"")</f>
        <v/>
      </c>
      <c r="T9" s="152" t="str">
        <f>IF(AND($F9='Tournament Setup'!$A$29,$I9&lt;&gt;0),$I9,"")</f>
        <v/>
      </c>
      <c r="U9" s="47" t="str">
        <f>IF(ISNUMBER(T9),IF(COUNTIFS(U$1:U8,_xlfn.RANK.EQ(T9,T$2:T$111,0))&gt;0,_xlfn.MAXIFS(U$1:U8,T$1:T8,T9)+1,_xlfn.RANK.EQ(T9,T$2:T$111,0)),"")</f>
        <v/>
      </c>
      <c r="V9" s="1" t="str">
        <f>IF(ISNUMBER(T9)=TRUE,IF(_xlfn.RANK.EQ(T9,$T$3:$T$112)&lt;='Tournament Setup'!$B$46,_xlfn.RANK.EQ(T9,$T$2:$T$111),""),"")</f>
        <v/>
      </c>
      <c r="W9" s="30" t="str">
        <f>IF(AND($F9='Tournament Setup'!$A$29,SUM($O9,$Q9,$S9)=0),$H9,"")</f>
        <v/>
      </c>
      <c r="X9" s="47" t="str">
        <f>IF(ISNUMBER(W9),IF(COUNTIFS(X$1:X8,_xlfn.RANK.EQ(W9,W$2:W$111,0))&gt;0,_xlfn.MAXIFS(X$1:X8,W$1:W8,W9)+1,_xlfn.RANK.EQ(W9,W$2:W$111,0)),"")</f>
        <v/>
      </c>
      <c r="Y9" s="1" t="str">
        <f>IF(ISNUMBER(W9)=TRUE,IF(_xlfn.RANK.EQ(W9,$W$2:$W$111)&lt;='Tournament Setup'!$B$29,_xlfn.RANK.EQ(W9,$W$2:$W$111),""),"")</f>
        <v/>
      </c>
      <c r="Z9" s="31" t="str">
        <f>IF(AND($F9='Tournament Setup'!$A$29,SUM($O9,$Q9)=0,$E9="M",$Y9&gt;'Tournament Setup'!$B$29),$H9,"")</f>
        <v/>
      </c>
      <c r="AA9" s="1" t="str">
        <f>IF(ISNUMBER(Z9)=TRUE,IF(_xlfn.RANK.EQ(Z9,$Z$2:$Z$111)&lt;='Tournament Setup'!$C$29,_xlfn.RANK.EQ(Z9,$Z$2:$Z$111),""),"")</f>
        <v/>
      </c>
      <c r="AB9" s="31" t="str">
        <f>IF(AND($F9='Tournament Setup'!$A$29,SUM($O9,$S9)=0,$E9="F",$Y9&gt;'Tournament Setup'!$B$29),$H9,"")</f>
        <v/>
      </c>
      <c r="AC9" s="12" t="str">
        <f>IF(ISNUMBER(AB9)=TRUE,IF(_xlfn.RANK.EQ(AB9,$AB$2:$AB$111)&lt;='Tournament Setup'!$D$29,_xlfn.RANK.EQ(AB9,$AB$2:$AB$111),""),"")</f>
        <v/>
      </c>
      <c r="AD9" s="30" t="str">
        <f>IF(AND($F9='Tournament Setup'!$A$30,$I9&lt;&gt;0),$I9,"")</f>
        <v/>
      </c>
      <c r="AE9" s="47" t="str">
        <f>IF(ISNUMBER(AD9),IF(COUNTIFS(AE$1:AE8,_xlfn.RANK.EQ(AD9,AD$2:AD$111,0))&gt;0,_xlfn.MAXIFS(AE$1:AE8,AD$1:AD8,AD9)+1,_xlfn.RANK.EQ(AD9,AD$2:AD$111,0)),"")</f>
        <v/>
      </c>
      <c r="AF9" s="1" t="str">
        <f>IF(ISNUMBER(AD9)=TRUE,IF(_xlfn.RANK.EQ(AD9,$AD$2:$AD$111)&lt;='Tournament Setup'!$B$46,_xlfn.RANK.EQ(AD9,$AD$2:$AD$111),""),"")</f>
        <v/>
      </c>
      <c r="AG9" s="30" t="str">
        <f>IF(AND($F9='Tournament Setup'!$A$30,SUM($O9,$Q9,$S9)=0),$H9,"")</f>
        <v/>
      </c>
      <c r="AH9" s="47" t="str">
        <f>IF(ISNUMBER(AG9),IF(COUNTIFS(AH$1:AH8,_xlfn.RANK.EQ(AG9,AG$2:AG$111,0))&gt;0,_xlfn.MAXIFS(AH$1:AH8,AG$1:AG8,AG9)+1,_xlfn.RANK.EQ(AG9,AG$2:AG$111,0)),"")</f>
        <v/>
      </c>
      <c r="AI9" s="1" t="str">
        <f>IF(ISNUMBER(AG9)=TRUE,IF(_xlfn.RANK.EQ(AG9,$AG$2:$AG$111)&lt;='Tournament Setup'!$B$30,_xlfn.RANK.EQ(AG9,$AG$2:$AG$111),""),"")</f>
        <v/>
      </c>
      <c r="AJ9" s="31" t="str">
        <f>IF(AND($F9='Tournament Setup'!$A$30,SUM($O9,$Q9)=0,$E9="M",$AI9&gt;'Tournament Setup'!$B$30),$H9,"")</f>
        <v/>
      </c>
      <c r="AK9" s="1" t="str">
        <f>IF(ISNUMBER(AJ9)=TRUE,IF(_xlfn.RANK.EQ(AJ9,$AJ$2:$AJ$111)&lt;='Tournament Setup'!$C$30,_xlfn.RANK.EQ(AJ9,$AJ$2:$AJ$111),""),"")</f>
        <v/>
      </c>
      <c r="AL9" s="31" t="str">
        <f>IF(AND($F9='Tournament Setup'!$A$30,SUM($O9,$S9)=0,$E9="F",$AI9&gt;'Tournament Setup'!$B$30),$H9,"")</f>
        <v/>
      </c>
      <c r="AM9" s="12" t="str">
        <f>IF(ISNUMBER(AL9)=TRUE,IF(_xlfn.RANK.EQ(AL9,$AL$2:$AL$111)&lt;='Tournament Setup'!$D$30,_xlfn.RANK.EQ(AL9,$AL$2:$AL$111),""),"")</f>
        <v/>
      </c>
      <c r="AN9" s="30" t="str">
        <f>IF(AND($F9='Tournament Setup'!$A$31,$I9&lt;&gt;0),$I9,"")</f>
        <v/>
      </c>
      <c r="AO9" s="47" t="str">
        <f>IF(ISNUMBER(AN9),IF(COUNTIFS(AO$1:AO8,_xlfn.RANK.EQ(AN9,AN$2:AN$111,0))&gt;0,_xlfn.MAXIFS(AO$1:AO8,AN$1:AN8,AN9)+1,_xlfn.RANK.EQ(AN9,AN$2:AN$111,0)),"")</f>
        <v/>
      </c>
      <c r="AP9" s="1" t="str">
        <f>IF(ISNUMBER(AN9)=TRUE,IF(_xlfn.RANK.EQ(AN9,$AN$2:$AN$111)&lt;='Tournament Setup'!$B$46,_xlfn.RANK.EQ(AN9,$AN$2:$AN$111),""),"")</f>
        <v/>
      </c>
      <c r="AQ9" s="30">
        <f>IF(AND($F9='Tournament Setup'!$A$31,SUM($O9,$Q9,$S9)=0),$H9,"")</f>
        <v>64</v>
      </c>
      <c r="AR9" s="47">
        <f>IF(ISNUMBER(AQ9),IF(COUNTIFS(AR$1:AR8,_xlfn.RANK.EQ(AQ9,AQ$2:AQ$111,0))&gt;0,_xlfn.MAXIFS(AR$1:AR8,AQ$1:AQ8,AQ9)+1,_xlfn.RANK.EQ(AQ9,AQ$2:AQ$111,0)),"")</f>
        <v>5</v>
      </c>
      <c r="AS9" s="1" t="str">
        <f>IF(ISNUMBER(AQ9)=TRUE,IF(_xlfn.RANK.EQ(AQ9,$AQ$2:$AQ$111)&lt;='Tournament Setup'!$B$31,_xlfn.RANK.EQ(AQ9,$AQ$2:$AQ$111),""),"")</f>
        <v/>
      </c>
      <c r="AT9" s="31">
        <f>IF(AND($F9='Tournament Setup'!$A$31,SUM($O9,$Q9)=0,$E9="M",$AS9&gt;'Tournament Setup'!$B$31),$H9,"")</f>
        <v>64</v>
      </c>
      <c r="AU9" s="1" t="str">
        <f>IF(ISNUMBER(AT9)=TRUE,IF(_xlfn.RANK.EQ(AT9,$AT$2:$AT$111)&lt;='Tournament Setup'!$C$31,_xlfn.RANK.EQ(AT9,$AT$2:$AT$111),""),"")</f>
        <v/>
      </c>
      <c r="AV9" s="31" t="str">
        <f>IF(AND($F9='Tournament Setup'!$A$31,SUM($O9,$S9)=0,$E9="F",$AS9&gt;'Tournament Setup'!$B$31),$H9,"")</f>
        <v/>
      </c>
      <c r="AW9" s="12" t="str">
        <f>IF(ISNUMBER(AV9)=TRUE,IF(_xlfn.RANK.EQ(AV9,$AV$2:$AV$111)&lt;='Tournament Setup'!$D$31,_xlfn.RANK.EQ(AV9,$AV$2:$AV$111),""),"")</f>
        <v/>
      </c>
      <c r="AX9" s="30" t="str">
        <f>IF(AND($F9='Tournament Setup'!$A$32,$I9&lt;&gt;0),$I9,"")</f>
        <v/>
      </c>
      <c r="AY9" s="47" t="str">
        <f>IF(ISNUMBER(AX9),IF(COUNTIFS(AY$1:AY8,_xlfn.RANK.EQ(AX9,AX$2:AX$111,0))&gt;0,_xlfn.MAXIFS(AY$1:AY8,AX$1:AX8,AX9)+1,_xlfn.RANK.EQ(AX9,AX$2:AX$111,0)),"")</f>
        <v/>
      </c>
      <c r="AZ9" s="1" t="str">
        <f>IF(ISNUMBER(AX9)=TRUE,IF(_xlfn.RANK.EQ(AX9,$AX$2:$AX$111)&lt;='Tournament Setup'!$B$46,_xlfn.RANK.EQ(AX9,$AX$2:$AX$111),""),"")</f>
        <v/>
      </c>
      <c r="BA9" s="30" t="str">
        <f>IF(AND($F9='Tournament Setup'!$A$32,SUM($O9,$Q9,$S9)=0),$H9,"")</f>
        <v/>
      </c>
      <c r="BB9" s="47" t="str">
        <f>IF(ISNUMBER(BA9),IF(COUNTIFS(BB$1:BB8,_xlfn.RANK.EQ(BA9,BA$2:BA$111,0))&gt;0,_xlfn.MAXIFS(BB$1:BB8,BA$1:BA8,BA9)+1,_xlfn.RANK.EQ(BA9,BA$2:BA$111,0)),"")</f>
        <v/>
      </c>
      <c r="BC9" s="1" t="str">
        <f>IF(ISNUMBER(BA9)=TRUE,IF(_xlfn.RANK.EQ(BA9,$BA$2:$BA$111)&lt;='Tournament Setup'!$B$32,_xlfn.RANK.EQ(BA9,$BA$2:$BA$111),""),"")</f>
        <v/>
      </c>
      <c r="BD9" s="31" t="str">
        <f>IF(AND($F9='Tournament Setup'!$A$32,SUM($O9,$Q9)=0,$E9="M",$BC9&gt;'Tournament Setup'!$B$32),$H9,"")</f>
        <v/>
      </c>
      <c r="BE9" s="1" t="str">
        <f>IF(ISNUMBER(BD9)=TRUE,IF(_xlfn.RANK.EQ(BD9,$BD$2:$BD$111)&lt;='Tournament Setup'!$C$32,_xlfn.RANK.EQ(BD9,$BD$2:$BD$111),""),"")</f>
        <v/>
      </c>
      <c r="BF9" s="31" t="str">
        <f>IF(AND($F9='Tournament Setup'!$A$32,SUM($O9,$S9)=0,$E9="F",$BC9&gt;'Tournament Setup'!$B$32),$H9,"")</f>
        <v/>
      </c>
      <c r="BG9" s="12" t="str">
        <f>IF(ISNUMBER(BF9)=TRUE,IF(_xlfn.RANK.EQ(BF9,$BF$2:$BF$111)&lt;='Tournament Setup'!$D$32,_xlfn.RANK.EQ(BF9,$BF$2:$BF$111),""),"")</f>
        <v/>
      </c>
      <c r="BH9" s="30" t="str">
        <f>IF(AND($F9='Tournament Setup'!$A$33,$I9&lt;&gt;0),$I9,"")</f>
        <v/>
      </c>
      <c r="BI9" s="47" t="str">
        <f>IF(ISNUMBER(BH9),IF(COUNTIFS(BI$1:BI8,_xlfn.RANK.EQ(BH9,BH$2:BH$111,0))&gt;0,_xlfn.MAXIFS(BI$1:BI8,BH$1:BH8,BH9)+1,_xlfn.RANK.EQ(BH9,BH$2:BH$111,0)),"")</f>
        <v/>
      </c>
      <c r="BJ9" s="1" t="str">
        <f>IF(ISNUMBER(BH9)=TRUE,IF(_xlfn.RANK.EQ(BH9,$BH$2:$BH$111)&lt;='Tournament Setup'!$B$46,_xlfn.RANK.EQ(BH9,$BH$2:$BH$111),""),"")</f>
        <v/>
      </c>
      <c r="BK9" s="30" t="str">
        <f>IF(AND($F9='Tournament Setup'!$A$33,SUM($O9,$Q9,$S9)=0),$H9,"")</f>
        <v/>
      </c>
      <c r="BL9" s="47" t="str">
        <f>IF(ISNUMBER(BK9),IF(COUNTIFS(BL$1:BL8,_xlfn.RANK.EQ(BK9,BK$2:BK$111,0))&gt;0,_xlfn.MAXIFS(BL$1:BL8,BK$1:BK8,BK9)+1,_xlfn.RANK.EQ(BK9,BK$2:BK$111,0)),"")</f>
        <v/>
      </c>
      <c r="BM9" s="1" t="str">
        <f>IF(ISNUMBER(BK9)=TRUE,IF(_xlfn.RANK.EQ(BK9,$BK$2:$BK$111)&lt;='Tournament Setup'!$B$33,_xlfn.RANK.EQ(BK9,$BK$2:$BK$111),""),"")</f>
        <v/>
      </c>
      <c r="BN9" s="31" t="str">
        <f>IF(AND($F9='Tournament Setup'!$A$33,SUM($O9,$Q9)=0,$E9="M",$BM9&gt;'Tournament Setup'!$B$33),$H9,"")</f>
        <v/>
      </c>
      <c r="BO9" s="1" t="str">
        <f>IF(ISNUMBER(BN9)=TRUE,IF(_xlfn.RANK.EQ(BN9,$BN$2:$BN$111)&lt;='Tournament Setup'!$C$33,_xlfn.RANK.EQ(BN9,$BN$2:$BN$111),""),"")</f>
        <v/>
      </c>
      <c r="BP9" s="31" t="str">
        <f>IF(AND($F9='Tournament Setup'!$A$33,SUM($O9,$S9)=0,$E9="F",$BM9&gt;'Tournament Setup'!$B$33),$H9,"")</f>
        <v/>
      </c>
      <c r="BQ9" s="12" t="str">
        <f>IF(ISNUMBER(BP9)=TRUE,IF(_xlfn.RANK.EQ(BP9,$BP$2:$BP$111)&lt;='Tournament Setup'!$D$33,_xlfn.RANK.EQ(BP9,$BP$2:$BP$111),""),"")</f>
        <v/>
      </c>
      <c r="BR9" s="30" t="str">
        <f>IF($G9='Tournament Setup'!$A$38,$H9,"")</f>
        <v/>
      </c>
      <c r="BS9" s="47" t="str">
        <f>IF(ISNUMBER(BR9),IF(COUNTIFS(BS$1:BS8,_xlfn.RANK.EQ(BR9,BR$2:BR$111,0))&gt;0,_xlfn.MAXIFS(BS$1:BS8,BR$1:BR8,BR9)+1,_xlfn.RANK.EQ(BR9,BR$2:BR$111,0)),"")</f>
        <v/>
      </c>
      <c r="BT9" s="1" t="str">
        <f>IF(ISNUMBER(BR9)=TRUE,IF(_xlfn.RANK.EQ(BR9,$BR$2:$BR$111)&lt;='Tournament Setup'!$B$38,_xlfn.RANK.EQ(BR9,$BR$2:$BR$111),""),"")</f>
        <v/>
      </c>
      <c r="BU9" s="31" t="str">
        <f>IF(AND($G9='Tournament Setup'!$A$38,$E9="M",$BT9&gt;'Tournament Setup'!$B$38),$H9,"")</f>
        <v/>
      </c>
      <c r="BV9" s="1" t="str">
        <f>IF(ISNUMBER(BU9)=TRUE,IF(_xlfn.RANK.EQ(BU9,$BU$2:$BU$111)&lt;='Tournament Setup'!$C$38,_xlfn.RANK.EQ(BU9,$BU$2:$BU$111),""),"")</f>
        <v/>
      </c>
      <c r="BW9" s="31" t="str">
        <f>IF(AND($G9='Tournament Setup'!$A$38,$E9="F",$BT9&gt;'Tournament Setup'!$B$38),$H9,"")</f>
        <v/>
      </c>
      <c r="BX9" s="12" t="str">
        <f>IF(ISNUMBER(BW9)=TRUE,IF(_xlfn.RANK.EQ(BW9,$BW$2:$BW$111)&lt;='Tournament Setup'!$D$38,_xlfn.RANK.EQ(BW9,$BW$2:$BW$111),""),"")</f>
        <v/>
      </c>
      <c r="BY9" s="30" t="str">
        <f>IF($G9='Tournament Setup'!$A$39,$H9,"")</f>
        <v/>
      </c>
      <c r="BZ9" s="47" t="str">
        <f>IF(ISNUMBER(BY9),IF(COUNTIFS(BZ$1:BZ8,_xlfn.RANK.EQ(BY9,BY$2:BY$111,0))&gt;0,_xlfn.MAXIFS(BZ$1:BZ8,BY$1:BY8,BY9)+1,_xlfn.RANK.EQ(BY9,BY$2:BY$111,0)),"")</f>
        <v/>
      </c>
      <c r="CA9" s="1" t="str">
        <f>IF(ISNUMBER(BY9)=TRUE,IF(_xlfn.RANK.EQ(BY9,$BY$2:$BY$111)&lt;='Tournament Setup'!$B$39,_xlfn.RANK.EQ(BY9,$BY$2:$BY$111),""),"")</f>
        <v/>
      </c>
      <c r="CB9" s="31" t="str">
        <f>IF(AND($G9='Tournament Setup'!$A$39,$E9="M",$CA9&gt;'Tournament Setup'!$B$39),$H9,"")</f>
        <v/>
      </c>
      <c r="CC9" s="1" t="str">
        <f>IF(ISNUMBER(CB9)=TRUE,IF(_xlfn.RANK.EQ(CB9,$CB$2:$CB$111)&lt;='Tournament Setup'!$C$39,_xlfn.RANK.EQ(CB9,$CB$2:$CB$111),""),"")</f>
        <v/>
      </c>
      <c r="CD9" s="31" t="str">
        <f>IF(AND($G9='Tournament Setup'!$A$39,$E9="F",$CA9&gt;'Tournament Setup'!$B$39),$H9,"")</f>
        <v/>
      </c>
      <c r="CE9" s="12" t="str">
        <f>IF(ISNUMBER(CD9)=TRUE,IF(_xlfn.RANK.EQ(CD9,$CD$2:$CD$111)&lt;='Tournament Setup'!$D$39,_xlfn.RANK.EQ(CD9,$CD$2:$CD$111),""),"")</f>
        <v/>
      </c>
      <c r="CF9" s="30">
        <f>IF($G9='Tournament Setup'!$A$40,$H9,"")</f>
        <v>64</v>
      </c>
      <c r="CG9" s="47">
        <f>IF(ISNUMBER(CF9),IF(COUNTIFS(CG$1:CG8,_xlfn.RANK.EQ(CF9,CF$2:CF$111,0))&gt;0,_xlfn.MAXIFS(CG$1:CG8,CF$1:CF8,CF9)+1,_xlfn.RANK.EQ(CF9,CF$2:CF$111,0)),"")</f>
        <v>8</v>
      </c>
      <c r="CH9" s="1" t="str">
        <f>IF(ISNUMBER(CF9)=TRUE,IF(_xlfn.RANK.EQ(CF9,$CF$2:$CF$111)&lt;='Tournament Setup'!$B$40,_xlfn.RANK.EQ(CF9,$CF$2:$CF$111),""),"")</f>
        <v/>
      </c>
      <c r="CI9" s="31">
        <f>IF(AND($G9='Tournament Setup'!$A$40,$E9="M",$CH9&gt;'Tournament Setup'!$B$40),$H9,"")</f>
        <v>64</v>
      </c>
      <c r="CJ9" s="1" t="str">
        <f>IF(ISNUMBER(CI9)=TRUE,IF(_xlfn.RANK.EQ(CI9,$CI$2:$CI$111)&lt;='Tournament Setup'!$C$40,_xlfn.RANK.EQ(CI9,$CI$2:$CI$111),""),"")</f>
        <v/>
      </c>
      <c r="CK9" s="31" t="str">
        <f>IF(AND($G9='Tournament Setup'!$A$40,$E9="F",$CH9&gt;'Tournament Setup'!$B$40),$H9,"")</f>
        <v/>
      </c>
      <c r="CL9" s="12" t="str">
        <f>IF(ISNUMBER(CK9)=TRUE,IF(_xlfn.RANK.EQ(CK9,$CK$2:$CK$111)&lt;='Tournament Setup'!$D$40,_xlfn.RANK.EQ(CK9,$CK$2:$CK$111),""),"")</f>
        <v/>
      </c>
      <c r="CM9" s="30" t="str">
        <f>IF($G9='Tournament Setup'!$A$41,$H9,"")</f>
        <v/>
      </c>
      <c r="CN9" s="47" t="str">
        <f>IF(ISNUMBER(CM9),IF(COUNTIFS(CN$1:CN8,_xlfn.RANK.EQ(CM9,CM$2:CM$111,0))&gt;0,_xlfn.MAXIFS(CN$1:CN8,CM$1:CM8,CM9)+1,_xlfn.RANK.EQ(CM9,CM$2:CM$111,0)),"")</f>
        <v/>
      </c>
      <c r="CO9" s="1" t="str">
        <f>IF(ISNUMBER(CM9)=TRUE,IF(_xlfn.RANK.EQ(CM9,$CM$2:$CM$111)&lt;='Tournament Setup'!$B$41,_xlfn.RANK.EQ(CM9,$CM$2:$CM$111),""),"")</f>
        <v/>
      </c>
      <c r="CP9" s="31" t="str">
        <f>IF(AND($G9='Tournament Setup'!$A$41,$E9="M",$CO9&gt;'Tournament Setup'!$B$41),$H9,"")</f>
        <v/>
      </c>
      <c r="CQ9" s="1" t="str">
        <f>IF(ISNUMBER(CP9)=TRUE,IF(_xlfn.RANK.EQ(CP9,$CP$2:$CP$111)&lt;='Tournament Setup'!$C$41,_xlfn.RANK.EQ(CP9,$CP$2:$CP$111),""),"")</f>
        <v/>
      </c>
      <c r="CR9" s="31" t="str">
        <f>IF(AND($G9='Tournament Setup'!$A$41,$E9="F",$CO9&gt;'Tournament Setup'!$B$41),$H9,"")</f>
        <v/>
      </c>
      <c r="CS9" s="12" t="str">
        <f>IF(ISNUMBER(CR9)=TRUE,IF(_xlfn.RANK.EQ(CR9,$CR$2:$CR$111)&lt;='Tournament Setup'!$D$41,_xlfn.RANK.EQ(CR9,$CR$2:$CR$111),""),"")</f>
        <v/>
      </c>
    </row>
    <row r="10" spans="1:97" x14ac:dyDescent="0.3">
      <c r="A10" t="s">
        <v>45</v>
      </c>
      <c r="B10" t="str">
        <f>IFERROR(INDEX('Tournament List'!$B:$B,MATCH($A10,'Tournament List'!$A:$A,0)),"")</f>
        <v>Linda</v>
      </c>
      <c r="C10" t="str">
        <f>IFERROR(INDEX('Tournament List'!$C:$C,MATCH($A10,'Tournament List'!$A:$A,0)),"")</f>
        <v>Last Name9</v>
      </c>
      <c r="D10" t="str">
        <f t="shared" si="0"/>
        <v>Linda Last Name9</v>
      </c>
      <c r="E10" s="1" t="str">
        <f>IFERROR(INDEX('Tournament List'!F:F,MATCH($A10,'Tournament List'!$A:$A,0)),"")</f>
        <v>F</v>
      </c>
      <c r="F10" t="str">
        <f>IFERROR(INDEX('Tournament List'!M:M,MATCH($A10,'Tournament List'!$A:$A,0)),"")</f>
        <v>Novice</v>
      </c>
      <c r="G10" s="1" t="str">
        <f>IFERROR(INDEX('Tournament List'!W:W,MATCH($A10,'Tournament List'!$A:$A,0)),"")</f>
        <v>B</v>
      </c>
      <c r="H10" s="129">
        <f>IFERROR(INDEX('Tournament List'!Z:Z,MATCH($A10,'Tournament List'!$A:$A,0)),"")</f>
        <v>75</v>
      </c>
      <c r="I10" s="152" t="str">
        <f>IFERROR(INDEX('Tournament List'!T:T,MATCH($A10,'Tournament List'!$A:$A,0)),"")</f>
        <v/>
      </c>
      <c r="J10" s="56" t="str">
        <f>IF(ISNUMBER(I10),IF(COUNTIFS(J$1:J9,_xlfn.RANK.EQ(I10,I$2:I$111,0))&gt;0,_xlfn.MAXIFS(J$1:J9,I$1:I9,I10)+1,_xlfn.RANK.EQ(I10,I$2:I$111,0)),"")</f>
        <v/>
      </c>
      <c r="K10" s="11">
        <f t="shared" si="1"/>
        <v>20</v>
      </c>
      <c r="L10" s="56">
        <f>IF(ISNUMBER(H10),IF(COUNTIFS(L$1:L9,_xlfn.RANK.EQ(H10,H$2:H$111,0))&gt;0,_xlfn.MAXIFS(L$1:L9,H$1:H9,H10)+1,_xlfn.RANK.EQ(H10,H$2:H$111,0)),"")</f>
        <v>20</v>
      </c>
      <c r="M10" s="151">
        <f t="shared" si="2"/>
        <v>75</v>
      </c>
      <c r="N10" s="47">
        <f>IF(ISNUMBER(M10),IF(COUNTIFS(N$1:N9,_xlfn.RANK.EQ(M10,M$2:M$111,0))&gt;0,_xlfn.MAXIFS(N$1:N9,M$1:M9,M10)+1,_xlfn.RANK.EQ(M10,M$2:M$111,0)),"")</f>
        <v>18</v>
      </c>
      <c r="O10" s="1" t="str">
        <f>IF(ISNUMBER(M10)=TRUE,IF(_xlfn.RANK.EQ(M10,$M$2:$M$111)&lt;='Tournament Setup'!$B$23,_xlfn.RANK.EQ(M10,$M$2:$M$111),""),"")</f>
        <v/>
      </c>
      <c r="P10" s="150" t="str">
        <f t="shared" si="3"/>
        <v/>
      </c>
      <c r="Q10" s="1" t="str">
        <f>IF(ISNUMBER(P10)=TRUE,IF(_xlfn.RANK.EQ(P10,$P$2:$P$111)&lt;='Tournament Setup'!$B$24,_xlfn.RANK.EQ(P10,$P$2:$P$111),""),"")</f>
        <v/>
      </c>
      <c r="R10" s="150">
        <f t="shared" si="4"/>
        <v>75</v>
      </c>
      <c r="S10" s="12" t="str">
        <f>IF(ISNUMBER(R10)=TRUE,IF(_xlfn.RANK.EQ(R10,$R$2:$R$111)&lt;='Tournament Setup'!$B$25,_xlfn.RANK.EQ(R10,$R$2:$R$111),""),"")</f>
        <v/>
      </c>
      <c r="T10" s="152" t="str">
        <f>IF(AND($F10='Tournament Setup'!$A$29,$I10&lt;&gt;0),$I10,"")</f>
        <v/>
      </c>
      <c r="U10" s="47" t="str">
        <f>IF(ISNUMBER(T10),IF(COUNTIFS(U$1:U9,_xlfn.RANK.EQ(T10,T$2:T$111,0))&gt;0,_xlfn.MAXIFS(U$1:U9,T$1:T9,T10)+1,_xlfn.RANK.EQ(T10,T$2:T$111,0)),"")</f>
        <v/>
      </c>
      <c r="V10" s="1" t="str">
        <f>IF(ISNUMBER(T10)=TRUE,IF(_xlfn.RANK.EQ(T10,$T$3:$T$112)&lt;='Tournament Setup'!$B$46,_xlfn.RANK.EQ(T10,$T$2:$T$111),""),"")</f>
        <v/>
      </c>
      <c r="W10" s="30">
        <f>IF(AND($F10='Tournament Setup'!$A$29,SUM($O10,$Q10,$S10)=0),$H10,"")</f>
        <v>75</v>
      </c>
      <c r="X10" s="47">
        <f>IF(ISNUMBER(W10),IF(COUNTIFS(X$1:X9,_xlfn.RANK.EQ(W10,W$2:W$111,0))&gt;0,_xlfn.MAXIFS(X$1:X9,W$1:W9,W10)+1,_xlfn.RANK.EQ(W10,W$2:W$111,0)),"")</f>
        <v>2</v>
      </c>
      <c r="Y10" s="1" t="str">
        <f>IF(ISNUMBER(W10)=TRUE,IF(_xlfn.RANK.EQ(W10,$W$2:$W$111)&lt;='Tournament Setup'!$B$29,_xlfn.RANK.EQ(W10,$W$2:$W$111),""),"")</f>
        <v/>
      </c>
      <c r="Z10" s="31" t="str">
        <f>IF(AND($F10='Tournament Setup'!$A$29,SUM($O10,$Q10)=0,$E10="M",$Y10&gt;'Tournament Setup'!$B$29),$H10,"")</f>
        <v/>
      </c>
      <c r="AA10" s="1" t="str">
        <f>IF(ISNUMBER(Z10)=TRUE,IF(_xlfn.RANK.EQ(Z10,$Z$2:$Z$111)&lt;='Tournament Setup'!$C$29,_xlfn.RANK.EQ(Z10,$Z$2:$Z$111),""),"")</f>
        <v/>
      </c>
      <c r="AB10" s="31">
        <f>IF(AND($F10='Tournament Setup'!$A$29,SUM($O10,$S10)=0,$E10="F",$Y10&gt;'Tournament Setup'!$B$29),$H10,"")</f>
        <v>75</v>
      </c>
      <c r="AC10" s="12">
        <f>IF(ISNUMBER(AB10)=TRUE,IF(_xlfn.RANK.EQ(AB10,$AB$2:$AB$111)&lt;='Tournament Setup'!$D$29,_xlfn.RANK.EQ(AB10,$AB$2:$AB$111),""),"")</f>
        <v>1</v>
      </c>
      <c r="AD10" s="30" t="str">
        <f>IF(AND($F10='Tournament Setup'!$A$30,$I10&lt;&gt;0),$I10,"")</f>
        <v/>
      </c>
      <c r="AE10" s="47" t="str">
        <f>IF(ISNUMBER(AD10),IF(COUNTIFS(AE$1:AE9,_xlfn.RANK.EQ(AD10,AD$2:AD$111,0))&gt;0,_xlfn.MAXIFS(AE$1:AE9,AD$1:AD9,AD10)+1,_xlfn.RANK.EQ(AD10,AD$2:AD$111,0)),"")</f>
        <v/>
      </c>
      <c r="AF10" s="1" t="str">
        <f>IF(ISNUMBER(AD10)=TRUE,IF(_xlfn.RANK.EQ(AD10,$AD$2:$AD$111)&lt;='Tournament Setup'!$B$46,_xlfn.RANK.EQ(AD10,$AD$2:$AD$111),""),"")</f>
        <v/>
      </c>
      <c r="AG10" s="30" t="str">
        <f>IF(AND($F10='Tournament Setup'!$A$30,SUM($O10,$Q10,$S10)=0),$H10,"")</f>
        <v/>
      </c>
      <c r="AH10" s="47" t="str">
        <f>IF(ISNUMBER(AG10),IF(COUNTIFS(AH$1:AH9,_xlfn.RANK.EQ(AG10,AG$2:AG$111,0))&gt;0,_xlfn.MAXIFS(AH$1:AH9,AG$1:AG9,AG10)+1,_xlfn.RANK.EQ(AG10,AG$2:AG$111,0)),"")</f>
        <v/>
      </c>
      <c r="AI10" s="1" t="str">
        <f>IF(ISNUMBER(AG10)=TRUE,IF(_xlfn.RANK.EQ(AG10,$AG$2:$AG$111)&lt;='Tournament Setup'!$B$30,_xlfn.RANK.EQ(AG10,$AG$2:$AG$111),""),"")</f>
        <v/>
      </c>
      <c r="AJ10" s="31" t="str">
        <f>IF(AND($F10='Tournament Setup'!$A$30,SUM($O10,$Q10)=0,$E10="M",$AI10&gt;'Tournament Setup'!$B$30),$H10,"")</f>
        <v/>
      </c>
      <c r="AK10" s="1" t="str">
        <f>IF(ISNUMBER(AJ10)=TRUE,IF(_xlfn.RANK.EQ(AJ10,$AJ$2:$AJ$111)&lt;='Tournament Setup'!$C$30,_xlfn.RANK.EQ(AJ10,$AJ$2:$AJ$111),""),"")</f>
        <v/>
      </c>
      <c r="AL10" s="31" t="str">
        <f>IF(AND($F10='Tournament Setup'!$A$30,SUM($O10,$S10)=0,$E10="F",$AI10&gt;'Tournament Setup'!$B$30),$H10,"")</f>
        <v/>
      </c>
      <c r="AM10" s="12" t="str">
        <f>IF(ISNUMBER(AL10)=TRUE,IF(_xlfn.RANK.EQ(AL10,$AL$2:$AL$111)&lt;='Tournament Setup'!$D$30,_xlfn.RANK.EQ(AL10,$AL$2:$AL$111),""),"")</f>
        <v/>
      </c>
      <c r="AN10" s="30" t="str">
        <f>IF(AND($F10='Tournament Setup'!$A$31,$I10&lt;&gt;0),$I10,"")</f>
        <v/>
      </c>
      <c r="AO10" s="47" t="str">
        <f>IF(ISNUMBER(AN10),IF(COUNTIFS(AO$1:AO9,_xlfn.RANK.EQ(AN10,AN$2:AN$111,0))&gt;0,_xlfn.MAXIFS(AO$1:AO9,AN$1:AN9,AN10)+1,_xlfn.RANK.EQ(AN10,AN$2:AN$111,0)),"")</f>
        <v/>
      </c>
      <c r="AP10" s="1" t="str">
        <f>IF(ISNUMBER(AN10)=TRUE,IF(_xlfn.RANK.EQ(AN10,$AN$2:$AN$111)&lt;='Tournament Setup'!$B$46,_xlfn.RANK.EQ(AN10,$AN$2:$AN$111),""),"")</f>
        <v/>
      </c>
      <c r="AQ10" s="30" t="str">
        <f>IF(AND($F10='Tournament Setup'!$A$31,SUM($O10,$Q10,$S10)=0),$H10,"")</f>
        <v/>
      </c>
      <c r="AR10" s="47" t="str">
        <f>IF(ISNUMBER(AQ10),IF(COUNTIFS(AR$1:AR9,_xlfn.RANK.EQ(AQ10,AQ$2:AQ$111,0))&gt;0,_xlfn.MAXIFS(AR$1:AR9,AQ$1:AQ9,AQ10)+1,_xlfn.RANK.EQ(AQ10,AQ$2:AQ$111,0)),"")</f>
        <v/>
      </c>
      <c r="AS10" s="1" t="str">
        <f>IF(ISNUMBER(AQ10)=TRUE,IF(_xlfn.RANK.EQ(AQ10,$AQ$2:$AQ$111)&lt;='Tournament Setup'!$B$31,_xlfn.RANK.EQ(AQ10,$AQ$2:$AQ$111),""),"")</f>
        <v/>
      </c>
      <c r="AT10" s="31" t="str">
        <f>IF(AND($F10='Tournament Setup'!$A$31,SUM($O10,$Q10)=0,$E10="M",$AS10&gt;'Tournament Setup'!$B$31),$H10,"")</f>
        <v/>
      </c>
      <c r="AU10" s="1" t="str">
        <f>IF(ISNUMBER(AT10)=TRUE,IF(_xlfn.RANK.EQ(AT10,$AT$2:$AT$111)&lt;='Tournament Setup'!$C$31,_xlfn.RANK.EQ(AT10,$AT$2:$AT$111),""),"")</f>
        <v/>
      </c>
      <c r="AV10" s="31" t="str">
        <f>IF(AND($F10='Tournament Setup'!$A$31,SUM($O10,$S10)=0,$E10="F",$AS10&gt;'Tournament Setup'!$B$31),$H10,"")</f>
        <v/>
      </c>
      <c r="AW10" s="12" t="str">
        <f>IF(ISNUMBER(AV10)=TRUE,IF(_xlfn.RANK.EQ(AV10,$AV$2:$AV$111)&lt;='Tournament Setup'!$D$31,_xlfn.RANK.EQ(AV10,$AV$2:$AV$111),""),"")</f>
        <v/>
      </c>
      <c r="AX10" s="30" t="str">
        <f>IF(AND($F10='Tournament Setup'!$A$32,$I10&lt;&gt;0),$I10,"")</f>
        <v/>
      </c>
      <c r="AY10" s="47" t="str">
        <f>IF(ISNUMBER(AX10),IF(COUNTIFS(AY$1:AY9,_xlfn.RANK.EQ(AX10,AX$2:AX$111,0))&gt;0,_xlfn.MAXIFS(AY$1:AY9,AX$1:AX9,AX10)+1,_xlfn.RANK.EQ(AX10,AX$2:AX$111,0)),"")</f>
        <v/>
      </c>
      <c r="AZ10" s="1" t="str">
        <f>IF(ISNUMBER(AX10)=TRUE,IF(_xlfn.RANK.EQ(AX10,$AX$2:$AX$111)&lt;='Tournament Setup'!$B$46,_xlfn.RANK.EQ(AX10,$AX$2:$AX$111),""),"")</f>
        <v/>
      </c>
      <c r="BA10" s="30" t="str">
        <f>IF(AND($F10='Tournament Setup'!$A$32,SUM($O10,$Q10,$S10)=0),$H10,"")</f>
        <v/>
      </c>
      <c r="BB10" s="47" t="str">
        <f>IF(ISNUMBER(BA10),IF(COUNTIFS(BB$1:BB9,_xlfn.RANK.EQ(BA10,BA$2:BA$111,0))&gt;0,_xlfn.MAXIFS(BB$1:BB9,BA$1:BA9,BA10)+1,_xlfn.RANK.EQ(BA10,BA$2:BA$111,0)),"")</f>
        <v/>
      </c>
      <c r="BC10" s="1" t="str">
        <f>IF(ISNUMBER(BA10)=TRUE,IF(_xlfn.RANK.EQ(BA10,$BA$2:$BA$111)&lt;='Tournament Setup'!$B$32,_xlfn.RANK.EQ(BA10,$BA$2:$BA$111),""),"")</f>
        <v/>
      </c>
      <c r="BD10" s="31" t="str">
        <f>IF(AND($F10='Tournament Setup'!$A$32,SUM($O10,$Q10)=0,$E10="M",$BC10&gt;'Tournament Setup'!$B$32),$H10,"")</f>
        <v/>
      </c>
      <c r="BE10" s="1" t="str">
        <f>IF(ISNUMBER(BD10)=TRUE,IF(_xlfn.RANK.EQ(BD10,$BD$2:$BD$111)&lt;='Tournament Setup'!$C$32,_xlfn.RANK.EQ(BD10,$BD$2:$BD$111),""),"")</f>
        <v/>
      </c>
      <c r="BF10" s="31" t="str">
        <f>IF(AND($F10='Tournament Setup'!$A$32,SUM($O10,$S10)=0,$E10="F",$BC10&gt;'Tournament Setup'!$B$32),$H10,"")</f>
        <v/>
      </c>
      <c r="BG10" s="12" t="str">
        <f>IF(ISNUMBER(BF10)=TRUE,IF(_xlfn.RANK.EQ(BF10,$BF$2:$BF$111)&lt;='Tournament Setup'!$D$32,_xlfn.RANK.EQ(BF10,$BF$2:$BF$111),""),"")</f>
        <v/>
      </c>
      <c r="BH10" s="30" t="str">
        <f>IF(AND($F10='Tournament Setup'!$A$33,$I10&lt;&gt;0),$I10,"")</f>
        <v/>
      </c>
      <c r="BI10" s="47" t="str">
        <f>IF(ISNUMBER(BH10),IF(COUNTIFS(BI$1:BI9,_xlfn.RANK.EQ(BH10,BH$2:BH$111,0))&gt;0,_xlfn.MAXIFS(BI$1:BI9,BH$1:BH9,BH10)+1,_xlfn.RANK.EQ(BH10,BH$2:BH$111,0)),"")</f>
        <v/>
      </c>
      <c r="BJ10" s="1" t="str">
        <f>IF(ISNUMBER(BH10)=TRUE,IF(_xlfn.RANK.EQ(BH10,$BH$2:$BH$111)&lt;='Tournament Setup'!$B$46,_xlfn.RANK.EQ(BH10,$BH$2:$BH$111),""),"")</f>
        <v/>
      </c>
      <c r="BK10" s="30" t="str">
        <f>IF(AND($F10='Tournament Setup'!$A$33,SUM($O10,$Q10,$S10)=0),$H10,"")</f>
        <v/>
      </c>
      <c r="BL10" s="47" t="str">
        <f>IF(ISNUMBER(BK10),IF(COUNTIFS(BL$1:BL9,_xlfn.RANK.EQ(BK10,BK$2:BK$111,0))&gt;0,_xlfn.MAXIFS(BL$1:BL9,BK$1:BK9,BK10)+1,_xlfn.RANK.EQ(BK10,BK$2:BK$111,0)),"")</f>
        <v/>
      </c>
      <c r="BM10" s="1" t="str">
        <f>IF(ISNUMBER(BK10)=TRUE,IF(_xlfn.RANK.EQ(BK10,$BK$2:$BK$111)&lt;='Tournament Setup'!$B$33,_xlfn.RANK.EQ(BK10,$BK$2:$BK$111),""),"")</f>
        <v/>
      </c>
      <c r="BN10" s="31" t="str">
        <f>IF(AND($F10='Tournament Setup'!$A$33,SUM($O10,$Q10)=0,$E10="M",$BM10&gt;'Tournament Setup'!$B$33),$H10,"")</f>
        <v/>
      </c>
      <c r="BO10" s="1" t="str">
        <f>IF(ISNUMBER(BN10)=TRUE,IF(_xlfn.RANK.EQ(BN10,$BN$2:$BN$111)&lt;='Tournament Setup'!$C$33,_xlfn.RANK.EQ(BN10,$BN$2:$BN$111),""),"")</f>
        <v/>
      </c>
      <c r="BP10" s="31" t="str">
        <f>IF(AND($F10='Tournament Setup'!$A$33,SUM($O10,$S10)=0,$E10="F",$BM10&gt;'Tournament Setup'!$B$33),$H10,"")</f>
        <v/>
      </c>
      <c r="BQ10" s="12" t="str">
        <f>IF(ISNUMBER(BP10)=TRUE,IF(_xlfn.RANK.EQ(BP10,$BP$2:$BP$111)&lt;='Tournament Setup'!$D$33,_xlfn.RANK.EQ(BP10,$BP$2:$BP$111),""),"")</f>
        <v/>
      </c>
      <c r="BR10" s="30" t="str">
        <f>IF($G10='Tournament Setup'!$A$38,$H10,"")</f>
        <v/>
      </c>
      <c r="BS10" s="47" t="str">
        <f>IF(ISNUMBER(BR10),IF(COUNTIFS(BS$1:BS9,_xlfn.RANK.EQ(BR10,BR$2:BR$111,0))&gt;0,_xlfn.MAXIFS(BS$1:BS9,BR$1:BR9,BR10)+1,_xlfn.RANK.EQ(BR10,BR$2:BR$111,0)),"")</f>
        <v/>
      </c>
      <c r="BT10" s="1" t="str">
        <f>IF(ISNUMBER(BR10)=TRUE,IF(_xlfn.RANK.EQ(BR10,$BR$2:$BR$111)&lt;='Tournament Setup'!$B$38,_xlfn.RANK.EQ(BR10,$BR$2:$BR$111),""),"")</f>
        <v/>
      </c>
      <c r="BU10" s="31" t="str">
        <f>IF(AND($G10='Tournament Setup'!$A$38,$E10="M",$BT10&gt;'Tournament Setup'!$B$38),$H10,"")</f>
        <v/>
      </c>
      <c r="BV10" s="1" t="str">
        <f>IF(ISNUMBER(BU10)=TRUE,IF(_xlfn.RANK.EQ(BU10,$BU$2:$BU$111)&lt;='Tournament Setup'!$C$38,_xlfn.RANK.EQ(BU10,$BU$2:$BU$111),""),"")</f>
        <v/>
      </c>
      <c r="BW10" s="31" t="str">
        <f>IF(AND($G10='Tournament Setup'!$A$38,$E10="F",$BT10&gt;'Tournament Setup'!$B$38),$H10,"")</f>
        <v/>
      </c>
      <c r="BX10" s="12" t="str">
        <f>IF(ISNUMBER(BW10)=TRUE,IF(_xlfn.RANK.EQ(BW10,$BW$2:$BW$111)&lt;='Tournament Setup'!$D$38,_xlfn.RANK.EQ(BW10,$BW$2:$BW$111),""),"")</f>
        <v/>
      </c>
      <c r="BY10" s="30">
        <f>IF($G10='Tournament Setup'!$A$39,$H10,"")</f>
        <v>75</v>
      </c>
      <c r="BZ10" s="47">
        <f>IF(ISNUMBER(BY10),IF(COUNTIFS(BZ$1:BZ9,_xlfn.RANK.EQ(BY10,BY$2:BY$111,0))&gt;0,_xlfn.MAXIFS(BZ$1:BZ9,BY$1:BY9,BY10)+1,_xlfn.RANK.EQ(BY10,BY$2:BY$111,0)),"")</f>
        <v>10</v>
      </c>
      <c r="CA10" s="1" t="str">
        <f>IF(ISNUMBER(BY10)=TRUE,IF(_xlfn.RANK.EQ(BY10,$BY$2:$BY$111)&lt;='Tournament Setup'!$B$39,_xlfn.RANK.EQ(BY10,$BY$2:$BY$111),""),"")</f>
        <v/>
      </c>
      <c r="CB10" s="31" t="str">
        <f>IF(AND($G10='Tournament Setup'!$A$39,$E10="M",$CA10&gt;'Tournament Setup'!$B$39),$H10,"")</f>
        <v/>
      </c>
      <c r="CC10" s="1" t="str">
        <f>IF(ISNUMBER(CB10)=TRUE,IF(_xlfn.RANK.EQ(CB10,$CB$2:$CB$111)&lt;='Tournament Setup'!$C$39,_xlfn.RANK.EQ(CB10,$CB$2:$CB$111),""),"")</f>
        <v/>
      </c>
      <c r="CD10" s="31">
        <f>IF(AND($G10='Tournament Setup'!$A$39,$E10="F",$CA10&gt;'Tournament Setup'!$B$39),$H10,"")</f>
        <v>75</v>
      </c>
      <c r="CE10" s="12" t="str">
        <f>IF(ISNUMBER(CD10)=TRUE,IF(_xlfn.RANK.EQ(CD10,$CD$2:$CD$111)&lt;='Tournament Setup'!$D$39,_xlfn.RANK.EQ(CD10,$CD$2:$CD$111),""),"")</f>
        <v/>
      </c>
      <c r="CF10" s="30" t="str">
        <f>IF($G10='Tournament Setup'!$A$40,$H10,"")</f>
        <v/>
      </c>
      <c r="CG10" s="47" t="str">
        <f>IF(ISNUMBER(CF10),IF(COUNTIFS(CG$1:CG9,_xlfn.RANK.EQ(CF10,CF$2:CF$111,0))&gt;0,_xlfn.MAXIFS(CG$1:CG9,CF$1:CF9,CF10)+1,_xlfn.RANK.EQ(CF10,CF$2:CF$111,0)),"")</f>
        <v/>
      </c>
      <c r="CH10" s="1" t="str">
        <f>IF(ISNUMBER(CF10)=TRUE,IF(_xlfn.RANK.EQ(CF10,$CF$2:$CF$111)&lt;='Tournament Setup'!$B$40,_xlfn.RANK.EQ(CF10,$CF$2:$CF$111),""),"")</f>
        <v/>
      </c>
      <c r="CI10" s="31" t="str">
        <f>IF(AND($G10='Tournament Setup'!$A$40,$E10="M",$CH10&gt;'Tournament Setup'!$B$40),$H10,"")</f>
        <v/>
      </c>
      <c r="CJ10" s="1" t="str">
        <f>IF(ISNUMBER(CI10)=TRUE,IF(_xlfn.RANK.EQ(CI10,$CI$2:$CI$111)&lt;='Tournament Setup'!$C$40,_xlfn.RANK.EQ(CI10,$CI$2:$CI$111),""),"")</f>
        <v/>
      </c>
      <c r="CK10" s="31" t="str">
        <f>IF(AND($G10='Tournament Setup'!$A$40,$E10="F",$CH10&gt;'Tournament Setup'!$B$40),$H10,"")</f>
        <v/>
      </c>
      <c r="CL10" s="12" t="str">
        <f>IF(ISNUMBER(CK10)=TRUE,IF(_xlfn.RANK.EQ(CK10,$CK$2:$CK$111)&lt;='Tournament Setup'!$D$40,_xlfn.RANK.EQ(CK10,$CK$2:$CK$111),""),"")</f>
        <v/>
      </c>
      <c r="CM10" s="30" t="str">
        <f>IF($G10='Tournament Setup'!$A$41,$H10,"")</f>
        <v/>
      </c>
      <c r="CN10" s="47" t="str">
        <f>IF(ISNUMBER(CM10),IF(COUNTIFS(CN$1:CN9,_xlfn.RANK.EQ(CM10,CM$2:CM$111,0))&gt;0,_xlfn.MAXIFS(CN$1:CN9,CM$1:CM9,CM10)+1,_xlfn.RANK.EQ(CM10,CM$2:CM$111,0)),"")</f>
        <v/>
      </c>
      <c r="CO10" s="1" t="str">
        <f>IF(ISNUMBER(CM10)=TRUE,IF(_xlfn.RANK.EQ(CM10,$CM$2:$CM$111)&lt;='Tournament Setup'!$B$41,_xlfn.RANK.EQ(CM10,$CM$2:$CM$111),""),"")</f>
        <v/>
      </c>
      <c r="CP10" s="31" t="str">
        <f>IF(AND($G10='Tournament Setup'!$A$41,$E10="M",$CO10&gt;'Tournament Setup'!$B$41),$H10,"")</f>
        <v/>
      </c>
      <c r="CQ10" s="1" t="str">
        <f>IF(ISNUMBER(CP10)=TRUE,IF(_xlfn.RANK.EQ(CP10,$CP$2:$CP$111)&lt;='Tournament Setup'!$C$41,_xlfn.RANK.EQ(CP10,$CP$2:$CP$111),""),"")</f>
        <v/>
      </c>
      <c r="CR10" s="31" t="str">
        <f>IF(AND($G10='Tournament Setup'!$A$41,$E10="F",$CO10&gt;'Tournament Setup'!$B$41),$H10,"")</f>
        <v/>
      </c>
      <c r="CS10" s="12" t="str">
        <f>IF(ISNUMBER(CR10)=TRUE,IF(_xlfn.RANK.EQ(CR10,$CR$2:$CR$111)&lt;='Tournament Setup'!$D$41,_xlfn.RANK.EQ(CR10,$CR$2:$CR$111),""),"")</f>
        <v/>
      </c>
    </row>
    <row r="11" spans="1:97" x14ac:dyDescent="0.3">
      <c r="A11" t="s">
        <v>46</v>
      </c>
      <c r="B11" t="str">
        <f>IFERROR(INDEX('Tournament List'!$B:$B,MATCH($A11,'Tournament List'!$A:$A,0)),"")</f>
        <v>Christy</v>
      </c>
      <c r="C11" t="str">
        <f>IFERROR(INDEX('Tournament List'!$C:$C,MATCH($A11,'Tournament List'!$A:$A,0)),"")</f>
        <v>Last Name10</v>
      </c>
      <c r="D11" t="str">
        <f t="shared" si="0"/>
        <v>Christy Last Name10</v>
      </c>
      <c r="E11" s="1" t="str">
        <f>IFERROR(INDEX('Tournament List'!F:F,MATCH($A11,'Tournament List'!$A:$A,0)),"")</f>
        <v>F</v>
      </c>
      <c r="F11" t="str">
        <f>IFERROR(INDEX('Tournament List'!M:M,MATCH($A11,'Tournament List'!$A:$A,0)),"")</f>
        <v>Intermediate</v>
      </c>
      <c r="G11" s="1" t="str">
        <f>IFERROR(INDEX('Tournament List'!W:W,MATCH($A11,'Tournament List'!$A:$A,0)),"")</f>
        <v>B</v>
      </c>
      <c r="H11" s="129">
        <f>IFERROR(INDEX('Tournament List'!Z:Z,MATCH($A11,'Tournament List'!$A:$A,0)),"")</f>
        <v>93</v>
      </c>
      <c r="I11" s="152">
        <f>IFERROR(INDEX('Tournament List'!T:T,MATCH($A11,'Tournament List'!$A:$A,0)),"")</f>
        <v>231</v>
      </c>
      <c r="J11" s="56">
        <f>IF(ISNUMBER(I11),IF(COUNTIFS(J$1:J10,_xlfn.RANK.EQ(I11,I$2:I$111,0))&gt;0,_xlfn.MAXIFS(J$1:J10,I$1:I10,I11)+1,_xlfn.RANK.EQ(I11,I$2:I$111,0)),"")</f>
        <v>5</v>
      </c>
      <c r="K11" s="11">
        <f t="shared" si="1"/>
        <v>5</v>
      </c>
      <c r="L11" s="56">
        <f>IF(ISNUMBER(H11),IF(COUNTIFS(L$1:L10,_xlfn.RANK.EQ(H11,H$2:H$111,0))&gt;0,_xlfn.MAXIFS(L$1:L10,H$1:H10,H11)+1,_xlfn.RANK.EQ(H11,H$2:H$111,0)),"")</f>
        <v>5</v>
      </c>
      <c r="M11" s="151">
        <f t="shared" si="2"/>
        <v>93</v>
      </c>
      <c r="N11" s="47">
        <f>IF(ISNUMBER(M11),IF(COUNTIFS(N$1:N10,_xlfn.RANK.EQ(M11,M$2:M$111,0))&gt;0,_xlfn.MAXIFS(N$1:N10,M$1:M10,M11)+1,_xlfn.RANK.EQ(M11,M$2:M$111,0)),"")</f>
        <v>5</v>
      </c>
      <c r="O11" s="1" t="str">
        <f>IF(ISNUMBER(M11)=TRUE,IF(_xlfn.RANK.EQ(M11,$M$2:$M$111)&lt;='Tournament Setup'!$B$23,_xlfn.RANK.EQ(M11,$M$2:$M$111),""),"")</f>
        <v/>
      </c>
      <c r="P11" s="150" t="str">
        <f t="shared" si="3"/>
        <v/>
      </c>
      <c r="Q11" s="1" t="str">
        <f>IF(ISNUMBER(P11)=TRUE,IF(_xlfn.RANK.EQ(P11,$P$2:$P$111)&lt;='Tournament Setup'!$B$24,_xlfn.RANK.EQ(P11,$P$2:$P$111),""),"")</f>
        <v/>
      </c>
      <c r="R11" s="150">
        <f t="shared" si="4"/>
        <v>93</v>
      </c>
      <c r="S11" s="12" t="str">
        <f>IF(ISNUMBER(R11)=TRUE,IF(_xlfn.RANK.EQ(R11,$R$2:$R$111)&lt;='Tournament Setup'!$B$25,_xlfn.RANK.EQ(R11,$R$2:$R$111),""),"")</f>
        <v/>
      </c>
      <c r="T11" s="152" t="str">
        <f>IF(AND($F11='Tournament Setup'!$A$29,$I11&lt;&gt;0),$I11,"")</f>
        <v/>
      </c>
      <c r="U11" s="47" t="str">
        <f>IF(ISNUMBER(T11),IF(COUNTIFS(U$1:U10,_xlfn.RANK.EQ(T11,T$2:T$111,0))&gt;0,_xlfn.MAXIFS(U$1:U10,T$1:T10,T11)+1,_xlfn.RANK.EQ(T11,T$2:T$111,0)),"")</f>
        <v/>
      </c>
      <c r="V11" s="1" t="str">
        <f>IF(ISNUMBER(T11)=TRUE,IF(_xlfn.RANK.EQ(T11,$T$3:$T$112)&lt;='Tournament Setup'!$B$46,_xlfn.RANK.EQ(T11,$T$2:$T$111),""),"")</f>
        <v/>
      </c>
      <c r="W11" s="30" t="str">
        <f>IF(AND($F11='Tournament Setup'!$A$29,SUM($O11,$Q11,$S11)=0),$H11,"")</f>
        <v/>
      </c>
      <c r="X11" s="47" t="str">
        <f>IF(ISNUMBER(W11),IF(COUNTIFS(X$1:X10,_xlfn.RANK.EQ(W11,W$2:W$111,0))&gt;0,_xlfn.MAXIFS(X$1:X10,W$1:W10,W11)+1,_xlfn.RANK.EQ(W11,W$2:W$111,0)),"")</f>
        <v/>
      </c>
      <c r="Y11" s="1" t="str">
        <f>IF(ISNUMBER(W11)=TRUE,IF(_xlfn.RANK.EQ(W11,$W$2:$W$111)&lt;='Tournament Setup'!$B$29,_xlfn.RANK.EQ(W11,$W$2:$W$111),""),"")</f>
        <v/>
      </c>
      <c r="Z11" s="31" t="str">
        <f>IF(AND($F11='Tournament Setup'!$A$29,SUM($O11,$Q11)=0,$E11="M",$Y11&gt;'Tournament Setup'!$B$29),$H11,"")</f>
        <v/>
      </c>
      <c r="AA11" s="1" t="str">
        <f>IF(ISNUMBER(Z11)=TRUE,IF(_xlfn.RANK.EQ(Z11,$Z$2:$Z$111)&lt;='Tournament Setup'!$C$29,_xlfn.RANK.EQ(Z11,$Z$2:$Z$111),""),"")</f>
        <v/>
      </c>
      <c r="AB11" s="31" t="str">
        <f>IF(AND($F11='Tournament Setup'!$A$29,SUM($O11,$S11)=0,$E11="F",$Y11&gt;'Tournament Setup'!$B$29),$H11,"")</f>
        <v/>
      </c>
      <c r="AC11" s="12" t="str">
        <f>IF(ISNUMBER(AB11)=TRUE,IF(_xlfn.RANK.EQ(AB11,$AB$2:$AB$111)&lt;='Tournament Setup'!$D$29,_xlfn.RANK.EQ(AB11,$AB$2:$AB$111),""),"")</f>
        <v/>
      </c>
      <c r="AD11" s="30">
        <f>IF(AND($F11='Tournament Setup'!$A$30,$I11&lt;&gt;0),$I11,"")</f>
        <v>231</v>
      </c>
      <c r="AE11" s="47">
        <f>IF(ISNUMBER(AD11),IF(COUNTIFS(AE$1:AE10,_xlfn.RANK.EQ(AD11,AD$2:AD$111,0))&gt;0,_xlfn.MAXIFS(AE$1:AE10,AD$1:AD10,AD11)+1,_xlfn.RANK.EQ(AD11,AD$2:AD$111,0)),"")</f>
        <v>2</v>
      </c>
      <c r="AF11" s="1">
        <f>IF(ISNUMBER(AD11)=TRUE,IF(_xlfn.RANK.EQ(AD11,$AD$2:$AD$111)&lt;='Tournament Setup'!$B$46,_xlfn.RANK.EQ(AD11,$AD$2:$AD$111),""),"")</f>
        <v>2</v>
      </c>
      <c r="AG11" s="30">
        <f>IF(AND($F11='Tournament Setup'!$A$30,SUM($O11,$Q11,$S11)=0),$H11,"")</f>
        <v>93</v>
      </c>
      <c r="AH11" s="47">
        <f>IF(ISNUMBER(AG11),IF(COUNTIFS(AH$1:AH10,_xlfn.RANK.EQ(AG11,AG$2:AG$111,0))&gt;0,_xlfn.MAXIFS(AH$1:AH10,AG$1:AG10,AG11)+1,_xlfn.RANK.EQ(AG11,AG$2:AG$111,0)),"")</f>
        <v>1</v>
      </c>
      <c r="AI11" s="1" t="str">
        <f>IF(ISNUMBER(AG11)=TRUE,IF(_xlfn.RANK.EQ(AG11,$AG$2:$AG$111)&lt;='Tournament Setup'!$B$30,_xlfn.RANK.EQ(AG11,$AG$2:$AG$111),""),"")</f>
        <v/>
      </c>
      <c r="AJ11" s="31" t="str">
        <f>IF(AND($F11='Tournament Setup'!$A$30,SUM($O11,$Q11)=0,$E11="M",$AI11&gt;'Tournament Setup'!$B$30),$H11,"")</f>
        <v/>
      </c>
      <c r="AK11" s="1" t="str">
        <f>IF(ISNUMBER(AJ11)=TRUE,IF(_xlfn.RANK.EQ(AJ11,$AJ$2:$AJ$111)&lt;='Tournament Setup'!$C$30,_xlfn.RANK.EQ(AJ11,$AJ$2:$AJ$111),""),"")</f>
        <v/>
      </c>
      <c r="AL11" s="31">
        <f>IF(AND($F11='Tournament Setup'!$A$30,SUM($O11,$S11)=0,$E11="F",$AI11&gt;'Tournament Setup'!$B$30),$H11,"")</f>
        <v>93</v>
      </c>
      <c r="AM11" s="12">
        <f>IF(ISNUMBER(AL11)=TRUE,IF(_xlfn.RANK.EQ(AL11,$AL$2:$AL$111)&lt;='Tournament Setup'!$D$30,_xlfn.RANK.EQ(AL11,$AL$2:$AL$111),""),"")</f>
        <v>1</v>
      </c>
      <c r="AN11" s="30" t="str">
        <f>IF(AND($F11='Tournament Setup'!$A$31,$I11&lt;&gt;0),$I11,"")</f>
        <v/>
      </c>
      <c r="AO11" s="47" t="str">
        <f>IF(ISNUMBER(AN11),IF(COUNTIFS(AO$1:AO10,_xlfn.RANK.EQ(AN11,AN$2:AN$111,0))&gt;0,_xlfn.MAXIFS(AO$1:AO10,AN$1:AN10,AN11)+1,_xlfn.RANK.EQ(AN11,AN$2:AN$111,0)),"")</f>
        <v/>
      </c>
      <c r="AP11" s="1" t="str">
        <f>IF(ISNUMBER(AN11)=TRUE,IF(_xlfn.RANK.EQ(AN11,$AN$2:$AN$111)&lt;='Tournament Setup'!$B$46,_xlfn.RANK.EQ(AN11,$AN$2:$AN$111),""),"")</f>
        <v/>
      </c>
      <c r="AQ11" s="30" t="str">
        <f>IF(AND($F11='Tournament Setup'!$A$31,SUM($O11,$Q11,$S11)=0),$H11,"")</f>
        <v/>
      </c>
      <c r="AR11" s="47" t="str">
        <f>IF(ISNUMBER(AQ11),IF(COUNTIFS(AR$1:AR10,_xlfn.RANK.EQ(AQ11,AQ$2:AQ$111,0))&gt;0,_xlfn.MAXIFS(AR$1:AR10,AQ$1:AQ10,AQ11)+1,_xlfn.RANK.EQ(AQ11,AQ$2:AQ$111,0)),"")</f>
        <v/>
      </c>
      <c r="AS11" s="1" t="str">
        <f>IF(ISNUMBER(AQ11)=TRUE,IF(_xlfn.RANK.EQ(AQ11,$AQ$2:$AQ$111)&lt;='Tournament Setup'!$B$31,_xlfn.RANK.EQ(AQ11,$AQ$2:$AQ$111),""),"")</f>
        <v/>
      </c>
      <c r="AT11" s="31" t="str">
        <f>IF(AND($F11='Tournament Setup'!$A$31,SUM($O11,$Q11)=0,$E11="M",$AS11&gt;'Tournament Setup'!$B$31),$H11,"")</f>
        <v/>
      </c>
      <c r="AU11" s="1" t="str">
        <f>IF(ISNUMBER(AT11)=TRUE,IF(_xlfn.RANK.EQ(AT11,$AT$2:$AT$111)&lt;='Tournament Setup'!$C$31,_xlfn.RANK.EQ(AT11,$AT$2:$AT$111),""),"")</f>
        <v/>
      </c>
      <c r="AV11" s="31" t="str">
        <f>IF(AND($F11='Tournament Setup'!$A$31,SUM($O11,$S11)=0,$E11="F",$AS11&gt;'Tournament Setup'!$B$31),$H11,"")</f>
        <v/>
      </c>
      <c r="AW11" s="12" t="str">
        <f>IF(ISNUMBER(AV11)=TRUE,IF(_xlfn.RANK.EQ(AV11,$AV$2:$AV$111)&lt;='Tournament Setup'!$D$31,_xlfn.RANK.EQ(AV11,$AV$2:$AV$111),""),"")</f>
        <v/>
      </c>
      <c r="AX11" s="30" t="str">
        <f>IF(AND($F11='Tournament Setup'!$A$32,$I11&lt;&gt;0),$I11,"")</f>
        <v/>
      </c>
      <c r="AY11" s="47" t="str">
        <f>IF(ISNUMBER(AX11),IF(COUNTIFS(AY$1:AY10,_xlfn.RANK.EQ(AX11,AX$2:AX$111,0))&gt;0,_xlfn.MAXIFS(AY$1:AY10,AX$1:AX10,AX11)+1,_xlfn.RANK.EQ(AX11,AX$2:AX$111,0)),"")</f>
        <v/>
      </c>
      <c r="AZ11" s="1" t="str">
        <f>IF(ISNUMBER(AX11)=TRUE,IF(_xlfn.RANK.EQ(AX11,$AX$2:$AX$111)&lt;='Tournament Setup'!$B$46,_xlfn.RANK.EQ(AX11,$AX$2:$AX$111),""),"")</f>
        <v/>
      </c>
      <c r="BA11" s="30" t="str">
        <f>IF(AND($F11='Tournament Setup'!$A$32,SUM($O11,$Q11,$S11)=0),$H11,"")</f>
        <v/>
      </c>
      <c r="BB11" s="47" t="str">
        <f>IF(ISNUMBER(BA11),IF(COUNTIFS(BB$1:BB10,_xlfn.RANK.EQ(BA11,BA$2:BA$111,0))&gt;0,_xlfn.MAXIFS(BB$1:BB10,BA$1:BA10,BA11)+1,_xlfn.RANK.EQ(BA11,BA$2:BA$111,0)),"")</f>
        <v/>
      </c>
      <c r="BC11" s="1" t="str">
        <f>IF(ISNUMBER(BA11)=TRUE,IF(_xlfn.RANK.EQ(BA11,$BA$2:$BA$111)&lt;='Tournament Setup'!$B$32,_xlfn.RANK.EQ(BA11,$BA$2:$BA$111),""),"")</f>
        <v/>
      </c>
      <c r="BD11" s="31" t="str">
        <f>IF(AND($F11='Tournament Setup'!$A$32,SUM($O11,$Q11)=0,$E11="M",$BC11&gt;'Tournament Setup'!$B$32),$H11,"")</f>
        <v/>
      </c>
      <c r="BE11" s="1" t="str">
        <f>IF(ISNUMBER(BD11)=TRUE,IF(_xlfn.RANK.EQ(BD11,$BD$2:$BD$111)&lt;='Tournament Setup'!$C$32,_xlfn.RANK.EQ(BD11,$BD$2:$BD$111),""),"")</f>
        <v/>
      </c>
      <c r="BF11" s="31" t="str">
        <f>IF(AND($F11='Tournament Setup'!$A$32,SUM($O11,$S11)=0,$E11="F",$BC11&gt;'Tournament Setup'!$B$32),$H11,"")</f>
        <v/>
      </c>
      <c r="BG11" s="12" t="str">
        <f>IF(ISNUMBER(BF11)=TRUE,IF(_xlfn.RANK.EQ(BF11,$BF$2:$BF$111)&lt;='Tournament Setup'!$D$32,_xlfn.RANK.EQ(BF11,$BF$2:$BF$111),""),"")</f>
        <v/>
      </c>
      <c r="BH11" s="30" t="str">
        <f>IF(AND($F11='Tournament Setup'!$A$33,$I11&lt;&gt;0),$I11,"")</f>
        <v/>
      </c>
      <c r="BI11" s="47" t="str">
        <f>IF(ISNUMBER(BH11),IF(COUNTIFS(BI$1:BI10,_xlfn.RANK.EQ(BH11,BH$2:BH$111,0))&gt;0,_xlfn.MAXIFS(BI$1:BI10,BH$1:BH10,BH11)+1,_xlfn.RANK.EQ(BH11,BH$2:BH$111,0)),"")</f>
        <v/>
      </c>
      <c r="BJ11" s="1" t="str">
        <f>IF(ISNUMBER(BH11)=TRUE,IF(_xlfn.RANK.EQ(BH11,$BH$2:$BH$111)&lt;='Tournament Setup'!$B$46,_xlfn.RANK.EQ(BH11,$BH$2:$BH$111),""),"")</f>
        <v/>
      </c>
      <c r="BK11" s="30" t="str">
        <f>IF(AND($F11='Tournament Setup'!$A$33,SUM($O11,$Q11,$S11)=0),$H11,"")</f>
        <v/>
      </c>
      <c r="BL11" s="47" t="str">
        <f>IF(ISNUMBER(BK11),IF(COUNTIFS(BL$1:BL10,_xlfn.RANK.EQ(BK11,BK$2:BK$111,0))&gt;0,_xlfn.MAXIFS(BL$1:BL10,BK$1:BK10,BK11)+1,_xlfn.RANK.EQ(BK11,BK$2:BK$111,0)),"")</f>
        <v/>
      </c>
      <c r="BM11" s="1" t="str">
        <f>IF(ISNUMBER(BK11)=TRUE,IF(_xlfn.RANK.EQ(BK11,$BK$2:$BK$111)&lt;='Tournament Setup'!$B$33,_xlfn.RANK.EQ(BK11,$BK$2:$BK$111),""),"")</f>
        <v/>
      </c>
      <c r="BN11" s="31" t="str">
        <f>IF(AND($F11='Tournament Setup'!$A$33,SUM($O11,$Q11)=0,$E11="M",$BM11&gt;'Tournament Setup'!$B$33),$H11,"")</f>
        <v/>
      </c>
      <c r="BO11" s="1" t="str">
        <f>IF(ISNUMBER(BN11)=TRUE,IF(_xlfn.RANK.EQ(BN11,$BN$2:$BN$111)&lt;='Tournament Setup'!$C$33,_xlfn.RANK.EQ(BN11,$BN$2:$BN$111),""),"")</f>
        <v/>
      </c>
      <c r="BP11" s="31" t="str">
        <f>IF(AND($F11='Tournament Setup'!$A$33,SUM($O11,$S11)=0,$E11="F",$BM11&gt;'Tournament Setup'!$B$33),$H11,"")</f>
        <v/>
      </c>
      <c r="BQ11" s="12" t="str">
        <f>IF(ISNUMBER(BP11)=TRUE,IF(_xlfn.RANK.EQ(BP11,$BP$2:$BP$111)&lt;='Tournament Setup'!$D$33,_xlfn.RANK.EQ(BP11,$BP$2:$BP$111),""),"")</f>
        <v/>
      </c>
      <c r="BR11" s="30" t="str">
        <f>IF($G11='Tournament Setup'!$A$38,$H11,"")</f>
        <v/>
      </c>
      <c r="BS11" s="47" t="str">
        <f>IF(ISNUMBER(BR11),IF(COUNTIFS(BS$1:BS10,_xlfn.RANK.EQ(BR11,BR$2:BR$111,0))&gt;0,_xlfn.MAXIFS(BS$1:BS10,BR$1:BR10,BR11)+1,_xlfn.RANK.EQ(BR11,BR$2:BR$111,0)),"")</f>
        <v/>
      </c>
      <c r="BT11" s="1" t="str">
        <f>IF(ISNUMBER(BR11)=TRUE,IF(_xlfn.RANK.EQ(BR11,$BR$2:$BR$111)&lt;='Tournament Setup'!$B$38,_xlfn.RANK.EQ(BR11,$BR$2:$BR$111),""),"")</f>
        <v/>
      </c>
      <c r="BU11" s="31" t="str">
        <f>IF(AND($G11='Tournament Setup'!$A$38,$E11="M",$BT11&gt;'Tournament Setup'!$B$38),$H11,"")</f>
        <v/>
      </c>
      <c r="BV11" s="1" t="str">
        <f>IF(ISNUMBER(BU11)=TRUE,IF(_xlfn.RANK.EQ(BU11,$BU$2:$BU$111)&lt;='Tournament Setup'!$C$38,_xlfn.RANK.EQ(BU11,$BU$2:$BU$111),""),"")</f>
        <v/>
      </c>
      <c r="BW11" s="31" t="str">
        <f>IF(AND($G11='Tournament Setup'!$A$38,$E11="F",$BT11&gt;'Tournament Setup'!$B$38),$H11,"")</f>
        <v/>
      </c>
      <c r="BX11" s="12" t="str">
        <f>IF(ISNUMBER(BW11)=TRUE,IF(_xlfn.RANK.EQ(BW11,$BW$2:$BW$111)&lt;='Tournament Setup'!$D$38,_xlfn.RANK.EQ(BW11,$BW$2:$BW$111),""),"")</f>
        <v/>
      </c>
      <c r="BY11" s="30">
        <f>IF($G11='Tournament Setup'!$A$39,$H11,"")</f>
        <v>93</v>
      </c>
      <c r="BZ11" s="47">
        <f>IF(ISNUMBER(BY11),IF(COUNTIFS(BZ$1:BZ10,_xlfn.RANK.EQ(BY11,BY$2:BY$111,0))&gt;0,_xlfn.MAXIFS(BZ$1:BZ10,BY$1:BY10,BY11)+1,_xlfn.RANK.EQ(BY11,BY$2:BY$111,0)),"")</f>
        <v>3</v>
      </c>
      <c r="CA11" s="1" t="str">
        <f>IF(ISNUMBER(BY11)=TRUE,IF(_xlfn.RANK.EQ(BY11,$BY$2:$BY$111)&lt;='Tournament Setup'!$B$39,_xlfn.RANK.EQ(BY11,$BY$2:$BY$111),""),"")</f>
        <v/>
      </c>
      <c r="CB11" s="31" t="str">
        <f>IF(AND($G11='Tournament Setup'!$A$39,$E11="M",$CA11&gt;'Tournament Setup'!$B$39),$H11,"")</f>
        <v/>
      </c>
      <c r="CC11" s="1" t="str">
        <f>IF(ISNUMBER(CB11)=TRUE,IF(_xlfn.RANK.EQ(CB11,$CB$2:$CB$111)&lt;='Tournament Setup'!$C$39,_xlfn.RANK.EQ(CB11,$CB$2:$CB$111),""),"")</f>
        <v/>
      </c>
      <c r="CD11" s="31">
        <f>IF(AND($G11='Tournament Setup'!$A$39,$E11="F",$CA11&gt;'Tournament Setup'!$B$39),$H11,"")</f>
        <v>93</v>
      </c>
      <c r="CE11" s="12">
        <f>IF(ISNUMBER(CD11)=TRUE,IF(_xlfn.RANK.EQ(CD11,$CD$2:$CD$111)&lt;='Tournament Setup'!$D$39,_xlfn.RANK.EQ(CD11,$CD$2:$CD$111),""),"")</f>
        <v>2</v>
      </c>
      <c r="CF11" s="30" t="str">
        <f>IF($G11='Tournament Setup'!$A$40,$H11,"")</f>
        <v/>
      </c>
      <c r="CG11" s="47" t="str">
        <f>IF(ISNUMBER(CF11),IF(COUNTIFS(CG$1:CG10,_xlfn.RANK.EQ(CF11,CF$2:CF$111,0))&gt;0,_xlfn.MAXIFS(CG$1:CG10,CF$1:CF10,CF11)+1,_xlfn.RANK.EQ(CF11,CF$2:CF$111,0)),"")</f>
        <v/>
      </c>
      <c r="CH11" s="1" t="str">
        <f>IF(ISNUMBER(CF11)=TRUE,IF(_xlfn.RANK.EQ(CF11,$CF$2:$CF$111)&lt;='Tournament Setup'!$B$40,_xlfn.RANK.EQ(CF11,$CF$2:$CF$111),""),"")</f>
        <v/>
      </c>
      <c r="CI11" s="31" t="str">
        <f>IF(AND($G11='Tournament Setup'!$A$40,$E11="M",$CH11&gt;'Tournament Setup'!$B$40),$H11,"")</f>
        <v/>
      </c>
      <c r="CJ11" s="1" t="str">
        <f>IF(ISNUMBER(CI11)=TRUE,IF(_xlfn.RANK.EQ(CI11,$CI$2:$CI$111)&lt;='Tournament Setup'!$C$40,_xlfn.RANK.EQ(CI11,$CI$2:$CI$111),""),"")</f>
        <v/>
      </c>
      <c r="CK11" s="31" t="str">
        <f>IF(AND($G11='Tournament Setup'!$A$40,$E11="F",$CH11&gt;'Tournament Setup'!$B$40),$H11,"")</f>
        <v/>
      </c>
      <c r="CL11" s="12" t="str">
        <f>IF(ISNUMBER(CK11)=TRUE,IF(_xlfn.RANK.EQ(CK11,$CK$2:$CK$111)&lt;='Tournament Setup'!$D$40,_xlfn.RANK.EQ(CK11,$CK$2:$CK$111),""),"")</f>
        <v/>
      </c>
      <c r="CM11" s="30" t="str">
        <f>IF($G11='Tournament Setup'!$A$41,$H11,"")</f>
        <v/>
      </c>
      <c r="CN11" s="47" t="str">
        <f>IF(ISNUMBER(CM11),IF(COUNTIFS(CN$1:CN10,_xlfn.RANK.EQ(CM11,CM$2:CM$111,0))&gt;0,_xlfn.MAXIFS(CN$1:CN10,CM$1:CM10,CM11)+1,_xlfn.RANK.EQ(CM11,CM$2:CM$111,0)),"")</f>
        <v/>
      </c>
      <c r="CO11" s="1" t="str">
        <f>IF(ISNUMBER(CM11)=TRUE,IF(_xlfn.RANK.EQ(CM11,$CM$2:$CM$111)&lt;='Tournament Setup'!$B$41,_xlfn.RANK.EQ(CM11,$CM$2:$CM$111),""),"")</f>
        <v/>
      </c>
      <c r="CP11" s="31" t="str">
        <f>IF(AND($G11='Tournament Setup'!$A$41,$E11="M",$CO11&gt;'Tournament Setup'!$B$41),$H11,"")</f>
        <v/>
      </c>
      <c r="CQ11" s="1" t="str">
        <f>IF(ISNUMBER(CP11)=TRUE,IF(_xlfn.RANK.EQ(CP11,$CP$2:$CP$111)&lt;='Tournament Setup'!$C$41,_xlfn.RANK.EQ(CP11,$CP$2:$CP$111),""),"")</f>
        <v/>
      </c>
      <c r="CR11" s="31" t="str">
        <f>IF(AND($G11='Tournament Setup'!$A$41,$E11="F",$CO11&gt;'Tournament Setup'!$B$41),$H11,"")</f>
        <v/>
      </c>
      <c r="CS11" s="12" t="str">
        <f>IF(ISNUMBER(CR11)=TRUE,IF(_xlfn.RANK.EQ(CR11,$CR$2:$CR$111)&lt;='Tournament Setup'!$D$41,_xlfn.RANK.EQ(CR11,$CR$2:$CR$111),""),"")</f>
        <v/>
      </c>
    </row>
    <row r="12" spans="1:97" x14ac:dyDescent="0.3">
      <c r="A12" t="s">
        <v>47</v>
      </c>
      <c r="B12" t="str">
        <f>IFERROR(INDEX('Tournament List'!$B:$B,MATCH($A12,'Tournament List'!$A:$A,0)),"")</f>
        <v>Bill</v>
      </c>
      <c r="C12" t="str">
        <f>IFERROR(INDEX('Tournament List'!$C:$C,MATCH($A12,'Tournament List'!$A:$A,0)),"")</f>
        <v>Last Name11</v>
      </c>
      <c r="D12" t="str">
        <f t="shared" si="0"/>
        <v>Bill Last Name11</v>
      </c>
      <c r="E12" s="1" t="str">
        <f>IFERROR(INDEX('Tournament List'!F:F,MATCH($A12,'Tournament List'!$A:$A,0)),"")</f>
        <v>M</v>
      </c>
      <c r="F12" t="str">
        <f>IFERROR(INDEX('Tournament List'!M:M,MATCH($A12,'Tournament List'!$A:$A,0)),"")</f>
        <v>Junior Varsity</v>
      </c>
      <c r="G12" s="1" t="str">
        <f>IFERROR(INDEX('Tournament List'!W:W,MATCH($A12,'Tournament List'!$A:$A,0)),"")</f>
        <v>B</v>
      </c>
      <c r="H12" s="129">
        <f>IFERROR(INDEX('Tournament List'!Z:Z,MATCH($A12,'Tournament List'!$A:$A,0)),"")</f>
        <v>98</v>
      </c>
      <c r="I12" s="152" t="str">
        <f>IFERROR(INDEX('Tournament List'!T:T,MATCH($A12,'Tournament List'!$A:$A,0)),"")</f>
        <v/>
      </c>
      <c r="J12" s="56" t="str">
        <f>IF(ISNUMBER(I12),IF(COUNTIFS(J$1:J11,_xlfn.RANK.EQ(I12,I$2:I$111,0))&gt;0,_xlfn.MAXIFS(J$1:J11,I$1:I11,I12)+1,_xlfn.RANK.EQ(I12,I$2:I$111,0)),"")</f>
        <v/>
      </c>
      <c r="K12" s="11">
        <f t="shared" si="1"/>
        <v>1</v>
      </c>
      <c r="L12" s="56">
        <f>IF(ISNUMBER(H12),IF(COUNTIFS(L$1:L11,_xlfn.RANK.EQ(H12,H$2:H$111,0))&gt;0,_xlfn.MAXIFS(L$1:L11,H$1:H11,H12)+1,_xlfn.RANK.EQ(H12,H$2:H$111,0)),"")</f>
        <v>1</v>
      </c>
      <c r="M12" s="151">
        <f t="shared" si="2"/>
        <v>98</v>
      </c>
      <c r="N12" s="47">
        <f>IF(ISNUMBER(M12),IF(COUNTIFS(N$1:N11,_xlfn.RANK.EQ(M12,M$2:M$111,0))&gt;0,_xlfn.MAXIFS(N$1:N11,M$1:M11,M12)+1,_xlfn.RANK.EQ(M12,M$2:M$111,0)),"")</f>
        <v>1</v>
      </c>
      <c r="O12" s="1" t="str">
        <f>IF(ISNUMBER(M12)=TRUE,IF(_xlfn.RANK.EQ(M12,$M$2:$M$111)&lt;='Tournament Setup'!$B$23,_xlfn.RANK.EQ(M12,$M$2:$M$111),""),"")</f>
        <v/>
      </c>
      <c r="P12" s="150">
        <f t="shared" si="3"/>
        <v>98</v>
      </c>
      <c r="Q12" s="1">
        <f>IF(ISNUMBER(P12)=TRUE,IF(_xlfn.RANK.EQ(P12,$P$2:$P$111)&lt;='Tournament Setup'!$B$24,_xlfn.RANK.EQ(P12,$P$2:$P$111),""),"")</f>
        <v>1</v>
      </c>
      <c r="R12" s="150" t="str">
        <f t="shared" si="4"/>
        <v/>
      </c>
      <c r="S12" s="12" t="str">
        <f>IF(ISNUMBER(R12)=TRUE,IF(_xlfn.RANK.EQ(R12,$R$2:$R$111)&lt;='Tournament Setup'!$B$25,_xlfn.RANK.EQ(R12,$R$2:$R$111),""),"")</f>
        <v/>
      </c>
      <c r="T12" s="152" t="str">
        <f>IF(AND($F12='Tournament Setup'!$A$29,$I12&lt;&gt;0),$I12,"")</f>
        <v/>
      </c>
      <c r="U12" s="47" t="str">
        <f>IF(ISNUMBER(T12),IF(COUNTIFS(U$1:U11,_xlfn.RANK.EQ(T12,T$2:T$111,0))&gt;0,_xlfn.MAXIFS(U$1:U11,T$1:T11,T12)+1,_xlfn.RANK.EQ(T12,T$2:T$111,0)),"")</f>
        <v/>
      </c>
      <c r="V12" s="1" t="str">
        <f>IF(ISNUMBER(T12)=TRUE,IF(_xlfn.RANK.EQ(T12,$T$3:$T$112)&lt;='Tournament Setup'!$B$46,_xlfn.RANK.EQ(T12,$T$2:$T$111),""),"")</f>
        <v/>
      </c>
      <c r="W12" s="30" t="str">
        <f>IF(AND($F12='Tournament Setup'!$A$29,SUM($O12,$Q12,$S12)=0),$H12,"")</f>
        <v/>
      </c>
      <c r="X12" s="47" t="str">
        <f>IF(ISNUMBER(W12),IF(COUNTIFS(X$1:X11,_xlfn.RANK.EQ(W12,W$2:W$111,0))&gt;0,_xlfn.MAXIFS(X$1:X11,W$1:W11,W12)+1,_xlfn.RANK.EQ(W12,W$2:W$111,0)),"")</f>
        <v/>
      </c>
      <c r="Y12" s="1" t="str">
        <f>IF(ISNUMBER(W12)=TRUE,IF(_xlfn.RANK.EQ(W12,$W$2:$W$111)&lt;='Tournament Setup'!$B$29,_xlfn.RANK.EQ(W12,$W$2:$W$111),""),"")</f>
        <v/>
      </c>
      <c r="Z12" s="31" t="str">
        <f>IF(AND($F12='Tournament Setup'!$A$29,SUM($O12,$Q12)=0,$E12="M",$Y12&gt;'Tournament Setup'!$B$29),$H12,"")</f>
        <v/>
      </c>
      <c r="AA12" s="1" t="str">
        <f>IF(ISNUMBER(Z12)=TRUE,IF(_xlfn.RANK.EQ(Z12,$Z$2:$Z$111)&lt;='Tournament Setup'!$C$29,_xlfn.RANK.EQ(Z12,$Z$2:$Z$111),""),"")</f>
        <v/>
      </c>
      <c r="AB12" s="31" t="str">
        <f>IF(AND($F12='Tournament Setup'!$A$29,SUM($O12,$S12)=0,$E12="F",$Y12&gt;'Tournament Setup'!$B$29),$H12,"")</f>
        <v/>
      </c>
      <c r="AC12" s="12" t="str">
        <f>IF(ISNUMBER(AB12)=TRUE,IF(_xlfn.RANK.EQ(AB12,$AB$2:$AB$111)&lt;='Tournament Setup'!$D$29,_xlfn.RANK.EQ(AB12,$AB$2:$AB$111),""),"")</f>
        <v/>
      </c>
      <c r="AD12" s="30" t="str">
        <f>IF(AND($F12='Tournament Setup'!$A$30,$I12&lt;&gt;0),$I12,"")</f>
        <v/>
      </c>
      <c r="AE12" s="47" t="str">
        <f>IF(ISNUMBER(AD12),IF(COUNTIFS(AE$1:AE11,_xlfn.RANK.EQ(AD12,AD$2:AD$111,0))&gt;0,_xlfn.MAXIFS(AE$1:AE11,AD$1:AD11,AD12)+1,_xlfn.RANK.EQ(AD12,AD$2:AD$111,0)),"")</f>
        <v/>
      </c>
      <c r="AF12" s="1" t="str">
        <f>IF(ISNUMBER(AD12)=TRUE,IF(_xlfn.RANK.EQ(AD12,$AD$2:$AD$111)&lt;='Tournament Setup'!$B$46,_xlfn.RANK.EQ(AD12,$AD$2:$AD$111),""),"")</f>
        <v/>
      </c>
      <c r="AG12" s="30" t="str">
        <f>IF(AND($F12='Tournament Setup'!$A$30,SUM($O12,$Q12,$S12)=0),$H12,"")</f>
        <v/>
      </c>
      <c r="AH12" s="47" t="str">
        <f>IF(ISNUMBER(AG12),IF(COUNTIFS(AH$1:AH11,_xlfn.RANK.EQ(AG12,AG$2:AG$111,0))&gt;0,_xlfn.MAXIFS(AH$1:AH11,AG$1:AG11,AG12)+1,_xlfn.RANK.EQ(AG12,AG$2:AG$111,0)),"")</f>
        <v/>
      </c>
      <c r="AI12" s="1" t="str">
        <f>IF(ISNUMBER(AG12)=TRUE,IF(_xlfn.RANK.EQ(AG12,$AG$2:$AG$111)&lt;='Tournament Setup'!$B$30,_xlfn.RANK.EQ(AG12,$AG$2:$AG$111),""),"")</f>
        <v/>
      </c>
      <c r="AJ12" s="31" t="str">
        <f>IF(AND($F12='Tournament Setup'!$A$30,SUM($O12,$Q12)=0,$E12="M",$AI12&gt;'Tournament Setup'!$B$30),$H12,"")</f>
        <v/>
      </c>
      <c r="AK12" s="1" t="str">
        <f>IF(ISNUMBER(AJ12)=TRUE,IF(_xlfn.RANK.EQ(AJ12,$AJ$2:$AJ$111)&lt;='Tournament Setup'!$C$30,_xlfn.RANK.EQ(AJ12,$AJ$2:$AJ$111),""),"")</f>
        <v/>
      </c>
      <c r="AL12" s="31" t="str">
        <f>IF(AND($F12='Tournament Setup'!$A$30,SUM($O12,$S12)=0,$E12="F",$AI12&gt;'Tournament Setup'!$B$30),$H12,"")</f>
        <v/>
      </c>
      <c r="AM12" s="12" t="str">
        <f>IF(ISNUMBER(AL12)=TRUE,IF(_xlfn.RANK.EQ(AL12,$AL$2:$AL$111)&lt;='Tournament Setup'!$D$30,_xlfn.RANK.EQ(AL12,$AL$2:$AL$111),""),"")</f>
        <v/>
      </c>
      <c r="AN12" s="30" t="str">
        <f>IF(AND($F12='Tournament Setup'!$A$31,$I12&lt;&gt;0),$I12,"")</f>
        <v/>
      </c>
      <c r="AO12" s="47" t="str">
        <f>IF(ISNUMBER(AN12),IF(COUNTIFS(AO$1:AO11,_xlfn.RANK.EQ(AN12,AN$2:AN$111,0))&gt;0,_xlfn.MAXIFS(AO$1:AO11,AN$1:AN11,AN12)+1,_xlfn.RANK.EQ(AN12,AN$2:AN$111,0)),"")</f>
        <v/>
      </c>
      <c r="AP12" s="1" t="str">
        <f>IF(ISNUMBER(AN12)=TRUE,IF(_xlfn.RANK.EQ(AN12,$AN$2:$AN$111)&lt;='Tournament Setup'!$B$46,_xlfn.RANK.EQ(AN12,$AN$2:$AN$111),""),"")</f>
        <v/>
      </c>
      <c r="AQ12" s="30" t="str">
        <f>IF(AND($F12='Tournament Setup'!$A$31,SUM($O12,$Q12,$S12)=0),$H12,"")</f>
        <v/>
      </c>
      <c r="AR12" s="47" t="str">
        <f>IF(ISNUMBER(AQ12),IF(COUNTIFS(AR$1:AR11,_xlfn.RANK.EQ(AQ12,AQ$2:AQ$111,0))&gt;0,_xlfn.MAXIFS(AR$1:AR11,AQ$1:AQ11,AQ12)+1,_xlfn.RANK.EQ(AQ12,AQ$2:AQ$111,0)),"")</f>
        <v/>
      </c>
      <c r="AS12" s="1" t="str">
        <f>IF(ISNUMBER(AQ12)=TRUE,IF(_xlfn.RANK.EQ(AQ12,$AQ$2:$AQ$111)&lt;='Tournament Setup'!$B$31,_xlfn.RANK.EQ(AQ12,$AQ$2:$AQ$111),""),"")</f>
        <v/>
      </c>
      <c r="AT12" s="31" t="str">
        <f>IF(AND($F12='Tournament Setup'!$A$31,SUM($O12,$Q12)=0,$E12="M",$AS12&gt;'Tournament Setup'!$B$31),$H12,"")</f>
        <v/>
      </c>
      <c r="AU12" s="1" t="str">
        <f>IF(ISNUMBER(AT12)=TRUE,IF(_xlfn.RANK.EQ(AT12,$AT$2:$AT$111)&lt;='Tournament Setup'!$C$31,_xlfn.RANK.EQ(AT12,$AT$2:$AT$111),""),"")</f>
        <v/>
      </c>
      <c r="AV12" s="31" t="str">
        <f>IF(AND($F12='Tournament Setup'!$A$31,SUM($O12,$S12)=0,$E12="F",$AS12&gt;'Tournament Setup'!$B$31),$H12,"")</f>
        <v/>
      </c>
      <c r="AW12" s="12" t="str">
        <f>IF(ISNUMBER(AV12)=TRUE,IF(_xlfn.RANK.EQ(AV12,$AV$2:$AV$111)&lt;='Tournament Setup'!$D$31,_xlfn.RANK.EQ(AV12,$AV$2:$AV$111),""),"")</f>
        <v/>
      </c>
      <c r="AX12" s="30" t="str">
        <f>IF(AND($F12='Tournament Setup'!$A$32,$I12&lt;&gt;0),$I12,"")</f>
        <v/>
      </c>
      <c r="AY12" s="47" t="str">
        <f>IF(ISNUMBER(AX12),IF(COUNTIFS(AY$1:AY11,_xlfn.RANK.EQ(AX12,AX$2:AX$111,0))&gt;0,_xlfn.MAXIFS(AY$1:AY11,AX$1:AX11,AX12)+1,_xlfn.RANK.EQ(AX12,AX$2:AX$111,0)),"")</f>
        <v/>
      </c>
      <c r="AZ12" s="1" t="str">
        <f>IF(ISNUMBER(AX12)=TRUE,IF(_xlfn.RANK.EQ(AX12,$AX$2:$AX$111)&lt;='Tournament Setup'!$B$46,_xlfn.RANK.EQ(AX12,$AX$2:$AX$111),""),"")</f>
        <v/>
      </c>
      <c r="BA12" s="30" t="str">
        <f>IF(AND($F12='Tournament Setup'!$A$32,SUM($O12,$Q12,$S12)=0),$H12,"")</f>
        <v/>
      </c>
      <c r="BB12" s="47" t="str">
        <f>IF(ISNUMBER(BA12),IF(COUNTIFS(BB$1:BB11,_xlfn.RANK.EQ(BA12,BA$2:BA$111,0))&gt;0,_xlfn.MAXIFS(BB$1:BB11,BA$1:BA11,BA12)+1,_xlfn.RANK.EQ(BA12,BA$2:BA$111,0)),"")</f>
        <v/>
      </c>
      <c r="BC12" s="1" t="str">
        <f>IF(ISNUMBER(BA12)=TRUE,IF(_xlfn.RANK.EQ(BA12,$BA$2:$BA$111)&lt;='Tournament Setup'!$B$32,_xlfn.RANK.EQ(BA12,$BA$2:$BA$111),""),"")</f>
        <v/>
      </c>
      <c r="BD12" s="31" t="str">
        <f>IF(AND($F12='Tournament Setup'!$A$32,SUM($O12,$Q12)=0,$E12="M",$BC12&gt;'Tournament Setup'!$B$32),$H12,"")</f>
        <v/>
      </c>
      <c r="BE12" s="1" t="str">
        <f>IF(ISNUMBER(BD12)=TRUE,IF(_xlfn.RANK.EQ(BD12,$BD$2:$BD$111)&lt;='Tournament Setup'!$C$32,_xlfn.RANK.EQ(BD12,$BD$2:$BD$111),""),"")</f>
        <v/>
      </c>
      <c r="BF12" s="31" t="str">
        <f>IF(AND($F12='Tournament Setup'!$A$32,SUM($O12,$S12)=0,$E12="F",$BC12&gt;'Tournament Setup'!$B$32),$H12,"")</f>
        <v/>
      </c>
      <c r="BG12" s="12" t="str">
        <f>IF(ISNUMBER(BF12)=TRUE,IF(_xlfn.RANK.EQ(BF12,$BF$2:$BF$111)&lt;='Tournament Setup'!$D$32,_xlfn.RANK.EQ(BF12,$BF$2:$BF$111),""),"")</f>
        <v/>
      </c>
      <c r="BH12" s="30" t="str">
        <f>IF(AND($F12='Tournament Setup'!$A$33,$I12&lt;&gt;0),$I12,"")</f>
        <v/>
      </c>
      <c r="BI12" s="47" t="str">
        <f>IF(ISNUMBER(BH12),IF(COUNTIFS(BI$1:BI11,_xlfn.RANK.EQ(BH12,BH$2:BH$111,0))&gt;0,_xlfn.MAXIFS(BI$1:BI11,BH$1:BH11,BH12)+1,_xlfn.RANK.EQ(BH12,BH$2:BH$111,0)),"")</f>
        <v/>
      </c>
      <c r="BJ12" s="1" t="str">
        <f>IF(ISNUMBER(BH12)=TRUE,IF(_xlfn.RANK.EQ(BH12,$BH$2:$BH$111)&lt;='Tournament Setup'!$B$46,_xlfn.RANK.EQ(BH12,$BH$2:$BH$111),""),"")</f>
        <v/>
      </c>
      <c r="BK12" s="30" t="str">
        <f>IF(AND($F12='Tournament Setup'!$A$33,SUM($O12,$Q12,$S12)=0),$H12,"")</f>
        <v/>
      </c>
      <c r="BL12" s="47" t="str">
        <f>IF(ISNUMBER(BK12),IF(COUNTIFS(BL$1:BL11,_xlfn.RANK.EQ(BK12,BK$2:BK$111,0))&gt;0,_xlfn.MAXIFS(BL$1:BL11,BK$1:BK11,BK12)+1,_xlfn.RANK.EQ(BK12,BK$2:BK$111,0)),"")</f>
        <v/>
      </c>
      <c r="BM12" s="1" t="str">
        <f>IF(ISNUMBER(BK12)=TRUE,IF(_xlfn.RANK.EQ(BK12,$BK$2:$BK$111)&lt;='Tournament Setup'!$B$33,_xlfn.RANK.EQ(BK12,$BK$2:$BK$111),""),"")</f>
        <v/>
      </c>
      <c r="BN12" s="31" t="str">
        <f>IF(AND($F12='Tournament Setup'!$A$33,SUM($O12,$Q12)=0,$E12="M",$BM12&gt;'Tournament Setup'!$B$33),$H12,"")</f>
        <v/>
      </c>
      <c r="BO12" s="1" t="str">
        <f>IF(ISNUMBER(BN12)=TRUE,IF(_xlfn.RANK.EQ(BN12,$BN$2:$BN$111)&lt;='Tournament Setup'!$C$33,_xlfn.RANK.EQ(BN12,$BN$2:$BN$111),""),"")</f>
        <v/>
      </c>
      <c r="BP12" s="31" t="str">
        <f>IF(AND($F12='Tournament Setup'!$A$33,SUM($O12,$S12)=0,$E12="F",$BM12&gt;'Tournament Setup'!$B$33),$H12,"")</f>
        <v/>
      </c>
      <c r="BQ12" s="12" t="str">
        <f>IF(ISNUMBER(BP12)=TRUE,IF(_xlfn.RANK.EQ(BP12,$BP$2:$BP$111)&lt;='Tournament Setup'!$D$33,_xlfn.RANK.EQ(BP12,$BP$2:$BP$111),""),"")</f>
        <v/>
      </c>
      <c r="BR12" s="30" t="str">
        <f>IF($G12='Tournament Setup'!$A$38,$H12,"")</f>
        <v/>
      </c>
      <c r="BS12" s="47" t="str">
        <f>IF(ISNUMBER(BR12),IF(COUNTIFS(BS$1:BS11,_xlfn.RANK.EQ(BR12,BR$2:BR$111,0))&gt;0,_xlfn.MAXIFS(BS$1:BS11,BR$1:BR11,BR12)+1,_xlfn.RANK.EQ(BR12,BR$2:BR$111,0)),"")</f>
        <v/>
      </c>
      <c r="BT12" s="1" t="str">
        <f>IF(ISNUMBER(BR12)=TRUE,IF(_xlfn.RANK.EQ(BR12,$BR$2:$BR$111)&lt;='Tournament Setup'!$B$38,_xlfn.RANK.EQ(BR12,$BR$2:$BR$111),""),"")</f>
        <v/>
      </c>
      <c r="BU12" s="31" t="str">
        <f>IF(AND($G12='Tournament Setup'!$A$38,$E12="M",$BT12&gt;'Tournament Setup'!$B$38),$H12,"")</f>
        <v/>
      </c>
      <c r="BV12" s="1" t="str">
        <f>IF(ISNUMBER(BU12)=TRUE,IF(_xlfn.RANK.EQ(BU12,$BU$2:$BU$111)&lt;='Tournament Setup'!$C$38,_xlfn.RANK.EQ(BU12,$BU$2:$BU$111),""),"")</f>
        <v/>
      </c>
      <c r="BW12" s="31" t="str">
        <f>IF(AND($G12='Tournament Setup'!$A$38,$E12="F",$BT12&gt;'Tournament Setup'!$B$38),$H12,"")</f>
        <v/>
      </c>
      <c r="BX12" s="12" t="str">
        <f>IF(ISNUMBER(BW12)=TRUE,IF(_xlfn.RANK.EQ(BW12,$BW$2:$BW$111)&lt;='Tournament Setup'!$D$38,_xlfn.RANK.EQ(BW12,$BW$2:$BW$111),""),"")</f>
        <v/>
      </c>
      <c r="BY12" s="30">
        <f>IF($G12='Tournament Setup'!$A$39,$H12,"")</f>
        <v>98</v>
      </c>
      <c r="BZ12" s="47">
        <f>IF(ISNUMBER(BY12),IF(COUNTIFS(BZ$1:BZ11,_xlfn.RANK.EQ(BY12,BY$2:BY$111,0))&gt;0,_xlfn.MAXIFS(BZ$1:BZ11,BY$1:BY11,BY12)+1,_xlfn.RANK.EQ(BY12,BY$2:BY$111,0)),"")</f>
        <v>1</v>
      </c>
      <c r="CA12" s="1" t="str">
        <f>IF(ISNUMBER(BY12)=TRUE,IF(_xlfn.RANK.EQ(BY12,$BY$2:$BY$111)&lt;='Tournament Setup'!$B$39,_xlfn.RANK.EQ(BY12,$BY$2:$BY$111),""),"")</f>
        <v/>
      </c>
      <c r="CB12" s="31">
        <f>IF(AND($G12='Tournament Setup'!$A$39,$E12="M",$CA12&gt;'Tournament Setup'!$B$39),$H12,"")</f>
        <v>98</v>
      </c>
      <c r="CC12" s="1">
        <f>IF(ISNUMBER(CB12)=TRUE,IF(_xlfn.RANK.EQ(CB12,$CB$2:$CB$111)&lt;='Tournament Setup'!$C$39,_xlfn.RANK.EQ(CB12,$CB$2:$CB$111),""),"")</f>
        <v>1</v>
      </c>
      <c r="CD12" s="31" t="str">
        <f>IF(AND($G12='Tournament Setup'!$A$39,$E12="F",$CA12&gt;'Tournament Setup'!$B$39),$H12,"")</f>
        <v/>
      </c>
      <c r="CE12" s="12" t="str">
        <f>IF(ISNUMBER(CD12)=TRUE,IF(_xlfn.RANK.EQ(CD12,$CD$2:$CD$111)&lt;='Tournament Setup'!$D$39,_xlfn.RANK.EQ(CD12,$CD$2:$CD$111),""),"")</f>
        <v/>
      </c>
      <c r="CF12" s="30" t="str">
        <f>IF($G12='Tournament Setup'!$A$40,$H12,"")</f>
        <v/>
      </c>
      <c r="CG12" s="47" t="str">
        <f>IF(ISNUMBER(CF12),IF(COUNTIFS(CG$1:CG11,_xlfn.RANK.EQ(CF12,CF$2:CF$111,0))&gt;0,_xlfn.MAXIFS(CG$1:CG11,CF$1:CF11,CF12)+1,_xlfn.RANK.EQ(CF12,CF$2:CF$111,0)),"")</f>
        <v/>
      </c>
      <c r="CH12" s="1" t="str">
        <f>IF(ISNUMBER(CF12)=TRUE,IF(_xlfn.RANK.EQ(CF12,$CF$2:$CF$111)&lt;='Tournament Setup'!$B$40,_xlfn.RANK.EQ(CF12,$CF$2:$CF$111),""),"")</f>
        <v/>
      </c>
      <c r="CI12" s="31" t="str">
        <f>IF(AND($G12='Tournament Setup'!$A$40,$E12="M",$CH12&gt;'Tournament Setup'!$B$40),$H12,"")</f>
        <v/>
      </c>
      <c r="CJ12" s="1" t="str">
        <f>IF(ISNUMBER(CI12)=TRUE,IF(_xlfn.RANK.EQ(CI12,$CI$2:$CI$111)&lt;='Tournament Setup'!$C$40,_xlfn.RANK.EQ(CI12,$CI$2:$CI$111),""),"")</f>
        <v/>
      </c>
      <c r="CK12" s="31" t="str">
        <f>IF(AND($G12='Tournament Setup'!$A$40,$E12="F",$CH12&gt;'Tournament Setup'!$B$40),$H12,"")</f>
        <v/>
      </c>
      <c r="CL12" s="12" t="str">
        <f>IF(ISNUMBER(CK12)=TRUE,IF(_xlfn.RANK.EQ(CK12,$CK$2:$CK$111)&lt;='Tournament Setup'!$D$40,_xlfn.RANK.EQ(CK12,$CK$2:$CK$111),""),"")</f>
        <v/>
      </c>
      <c r="CM12" s="30" t="str">
        <f>IF($G12='Tournament Setup'!$A$41,$H12,"")</f>
        <v/>
      </c>
      <c r="CN12" s="47" t="str">
        <f>IF(ISNUMBER(CM12),IF(COUNTIFS(CN$1:CN11,_xlfn.RANK.EQ(CM12,CM$2:CM$111,0))&gt;0,_xlfn.MAXIFS(CN$1:CN11,CM$1:CM11,CM12)+1,_xlfn.RANK.EQ(CM12,CM$2:CM$111,0)),"")</f>
        <v/>
      </c>
      <c r="CO12" s="1" t="str">
        <f>IF(ISNUMBER(CM12)=TRUE,IF(_xlfn.RANK.EQ(CM12,$CM$2:$CM$111)&lt;='Tournament Setup'!$B$41,_xlfn.RANK.EQ(CM12,$CM$2:$CM$111),""),"")</f>
        <v/>
      </c>
      <c r="CP12" s="31" t="str">
        <f>IF(AND($G12='Tournament Setup'!$A$41,$E12="M",$CO12&gt;'Tournament Setup'!$B$41),$H12,"")</f>
        <v/>
      </c>
      <c r="CQ12" s="1" t="str">
        <f>IF(ISNUMBER(CP12)=TRUE,IF(_xlfn.RANK.EQ(CP12,$CP$2:$CP$111)&lt;='Tournament Setup'!$C$41,_xlfn.RANK.EQ(CP12,$CP$2:$CP$111),""),"")</f>
        <v/>
      </c>
      <c r="CR12" s="31" t="str">
        <f>IF(AND($G12='Tournament Setup'!$A$41,$E12="F",$CO12&gt;'Tournament Setup'!$B$41),$H12,"")</f>
        <v/>
      </c>
      <c r="CS12" s="12" t="str">
        <f>IF(ISNUMBER(CR12)=TRUE,IF(_xlfn.RANK.EQ(CR12,$CR$2:$CR$111)&lt;='Tournament Setup'!$D$41,_xlfn.RANK.EQ(CR12,$CR$2:$CR$111),""),"")</f>
        <v/>
      </c>
    </row>
    <row r="13" spans="1:97" x14ac:dyDescent="0.3">
      <c r="A13" t="s">
        <v>48</v>
      </c>
      <c r="B13" t="str">
        <f>IFERROR(INDEX('Tournament List'!$B:$B,MATCH($A13,'Tournament List'!$A:$A,0)),"")</f>
        <v>Bob</v>
      </c>
      <c r="C13" t="str">
        <f>IFERROR(INDEX('Tournament List'!$C:$C,MATCH($A13,'Tournament List'!$A:$A,0)),"")</f>
        <v>Last Name12</v>
      </c>
      <c r="D13" t="str">
        <f t="shared" si="0"/>
        <v>Bob Last Name12</v>
      </c>
      <c r="E13" s="1" t="str">
        <f>IFERROR(INDEX('Tournament List'!F:F,MATCH($A13,'Tournament List'!$A:$A,0)),"")</f>
        <v>M</v>
      </c>
      <c r="F13" t="str">
        <f>IFERROR(INDEX('Tournament List'!M:M,MATCH($A13,'Tournament List'!$A:$A,0)),"")</f>
        <v>Collegiate</v>
      </c>
      <c r="G13" s="1" t="str">
        <f>IFERROR(INDEX('Tournament List'!W:W,MATCH($A13,'Tournament List'!$A:$A,0)),"")</f>
        <v>C</v>
      </c>
      <c r="H13" s="129">
        <f>IFERROR(INDEX('Tournament List'!Z:Z,MATCH($A13,'Tournament List'!$A:$A,0)),"")</f>
        <v>48</v>
      </c>
      <c r="I13" s="152">
        <f>IFERROR(INDEX('Tournament List'!T:T,MATCH($A13,'Tournament List'!$A:$A,0)),"")</f>
        <v>189</v>
      </c>
      <c r="J13" s="56">
        <f>IF(ISNUMBER(I13),IF(COUNTIFS(J$1:J12,_xlfn.RANK.EQ(I13,I$2:I$111,0))&gt;0,_xlfn.MAXIFS(J$1:J12,I$1:I12,I13)+1,_xlfn.RANK.EQ(I13,I$2:I$111,0)),"")</f>
        <v>8</v>
      </c>
      <c r="K13" s="11">
        <f t="shared" si="1"/>
        <v>42</v>
      </c>
      <c r="L13" s="56">
        <f>IF(ISNUMBER(H13),IF(COUNTIFS(L$1:L12,_xlfn.RANK.EQ(H13,H$2:H$111,0))&gt;0,_xlfn.MAXIFS(L$1:L12,H$1:H12,H13)+1,_xlfn.RANK.EQ(H13,H$2:H$111,0)),"")</f>
        <v>42</v>
      </c>
      <c r="M13" s="151" t="str">
        <f t="shared" si="2"/>
        <v/>
      </c>
      <c r="N13" s="47" t="str">
        <f>IF(ISNUMBER(M13),IF(COUNTIFS(N$1:N12,_xlfn.RANK.EQ(M13,M$2:M$111,0))&gt;0,_xlfn.MAXIFS(N$1:N12,M$1:M12,M13)+1,_xlfn.RANK.EQ(M13,M$2:M$111,0)),"")</f>
        <v/>
      </c>
      <c r="O13" s="1" t="str">
        <f>IF(ISNUMBER(M13)=TRUE,IF(_xlfn.RANK.EQ(M13,$M$2:$M$111)&lt;='Tournament Setup'!$B$23,_xlfn.RANK.EQ(M13,$M$2:$M$111),""),"")</f>
        <v/>
      </c>
      <c r="P13" s="150" t="str">
        <f t="shared" si="3"/>
        <v/>
      </c>
      <c r="Q13" s="1" t="str">
        <f>IF(ISNUMBER(P13)=TRUE,IF(_xlfn.RANK.EQ(P13,$P$2:$P$111)&lt;='Tournament Setup'!$B$24,_xlfn.RANK.EQ(P13,$P$2:$P$111),""),"")</f>
        <v/>
      </c>
      <c r="R13" s="150" t="str">
        <f t="shared" si="4"/>
        <v/>
      </c>
      <c r="S13" s="12" t="str">
        <f>IF(ISNUMBER(R13)=TRUE,IF(_xlfn.RANK.EQ(R13,$R$2:$R$111)&lt;='Tournament Setup'!$B$25,_xlfn.RANK.EQ(R13,$R$2:$R$111),""),"")</f>
        <v/>
      </c>
      <c r="T13" s="152" t="str">
        <f>IF(AND($F13='Tournament Setup'!$A$29,$I13&lt;&gt;0),$I13,"")</f>
        <v/>
      </c>
      <c r="U13" s="47" t="str">
        <f>IF(ISNUMBER(T13),IF(COUNTIFS(U$1:U12,_xlfn.RANK.EQ(T13,T$2:T$111,0))&gt;0,_xlfn.MAXIFS(U$1:U12,T$1:T12,T13)+1,_xlfn.RANK.EQ(T13,T$2:T$111,0)),"")</f>
        <v/>
      </c>
      <c r="V13" s="1" t="str">
        <f>IF(ISNUMBER(T13)=TRUE,IF(_xlfn.RANK.EQ(T13,$T$3:$T$112)&lt;='Tournament Setup'!$B$46,_xlfn.RANK.EQ(T13,$T$2:$T$111),""),"")</f>
        <v/>
      </c>
      <c r="W13" s="30" t="str">
        <f>IF(AND($F13='Tournament Setup'!$A$29,SUM($O13,$Q13,$S13)=0),$H13,"")</f>
        <v/>
      </c>
      <c r="X13" s="47" t="str">
        <f>IF(ISNUMBER(W13),IF(COUNTIFS(X$1:X12,_xlfn.RANK.EQ(W13,W$2:W$111,0))&gt;0,_xlfn.MAXIFS(X$1:X12,W$1:W12,W13)+1,_xlfn.RANK.EQ(W13,W$2:W$111,0)),"")</f>
        <v/>
      </c>
      <c r="Y13" s="1" t="str">
        <f>IF(ISNUMBER(W13)=TRUE,IF(_xlfn.RANK.EQ(W13,$W$2:$W$111)&lt;='Tournament Setup'!$B$29,_xlfn.RANK.EQ(W13,$W$2:$W$111),""),"")</f>
        <v/>
      </c>
      <c r="Z13" s="31" t="str">
        <f>IF(AND($F13='Tournament Setup'!$A$29,SUM($O13,$Q13)=0,$E13="M",$Y13&gt;'Tournament Setup'!$B$29),$H13,"")</f>
        <v/>
      </c>
      <c r="AA13" s="1" t="str">
        <f>IF(ISNUMBER(Z13)=TRUE,IF(_xlfn.RANK.EQ(Z13,$Z$2:$Z$111)&lt;='Tournament Setup'!$C$29,_xlfn.RANK.EQ(Z13,$Z$2:$Z$111),""),"")</f>
        <v/>
      </c>
      <c r="AB13" s="31" t="str">
        <f>IF(AND($F13='Tournament Setup'!$A$29,SUM($O13,$S13)=0,$E13="F",$Y13&gt;'Tournament Setup'!$B$29),$H13,"")</f>
        <v/>
      </c>
      <c r="AC13" s="12" t="str">
        <f>IF(ISNUMBER(AB13)=TRUE,IF(_xlfn.RANK.EQ(AB13,$AB$2:$AB$111)&lt;='Tournament Setup'!$D$29,_xlfn.RANK.EQ(AB13,$AB$2:$AB$111),""),"")</f>
        <v/>
      </c>
      <c r="AD13" s="30" t="str">
        <f>IF(AND($F13='Tournament Setup'!$A$30,$I13&lt;&gt;0),$I13,"")</f>
        <v/>
      </c>
      <c r="AE13" s="47" t="str">
        <f>IF(ISNUMBER(AD13),IF(COUNTIFS(AE$1:AE12,_xlfn.RANK.EQ(AD13,AD$2:AD$111,0))&gt;0,_xlfn.MAXIFS(AE$1:AE12,AD$1:AD12,AD13)+1,_xlfn.RANK.EQ(AD13,AD$2:AD$111,0)),"")</f>
        <v/>
      </c>
      <c r="AF13" s="1" t="str">
        <f>IF(ISNUMBER(AD13)=TRUE,IF(_xlfn.RANK.EQ(AD13,$AD$2:$AD$111)&lt;='Tournament Setup'!$B$46,_xlfn.RANK.EQ(AD13,$AD$2:$AD$111),""),"")</f>
        <v/>
      </c>
      <c r="AG13" s="30" t="str">
        <f>IF(AND($F13='Tournament Setup'!$A$30,SUM($O13,$Q13,$S13)=0),$H13,"")</f>
        <v/>
      </c>
      <c r="AH13" s="47" t="str">
        <f>IF(ISNUMBER(AG13),IF(COUNTIFS(AH$1:AH12,_xlfn.RANK.EQ(AG13,AG$2:AG$111,0))&gt;0,_xlfn.MAXIFS(AH$1:AH12,AG$1:AG12,AG13)+1,_xlfn.RANK.EQ(AG13,AG$2:AG$111,0)),"")</f>
        <v/>
      </c>
      <c r="AI13" s="1" t="str">
        <f>IF(ISNUMBER(AG13)=TRUE,IF(_xlfn.RANK.EQ(AG13,$AG$2:$AG$111)&lt;='Tournament Setup'!$B$30,_xlfn.RANK.EQ(AG13,$AG$2:$AG$111),""),"")</f>
        <v/>
      </c>
      <c r="AJ13" s="31" t="str">
        <f>IF(AND($F13='Tournament Setup'!$A$30,SUM($O13,$Q13)=0,$E13="M",$AI13&gt;'Tournament Setup'!$B$30),$H13,"")</f>
        <v/>
      </c>
      <c r="AK13" s="1" t="str">
        <f>IF(ISNUMBER(AJ13)=TRUE,IF(_xlfn.RANK.EQ(AJ13,$AJ$2:$AJ$111)&lt;='Tournament Setup'!$C$30,_xlfn.RANK.EQ(AJ13,$AJ$2:$AJ$111),""),"")</f>
        <v/>
      </c>
      <c r="AL13" s="31" t="str">
        <f>IF(AND($F13='Tournament Setup'!$A$30,SUM($O13,$S13)=0,$E13="F",$AI13&gt;'Tournament Setup'!$B$30),$H13,"")</f>
        <v/>
      </c>
      <c r="AM13" s="12" t="str">
        <f>IF(ISNUMBER(AL13)=TRUE,IF(_xlfn.RANK.EQ(AL13,$AL$2:$AL$111)&lt;='Tournament Setup'!$D$30,_xlfn.RANK.EQ(AL13,$AL$2:$AL$111),""),"")</f>
        <v/>
      </c>
      <c r="AN13" s="30" t="str">
        <f>IF(AND($F13='Tournament Setup'!$A$31,$I13&lt;&gt;0),$I13,"")</f>
        <v/>
      </c>
      <c r="AO13" s="47" t="str">
        <f>IF(ISNUMBER(AN13),IF(COUNTIFS(AO$1:AO12,_xlfn.RANK.EQ(AN13,AN$2:AN$111,0))&gt;0,_xlfn.MAXIFS(AO$1:AO12,AN$1:AN12,AN13)+1,_xlfn.RANK.EQ(AN13,AN$2:AN$111,0)),"")</f>
        <v/>
      </c>
      <c r="AP13" s="1" t="str">
        <f>IF(ISNUMBER(AN13)=TRUE,IF(_xlfn.RANK.EQ(AN13,$AN$2:$AN$111)&lt;='Tournament Setup'!$B$46,_xlfn.RANK.EQ(AN13,$AN$2:$AN$111),""),"")</f>
        <v/>
      </c>
      <c r="AQ13" s="30" t="str">
        <f>IF(AND($F13='Tournament Setup'!$A$31,SUM($O13,$Q13,$S13)=0),$H13,"")</f>
        <v/>
      </c>
      <c r="AR13" s="47" t="str">
        <f>IF(ISNUMBER(AQ13),IF(COUNTIFS(AR$1:AR12,_xlfn.RANK.EQ(AQ13,AQ$2:AQ$111,0))&gt;0,_xlfn.MAXIFS(AR$1:AR12,AQ$1:AQ12,AQ13)+1,_xlfn.RANK.EQ(AQ13,AQ$2:AQ$111,0)),"")</f>
        <v/>
      </c>
      <c r="AS13" s="1" t="str">
        <f>IF(ISNUMBER(AQ13)=TRUE,IF(_xlfn.RANK.EQ(AQ13,$AQ$2:$AQ$111)&lt;='Tournament Setup'!$B$31,_xlfn.RANK.EQ(AQ13,$AQ$2:$AQ$111),""),"")</f>
        <v/>
      </c>
      <c r="AT13" s="31" t="str">
        <f>IF(AND($F13='Tournament Setup'!$A$31,SUM($O13,$Q13)=0,$E13="M",$AS13&gt;'Tournament Setup'!$B$31),$H13,"")</f>
        <v/>
      </c>
      <c r="AU13" s="1" t="str">
        <f>IF(ISNUMBER(AT13)=TRUE,IF(_xlfn.RANK.EQ(AT13,$AT$2:$AT$111)&lt;='Tournament Setup'!$C$31,_xlfn.RANK.EQ(AT13,$AT$2:$AT$111),""),"")</f>
        <v/>
      </c>
      <c r="AV13" s="31" t="str">
        <f>IF(AND($F13='Tournament Setup'!$A$31,SUM($O13,$S13)=0,$E13="F",$AS13&gt;'Tournament Setup'!$B$31),$H13,"")</f>
        <v/>
      </c>
      <c r="AW13" s="12" t="str">
        <f>IF(ISNUMBER(AV13)=TRUE,IF(_xlfn.RANK.EQ(AV13,$AV$2:$AV$111)&lt;='Tournament Setup'!$D$31,_xlfn.RANK.EQ(AV13,$AV$2:$AV$111),""),"")</f>
        <v/>
      </c>
      <c r="AX13" s="30" t="str">
        <f>IF(AND($F13='Tournament Setup'!$A$32,$I13&lt;&gt;0),$I13,"")</f>
        <v/>
      </c>
      <c r="AY13" s="47" t="str">
        <f>IF(ISNUMBER(AX13),IF(COUNTIFS(AY$1:AY12,_xlfn.RANK.EQ(AX13,AX$2:AX$111,0))&gt;0,_xlfn.MAXIFS(AY$1:AY12,AX$1:AX12,AX13)+1,_xlfn.RANK.EQ(AX13,AX$2:AX$111,0)),"")</f>
        <v/>
      </c>
      <c r="AZ13" s="1" t="str">
        <f>IF(ISNUMBER(AX13)=TRUE,IF(_xlfn.RANK.EQ(AX13,$AX$2:$AX$111)&lt;='Tournament Setup'!$B$46,_xlfn.RANK.EQ(AX13,$AX$2:$AX$111),""),"")</f>
        <v/>
      </c>
      <c r="BA13" s="30" t="str">
        <f>IF(AND($F13='Tournament Setup'!$A$32,SUM($O13,$Q13,$S13)=0),$H13,"")</f>
        <v/>
      </c>
      <c r="BB13" s="47" t="str">
        <f>IF(ISNUMBER(BA13),IF(COUNTIFS(BB$1:BB12,_xlfn.RANK.EQ(BA13,BA$2:BA$111,0))&gt;0,_xlfn.MAXIFS(BB$1:BB12,BA$1:BA12,BA13)+1,_xlfn.RANK.EQ(BA13,BA$2:BA$111,0)),"")</f>
        <v/>
      </c>
      <c r="BC13" s="1" t="str">
        <f>IF(ISNUMBER(BA13)=TRUE,IF(_xlfn.RANK.EQ(BA13,$BA$2:$BA$111)&lt;='Tournament Setup'!$B$32,_xlfn.RANK.EQ(BA13,$BA$2:$BA$111),""),"")</f>
        <v/>
      </c>
      <c r="BD13" s="31" t="str">
        <f>IF(AND($F13='Tournament Setup'!$A$32,SUM($O13,$Q13)=0,$E13="M",$BC13&gt;'Tournament Setup'!$B$32),$H13,"")</f>
        <v/>
      </c>
      <c r="BE13" s="1" t="str">
        <f>IF(ISNUMBER(BD13)=TRUE,IF(_xlfn.RANK.EQ(BD13,$BD$2:$BD$111)&lt;='Tournament Setup'!$C$32,_xlfn.RANK.EQ(BD13,$BD$2:$BD$111),""),"")</f>
        <v/>
      </c>
      <c r="BF13" s="31" t="str">
        <f>IF(AND($F13='Tournament Setup'!$A$32,SUM($O13,$S13)=0,$E13="F",$BC13&gt;'Tournament Setup'!$B$32),$H13,"")</f>
        <v/>
      </c>
      <c r="BG13" s="12" t="str">
        <f>IF(ISNUMBER(BF13)=TRUE,IF(_xlfn.RANK.EQ(BF13,$BF$2:$BF$111)&lt;='Tournament Setup'!$D$32,_xlfn.RANK.EQ(BF13,$BF$2:$BF$111),""),"")</f>
        <v/>
      </c>
      <c r="BH13" s="30">
        <f>IF(AND($F13='Tournament Setup'!$A$33,$I13&lt;&gt;0),$I13,"")</f>
        <v>189</v>
      </c>
      <c r="BI13" s="47">
        <f>IF(ISNUMBER(BH13),IF(COUNTIFS(BI$1:BI12,_xlfn.RANK.EQ(BH13,BH$2:BH$111,0))&gt;0,_xlfn.MAXIFS(BI$1:BI12,BH$1:BH12,BH13)+1,_xlfn.RANK.EQ(BH13,BH$2:BH$111,0)),"")</f>
        <v>1</v>
      </c>
      <c r="BJ13" s="1">
        <f>IF(ISNUMBER(BH13)=TRUE,IF(_xlfn.RANK.EQ(BH13,$BH$2:$BH$111)&lt;='Tournament Setup'!$B$46,_xlfn.RANK.EQ(BH13,$BH$2:$BH$111),""),"")</f>
        <v>1</v>
      </c>
      <c r="BK13" s="30">
        <f>IF(AND($F13='Tournament Setup'!$A$33,SUM($O13,$Q13,$S13)=0),$H13,"")</f>
        <v>48</v>
      </c>
      <c r="BL13" s="47">
        <f>IF(ISNUMBER(BK13),IF(COUNTIFS(BL$1:BL12,_xlfn.RANK.EQ(BK13,BK$2:BK$111,0))&gt;0,_xlfn.MAXIFS(BL$1:BL12,BK$1:BK12,BK13)+1,_xlfn.RANK.EQ(BK13,BK$2:BK$111,0)),"")</f>
        <v>4</v>
      </c>
      <c r="BM13" s="1" t="str">
        <f>IF(ISNUMBER(BK13)=TRUE,IF(_xlfn.RANK.EQ(BK13,$BK$2:$BK$111)&lt;='Tournament Setup'!$B$33,_xlfn.RANK.EQ(BK13,$BK$2:$BK$111),""),"")</f>
        <v/>
      </c>
      <c r="BN13" s="31">
        <f>IF(AND($F13='Tournament Setup'!$A$33,SUM($O13,$Q13)=0,$E13="M",$BM13&gt;'Tournament Setup'!$B$33),$H13,"")</f>
        <v>48</v>
      </c>
      <c r="BO13" s="1" t="str">
        <f>IF(ISNUMBER(BN13)=TRUE,IF(_xlfn.RANK.EQ(BN13,$BN$2:$BN$111)&lt;='Tournament Setup'!$C$33,_xlfn.RANK.EQ(BN13,$BN$2:$BN$111),""),"")</f>
        <v/>
      </c>
      <c r="BP13" s="31" t="str">
        <f>IF(AND($F13='Tournament Setup'!$A$33,SUM($O13,$S13)=0,$E13="F",$BM13&gt;'Tournament Setup'!$B$33),$H13,"")</f>
        <v/>
      </c>
      <c r="BQ13" s="12" t="str">
        <f>IF(ISNUMBER(BP13)=TRUE,IF(_xlfn.RANK.EQ(BP13,$BP$2:$BP$111)&lt;='Tournament Setup'!$D$33,_xlfn.RANK.EQ(BP13,$BP$2:$BP$111),""),"")</f>
        <v/>
      </c>
      <c r="BR13" s="30" t="str">
        <f>IF($G13='Tournament Setup'!$A$38,$H13,"")</f>
        <v/>
      </c>
      <c r="BS13" s="47" t="str">
        <f>IF(ISNUMBER(BR13),IF(COUNTIFS(BS$1:BS12,_xlfn.RANK.EQ(BR13,BR$2:BR$111,0))&gt;0,_xlfn.MAXIFS(BS$1:BS12,BR$1:BR12,BR13)+1,_xlfn.RANK.EQ(BR13,BR$2:BR$111,0)),"")</f>
        <v/>
      </c>
      <c r="BT13" s="1" t="str">
        <f>IF(ISNUMBER(BR13)=TRUE,IF(_xlfn.RANK.EQ(BR13,$BR$2:$BR$111)&lt;='Tournament Setup'!$B$38,_xlfn.RANK.EQ(BR13,$BR$2:$BR$111),""),"")</f>
        <v/>
      </c>
      <c r="BU13" s="31" t="str">
        <f>IF(AND($G13='Tournament Setup'!$A$38,$E13="M",$BT13&gt;'Tournament Setup'!$B$38),$H13,"")</f>
        <v/>
      </c>
      <c r="BV13" s="1" t="str">
        <f>IF(ISNUMBER(BU13)=TRUE,IF(_xlfn.RANK.EQ(BU13,$BU$2:$BU$111)&lt;='Tournament Setup'!$C$38,_xlfn.RANK.EQ(BU13,$BU$2:$BU$111),""),"")</f>
        <v/>
      </c>
      <c r="BW13" s="31" t="str">
        <f>IF(AND($G13='Tournament Setup'!$A$38,$E13="F",$BT13&gt;'Tournament Setup'!$B$38),$H13,"")</f>
        <v/>
      </c>
      <c r="BX13" s="12" t="str">
        <f>IF(ISNUMBER(BW13)=TRUE,IF(_xlfn.RANK.EQ(BW13,$BW$2:$BW$111)&lt;='Tournament Setup'!$D$38,_xlfn.RANK.EQ(BW13,$BW$2:$BW$111),""),"")</f>
        <v/>
      </c>
      <c r="BY13" s="30" t="str">
        <f>IF($G13='Tournament Setup'!$A$39,$H13,"")</f>
        <v/>
      </c>
      <c r="BZ13" s="47" t="str">
        <f>IF(ISNUMBER(BY13),IF(COUNTIFS(BZ$1:BZ12,_xlfn.RANK.EQ(BY13,BY$2:BY$111,0))&gt;0,_xlfn.MAXIFS(BZ$1:BZ12,BY$1:BY12,BY13)+1,_xlfn.RANK.EQ(BY13,BY$2:BY$111,0)),"")</f>
        <v/>
      </c>
      <c r="CA13" s="1" t="str">
        <f>IF(ISNUMBER(BY13)=TRUE,IF(_xlfn.RANK.EQ(BY13,$BY$2:$BY$111)&lt;='Tournament Setup'!$B$39,_xlfn.RANK.EQ(BY13,$BY$2:$BY$111),""),"")</f>
        <v/>
      </c>
      <c r="CB13" s="31" t="str">
        <f>IF(AND($G13='Tournament Setup'!$A$39,$E13="M",$CA13&gt;'Tournament Setup'!$B$39),$H13,"")</f>
        <v/>
      </c>
      <c r="CC13" s="1" t="str">
        <f>IF(ISNUMBER(CB13)=TRUE,IF(_xlfn.RANK.EQ(CB13,$CB$2:$CB$111)&lt;='Tournament Setup'!$C$39,_xlfn.RANK.EQ(CB13,$CB$2:$CB$111),""),"")</f>
        <v/>
      </c>
      <c r="CD13" s="31" t="str">
        <f>IF(AND($G13='Tournament Setup'!$A$39,$E13="F",$CA13&gt;'Tournament Setup'!$B$39),$H13,"")</f>
        <v/>
      </c>
      <c r="CE13" s="12" t="str">
        <f>IF(ISNUMBER(CD13)=TRUE,IF(_xlfn.RANK.EQ(CD13,$CD$2:$CD$111)&lt;='Tournament Setup'!$D$39,_xlfn.RANK.EQ(CD13,$CD$2:$CD$111),""),"")</f>
        <v/>
      </c>
      <c r="CF13" s="30">
        <f>IF($G13='Tournament Setup'!$A$40,$H13,"")</f>
        <v>48</v>
      </c>
      <c r="CG13" s="47">
        <f>IF(ISNUMBER(CF13),IF(COUNTIFS(CG$1:CG12,_xlfn.RANK.EQ(CF13,CF$2:CF$111,0))&gt;0,_xlfn.MAXIFS(CG$1:CG12,CF$1:CF12,CF13)+1,_xlfn.RANK.EQ(CF13,CF$2:CF$111,0)),"")</f>
        <v>13</v>
      </c>
      <c r="CH13" s="1" t="str">
        <f>IF(ISNUMBER(CF13)=TRUE,IF(_xlfn.RANK.EQ(CF13,$CF$2:$CF$111)&lt;='Tournament Setup'!$B$40,_xlfn.RANK.EQ(CF13,$CF$2:$CF$111),""),"")</f>
        <v/>
      </c>
      <c r="CI13" s="31">
        <f>IF(AND($G13='Tournament Setup'!$A$40,$E13="M",$CH13&gt;'Tournament Setup'!$B$40),$H13,"")</f>
        <v>48</v>
      </c>
      <c r="CJ13" s="1" t="str">
        <f>IF(ISNUMBER(CI13)=TRUE,IF(_xlfn.RANK.EQ(CI13,$CI$2:$CI$111)&lt;='Tournament Setup'!$C$40,_xlfn.RANK.EQ(CI13,$CI$2:$CI$111),""),"")</f>
        <v/>
      </c>
      <c r="CK13" s="31" t="str">
        <f>IF(AND($G13='Tournament Setup'!$A$40,$E13="F",$CH13&gt;'Tournament Setup'!$B$40),$H13,"")</f>
        <v/>
      </c>
      <c r="CL13" s="12" t="str">
        <f>IF(ISNUMBER(CK13)=TRUE,IF(_xlfn.RANK.EQ(CK13,$CK$2:$CK$111)&lt;='Tournament Setup'!$D$40,_xlfn.RANK.EQ(CK13,$CK$2:$CK$111),""),"")</f>
        <v/>
      </c>
      <c r="CM13" s="30" t="str">
        <f>IF($G13='Tournament Setup'!$A$41,$H13,"")</f>
        <v/>
      </c>
      <c r="CN13" s="47" t="str">
        <f>IF(ISNUMBER(CM13),IF(COUNTIFS(CN$1:CN12,_xlfn.RANK.EQ(CM13,CM$2:CM$111,0))&gt;0,_xlfn.MAXIFS(CN$1:CN12,CM$1:CM12,CM13)+1,_xlfn.RANK.EQ(CM13,CM$2:CM$111,0)),"")</f>
        <v/>
      </c>
      <c r="CO13" s="1" t="str">
        <f>IF(ISNUMBER(CM13)=TRUE,IF(_xlfn.RANK.EQ(CM13,$CM$2:$CM$111)&lt;='Tournament Setup'!$B$41,_xlfn.RANK.EQ(CM13,$CM$2:$CM$111),""),"")</f>
        <v/>
      </c>
      <c r="CP13" s="31" t="str">
        <f>IF(AND($G13='Tournament Setup'!$A$41,$E13="M",$CO13&gt;'Tournament Setup'!$B$41),$H13,"")</f>
        <v/>
      </c>
      <c r="CQ13" s="1" t="str">
        <f>IF(ISNUMBER(CP13)=TRUE,IF(_xlfn.RANK.EQ(CP13,$CP$2:$CP$111)&lt;='Tournament Setup'!$C$41,_xlfn.RANK.EQ(CP13,$CP$2:$CP$111),""),"")</f>
        <v/>
      </c>
      <c r="CR13" s="31" t="str">
        <f>IF(AND($G13='Tournament Setup'!$A$41,$E13="F",$CO13&gt;'Tournament Setup'!$B$41),$H13,"")</f>
        <v/>
      </c>
      <c r="CS13" s="12" t="str">
        <f>IF(ISNUMBER(CR13)=TRUE,IF(_xlfn.RANK.EQ(CR13,$CR$2:$CR$111)&lt;='Tournament Setup'!$D$41,_xlfn.RANK.EQ(CR13,$CR$2:$CR$111),""),"")</f>
        <v/>
      </c>
    </row>
    <row r="14" spans="1:97" x14ac:dyDescent="0.3">
      <c r="A14" t="s">
        <v>49</v>
      </c>
      <c r="B14" t="str">
        <f>IFERROR(INDEX('Tournament List'!$B:$B,MATCH($A14,'Tournament List'!$A:$A,0)),"")</f>
        <v>Bruce</v>
      </c>
      <c r="C14" t="str">
        <f>IFERROR(INDEX('Tournament List'!$C:$C,MATCH($A14,'Tournament List'!$A:$A,0)),"")</f>
        <v>Last Name13</v>
      </c>
      <c r="D14" t="str">
        <f t="shared" si="0"/>
        <v>Bruce Last Name13</v>
      </c>
      <c r="E14" s="1" t="str">
        <f>IFERROR(INDEX('Tournament List'!F:F,MATCH($A14,'Tournament List'!$A:$A,0)),"")</f>
        <v>M</v>
      </c>
      <c r="F14" t="str">
        <f>IFERROR(INDEX('Tournament List'!M:M,MATCH($A14,'Tournament List'!$A:$A,0)),"")</f>
        <v>Junior Varsity</v>
      </c>
      <c r="G14" s="1" t="str">
        <f>IFERROR(INDEX('Tournament List'!W:W,MATCH($A14,'Tournament List'!$A:$A,0)),"")</f>
        <v>C</v>
      </c>
      <c r="H14" s="129">
        <f>IFERROR(INDEX('Tournament List'!Z:Z,MATCH($A14,'Tournament List'!$A:$A,0)),"")</f>
        <v>72</v>
      </c>
      <c r="I14" s="152" t="str">
        <f>IFERROR(INDEX('Tournament List'!T:T,MATCH($A14,'Tournament List'!$A:$A,0)),"")</f>
        <v/>
      </c>
      <c r="J14" s="56" t="str">
        <f>IF(ISNUMBER(I14),IF(COUNTIFS(J$1:J13,_xlfn.RANK.EQ(I14,I$2:I$111,0))&gt;0,_xlfn.MAXIFS(J$1:J13,I$1:I13,I14)+1,_xlfn.RANK.EQ(I14,I$2:I$111,0)),"")</f>
        <v/>
      </c>
      <c r="K14" s="11">
        <f t="shared" si="1"/>
        <v>23</v>
      </c>
      <c r="L14" s="56">
        <f>IF(ISNUMBER(H14),IF(COUNTIFS(L$1:L13,_xlfn.RANK.EQ(H14,H$2:H$111,0))&gt;0,_xlfn.MAXIFS(L$1:L13,H$1:H13,H14)+1,_xlfn.RANK.EQ(H14,H$2:H$111,0)),"")</f>
        <v>23</v>
      </c>
      <c r="M14" s="151">
        <f t="shared" si="2"/>
        <v>72</v>
      </c>
      <c r="N14" s="47">
        <f>IF(ISNUMBER(M14),IF(COUNTIFS(N$1:N13,_xlfn.RANK.EQ(M14,M$2:M$111,0))&gt;0,_xlfn.MAXIFS(N$1:N13,M$1:M13,M14)+1,_xlfn.RANK.EQ(M14,M$2:M$111,0)),"")</f>
        <v>21</v>
      </c>
      <c r="O14" s="1" t="str">
        <f>IF(ISNUMBER(M14)=TRUE,IF(_xlfn.RANK.EQ(M14,$M$2:$M$111)&lt;='Tournament Setup'!$B$23,_xlfn.RANK.EQ(M14,$M$2:$M$111),""),"")</f>
        <v/>
      </c>
      <c r="P14" s="150">
        <f t="shared" si="3"/>
        <v>72</v>
      </c>
      <c r="Q14" s="1" t="str">
        <f>IF(ISNUMBER(P14)=TRUE,IF(_xlfn.RANK.EQ(P14,$P$2:$P$111)&lt;='Tournament Setup'!$B$24,_xlfn.RANK.EQ(P14,$P$2:$P$111),""),"")</f>
        <v/>
      </c>
      <c r="R14" s="150" t="str">
        <f t="shared" si="4"/>
        <v/>
      </c>
      <c r="S14" s="12" t="str">
        <f>IF(ISNUMBER(R14)=TRUE,IF(_xlfn.RANK.EQ(R14,$R$2:$R$111)&lt;='Tournament Setup'!$B$25,_xlfn.RANK.EQ(R14,$R$2:$R$111),""),"")</f>
        <v/>
      </c>
      <c r="T14" s="152" t="str">
        <f>IF(AND($F14='Tournament Setup'!$A$29,$I14&lt;&gt;0),$I14,"")</f>
        <v/>
      </c>
      <c r="U14" s="47" t="str">
        <f>IF(ISNUMBER(T14),IF(COUNTIFS(U$1:U13,_xlfn.RANK.EQ(T14,T$2:T$111,0))&gt;0,_xlfn.MAXIFS(U$1:U13,T$1:T13,T14)+1,_xlfn.RANK.EQ(T14,T$2:T$111,0)),"")</f>
        <v/>
      </c>
      <c r="V14" s="1" t="str">
        <f>IF(ISNUMBER(T14)=TRUE,IF(_xlfn.RANK.EQ(T14,$T$3:$T$112)&lt;='Tournament Setup'!$B$46,_xlfn.RANK.EQ(T14,$T$2:$T$111),""),"")</f>
        <v/>
      </c>
      <c r="W14" s="30" t="str">
        <f>IF(AND($F14='Tournament Setup'!$A$29,SUM($O14,$Q14,$S14)=0),$H14,"")</f>
        <v/>
      </c>
      <c r="X14" s="47" t="str">
        <f>IF(ISNUMBER(W14),IF(COUNTIFS(X$1:X13,_xlfn.RANK.EQ(W14,W$2:W$111,0))&gt;0,_xlfn.MAXIFS(X$1:X13,W$1:W13,W14)+1,_xlfn.RANK.EQ(W14,W$2:W$111,0)),"")</f>
        <v/>
      </c>
      <c r="Y14" s="1" t="str">
        <f>IF(ISNUMBER(W14)=TRUE,IF(_xlfn.RANK.EQ(W14,$W$2:$W$111)&lt;='Tournament Setup'!$B$29,_xlfn.RANK.EQ(W14,$W$2:$W$111),""),"")</f>
        <v/>
      </c>
      <c r="Z14" s="31" t="str">
        <f>IF(AND($F14='Tournament Setup'!$A$29,SUM($O14,$Q14)=0,$E14="M",$Y14&gt;'Tournament Setup'!$B$29),$H14,"")</f>
        <v/>
      </c>
      <c r="AA14" s="1" t="str">
        <f>IF(ISNUMBER(Z14)=TRUE,IF(_xlfn.RANK.EQ(Z14,$Z$2:$Z$111)&lt;='Tournament Setup'!$C$29,_xlfn.RANK.EQ(Z14,$Z$2:$Z$111),""),"")</f>
        <v/>
      </c>
      <c r="AB14" s="31" t="str">
        <f>IF(AND($F14='Tournament Setup'!$A$29,SUM($O14,$S14)=0,$E14="F",$Y14&gt;'Tournament Setup'!$B$29),$H14,"")</f>
        <v/>
      </c>
      <c r="AC14" s="12" t="str">
        <f>IF(ISNUMBER(AB14)=TRUE,IF(_xlfn.RANK.EQ(AB14,$AB$2:$AB$111)&lt;='Tournament Setup'!$D$29,_xlfn.RANK.EQ(AB14,$AB$2:$AB$111),""),"")</f>
        <v/>
      </c>
      <c r="AD14" s="30" t="str">
        <f>IF(AND($F14='Tournament Setup'!$A$30,$I14&lt;&gt;0),$I14,"")</f>
        <v/>
      </c>
      <c r="AE14" s="47" t="str">
        <f>IF(ISNUMBER(AD14),IF(COUNTIFS(AE$1:AE13,_xlfn.RANK.EQ(AD14,AD$2:AD$111,0))&gt;0,_xlfn.MAXIFS(AE$1:AE13,AD$1:AD13,AD14)+1,_xlfn.RANK.EQ(AD14,AD$2:AD$111,0)),"")</f>
        <v/>
      </c>
      <c r="AF14" s="1" t="str">
        <f>IF(ISNUMBER(AD14)=TRUE,IF(_xlfn.RANK.EQ(AD14,$AD$2:$AD$111)&lt;='Tournament Setup'!$B$46,_xlfn.RANK.EQ(AD14,$AD$2:$AD$111),""),"")</f>
        <v/>
      </c>
      <c r="AG14" s="30" t="str">
        <f>IF(AND($F14='Tournament Setup'!$A$30,SUM($O14,$Q14,$S14)=0),$H14,"")</f>
        <v/>
      </c>
      <c r="AH14" s="47" t="str">
        <f>IF(ISNUMBER(AG14),IF(COUNTIFS(AH$1:AH13,_xlfn.RANK.EQ(AG14,AG$2:AG$111,0))&gt;0,_xlfn.MAXIFS(AH$1:AH13,AG$1:AG13,AG14)+1,_xlfn.RANK.EQ(AG14,AG$2:AG$111,0)),"")</f>
        <v/>
      </c>
      <c r="AI14" s="1" t="str">
        <f>IF(ISNUMBER(AG14)=TRUE,IF(_xlfn.RANK.EQ(AG14,$AG$2:$AG$111)&lt;='Tournament Setup'!$B$30,_xlfn.RANK.EQ(AG14,$AG$2:$AG$111),""),"")</f>
        <v/>
      </c>
      <c r="AJ14" s="31" t="str">
        <f>IF(AND($F14='Tournament Setup'!$A$30,SUM($O14,$Q14)=0,$E14="M",$AI14&gt;'Tournament Setup'!$B$30),$H14,"")</f>
        <v/>
      </c>
      <c r="AK14" s="1" t="str">
        <f>IF(ISNUMBER(AJ14)=TRUE,IF(_xlfn.RANK.EQ(AJ14,$AJ$2:$AJ$111)&lt;='Tournament Setup'!$C$30,_xlfn.RANK.EQ(AJ14,$AJ$2:$AJ$111),""),"")</f>
        <v/>
      </c>
      <c r="AL14" s="31" t="str">
        <f>IF(AND($F14='Tournament Setup'!$A$30,SUM($O14,$S14)=0,$E14="F",$AI14&gt;'Tournament Setup'!$B$30),$H14,"")</f>
        <v/>
      </c>
      <c r="AM14" s="12" t="str">
        <f>IF(ISNUMBER(AL14)=TRUE,IF(_xlfn.RANK.EQ(AL14,$AL$2:$AL$111)&lt;='Tournament Setup'!$D$30,_xlfn.RANK.EQ(AL14,$AL$2:$AL$111),""),"")</f>
        <v/>
      </c>
      <c r="AN14" s="30" t="str">
        <f>IF(AND($F14='Tournament Setup'!$A$31,$I14&lt;&gt;0),$I14,"")</f>
        <v/>
      </c>
      <c r="AO14" s="47" t="str">
        <f>IF(ISNUMBER(AN14),IF(COUNTIFS(AO$1:AO13,_xlfn.RANK.EQ(AN14,AN$2:AN$111,0))&gt;0,_xlfn.MAXIFS(AO$1:AO13,AN$1:AN13,AN14)+1,_xlfn.RANK.EQ(AN14,AN$2:AN$111,0)),"")</f>
        <v/>
      </c>
      <c r="AP14" s="1" t="str">
        <f>IF(ISNUMBER(AN14)=TRUE,IF(_xlfn.RANK.EQ(AN14,$AN$2:$AN$111)&lt;='Tournament Setup'!$B$46,_xlfn.RANK.EQ(AN14,$AN$2:$AN$111),""),"")</f>
        <v/>
      </c>
      <c r="AQ14" s="30">
        <f>IF(AND($F14='Tournament Setup'!$A$31,SUM($O14,$Q14,$S14)=0),$H14,"")</f>
        <v>72</v>
      </c>
      <c r="AR14" s="47">
        <f>IF(ISNUMBER(AQ14),IF(COUNTIFS(AR$1:AR13,_xlfn.RANK.EQ(AQ14,AQ$2:AQ$111,0))&gt;0,_xlfn.MAXIFS(AR$1:AR13,AQ$1:AQ13,AQ14)+1,_xlfn.RANK.EQ(AQ14,AQ$2:AQ$111,0)),"")</f>
        <v>4</v>
      </c>
      <c r="AS14" s="1" t="str">
        <f>IF(ISNUMBER(AQ14)=TRUE,IF(_xlfn.RANK.EQ(AQ14,$AQ$2:$AQ$111)&lt;='Tournament Setup'!$B$31,_xlfn.RANK.EQ(AQ14,$AQ$2:$AQ$111),""),"")</f>
        <v/>
      </c>
      <c r="AT14" s="31">
        <f>IF(AND($F14='Tournament Setup'!$A$31,SUM($O14,$Q14)=0,$E14="M",$AS14&gt;'Tournament Setup'!$B$31),$H14,"")</f>
        <v>72</v>
      </c>
      <c r="AU14" s="1" t="str">
        <f>IF(ISNUMBER(AT14)=TRUE,IF(_xlfn.RANK.EQ(AT14,$AT$2:$AT$111)&lt;='Tournament Setup'!$C$31,_xlfn.RANK.EQ(AT14,$AT$2:$AT$111),""),"")</f>
        <v/>
      </c>
      <c r="AV14" s="31" t="str">
        <f>IF(AND($F14='Tournament Setup'!$A$31,SUM($O14,$S14)=0,$E14="F",$AS14&gt;'Tournament Setup'!$B$31),$H14,"")</f>
        <v/>
      </c>
      <c r="AW14" s="12" t="str">
        <f>IF(ISNUMBER(AV14)=TRUE,IF(_xlfn.RANK.EQ(AV14,$AV$2:$AV$111)&lt;='Tournament Setup'!$D$31,_xlfn.RANK.EQ(AV14,$AV$2:$AV$111),""),"")</f>
        <v/>
      </c>
      <c r="AX14" s="30" t="str">
        <f>IF(AND($F14='Tournament Setup'!$A$32,$I14&lt;&gt;0),$I14,"")</f>
        <v/>
      </c>
      <c r="AY14" s="47" t="str">
        <f>IF(ISNUMBER(AX14),IF(COUNTIFS(AY$1:AY13,_xlfn.RANK.EQ(AX14,AX$2:AX$111,0))&gt;0,_xlfn.MAXIFS(AY$1:AY13,AX$1:AX13,AX14)+1,_xlfn.RANK.EQ(AX14,AX$2:AX$111,0)),"")</f>
        <v/>
      </c>
      <c r="AZ14" s="1" t="str">
        <f>IF(ISNUMBER(AX14)=TRUE,IF(_xlfn.RANK.EQ(AX14,$AX$2:$AX$111)&lt;='Tournament Setup'!$B$46,_xlfn.RANK.EQ(AX14,$AX$2:$AX$111),""),"")</f>
        <v/>
      </c>
      <c r="BA14" s="30" t="str">
        <f>IF(AND($F14='Tournament Setup'!$A$32,SUM($O14,$Q14,$S14)=0),$H14,"")</f>
        <v/>
      </c>
      <c r="BB14" s="47" t="str">
        <f>IF(ISNUMBER(BA14),IF(COUNTIFS(BB$1:BB13,_xlfn.RANK.EQ(BA14,BA$2:BA$111,0))&gt;0,_xlfn.MAXIFS(BB$1:BB13,BA$1:BA13,BA14)+1,_xlfn.RANK.EQ(BA14,BA$2:BA$111,0)),"")</f>
        <v/>
      </c>
      <c r="BC14" s="1" t="str">
        <f>IF(ISNUMBER(BA14)=TRUE,IF(_xlfn.RANK.EQ(BA14,$BA$2:$BA$111)&lt;='Tournament Setup'!$B$32,_xlfn.RANK.EQ(BA14,$BA$2:$BA$111),""),"")</f>
        <v/>
      </c>
      <c r="BD14" s="31" t="str">
        <f>IF(AND($F14='Tournament Setup'!$A$32,SUM($O14,$Q14)=0,$E14="M",$BC14&gt;'Tournament Setup'!$B$32),$H14,"")</f>
        <v/>
      </c>
      <c r="BE14" s="1" t="str">
        <f>IF(ISNUMBER(BD14)=TRUE,IF(_xlfn.RANK.EQ(BD14,$BD$2:$BD$111)&lt;='Tournament Setup'!$C$32,_xlfn.RANK.EQ(BD14,$BD$2:$BD$111),""),"")</f>
        <v/>
      </c>
      <c r="BF14" s="31" t="str">
        <f>IF(AND($F14='Tournament Setup'!$A$32,SUM($O14,$S14)=0,$E14="F",$BC14&gt;'Tournament Setup'!$B$32),$H14,"")</f>
        <v/>
      </c>
      <c r="BG14" s="12" t="str">
        <f>IF(ISNUMBER(BF14)=TRUE,IF(_xlfn.RANK.EQ(BF14,$BF$2:$BF$111)&lt;='Tournament Setup'!$D$32,_xlfn.RANK.EQ(BF14,$BF$2:$BF$111),""),"")</f>
        <v/>
      </c>
      <c r="BH14" s="30" t="str">
        <f>IF(AND($F14='Tournament Setup'!$A$33,$I14&lt;&gt;0),$I14,"")</f>
        <v/>
      </c>
      <c r="BI14" s="47" t="str">
        <f>IF(ISNUMBER(BH14),IF(COUNTIFS(BI$1:BI13,_xlfn.RANK.EQ(BH14,BH$2:BH$111,0))&gt;0,_xlfn.MAXIFS(BI$1:BI13,BH$1:BH13,BH14)+1,_xlfn.RANK.EQ(BH14,BH$2:BH$111,0)),"")</f>
        <v/>
      </c>
      <c r="BJ14" s="1" t="str">
        <f>IF(ISNUMBER(BH14)=TRUE,IF(_xlfn.RANK.EQ(BH14,$BH$2:$BH$111)&lt;='Tournament Setup'!$B$46,_xlfn.RANK.EQ(BH14,$BH$2:$BH$111),""),"")</f>
        <v/>
      </c>
      <c r="BK14" s="30" t="str">
        <f>IF(AND($F14='Tournament Setup'!$A$33,SUM($O14,$Q14,$S14)=0),$H14,"")</f>
        <v/>
      </c>
      <c r="BL14" s="47" t="str">
        <f>IF(ISNUMBER(BK14),IF(COUNTIFS(BL$1:BL13,_xlfn.RANK.EQ(BK14,BK$2:BK$111,0))&gt;0,_xlfn.MAXIFS(BL$1:BL13,BK$1:BK13,BK14)+1,_xlfn.RANK.EQ(BK14,BK$2:BK$111,0)),"")</f>
        <v/>
      </c>
      <c r="BM14" s="1" t="str">
        <f>IF(ISNUMBER(BK14)=TRUE,IF(_xlfn.RANK.EQ(BK14,$BK$2:$BK$111)&lt;='Tournament Setup'!$B$33,_xlfn.RANK.EQ(BK14,$BK$2:$BK$111),""),"")</f>
        <v/>
      </c>
      <c r="BN14" s="31" t="str">
        <f>IF(AND($F14='Tournament Setup'!$A$33,SUM($O14,$Q14)=0,$E14="M",$BM14&gt;'Tournament Setup'!$B$33),$H14,"")</f>
        <v/>
      </c>
      <c r="BO14" s="1" t="str">
        <f>IF(ISNUMBER(BN14)=TRUE,IF(_xlfn.RANK.EQ(BN14,$BN$2:$BN$111)&lt;='Tournament Setup'!$C$33,_xlfn.RANK.EQ(BN14,$BN$2:$BN$111),""),"")</f>
        <v/>
      </c>
      <c r="BP14" s="31" t="str">
        <f>IF(AND($F14='Tournament Setup'!$A$33,SUM($O14,$S14)=0,$E14="F",$BM14&gt;'Tournament Setup'!$B$33),$H14,"")</f>
        <v/>
      </c>
      <c r="BQ14" s="12" t="str">
        <f>IF(ISNUMBER(BP14)=TRUE,IF(_xlfn.RANK.EQ(BP14,$BP$2:$BP$111)&lt;='Tournament Setup'!$D$33,_xlfn.RANK.EQ(BP14,$BP$2:$BP$111),""),"")</f>
        <v/>
      </c>
      <c r="BR14" s="30" t="str">
        <f>IF($G14='Tournament Setup'!$A$38,$H14,"")</f>
        <v/>
      </c>
      <c r="BS14" s="47" t="str">
        <f>IF(ISNUMBER(BR14),IF(COUNTIFS(BS$1:BS13,_xlfn.RANK.EQ(BR14,BR$2:BR$111,0))&gt;0,_xlfn.MAXIFS(BS$1:BS13,BR$1:BR13,BR14)+1,_xlfn.RANK.EQ(BR14,BR$2:BR$111,0)),"")</f>
        <v/>
      </c>
      <c r="BT14" s="1" t="str">
        <f>IF(ISNUMBER(BR14)=TRUE,IF(_xlfn.RANK.EQ(BR14,$BR$2:$BR$111)&lt;='Tournament Setup'!$B$38,_xlfn.RANK.EQ(BR14,$BR$2:$BR$111),""),"")</f>
        <v/>
      </c>
      <c r="BU14" s="31" t="str">
        <f>IF(AND($G14='Tournament Setup'!$A$38,$E14="M",$BT14&gt;'Tournament Setup'!$B$38),$H14,"")</f>
        <v/>
      </c>
      <c r="BV14" s="1" t="str">
        <f>IF(ISNUMBER(BU14)=TRUE,IF(_xlfn.RANK.EQ(BU14,$BU$2:$BU$111)&lt;='Tournament Setup'!$C$38,_xlfn.RANK.EQ(BU14,$BU$2:$BU$111),""),"")</f>
        <v/>
      </c>
      <c r="BW14" s="31" t="str">
        <f>IF(AND($G14='Tournament Setup'!$A$38,$E14="F",$BT14&gt;'Tournament Setup'!$B$38),$H14,"")</f>
        <v/>
      </c>
      <c r="BX14" s="12" t="str">
        <f>IF(ISNUMBER(BW14)=TRUE,IF(_xlfn.RANK.EQ(BW14,$BW$2:$BW$111)&lt;='Tournament Setup'!$D$38,_xlfn.RANK.EQ(BW14,$BW$2:$BW$111),""),"")</f>
        <v/>
      </c>
      <c r="BY14" s="30" t="str">
        <f>IF($G14='Tournament Setup'!$A$39,$H14,"")</f>
        <v/>
      </c>
      <c r="BZ14" s="47" t="str">
        <f>IF(ISNUMBER(BY14),IF(COUNTIFS(BZ$1:BZ13,_xlfn.RANK.EQ(BY14,BY$2:BY$111,0))&gt;0,_xlfn.MAXIFS(BZ$1:BZ13,BY$1:BY13,BY14)+1,_xlfn.RANK.EQ(BY14,BY$2:BY$111,0)),"")</f>
        <v/>
      </c>
      <c r="CA14" s="1" t="str">
        <f>IF(ISNUMBER(BY14)=TRUE,IF(_xlfn.RANK.EQ(BY14,$BY$2:$BY$111)&lt;='Tournament Setup'!$B$39,_xlfn.RANK.EQ(BY14,$BY$2:$BY$111),""),"")</f>
        <v/>
      </c>
      <c r="CB14" s="31" t="str">
        <f>IF(AND($G14='Tournament Setup'!$A$39,$E14="M",$CA14&gt;'Tournament Setup'!$B$39),$H14,"")</f>
        <v/>
      </c>
      <c r="CC14" s="1" t="str">
        <f>IF(ISNUMBER(CB14)=TRUE,IF(_xlfn.RANK.EQ(CB14,$CB$2:$CB$111)&lt;='Tournament Setup'!$C$39,_xlfn.RANK.EQ(CB14,$CB$2:$CB$111),""),"")</f>
        <v/>
      </c>
      <c r="CD14" s="31" t="str">
        <f>IF(AND($G14='Tournament Setup'!$A$39,$E14="F",$CA14&gt;'Tournament Setup'!$B$39),$H14,"")</f>
        <v/>
      </c>
      <c r="CE14" s="12" t="str">
        <f>IF(ISNUMBER(CD14)=TRUE,IF(_xlfn.RANK.EQ(CD14,$CD$2:$CD$111)&lt;='Tournament Setup'!$D$39,_xlfn.RANK.EQ(CD14,$CD$2:$CD$111),""),"")</f>
        <v/>
      </c>
      <c r="CF14" s="30">
        <f>IF($G14='Tournament Setup'!$A$40,$H14,"")</f>
        <v>72</v>
      </c>
      <c r="CG14" s="47">
        <f>IF(ISNUMBER(CF14),IF(COUNTIFS(CG$1:CG13,_xlfn.RANK.EQ(CF14,CF$2:CF$111,0))&gt;0,_xlfn.MAXIFS(CG$1:CG13,CF$1:CF13,CF14)+1,_xlfn.RANK.EQ(CF14,CF$2:CF$111,0)),"")</f>
        <v>5</v>
      </c>
      <c r="CH14" s="1" t="str">
        <f>IF(ISNUMBER(CF14)=TRUE,IF(_xlfn.RANK.EQ(CF14,$CF$2:$CF$111)&lt;='Tournament Setup'!$B$40,_xlfn.RANK.EQ(CF14,$CF$2:$CF$111),""),"")</f>
        <v/>
      </c>
      <c r="CI14" s="31">
        <f>IF(AND($G14='Tournament Setup'!$A$40,$E14="M",$CH14&gt;'Tournament Setup'!$B$40),$H14,"")</f>
        <v>72</v>
      </c>
      <c r="CJ14" s="1" t="str">
        <f>IF(ISNUMBER(CI14)=TRUE,IF(_xlfn.RANK.EQ(CI14,$CI$2:$CI$111)&lt;='Tournament Setup'!$C$40,_xlfn.RANK.EQ(CI14,$CI$2:$CI$111),""),"")</f>
        <v/>
      </c>
      <c r="CK14" s="31" t="str">
        <f>IF(AND($G14='Tournament Setup'!$A$40,$E14="F",$CH14&gt;'Tournament Setup'!$B$40),$H14,"")</f>
        <v/>
      </c>
      <c r="CL14" s="12" t="str">
        <f>IF(ISNUMBER(CK14)=TRUE,IF(_xlfn.RANK.EQ(CK14,$CK$2:$CK$111)&lt;='Tournament Setup'!$D$40,_xlfn.RANK.EQ(CK14,$CK$2:$CK$111),""),"")</f>
        <v/>
      </c>
      <c r="CM14" s="30" t="str">
        <f>IF($G14='Tournament Setup'!$A$41,$H14,"")</f>
        <v/>
      </c>
      <c r="CN14" s="47" t="str">
        <f>IF(ISNUMBER(CM14),IF(COUNTIFS(CN$1:CN13,_xlfn.RANK.EQ(CM14,CM$2:CM$111,0))&gt;0,_xlfn.MAXIFS(CN$1:CN13,CM$1:CM13,CM14)+1,_xlfn.RANK.EQ(CM14,CM$2:CM$111,0)),"")</f>
        <v/>
      </c>
      <c r="CO14" s="1" t="str">
        <f>IF(ISNUMBER(CM14)=TRUE,IF(_xlfn.RANK.EQ(CM14,$CM$2:$CM$111)&lt;='Tournament Setup'!$B$41,_xlfn.RANK.EQ(CM14,$CM$2:$CM$111),""),"")</f>
        <v/>
      </c>
      <c r="CP14" s="31" t="str">
        <f>IF(AND($G14='Tournament Setup'!$A$41,$E14="M",$CO14&gt;'Tournament Setup'!$B$41),$H14,"")</f>
        <v/>
      </c>
      <c r="CQ14" s="1" t="str">
        <f>IF(ISNUMBER(CP14)=TRUE,IF(_xlfn.RANK.EQ(CP14,$CP$2:$CP$111)&lt;='Tournament Setup'!$C$41,_xlfn.RANK.EQ(CP14,$CP$2:$CP$111),""),"")</f>
        <v/>
      </c>
      <c r="CR14" s="31" t="str">
        <f>IF(AND($G14='Tournament Setup'!$A$41,$E14="F",$CO14&gt;'Tournament Setup'!$B$41),$H14,"")</f>
        <v/>
      </c>
      <c r="CS14" s="12" t="str">
        <f>IF(ISNUMBER(CR14)=TRUE,IF(_xlfn.RANK.EQ(CR14,$CR$2:$CR$111)&lt;='Tournament Setup'!$D$41,_xlfn.RANK.EQ(CR14,$CR$2:$CR$111),""),"")</f>
        <v/>
      </c>
    </row>
    <row r="15" spans="1:97" x14ac:dyDescent="0.3">
      <c r="A15" t="s">
        <v>50</v>
      </c>
      <c r="B15" t="str">
        <f>IFERROR(INDEX('Tournament List'!$B:$B,MATCH($A15,'Tournament List'!$A:$A,0)),"")</f>
        <v>Henry</v>
      </c>
      <c r="C15" t="str">
        <f>IFERROR(INDEX('Tournament List'!$C:$C,MATCH($A15,'Tournament List'!$A:$A,0)),"")</f>
        <v>Last Name14</v>
      </c>
      <c r="D15" t="str">
        <f t="shared" si="0"/>
        <v>Henry Last Name14</v>
      </c>
      <c r="E15" s="1" t="str">
        <f>IFERROR(INDEX('Tournament List'!F:F,MATCH($A15,'Tournament List'!$A:$A,0)),"")</f>
        <v>M</v>
      </c>
      <c r="F15" t="str">
        <f>IFERROR(INDEX('Tournament List'!M:M,MATCH($A15,'Tournament List'!$A:$A,0)),"")</f>
        <v>Intermediate</v>
      </c>
      <c r="G15" s="1" t="str">
        <f>IFERROR(INDEX('Tournament List'!W:W,MATCH($A15,'Tournament List'!$A:$A,0)),"")</f>
        <v>A</v>
      </c>
      <c r="H15" s="129">
        <f>IFERROR(INDEX('Tournament List'!Z:Z,MATCH($A15,'Tournament List'!$A:$A,0)),"")</f>
        <v>76</v>
      </c>
      <c r="I15" s="152" t="str">
        <f>IFERROR(INDEX('Tournament List'!T:T,MATCH($A15,'Tournament List'!$A:$A,0)),"")</f>
        <v/>
      </c>
      <c r="J15" s="56" t="str">
        <f>IF(ISNUMBER(I15),IF(COUNTIFS(J$1:J14,_xlfn.RANK.EQ(I15,I$2:I$111,0))&gt;0,_xlfn.MAXIFS(J$1:J14,I$1:I14,I15)+1,_xlfn.RANK.EQ(I15,I$2:I$111,0)),"")</f>
        <v/>
      </c>
      <c r="K15" s="11">
        <f t="shared" si="1"/>
        <v>19</v>
      </c>
      <c r="L15" s="56">
        <f>IF(ISNUMBER(H15),IF(COUNTIFS(L$1:L14,_xlfn.RANK.EQ(H15,H$2:H$111,0))&gt;0,_xlfn.MAXIFS(L$1:L14,H$1:H14,H15)+1,_xlfn.RANK.EQ(H15,H$2:H$111,0)),"")</f>
        <v>19</v>
      </c>
      <c r="M15" s="151">
        <f t="shared" si="2"/>
        <v>76</v>
      </c>
      <c r="N15" s="47">
        <f>IF(ISNUMBER(M15),IF(COUNTIFS(N$1:N14,_xlfn.RANK.EQ(M15,M$2:M$111,0))&gt;0,_xlfn.MAXIFS(N$1:N14,M$1:M14,M15)+1,_xlfn.RANK.EQ(M15,M$2:M$111,0)),"")</f>
        <v>17</v>
      </c>
      <c r="O15" s="1" t="str">
        <f>IF(ISNUMBER(M15)=TRUE,IF(_xlfn.RANK.EQ(M15,$M$2:$M$111)&lt;='Tournament Setup'!$B$23,_xlfn.RANK.EQ(M15,$M$2:$M$111),""),"")</f>
        <v/>
      </c>
      <c r="P15" s="150">
        <f t="shared" si="3"/>
        <v>76</v>
      </c>
      <c r="Q15" s="1" t="str">
        <f>IF(ISNUMBER(P15)=TRUE,IF(_xlfn.RANK.EQ(P15,$P$2:$P$111)&lt;='Tournament Setup'!$B$24,_xlfn.RANK.EQ(P15,$P$2:$P$111),""),"")</f>
        <v/>
      </c>
      <c r="R15" s="150" t="str">
        <f t="shared" si="4"/>
        <v/>
      </c>
      <c r="S15" s="12" t="str">
        <f>IF(ISNUMBER(R15)=TRUE,IF(_xlfn.RANK.EQ(R15,$R$2:$R$111)&lt;='Tournament Setup'!$B$25,_xlfn.RANK.EQ(R15,$R$2:$R$111),""),"")</f>
        <v/>
      </c>
      <c r="T15" s="152" t="str">
        <f>IF(AND($F15='Tournament Setup'!$A$29,$I15&lt;&gt;0),$I15,"")</f>
        <v/>
      </c>
      <c r="U15" s="47" t="str">
        <f>IF(ISNUMBER(T15),IF(COUNTIFS(U$1:U14,_xlfn.RANK.EQ(T15,T$2:T$111,0))&gt;0,_xlfn.MAXIFS(U$1:U14,T$1:T14,T15)+1,_xlfn.RANK.EQ(T15,T$2:T$111,0)),"")</f>
        <v/>
      </c>
      <c r="V15" s="1" t="str">
        <f>IF(ISNUMBER(T15)=TRUE,IF(_xlfn.RANK.EQ(T15,$T$3:$T$112)&lt;='Tournament Setup'!$B$46,_xlfn.RANK.EQ(T15,$T$2:$T$111),""),"")</f>
        <v/>
      </c>
      <c r="W15" s="30" t="str">
        <f>IF(AND($F15='Tournament Setup'!$A$29,SUM($O15,$Q15,$S15)=0),$H15,"")</f>
        <v/>
      </c>
      <c r="X15" s="47" t="str">
        <f>IF(ISNUMBER(W15),IF(COUNTIFS(X$1:X14,_xlfn.RANK.EQ(W15,W$2:W$111,0))&gt;0,_xlfn.MAXIFS(X$1:X14,W$1:W14,W15)+1,_xlfn.RANK.EQ(W15,W$2:W$111,0)),"")</f>
        <v/>
      </c>
      <c r="Y15" s="1" t="str">
        <f>IF(ISNUMBER(W15)=TRUE,IF(_xlfn.RANK.EQ(W15,$W$2:$W$111)&lt;='Tournament Setup'!$B$29,_xlfn.RANK.EQ(W15,$W$2:$W$111),""),"")</f>
        <v/>
      </c>
      <c r="Z15" s="31" t="str">
        <f>IF(AND($F15='Tournament Setup'!$A$29,SUM($O15,$Q15)=0,$E15="M",$Y15&gt;'Tournament Setup'!$B$29),$H15,"")</f>
        <v/>
      </c>
      <c r="AA15" s="1" t="str">
        <f>IF(ISNUMBER(Z15)=TRUE,IF(_xlfn.RANK.EQ(Z15,$Z$2:$Z$111)&lt;='Tournament Setup'!$C$29,_xlfn.RANK.EQ(Z15,$Z$2:$Z$111),""),"")</f>
        <v/>
      </c>
      <c r="AB15" s="31" t="str">
        <f>IF(AND($F15='Tournament Setup'!$A$29,SUM($O15,$S15)=0,$E15="F",$Y15&gt;'Tournament Setup'!$B$29),$H15,"")</f>
        <v/>
      </c>
      <c r="AC15" s="12" t="str">
        <f>IF(ISNUMBER(AB15)=TRUE,IF(_xlfn.RANK.EQ(AB15,$AB$2:$AB$111)&lt;='Tournament Setup'!$D$29,_xlfn.RANK.EQ(AB15,$AB$2:$AB$111),""),"")</f>
        <v/>
      </c>
      <c r="AD15" s="30" t="str">
        <f>IF(AND($F15='Tournament Setup'!$A$30,$I15&lt;&gt;0),$I15,"")</f>
        <v/>
      </c>
      <c r="AE15" s="47" t="str">
        <f>IF(ISNUMBER(AD15),IF(COUNTIFS(AE$1:AE14,_xlfn.RANK.EQ(AD15,AD$2:AD$111,0))&gt;0,_xlfn.MAXIFS(AE$1:AE14,AD$1:AD14,AD15)+1,_xlfn.RANK.EQ(AD15,AD$2:AD$111,0)),"")</f>
        <v/>
      </c>
      <c r="AF15" s="1" t="str">
        <f>IF(ISNUMBER(AD15)=TRUE,IF(_xlfn.RANK.EQ(AD15,$AD$2:$AD$111)&lt;='Tournament Setup'!$B$46,_xlfn.RANK.EQ(AD15,$AD$2:$AD$111),""),"")</f>
        <v/>
      </c>
      <c r="AG15" s="30">
        <f>IF(AND($F15='Tournament Setup'!$A$30,SUM($O15,$Q15,$S15)=0),$H15,"")</f>
        <v>76</v>
      </c>
      <c r="AH15" s="47">
        <f>IF(ISNUMBER(AG15),IF(COUNTIFS(AH$1:AH14,_xlfn.RANK.EQ(AG15,AG$2:AG$111,0))&gt;0,_xlfn.MAXIFS(AH$1:AH14,AG$1:AG14,AG15)+1,_xlfn.RANK.EQ(AG15,AG$2:AG$111,0)),"")</f>
        <v>4</v>
      </c>
      <c r="AI15" s="1" t="str">
        <f>IF(ISNUMBER(AG15)=TRUE,IF(_xlfn.RANK.EQ(AG15,$AG$2:$AG$111)&lt;='Tournament Setup'!$B$30,_xlfn.RANK.EQ(AG15,$AG$2:$AG$111),""),"")</f>
        <v/>
      </c>
      <c r="AJ15" s="31">
        <f>IF(AND($F15='Tournament Setup'!$A$30,SUM($O15,$Q15)=0,$E15="M",$AI15&gt;'Tournament Setup'!$B$30),$H15,"")</f>
        <v>76</v>
      </c>
      <c r="AK15" s="1">
        <f>IF(ISNUMBER(AJ15)=TRUE,IF(_xlfn.RANK.EQ(AJ15,$AJ$2:$AJ$111)&lt;='Tournament Setup'!$C$30,_xlfn.RANK.EQ(AJ15,$AJ$2:$AJ$111),""),"")</f>
        <v>1</v>
      </c>
      <c r="AL15" s="31" t="str">
        <f>IF(AND($F15='Tournament Setup'!$A$30,SUM($O15,$S15)=0,$E15="F",$AI15&gt;'Tournament Setup'!$B$30),$H15,"")</f>
        <v/>
      </c>
      <c r="AM15" s="12" t="str">
        <f>IF(ISNUMBER(AL15)=TRUE,IF(_xlfn.RANK.EQ(AL15,$AL$2:$AL$111)&lt;='Tournament Setup'!$D$30,_xlfn.RANK.EQ(AL15,$AL$2:$AL$111),""),"")</f>
        <v/>
      </c>
      <c r="AN15" s="30" t="str">
        <f>IF(AND($F15='Tournament Setup'!$A$31,$I15&lt;&gt;0),$I15,"")</f>
        <v/>
      </c>
      <c r="AO15" s="47" t="str">
        <f>IF(ISNUMBER(AN15),IF(COUNTIFS(AO$1:AO14,_xlfn.RANK.EQ(AN15,AN$2:AN$111,0))&gt;0,_xlfn.MAXIFS(AO$1:AO14,AN$1:AN14,AN15)+1,_xlfn.RANK.EQ(AN15,AN$2:AN$111,0)),"")</f>
        <v/>
      </c>
      <c r="AP15" s="1" t="str">
        <f>IF(ISNUMBER(AN15)=TRUE,IF(_xlfn.RANK.EQ(AN15,$AN$2:$AN$111)&lt;='Tournament Setup'!$B$46,_xlfn.RANK.EQ(AN15,$AN$2:$AN$111),""),"")</f>
        <v/>
      </c>
      <c r="AQ15" s="30" t="str">
        <f>IF(AND($F15='Tournament Setup'!$A$31,SUM($O15,$Q15,$S15)=0),$H15,"")</f>
        <v/>
      </c>
      <c r="AR15" s="47" t="str">
        <f>IF(ISNUMBER(AQ15),IF(COUNTIFS(AR$1:AR14,_xlfn.RANK.EQ(AQ15,AQ$2:AQ$111,0))&gt;0,_xlfn.MAXIFS(AR$1:AR14,AQ$1:AQ14,AQ15)+1,_xlfn.RANK.EQ(AQ15,AQ$2:AQ$111,0)),"")</f>
        <v/>
      </c>
      <c r="AS15" s="1" t="str">
        <f>IF(ISNUMBER(AQ15)=TRUE,IF(_xlfn.RANK.EQ(AQ15,$AQ$2:$AQ$111)&lt;='Tournament Setup'!$B$31,_xlfn.RANK.EQ(AQ15,$AQ$2:$AQ$111),""),"")</f>
        <v/>
      </c>
      <c r="AT15" s="31" t="str">
        <f>IF(AND($F15='Tournament Setup'!$A$31,SUM($O15,$Q15)=0,$E15="M",$AS15&gt;'Tournament Setup'!$B$31),$H15,"")</f>
        <v/>
      </c>
      <c r="AU15" s="1" t="str">
        <f>IF(ISNUMBER(AT15)=TRUE,IF(_xlfn.RANK.EQ(AT15,$AT$2:$AT$111)&lt;='Tournament Setup'!$C$31,_xlfn.RANK.EQ(AT15,$AT$2:$AT$111),""),"")</f>
        <v/>
      </c>
      <c r="AV15" s="31" t="str">
        <f>IF(AND($F15='Tournament Setup'!$A$31,SUM($O15,$S15)=0,$E15="F",$AS15&gt;'Tournament Setup'!$B$31),$H15,"")</f>
        <v/>
      </c>
      <c r="AW15" s="12" t="str">
        <f>IF(ISNUMBER(AV15)=TRUE,IF(_xlfn.RANK.EQ(AV15,$AV$2:$AV$111)&lt;='Tournament Setup'!$D$31,_xlfn.RANK.EQ(AV15,$AV$2:$AV$111),""),"")</f>
        <v/>
      </c>
      <c r="AX15" s="30" t="str">
        <f>IF(AND($F15='Tournament Setup'!$A$32,$I15&lt;&gt;0),$I15,"")</f>
        <v/>
      </c>
      <c r="AY15" s="47" t="str">
        <f>IF(ISNUMBER(AX15),IF(COUNTIFS(AY$1:AY14,_xlfn.RANK.EQ(AX15,AX$2:AX$111,0))&gt;0,_xlfn.MAXIFS(AY$1:AY14,AX$1:AX14,AX15)+1,_xlfn.RANK.EQ(AX15,AX$2:AX$111,0)),"")</f>
        <v/>
      </c>
      <c r="AZ15" s="1" t="str">
        <f>IF(ISNUMBER(AX15)=TRUE,IF(_xlfn.RANK.EQ(AX15,$AX$2:$AX$111)&lt;='Tournament Setup'!$B$46,_xlfn.RANK.EQ(AX15,$AX$2:$AX$111),""),"")</f>
        <v/>
      </c>
      <c r="BA15" s="30" t="str">
        <f>IF(AND($F15='Tournament Setup'!$A$32,SUM($O15,$Q15,$S15)=0),$H15,"")</f>
        <v/>
      </c>
      <c r="BB15" s="47" t="str">
        <f>IF(ISNUMBER(BA15),IF(COUNTIFS(BB$1:BB14,_xlfn.RANK.EQ(BA15,BA$2:BA$111,0))&gt;0,_xlfn.MAXIFS(BB$1:BB14,BA$1:BA14,BA15)+1,_xlfn.RANK.EQ(BA15,BA$2:BA$111,0)),"")</f>
        <v/>
      </c>
      <c r="BC15" s="1" t="str">
        <f>IF(ISNUMBER(BA15)=TRUE,IF(_xlfn.RANK.EQ(BA15,$BA$2:$BA$111)&lt;='Tournament Setup'!$B$32,_xlfn.RANK.EQ(BA15,$BA$2:$BA$111),""),"")</f>
        <v/>
      </c>
      <c r="BD15" s="31" t="str">
        <f>IF(AND($F15='Tournament Setup'!$A$32,SUM($O15,$Q15)=0,$E15="M",$BC15&gt;'Tournament Setup'!$B$32),$H15,"")</f>
        <v/>
      </c>
      <c r="BE15" s="1" t="str">
        <f>IF(ISNUMBER(BD15)=TRUE,IF(_xlfn.RANK.EQ(BD15,$BD$2:$BD$111)&lt;='Tournament Setup'!$C$32,_xlfn.RANK.EQ(BD15,$BD$2:$BD$111),""),"")</f>
        <v/>
      </c>
      <c r="BF15" s="31" t="str">
        <f>IF(AND($F15='Tournament Setup'!$A$32,SUM($O15,$S15)=0,$E15="F",$BC15&gt;'Tournament Setup'!$B$32),$H15,"")</f>
        <v/>
      </c>
      <c r="BG15" s="12" t="str">
        <f>IF(ISNUMBER(BF15)=TRUE,IF(_xlfn.RANK.EQ(BF15,$BF$2:$BF$111)&lt;='Tournament Setup'!$D$32,_xlfn.RANK.EQ(BF15,$BF$2:$BF$111),""),"")</f>
        <v/>
      </c>
      <c r="BH15" s="30" t="str">
        <f>IF(AND($F15='Tournament Setup'!$A$33,$I15&lt;&gt;0),$I15,"")</f>
        <v/>
      </c>
      <c r="BI15" s="47" t="str">
        <f>IF(ISNUMBER(BH15),IF(COUNTIFS(BI$1:BI14,_xlfn.RANK.EQ(BH15,BH$2:BH$111,0))&gt;0,_xlfn.MAXIFS(BI$1:BI14,BH$1:BH14,BH15)+1,_xlfn.RANK.EQ(BH15,BH$2:BH$111,0)),"")</f>
        <v/>
      </c>
      <c r="BJ15" s="1" t="str">
        <f>IF(ISNUMBER(BH15)=TRUE,IF(_xlfn.RANK.EQ(BH15,$BH$2:$BH$111)&lt;='Tournament Setup'!$B$46,_xlfn.RANK.EQ(BH15,$BH$2:$BH$111),""),"")</f>
        <v/>
      </c>
      <c r="BK15" s="30" t="str">
        <f>IF(AND($F15='Tournament Setup'!$A$33,SUM($O15,$Q15,$S15)=0),$H15,"")</f>
        <v/>
      </c>
      <c r="BL15" s="47" t="str">
        <f>IF(ISNUMBER(BK15),IF(COUNTIFS(BL$1:BL14,_xlfn.RANK.EQ(BK15,BK$2:BK$111,0))&gt;0,_xlfn.MAXIFS(BL$1:BL14,BK$1:BK14,BK15)+1,_xlfn.RANK.EQ(BK15,BK$2:BK$111,0)),"")</f>
        <v/>
      </c>
      <c r="BM15" s="1" t="str">
        <f>IF(ISNUMBER(BK15)=TRUE,IF(_xlfn.RANK.EQ(BK15,$BK$2:$BK$111)&lt;='Tournament Setup'!$B$33,_xlfn.RANK.EQ(BK15,$BK$2:$BK$111),""),"")</f>
        <v/>
      </c>
      <c r="BN15" s="31" t="str">
        <f>IF(AND($F15='Tournament Setup'!$A$33,SUM($O15,$Q15)=0,$E15="M",$BM15&gt;'Tournament Setup'!$B$33),$H15,"")</f>
        <v/>
      </c>
      <c r="BO15" s="1" t="str">
        <f>IF(ISNUMBER(BN15)=TRUE,IF(_xlfn.RANK.EQ(BN15,$BN$2:$BN$111)&lt;='Tournament Setup'!$C$33,_xlfn.RANK.EQ(BN15,$BN$2:$BN$111),""),"")</f>
        <v/>
      </c>
      <c r="BP15" s="31" t="str">
        <f>IF(AND($F15='Tournament Setup'!$A$33,SUM($O15,$S15)=0,$E15="F",$BM15&gt;'Tournament Setup'!$B$33),$H15,"")</f>
        <v/>
      </c>
      <c r="BQ15" s="12" t="str">
        <f>IF(ISNUMBER(BP15)=TRUE,IF(_xlfn.RANK.EQ(BP15,$BP$2:$BP$111)&lt;='Tournament Setup'!$D$33,_xlfn.RANK.EQ(BP15,$BP$2:$BP$111),""),"")</f>
        <v/>
      </c>
      <c r="BR15" s="30">
        <f>IF($G15='Tournament Setup'!$A$38,$H15,"")</f>
        <v>76</v>
      </c>
      <c r="BS15" s="47">
        <f>IF(ISNUMBER(BR15),IF(COUNTIFS(BS$1:BS14,_xlfn.RANK.EQ(BR15,BR$2:BR$111,0))&gt;0,_xlfn.MAXIFS(BS$1:BS14,BR$1:BR14,BR15)+1,_xlfn.RANK.EQ(BR15,BR$2:BR$111,0)),"")</f>
        <v>5</v>
      </c>
      <c r="BT15" s="1" t="str">
        <f>IF(ISNUMBER(BR15)=TRUE,IF(_xlfn.RANK.EQ(BR15,$BR$2:$BR$111)&lt;='Tournament Setup'!$B$38,_xlfn.RANK.EQ(BR15,$BR$2:$BR$111),""),"")</f>
        <v/>
      </c>
      <c r="BU15" s="31">
        <f>IF(AND($G15='Tournament Setup'!$A$38,$E15="M",$BT15&gt;'Tournament Setup'!$B$38),$H15,"")</f>
        <v>76</v>
      </c>
      <c r="BV15" s="1" t="str">
        <f>IF(ISNUMBER(BU15)=TRUE,IF(_xlfn.RANK.EQ(BU15,$BU$2:$BU$111)&lt;='Tournament Setup'!$C$38,_xlfn.RANK.EQ(BU15,$BU$2:$BU$111),""),"")</f>
        <v/>
      </c>
      <c r="BW15" s="31" t="str">
        <f>IF(AND($G15='Tournament Setup'!$A$38,$E15="F",$BT15&gt;'Tournament Setup'!$B$38),$H15,"")</f>
        <v/>
      </c>
      <c r="BX15" s="12" t="str">
        <f>IF(ISNUMBER(BW15)=TRUE,IF(_xlfn.RANK.EQ(BW15,$BW$2:$BW$111)&lt;='Tournament Setup'!$D$38,_xlfn.RANK.EQ(BW15,$BW$2:$BW$111),""),"")</f>
        <v/>
      </c>
      <c r="BY15" s="30" t="str">
        <f>IF($G15='Tournament Setup'!$A$39,$H15,"")</f>
        <v/>
      </c>
      <c r="BZ15" s="47" t="str">
        <f>IF(ISNUMBER(BY15),IF(COUNTIFS(BZ$1:BZ14,_xlfn.RANK.EQ(BY15,BY$2:BY$111,0))&gt;0,_xlfn.MAXIFS(BZ$1:BZ14,BY$1:BY14,BY15)+1,_xlfn.RANK.EQ(BY15,BY$2:BY$111,0)),"")</f>
        <v/>
      </c>
      <c r="CA15" s="1" t="str">
        <f>IF(ISNUMBER(BY15)=TRUE,IF(_xlfn.RANK.EQ(BY15,$BY$2:$BY$111)&lt;='Tournament Setup'!$B$39,_xlfn.RANK.EQ(BY15,$BY$2:$BY$111),""),"")</f>
        <v/>
      </c>
      <c r="CB15" s="31" t="str">
        <f>IF(AND($G15='Tournament Setup'!$A$39,$E15="M",$CA15&gt;'Tournament Setup'!$B$39),$H15,"")</f>
        <v/>
      </c>
      <c r="CC15" s="1" t="str">
        <f>IF(ISNUMBER(CB15)=TRUE,IF(_xlfn.RANK.EQ(CB15,$CB$2:$CB$111)&lt;='Tournament Setup'!$C$39,_xlfn.RANK.EQ(CB15,$CB$2:$CB$111),""),"")</f>
        <v/>
      </c>
      <c r="CD15" s="31" t="str">
        <f>IF(AND($G15='Tournament Setup'!$A$39,$E15="F",$CA15&gt;'Tournament Setup'!$B$39),$H15,"")</f>
        <v/>
      </c>
      <c r="CE15" s="12" t="str">
        <f>IF(ISNUMBER(CD15)=TRUE,IF(_xlfn.RANK.EQ(CD15,$CD$2:$CD$111)&lt;='Tournament Setup'!$D$39,_xlfn.RANK.EQ(CD15,$CD$2:$CD$111),""),"")</f>
        <v/>
      </c>
      <c r="CF15" s="30" t="str">
        <f>IF($G15='Tournament Setup'!$A$40,$H15,"")</f>
        <v/>
      </c>
      <c r="CG15" s="47" t="str">
        <f>IF(ISNUMBER(CF15),IF(COUNTIFS(CG$1:CG14,_xlfn.RANK.EQ(CF15,CF$2:CF$111,0))&gt;0,_xlfn.MAXIFS(CG$1:CG14,CF$1:CF14,CF15)+1,_xlfn.RANK.EQ(CF15,CF$2:CF$111,0)),"")</f>
        <v/>
      </c>
      <c r="CH15" s="1" t="str">
        <f>IF(ISNUMBER(CF15)=TRUE,IF(_xlfn.RANK.EQ(CF15,$CF$2:$CF$111)&lt;='Tournament Setup'!$B$40,_xlfn.RANK.EQ(CF15,$CF$2:$CF$111),""),"")</f>
        <v/>
      </c>
      <c r="CI15" s="31" t="str">
        <f>IF(AND($G15='Tournament Setup'!$A$40,$E15="M",$CH15&gt;'Tournament Setup'!$B$40),$H15,"")</f>
        <v/>
      </c>
      <c r="CJ15" s="1" t="str">
        <f>IF(ISNUMBER(CI15)=TRUE,IF(_xlfn.RANK.EQ(CI15,$CI$2:$CI$111)&lt;='Tournament Setup'!$C$40,_xlfn.RANK.EQ(CI15,$CI$2:$CI$111),""),"")</f>
        <v/>
      </c>
      <c r="CK15" s="31" t="str">
        <f>IF(AND($G15='Tournament Setup'!$A$40,$E15="F",$CH15&gt;'Tournament Setup'!$B$40),$H15,"")</f>
        <v/>
      </c>
      <c r="CL15" s="12" t="str">
        <f>IF(ISNUMBER(CK15)=TRUE,IF(_xlfn.RANK.EQ(CK15,$CK$2:$CK$111)&lt;='Tournament Setup'!$D$40,_xlfn.RANK.EQ(CK15,$CK$2:$CK$111),""),"")</f>
        <v/>
      </c>
      <c r="CM15" s="30" t="str">
        <f>IF($G15='Tournament Setup'!$A$41,$H15,"")</f>
        <v/>
      </c>
      <c r="CN15" s="47" t="str">
        <f>IF(ISNUMBER(CM15),IF(COUNTIFS(CN$1:CN14,_xlfn.RANK.EQ(CM15,CM$2:CM$111,0))&gt;0,_xlfn.MAXIFS(CN$1:CN14,CM$1:CM14,CM15)+1,_xlfn.RANK.EQ(CM15,CM$2:CM$111,0)),"")</f>
        <v/>
      </c>
      <c r="CO15" s="1" t="str">
        <f>IF(ISNUMBER(CM15)=TRUE,IF(_xlfn.RANK.EQ(CM15,$CM$2:$CM$111)&lt;='Tournament Setup'!$B$41,_xlfn.RANK.EQ(CM15,$CM$2:$CM$111),""),"")</f>
        <v/>
      </c>
      <c r="CP15" s="31" t="str">
        <f>IF(AND($G15='Tournament Setup'!$A$41,$E15="M",$CO15&gt;'Tournament Setup'!$B$41),$H15,"")</f>
        <v/>
      </c>
      <c r="CQ15" s="1" t="str">
        <f>IF(ISNUMBER(CP15)=TRUE,IF(_xlfn.RANK.EQ(CP15,$CP$2:$CP$111)&lt;='Tournament Setup'!$C$41,_xlfn.RANK.EQ(CP15,$CP$2:$CP$111),""),"")</f>
        <v/>
      </c>
      <c r="CR15" s="31" t="str">
        <f>IF(AND($G15='Tournament Setup'!$A$41,$E15="F",$CO15&gt;'Tournament Setup'!$B$41),$H15,"")</f>
        <v/>
      </c>
      <c r="CS15" s="12" t="str">
        <f>IF(ISNUMBER(CR15)=TRUE,IF(_xlfn.RANK.EQ(CR15,$CR$2:$CR$111)&lt;='Tournament Setup'!$D$41,_xlfn.RANK.EQ(CR15,$CR$2:$CR$111),""),"")</f>
        <v/>
      </c>
    </row>
    <row r="16" spans="1:97" x14ac:dyDescent="0.3">
      <c r="A16" t="s">
        <v>51</v>
      </c>
      <c r="B16" t="str">
        <f>IFERROR(INDEX('Tournament List'!$B:$B,MATCH($A16,'Tournament List'!$A:$A,0)),"")</f>
        <v>Daniel</v>
      </c>
      <c r="C16" t="str">
        <f>IFERROR(INDEX('Tournament List'!$C:$C,MATCH($A16,'Tournament List'!$A:$A,0)),"")</f>
        <v>Last Name15</v>
      </c>
      <c r="D16" t="str">
        <f t="shared" si="0"/>
        <v>Daniel Last Name15</v>
      </c>
      <c r="E16" s="1" t="str">
        <f>IFERROR(INDEX('Tournament List'!F:F,MATCH($A16,'Tournament List'!$A:$A,0)),"")</f>
        <v>M</v>
      </c>
      <c r="F16" t="str">
        <f>IFERROR(INDEX('Tournament List'!M:M,MATCH($A16,'Tournament List'!$A:$A,0)),"")</f>
        <v>Collegiate</v>
      </c>
      <c r="G16" s="1" t="str">
        <f>IFERROR(INDEX('Tournament List'!W:W,MATCH($A16,'Tournament List'!$A:$A,0)),"")</f>
        <v>B</v>
      </c>
      <c r="H16" s="129">
        <f>IFERROR(INDEX('Tournament List'!Z:Z,MATCH($A16,'Tournament List'!$A:$A,0)),"")</f>
        <v>89.1</v>
      </c>
      <c r="I16" s="152" t="str">
        <f>IFERROR(INDEX('Tournament List'!T:T,MATCH($A16,'Tournament List'!$A:$A,0)),"")</f>
        <v/>
      </c>
      <c r="J16" s="56" t="str">
        <f>IF(ISNUMBER(I16),IF(COUNTIFS(J$1:J15,_xlfn.RANK.EQ(I16,I$2:I$111,0))&gt;0,_xlfn.MAXIFS(J$1:J15,I$1:I15,I16)+1,_xlfn.RANK.EQ(I16,I$2:I$111,0)),"")</f>
        <v/>
      </c>
      <c r="K16" s="11">
        <f t="shared" si="1"/>
        <v>8</v>
      </c>
      <c r="L16" s="56">
        <f>IF(ISNUMBER(H16),IF(COUNTIFS(L$1:L15,_xlfn.RANK.EQ(H16,H$2:H$111,0))&gt;0,_xlfn.MAXIFS(L$1:L15,H$1:H15,H16)+1,_xlfn.RANK.EQ(H16,H$2:H$111,0)),"")</f>
        <v>8</v>
      </c>
      <c r="M16" s="151" t="str">
        <f t="shared" si="2"/>
        <v/>
      </c>
      <c r="N16" s="47" t="str">
        <f>IF(ISNUMBER(M16),IF(COUNTIFS(N$1:N15,_xlfn.RANK.EQ(M16,M$2:M$111,0))&gt;0,_xlfn.MAXIFS(N$1:N15,M$1:M15,M16)+1,_xlfn.RANK.EQ(M16,M$2:M$111,0)),"")</f>
        <v/>
      </c>
      <c r="O16" s="1" t="str">
        <f>IF(ISNUMBER(M16)=TRUE,IF(_xlfn.RANK.EQ(M16,$M$2:$M$111)&lt;='Tournament Setup'!$B$23,_xlfn.RANK.EQ(M16,$M$2:$M$111),""),"")</f>
        <v/>
      </c>
      <c r="P16" s="150" t="str">
        <f t="shared" si="3"/>
        <v/>
      </c>
      <c r="Q16" s="1" t="str">
        <f>IF(ISNUMBER(P16)=TRUE,IF(_xlfn.RANK.EQ(P16,$P$2:$P$111)&lt;='Tournament Setup'!$B$24,_xlfn.RANK.EQ(P16,$P$2:$P$111),""),"")</f>
        <v/>
      </c>
      <c r="R16" s="150" t="str">
        <f t="shared" si="4"/>
        <v/>
      </c>
      <c r="S16" s="12" t="str">
        <f>IF(ISNUMBER(R16)=TRUE,IF(_xlfn.RANK.EQ(R16,$R$2:$R$111)&lt;='Tournament Setup'!$B$25,_xlfn.RANK.EQ(R16,$R$2:$R$111),""),"")</f>
        <v/>
      </c>
      <c r="T16" s="152" t="str">
        <f>IF(AND($F16='Tournament Setup'!$A$29,$I16&lt;&gt;0),$I16,"")</f>
        <v/>
      </c>
      <c r="U16" s="47" t="str">
        <f>IF(ISNUMBER(T16),IF(COUNTIFS(U$1:U15,_xlfn.RANK.EQ(T16,T$2:T$111,0))&gt;0,_xlfn.MAXIFS(U$1:U15,T$1:T15,T16)+1,_xlfn.RANK.EQ(T16,T$2:T$111,0)),"")</f>
        <v/>
      </c>
      <c r="V16" s="1" t="str">
        <f>IF(ISNUMBER(T16)=TRUE,IF(_xlfn.RANK.EQ(T16,$T$3:$T$112)&lt;='Tournament Setup'!$B$46,_xlfn.RANK.EQ(T16,$T$2:$T$111),""),"")</f>
        <v/>
      </c>
      <c r="W16" s="30" t="str">
        <f>IF(AND($F16='Tournament Setup'!$A$29,SUM($O16,$Q16,$S16)=0),$H16,"")</f>
        <v/>
      </c>
      <c r="X16" s="47" t="str">
        <f>IF(ISNUMBER(W16),IF(COUNTIFS(X$1:X15,_xlfn.RANK.EQ(W16,W$2:W$111,0))&gt;0,_xlfn.MAXIFS(X$1:X15,W$1:W15,W16)+1,_xlfn.RANK.EQ(W16,W$2:W$111,0)),"")</f>
        <v/>
      </c>
      <c r="Y16" s="1" t="str">
        <f>IF(ISNUMBER(W16)=TRUE,IF(_xlfn.RANK.EQ(W16,$W$2:$W$111)&lt;='Tournament Setup'!$B$29,_xlfn.RANK.EQ(W16,$W$2:$W$111),""),"")</f>
        <v/>
      </c>
      <c r="Z16" s="31" t="str">
        <f>IF(AND($F16='Tournament Setup'!$A$29,SUM($O16,$Q16)=0,$E16="M",$Y16&gt;'Tournament Setup'!$B$29),$H16,"")</f>
        <v/>
      </c>
      <c r="AA16" s="1" t="str">
        <f>IF(ISNUMBER(Z16)=TRUE,IF(_xlfn.RANK.EQ(Z16,$Z$2:$Z$111)&lt;='Tournament Setup'!$C$29,_xlfn.RANK.EQ(Z16,$Z$2:$Z$111),""),"")</f>
        <v/>
      </c>
      <c r="AB16" s="31" t="str">
        <f>IF(AND($F16='Tournament Setup'!$A$29,SUM($O16,$S16)=0,$E16="F",$Y16&gt;'Tournament Setup'!$B$29),$H16,"")</f>
        <v/>
      </c>
      <c r="AC16" s="12" t="str">
        <f>IF(ISNUMBER(AB16)=TRUE,IF(_xlfn.RANK.EQ(AB16,$AB$2:$AB$111)&lt;='Tournament Setup'!$D$29,_xlfn.RANK.EQ(AB16,$AB$2:$AB$111),""),"")</f>
        <v/>
      </c>
      <c r="AD16" s="30" t="str">
        <f>IF(AND($F16='Tournament Setup'!$A$30,$I16&lt;&gt;0),$I16,"")</f>
        <v/>
      </c>
      <c r="AE16" s="47" t="str">
        <f>IF(ISNUMBER(AD16),IF(COUNTIFS(AE$1:AE15,_xlfn.RANK.EQ(AD16,AD$2:AD$111,0))&gt;0,_xlfn.MAXIFS(AE$1:AE15,AD$1:AD15,AD16)+1,_xlfn.RANK.EQ(AD16,AD$2:AD$111,0)),"")</f>
        <v/>
      </c>
      <c r="AF16" s="1" t="str">
        <f>IF(ISNUMBER(AD16)=TRUE,IF(_xlfn.RANK.EQ(AD16,$AD$2:$AD$111)&lt;='Tournament Setup'!$B$46,_xlfn.RANK.EQ(AD16,$AD$2:$AD$111),""),"")</f>
        <v/>
      </c>
      <c r="AG16" s="30" t="str">
        <f>IF(AND($F16='Tournament Setup'!$A$30,SUM($O16,$Q16,$S16)=0),$H16,"")</f>
        <v/>
      </c>
      <c r="AH16" s="47" t="str">
        <f>IF(ISNUMBER(AG16),IF(COUNTIFS(AH$1:AH15,_xlfn.RANK.EQ(AG16,AG$2:AG$111,0))&gt;0,_xlfn.MAXIFS(AH$1:AH15,AG$1:AG15,AG16)+1,_xlfn.RANK.EQ(AG16,AG$2:AG$111,0)),"")</f>
        <v/>
      </c>
      <c r="AI16" s="1" t="str">
        <f>IF(ISNUMBER(AG16)=TRUE,IF(_xlfn.RANK.EQ(AG16,$AG$2:$AG$111)&lt;='Tournament Setup'!$B$30,_xlfn.RANK.EQ(AG16,$AG$2:$AG$111),""),"")</f>
        <v/>
      </c>
      <c r="AJ16" s="31" t="str">
        <f>IF(AND($F16='Tournament Setup'!$A$30,SUM($O16,$Q16)=0,$E16="M",$AI16&gt;'Tournament Setup'!$B$30),$H16,"")</f>
        <v/>
      </c>
      <c r="AK16" s="1" t="str">
        <f>IF(ISNUMBER(AJ16)=TRUE,IF(_xlfn.RANK.EQ(AJ16,$AJ$2:$AJ$111)&lt;='Tournament Setup'!$C$30,_xlfn.RANK.EQ(AJ16,$AJ$2:$AJ$111),""),"")</f>
        <v/>
      </c>
      <c r="AL16" s="31" t="str">
        <f>IF(AND($F16='Tournament Setup'!$A$30,SUM($O16,$S16)=0,$E16="F",$AI16&gt;'Tournament Setup'!$B$30),$H16,"")</f>
        <v/>
      </c>
      <c r="AM16" s="12" t="str">
        <f>IF(ISNUMBER(AL16)=TRUE,IF(_xlfn.RANK.EQ(AL16,$AL$2:$AL$111)&lt;='Tournament Setup'!$D$30,_xlfn.RANK.EQ(AL16,$AL$2:$AL$111),""),"")</f>
        <v/>
      </c>
      <c r="AN16" s="30" t="str">
        <f>IF(AND($F16='Tournament Setup'!$A$31,$I16&lt;&gt;0),$I16,"")</f>
        <v/>
      </c>
      <c r="AO16" s="47" t="str">
        <f>IF(ISNUMBER(AN16),IF(COUNTIFS(AO$1:AO15,_xlfn.RANK.EQ(AN16,AN$2:AN$111,0))&gt;0,_xlfn.MAXIFS(AO$1:AO15,AN$1:AN15,AN16)+1,_xlfn.RANK.EQ(AN16,AN$2:AN$111,0)),"")</f>
        <v/>
      </c>
      <c r="AP16" s="1" t="str">
        <f>IF(ISNUMBER(AN16)=TRUE,IF(_xlfn.RANK.EQ(AN16,$AN$2:$AN$111)&lt;='Tournament Setup'!$B$46,_xlfn.RANK.EQ(AN16,$AN$2:$AN$111),""),"")</f>
        <v/>
      </c>
      <c r="AQ16" s="30" t="str">
        <f>IF(AND($F16='Tournament Setup'!$A$31,SUM($O16,$Q16,$S16)=0),$H16,"")</f>
        <v/>
      </c>
      <c r="AR16" s="47" t="str">
        <f>IF(ISNUMBER(AQ16),IF(COUNTIFS(AR$1:AR15,_xlfn.RANK.EQ(AQ16,AQ$2:AQ$111,0))&gt;0,_xlfn.MAXIFS(AR$1:AR15,AQ$1:AQ15,AQ16)+1,_xlfn.RANK.EQ(AQ16,AQ$2:AQ$111,0)),"")</f>
        <v/>
      </c>
      <c r="AS16" s="1" t="str">
        <f>IF(ISNUMBER(AQ16)=TRUE,IF(_xlfn.RANK.EQ(AQ16,$AQ$2:$AQ$111)&lt;='Tournament Setup'!$B$31,_xlfn.RANK.EQ(AQ16,$AQ$2:$AQ$111),""),"")</f>
        <v/>
      </c>
      <c r="AT16" s="31" t="str">
        <f>IF(AND($F16='Tournament Setup'!$A$31,SUM($O16,$Q16)=0,$E16="M",$AS16&gt;'Tournament Setup'!$B$31),$H16,"")</f>
        <v/>
      </c>
      <c r="AU16" s="1" t="str">
        <f>IF(ISNUMBER(AT16)=TRUE,IF(_xlfn.RANK.EQ(AT16,$AT$2:$AT$111)&lt;='Tournament Setup'!$C$31,_xlfn.RANK.EQ(AT16,$AT$2:$AT$111),""),"")</f>
        <v/>
      </c>
      <c r="AV16" s="31" t="str">
        <f>IF(AND($F16='Tournament Setup'!$A$31,SUM($O16,$S16)=0,$E16="F",$AS16&gt;'Tournament Setup'!$B$31),$H16,"")</f>
        <v/>
      </c>
      <c r="AW16" s="12" t="str">
        <f>IF(ISNUMBER(AV16)=TRUE,IF(_xlfn.RANK.EQ(AV16,$AV$2:$AV$111)&lt;='Tournament Setup'!$D$31,_xlfn.RANK.EQ(AV16,$AV$2:$AV$111),""),"")</f>
        <v/>
      </c>
      <c r="AX16" s="30" t="str">
        <f>IF(AND($F16='Tournament Setup'!$A$32,$I16&lt;&gt;0),$I16,"")</f>
        <v/>
      </c>
      <c r="AY16" s="47" t="str">
        <f>IF(ISNUMBER(AX16),IF(COUNTIFS(AY$1:AY15,_xlfn.RANK.EQ(AX16,AX$2:AX$111,0))&gt;0,_xlfn.MAXIFS(AY$1:AY15,AX$1:AX15,AX16)+1,_xlfn.RANK.EQ(AX16,AX$2:AX$111,0)),"")</f>
        <v/>
      </c>
      <c r="AZ16" s="1" t="str">
        <f>IF(ISNUMBER(AX16)=TRUE,IF(_xlfn.RANK.EQ(AX16,$AX$2:$AX$111)&lt;='Tournament Setup'!$B$46,_xlfn.RANK.EQ(AX16,$AX$2:$AX$111),""),"")</f>
        <v/>
      </c>
      <c r="BA16" s="30" t="str">
        <f>IF(AND($F16='Tournament Setup'!$A$32,SUM($O16,$Q16,$S16)=0),$H16,"")</f>
        <v/>
      </c>
      <c r="BB16" s="47" t="str">
        <f>IF(ISNUMBER(BA16),IF(COUNTIFS(BB$1:BB15,_xlfn.RANK.EQ(BA16,BA$2:BA$111,0))&gt;0,_xlfn.MAXIFS(BB$1:BB15,BA$1:BA15,BA16)+1,_xlfn.RANK.EQ(BA16,BA$2:BA$111,0)),"")</f>
        <v/>
      </c>
      <c r="BC16" s="1" t="str">
        <f>IF(ISNUMBER(BA16)=TRUE,IF(_xlfn.RANK.EQ(BA16,$BA$2:$BA$111)&lt;='Tournament Setup'!$B$32,_xlfn.RANK.EQ(BA16,$BA$2:$BA$111),""),"")</f>
        <v/>
      </c>
      <c r="BD16" s="31" t="str">
        <f>IF(AND($F16='Tournament Setup'!$A$32,SUM($O16,$Q16)=0,$E16="M",$BC16&gt;'Tournament Setup'!$B$32),$H16,"")</f>
        <v/>
      </c>
      <c r="BE16" s="1" t="str">
        <f>IF(ISNUMBER(BD16)=TRUE,IF(_xlfn.RANK.EQ(BD16,$BD$2:$BD$111)&lt;='Tournament Setup'!$C$32,_xlfn.RANK.EQ(BD16,$BD$2:$BD$111),""),"")</f>
        <v/>
      </c>
      <c r="BF16" s="31" t="str">
        <f>IF(AND($F16='Tournament Setup'!$A$32,SUM($O16,$S16)=0,$E16="F",$BC16&gt;'Tournament Setup'!$B$32),$H16,"")</f>
        <v/>
      </c>
      <c r="BG16" s="12" t="str">
        <f>IF(ISNUMBER(BF16)=TRUE,IF(_xlfn.RANK.EQ(BF16,$BF$2:$BF$111)&lt;='Tournament Setup'!$D$32,_xlfn.RANK.EQ(BF16,$BF$2:$BF$111),""),"")</f>
        <v/>
      </c>
      <c r="BH16" s="30" t="str">
        <f>IF(AND($F16='Tournament Setup'!$A$33,$I16&lt;&gt;0),$I16,"")</f>
        <v/>
      </c>
      <c r="BI16" s="47" t="str">
        <f>IF(ISNUMBER(BH16),IF(COUNTIFS(BI$1:BI15,_xlfn.RANK.EQ(BH16,BH$2:BH$111,0))&gt;0,_xlfn.MAXIFS(BI$1:BI15,BH$1:BH15,BH16)+1,_xlfn.RANK.EQ(BH16,BH$2:BH$111,0)),"")</f>
        <v/>
      </c>
      <c r="BJ16" s="1" t="str">
        <f>IF(ISNUMBER(BH16)=TRUE,IF(_xlfn.RANK.EQ(BH16,$BH$2:$BH$111)&lt;='Tournament Setup'!$B$46,_xlfn.RANK.EQ(BH16,$BH$2:$BH$111),""),"")</f>
        <v/>
      </c>
      <c r="BK16" s="30">
        <f>IF(AND($F16='Tournament Setup'!$A$33,SUM($O16,$Q16,$S16)=0),$H16,"")</f>
        <v>89.1</v>
      </c>
      <c r="BL16" s="47">
        <f>IF(ISNUMBER(BK16),IF(COUNTIFS(BL$1:BL15,_xlfn.RANK.EQ(BK16,BK$2:BK$111,0))&gt;0,_xlfn.MAXIFS(BL$1:BL15,BK$1:BK15,BK16)+1,_xlfn.RANK.EQ(BK16,BK$2:BK$111,0)),"")</f>
        <v>2</v>
      </c>
      <c r="BM16" s="1">
        <f>IF(ISNUMBER(BK16)=TRUE,IF(_xlfn.RANK.EQ(BK16,$BK$2:$BK$111)&lt;='Tournament Setup'!$B$33,_xlfn.RANK.EQ(BK16,$BK$2:$BK$111),""),"")</f>
        <v>2</v>
      </c>
      <c r="BN16" s="31" t="str">
        <f>IF(AND($F16='Tournament Setup'!$A$33,SUM($O16,$Q16)=0,$E16="M",$BM16&gt;'Tournament Setup'!$B$33),$H16,"")</f>
        <v/>
      </c>
      <c r="BO16" s="1" t="str">
        <f>IF(ISNUMBER(BN16)=TRUE,IF(_xlfn.RANK.EQ(BN16,$BN$2:$BN$111)&lt;='Tournament Setup'!$C$33,_xlfn.RANK.EQ(BN16,$BN$2:$BN$111),""),"")</f>
        <v/>
      </c>
      <c r="BP16" s="31" t="str">
        <f>IF(AND($F16='Tournament Setup'!$A$33,SUM($O16,$S16)=0,$E16="F",$BM16&gt;'Tournament Setup'!$B$33),$H16,"")</f>
        <v/>
      </c>
      <c r="BQ16" s="12" t="str">
        <f>IF(ISNUMBER(BP16)=TRUE,IF(_xlfn.RANK.EQ(BP16,$BP$2:$BP$111)&lt;='Tournament Setup'!$D$33,_xlfn.RANK.EQ(BP16,$BP$2:$BP$111),""),"")</f>
        <v/>
      </c>
      <c r="BR16" s="30" t="str">
        <f>IF($G16='Tournament Setup'!$A$38,$H16,"")</f>
        <v/>
      </c>
      <c r="BS16" s="47" t="str">
        <f>IF(ISNUMBER(BR16),IF(COUNTIFS(BS$1:BS15,_xlfn.RANK.EQ(BR16,BR$2:BR$111,0))&gt;0,_xlfn.MAXIFS(BS$1:BS15,BR$1:BR15,BR16)+1,_xlfn.RANK.EQ(BR16,BR$2:BR$111,0)),"")</f>
        <v/>
      </c>
      <c r="BT16" s="1" t="str">
        <f>IF(ISNUMBER(BR16)=TRUE,IF(_xlfn.RANK.EQ(BR16,$BR$2:$BR$111)&lt;='Tournament Setup'!$B$38,_xlfn.RANK.EQ(BR16,$BR$2:$BR$111),""),"")</f>
        <v/>
      </c>
      <c r="BU16" s="31" t="str">
        <f>IF(AND($G16='Tournament Setup'!$A$38,$E16="M",$BT16&gt;'Tournament Setup'!$B$38),$H16,"")</f>
        <v/>
      </c>
      <c r="BV16" s="1" t="str">
        <f>IF(ISNUMBER(BU16)=TRUE,IF(_xlfn.RANK.EQ(BU16,$BU$2:$BU$111)&lt;='Tournament Setup'!$C$38,_xlfn.RANK.EQ(BU16,$BU$2:$BU$111),""),"")</f>
        <v/>
      </c>
      <c r="BW16" s="31" t="str">
        <f>IF(AND($G16='Tournament Setup'!$A$38,$E16="F",$BT16&gt;'Tournament Setup'!$B$38),$H16,"")</f>
        <v/>
      </c>
      <c r="BX16" s="12" t="str">
        <f>IF(ISNUMBER(BW16)=TRUE,IF(_xlfn.RANK.EQ(BW16,$BW$2:$BW$111)&lt;='Tournament Setup'!$D$38,_xlfn.RANK.EQ(BW16,$BW$2:$BW$111),""),"")</f>
        <v/>
      </c>
      <c r="BY16" s="30">
        <f>IF($G16='Tournament Setup'!$A$39,$H16,"")</f>
        <v>89.1</v>
      </c>
      <c r="BZ16" s="47">
        <f>IF(ISNUMBER(BY16),IF(COUNTIFS(BZ$1:BZ15,_xlfn.RANK.EQ(BY16,BY$2:BY$111,0))&gt;0,_xlfn.MAXIFS(BZ$1:BZ15,BY$1:BY15,BY16)+1,_xlfn.RANK.EQ(BY16,BY$2:BY$111,0)),"")</f>
        <v>5</v>
      </c>
      <c r="CA16" s="1" t="str">
        <f>IF(ISNUMBER(BY16)=TRUE,IF(_xlfn.RANK.EQ(BY16,$BY$2:$BY$111)&lt;='Tournament Setup'!$B$39,_xlfn.RANK.EQ(BY16,$BY$2:$BY$111),""),"")</f>
        <v/>
      </c>
      <c r="CB16" s="31">
        <f>IF(AND($G16='Tournament Setup'!$A$39,$E16="M",$CA16&gt;'Tournament Setup'!$B$39),$H16,"")</f>
        <v>89.1</v>
      </c>
      <c r="CC16" s="1">
        <f>IF(ISNUMBER(CB16)=TRUE,IF(_xlfn.RANK.EQ(CB16,$CB$2:$CB$111)&lt;='Tournament Setup'!$C$39,_xlfn.RANK.EQ(CB16,$CB$2:$CB$111),""),"")</f>
        <v>2</v>
      </c>
      <c r="CD16" s="31" t="str">
        <f>IF(AND($G16='Tournament Setup'!$A$39,$E16="F",$CA16&gt;'Tournament Setup'!$B$39),$H16,"")</f>
        <v/>
      </c>
      <c r="CE16" s="12" t="str">
        <f>IF(ISNUMBER(CD16)=TRUE,IF(_xlfn.RANK.EQ(CD16,$CD$2:$CD$111)&lt;='Tournament Setup'!$D$39,_xlfn.RANK.EQ(CD16,$CD$2:$CD$111),""),"")</f>
        <v/>
      </c>
      <c r="CF16" s="30" t="str">
        <f>IF($G16='Tournament Setup'!$A$40,$H16,"")</f>
        <v/>
      </c>
      <c r="CG16" s="47" t="str">
        <f>IF(ISNUMBER(CF16),IF(COUNTIFS(CG$1:CG15,_xlfn.RANK.EQ(CF16,CF$2:CF$111,0))&gt;0,_xlfn.MAXIFS(CG$1:CG15,CF$1:CF15,CF16)+1,_xlfn.RANK.EQ(CF16,CF$2:CF$111,0)),"")</f>
        <v/>
      </c>
      <c r="CH16" s="1" t="str">
        <f>IF(ISNUMBER(CF16)=TRUE,IF(_xlfn.RANK.EQ(CF16,$CF$2:$CF$111)&lt;='Tournament Setup'!$B$40,_xlfn.RANK.EQ(CF16,$CF$2:$CF$111),""),"")</f>
        <v/>
      </c>
      <c r="CI16" s="31" t="str">
        <f>IF(AND($G16='Tournament Setup'!$A$40,$E16="M",$CH16&gt;'Tournament Setup'!$B$40),$H16,"")</f>
        <v/>
      </c>
      <c r="CJ16" s="1" t="str">
        <f>IF(ISNUMBER(CI16)=TRUE,IF(_xlfn.RANK.EQ(CI16,$CI$2:$CI$111)&lt;='Tournament Setup'!$C$40,_xlfn.RANK.EQ(CI16,$CI$2:$CI$111),""),"")</f>
        <v/>
      </c>
      <c r="CK16" s="31" t="str">
        <f>IF(AND($G16='Tournament Setup'!$A$40,$E16="F",$CH16&gt;'Tournament Setup'!$B$40),$H16,"")</f>
        <v/>
      </c>
      <c r="CL16" s="12" t="str">
        <f>IF(ISNUMBER(CK16)=TRUE,IF(_xlfn.RANK.EQ(CK16,$CK$2:$CK$111)&lt;='Tournament Setup'!$D$40,_xlfn.RANK.EQ(CK16,$CK$2:$CK$111),""),"")</f>
        <v/>
      </c>
      <c r="CM16" s="30" t="str">
        <f>IF($G16='Tournament Setup'!$A$41,$H16,"")</f>
        <v/>
      </c>
      <c r="CN16" s="47" t="str">
        <f>IF(ISNUMBER(CM16),IF(COUNTIFS(CN$1:CN15,_xlfn.RANK.EQ(CM16,CM$2:CM$111,0))&gt;0,_xlfn.MAXIFS(CN$1:CN15,CM$1:CM15,CM16)+1,_xlfn.RANK.EQ(CM16,CM$2:CM$111,0)),"")</f>
        <v/>
      </c>
      <c r="CO16" s="1" t="str">
        <f>IF(ISNUMBER(CM16)=TRUE,IF(_xlfn.RANK.EQ(CM16,$CM$2:$CM$111)&lt;='Tournament Setup'!$B$41,_xlfn.RANK.EQ(CM16,$CM$2:$CM$111),""),"")</f>
        <v/>
      </c>
      <c r="CP16" s="31" t="str">
        <f>IF(AND($G16='Tournament Setup'!$A$41,$E16="M",$CO16&gt;'Tournament Setup'!$B$41),$H16,"")</f>
        <v/>
      </c>
      <c r="CQ16" s="1" t="str">
        <f>IF(ISNUMBER(CP16)=TRUE,IF(_xlfn.RANK.EQ(CP16,$CP$2:$CP$111)&lt;='Tournament Setup'!$C$41,_xlfn.RANK.EQ(CP16,$CP$2:$CP$111),""),"")</f>
        <v/>
      </c>
      <c r="CR16" s="31" t="str">
        <f>IF(AND($G16='Tournament Setup'!$A$41,$E16="F",$CO16&gt;'Tournament Setup'!$B$41),$H16,"")</f>
        <v/>
      </c>
      <c r="CS16" s="12" t="str">
        <f>IF(ISNUMBER(CR16)=TRUE,IF(_xlfn.RANK.EQ(CR16,$CR$2:$CR$111)&lt;='Tournament Setup'!$D$41,_xlfn.RANK.EQ(CR16,$CR$2:$CR$111),""),"")</f>
        <v/>
      </c>
    </row>
    <row r="17" spans="1:97" x14ac:dyDescent="0.3">
      <c r="A17" t="s">
        <v>52</v>
      </c>
      <c r="B17" t="str">
        <f>IFERROR(INDEX('Tournament List'!$B:$B,MATCH($A17,'Tournament List'!$A:$A,0)),"")</f>
        <v>Paul</v>
      </c>
      <c r="C17" t="str">
        <f>IFERROR(INDEX('Tournament List'!$C:$C,MATCH($A17,'Tournament List'!$A:$A,0)),"")</f>
        <v>Last Name16</v>
      </c>
      <c r="D17" t="str">
        <f t="shared" si="0"/>
        <v>Paul Last Name16</v>
      </c>
      <c r="E17" s="1" t="str">
        <f>IFERROR(INDEX('Tournament List'!F:F,MATCH($A17,'Tournament List'!$A:$A,0)),"")</f>
        <v>M</v>
      </c>
      <c r="F17" t="str">
        <f>IFERROR(INDEX('Tournament List'!M:M,MATCH($A17,'Tournament List'!$A:$A,0)),"")</f>
        <v>Varsity</v>
      </c>
      <c r="G17" s="1" t="str">
        <f>IFERROR(INDEX('Tournament List'!W:W,MATCH($A17,'Tournament List'!$A:$A,0)),"")</f>
        <v>D</v>
      </c>
      <c r="H17" s="129">
        <f>IFERROR(INDEX('Tournament List'!Z:Z,MATCH($A17,'Tournament List'!$A:$A,0)),"")</f>
        <v>42</v>
      </c>
      <c r="I17" s="152" t="str">
        <f>IFERROR(INDEX('Tournament List'!T:T,MATCH($A17,'Tournament List'!$A:$A,0)),"")</f>
        <v/>
      </c>
      <c r="J17" s="56" t="str">
        <f>IF(ISNUMBER(I17),IF(COUNTIFS(J$1:J16,_xlfn.RANK.EQ(I17,I$2:I$111,0))&gt;0,_xlfn.MAXIFS(J$1:J16,I$1:I16,I17)+1,_xlfn.RANK.EQ(I17,I$2:I$111,0)),"")</f>
        <v/>
      </c>
      <c r="K17" s="11">
        <f t="shared" si="1"/>
        <v>45</v>
      </c>
      <c r="L17" s="56">
        <f>IF(ISNUMBER(H17),IF(COUNTIFS(L$1:L16,_xlfn.RANK.EQ(H17,H$2:H$111,0))&gt;0,_xlfn.MAXIFS(L$1:L16,H$1:H16,H17)+1,_xlfn.RANK.EQ(H17,H$2:H$111,0)),"")</f>
        <v>45</v>
      </c>
      <c r="M17" s="151">
        <f t="shared" si="2"/>
        <v>42</v>
      </c>
      <c r="N17" s="47">
        <f>IF(ISNUMBER(M17),IF(COUNTIFS(N$1:N16,_xlfn.RANK.EQ(M17,M$2:M$111,0))&gt;0,_xlfn.MAXIFS(N$1:N16,M$1:M16,M17)+1,_xlfn.RANK.EQ(M17,M$2:M$111,0)),"")</f>
        <v>39</v>
      </c>
      <c r="O17" s="1" t="str">
        <f>IF(ISNUMBER(M17)=TRUE,IF(_xlfn.RANK.EQ(M17,$M$2:$M$111)&lt;='Tournament Setup'!$B$23,_xlfn.RANK.EQ(M17,$M$2:$M$111),""),"")</f>
        <v/>
      </c>
      <c r="P17" s="150">
        <f t="shared" si="3"/>
        <v>42</v>
      </c>
      <c r="Q17" s="1" t="str">
        <f>IF(ISNUMBER(P17)=TRUE,IF(_xlfn.RANK.EQ(P17,$P$2:$P$111)&lt;='Tournament Setup'!$B$24,_xlfn.RANK.EQ(P17,$P$2:$P$111),""),"")</f>
        <v/>
      </c>
      <c r="R17" s="150" t="str">
        <f t="shared" si="4"/>
        <v/>
      </c>
      <c r="S17" s="12" t="str">
        <f>IF(ISNUMBER(R17)=TRUE,IF(_xlfn.RANK.EQ(R17,$R$2:$R$111)&lt;='Tournament Setup'!$B$25,_xlfn.RANK.EQ(R17,$R$2:$R$111),""),"")</f>
        <v/>
      </c>
      <c r="T17" s="152" t="str">
        <f>IF(AND($F17='Tournament Setup'!$A$29,$I17&lt;&gt;0),$I17,"")</f>
        <v/>
      </c>
      <c r="U17" s="47" t="str">
        <f>IF(ISNUMBER(T17),IF(COUNTIFS(U$1:U16,_xlfn.RANK.EQ(T17,T$2:T$111,0))&gt;0,_xlfn.MAXIFS(U$1:U16,T$1:T16,T17)+1,_xlfn.RANK.EQ(T17,T$2:T$111,0)),"")</f>
        <v/>
      </c>
      <c r="V17" s="1" t="str">
        <f>IF(ISNUMBER(T17)=TRUE,IF(_xlfn.RANK.EQ(T17,$T$3:$T$112)&lt;='Tournament Setup'!$B$46,_xlfn.RANK.EQ(T17,$T$2:$T$111),""),"")</f>
        <v/>
      </c>
      <c r="W17" s="30" t="str">
        <f>IF(AND($F17='Tournament Setup'!$A$29,SUM($O17,$Q17,$S17)=0),$H17,"")</f>
        <v/>
      </c>
      <c r="X17" s="47" t="str">
        <f>IF(ISNUMBER(W17),IF(COUNTIFS(X$1:X16,_xlfn.RANK.EQ(W17,W$2:W$111,0))&gt;0,_xlfn.MAXIFS(X$1:X16,W$1:W16,W17)+1,_xlfn.RANK.EQ(W17,W$2:W$111,0)),"")</f>
        <v/>
      </c>
      <c r="Y17" s="1" t="str">
        <f>IF(ISNUMBER(W17)=TRUE,IF(_xlfn.RANK.EQ(W17,$W$2:$W$111)&lt;='Tournament Setup'!$B$29,_xlfn.RANK.EQ(W17,$W$2:$W$111),""),"")</f>
        <v/>
      </c>
      <c r="Z17" s="31" t="str">
        <f>IF(AND($F17='Tournament Setup'!$A$29,SUM($O17,$Q17)=0,$E17="M",$Y17&gt;'Tournament Setup'!$B$29),$H17,"")</f>
        <v/>
      </c>
      <c r="AA17" s="1" t="str">
        <f>IF(ISNUMBER(Z17)=TRUE,IF(_xlfn.RANK.EQ(Z17,$Z$2:$Z$111)&lt;='Tournament Setup'!$C$29,_xlfn.RANK.EQ(Z17,$Z$2:$Z$111),""),"")</f>
        <v/>
      </c>
      <c r="AB17" s="31" t="str">
        <f>IF(AND($F17='Tournament Setup'!$A$29,SUM($O17,$S17)=0,$E17="F",$Y17&gt;'Tournament Setup'!$B$29),$H17,"")</f>
        <v/>
      </c>
      <c r="AC17" s="12" t="str">
        <f>IF(ISNUMBER(AB17)=TRUE,IF(_xlfn.RANK.EQ(AB17,$AB$2:$AB$111)&lt;='Tournament Setup'!$D$29,_xlfn.RANK.EQ(AB17,$AB$2:$AB$111),""),"")</f>
        <v/>
      </c>
      <c r="AD17" s="30" t="str">
        <f>IF(AND($F17='Tournament Setup'!$A$30,$I17&lt;&gt;0),$I17,"")</f>
        <v/>
      </c>
      <c r="AE17" s="47" t="str">
        <f>IF(ISNUMBER(AD17),IF(COUNTIFS(AE$1:AE16,_xlfn.RANK.EQ(AD17,AD$2:AD$111,0))&gt;0,_xlfn.MAXIFS(AE$1:AE16,AD$1:AD16,AD17)+1,_xlfn.RANK.EQ(AD17,AD$2:AD$111,0)),"")</f>
        <v/>
      </c>
      <c r="AF17" s="1" t="str">
        <f>IF(ISNUMBER(AD17)=TRUE,IF(_xlfn.RANK.EQ(AD17,$AD$2:$AD$111)&lt;='Tournament Setup'!$B$46,_xlfn.RANK.EQ(AD17,$AD$2:$AD$111),""),"")</f>
        <v/>
      </c>
      <c r="AG17" s="30" t="str">
        <f>IF(AND($F17='Tournament Setup'!$A$30,SUM($O17,$Q17,$S17)=0),$H17,"")</f>
        <v/>
      </c>
      <c r="AH17" s="47" t="str">
        <f>IF(ISNUMBER(AG17),IF(COUNTIFS(AH$1:AH16,_xlfn.RANK.EQ(AG17,AG$2:AG$111,0))&gt;0,_xlfn.MAXIFS(AH$1:AH16,AG$1:AG16,AG17)+1,_xlfn.RANK.EQ(AG17,AG$2:AG$111,0)),"")</f>
        <v/>
      </c>
      <c r="AI17" s="1" t="str">
        <f>IF(ISNUMBER(AG17)=TRUE,IF(_xlfn.RANK.EQ(AG17,$AG$2:$AG$111)&lt;='Tournament Setup'!$B$30,_xlfn.RANK.EQ(AG17,$AG$2:$AG$111),""),"")</f>
        <v/>
      </c>
      <c r="AJ17" s="31" t="str">
        <f>IF(AND($F17='Tournament Setup'!$A$30,SUM($O17,$Q17)=0,$E17="M",$AI17&gt;'Tournament Setup'!$B$30),$H17,"")</f>
        <v/>
      </c>
      <c r="AK17" s="1" t="str">
        <f>IF(ISNUMBER(AJ17)=TRUE,IF(_xlfn.RANK.EQ(AJ17,$AJ$2:$AJ$111)&lt;='Tournament Setup'!$C$30,_xlfn.RANK.EQ(AJ17,$AJ$2:$AJ$111),""),"")</f>
        <v/>
      </c>
      <c r="AL17" s="31" t="str">
        <f>IF(AND($F17='Tournament Setup'!$A$30,SUM($O17,$S17)=0,$E17="F",$AI17&gt;'Tournament Setup'!$B$30),$H17,"")</f>
        <v/>
      </c>
      <c r="AM17" s="12" t="str">
        <f>IF(ISNUMBER(AL17)=TRUE,IF(_xlfn.RANK.EQ(AL17,$AL$2:$AL$111)&lt;='Tournament Setup'!$D$30,_xlfn.RANK.EQ(AL17,$AL$2:$AL$111),""),"")</f>
        <v/>
      </c>
      <c r="AN17" s="30" t="str">
        <f>IF(AND($F17='Tournament Setup'!$A$31,$I17&lt;&gt;0),$I17,"")</f>
        <v/>
      </c>
      <c r="AO17" s="47" t="str">
        <f>IF(ISNUMBER(AN17),IF(COUNTIFS(AO$1:AO16,_xlfn.RANK.EQ(AN17,AN$2:AN$111,0))&gt;0,_xlfn.MAXIFS(AO$1:AO16,AN$1:AN16,AN17)+1,_xlfn.RANK.EQ(AN17,AN$2:AN$111,0)),"")</f>
        <v/>
      </c>
      <c r="AP17" s="1" t="str">
        <f>IF(ISNUMBER(AN17)=TRUE,IF(_xlfn.RANK.EQ(AN17,$AN$2:$AN$111)&lt;='Tournament Setup'!$B$46,_xlfn.RANK.EQ(AN17,$AN$2:$AN$111),""),"")</f>
        <v/>
      </c>
      <c r="AQ17" s="30" t="str">
        <f>IF(AND($F17='Tournament Setup'!$A$31,SUM($O17,$Q17,$S17)=0),$H17,"")</f>
        <v/>
      </c>
      <c r="AR17" s="47" t="str">
        <f>IF(ISNUMBER(AQ17),IF(COUNTIFS(AR$1:AR16,_xlfn.RANK.EQ(AQ17,AQ$2:AQ$111,0))&gt;0,_xlfn.MAXIFS(AR$1:AR16,AQ$1:AQ16,AQ17)+1,_xlfn.RANK.EQ(AQ17,AQ$2:AQ$111,0)),"")</f>
        <v/>
      </c>
      <c r="AS17" s="1" t="str">
        <f>IF(ISNUMBER(AQ17)=TRUE,IF(_xlfn.RANK.EQ(AQ17,$AQ$2:$AQ$111)&lt;='Tournament Setup'!$B$31,_xlfn.RANK.EQ(AQ17,$AQ$2:$AQ$111),""),"")</f>
        <v/>
      </c>
      <c r="AT17" s="31" t="str">
        <f>IF(AND($F17='Tournament Setup'!$A$31,SUM($O17,$Q17)=0,$E17="M",$AS17&gt;'Tournament Setup'!$B$31),$H17,"")</f>
        <v/>
      </c>
      <c r="AU17" s="1" t="str">
        <f>IF(ISNUMBER(AT17)=TRUE,IF(_xlfn.RANK.EQ(AT17,$AT$2:$AT$111)&lt;='Tournament Setup'!$C$31,_xlfn.RANK.EQ(AT17,$AT$2:$AT$111),""),"")</f>
        <v/>
      </c>
      <c r="AV17" s="31" t="str">
        <f>IF(AND($F17='Tournament Setup'!$A$31,SUM($O17,$S17)=0,$E17="F",$AS17&gt;'Tournament Setup'!$B$31),$H17,"")</f>
        <v/>
      </c>
      <c r="AW17" s="12" t="str">
        <f>IF(ISNUMBER(AV17)=TRUE,IF(_xlfn.RANK.EQ(AV17,$AV$2:$AV$111)&lt;='Tournament Setup'!$D$31,_xlfn.RANK.EQ(AV17,$AV$2:$AV$111),""),"")</f>
        <v/>
      </c>
      <c r="AX17" s="30" t="str">
        <f>IF(AND($F17='Tournament Setup'!$A$32,$I17&lt;&gt;0),$I17,"")</f>
        <v/>
      </c>
      <c r="AY17" s="47" t="str">
        <f>IF(ISNUMBER(AX17),IF(COUNTIFS(AY$1:AY16,_xlfn.RANK.EQ(AX17,AX$2:AX$111,0))&gt;0,_xlfn.MAXIFS(AY$1:AY16,AX$1:AX16,AX17)+1,_xlfn.RANK.EQ(AX17,AX$2:AX$111,0)),"")</f>
        <v/>
      </c>
      <c r="AZ17" s="1" t="str">
        <f>IF(ISNUMBER(AX17)=TRUE,IF(_xlfn.RANK.EQ(AX17,$AX$2:$AX$111)&lt;='Tournament Setup'!$B$46,_xlfn.RANK.EQ(AX17,$AX$2:$AX$111),""),"")</f>
        <v/>
      </c>
      <c r="BA17" s="30">
        <f>IF(AND($F17='Tournament Setup'!$A$32,SUM($O17,$Q17,$S17)=0),$H17,"")</f>
        <v>42</v>
      </c>
      <c r="BB17" s="47">
        <f>IF(ISNUMBER(BA17),IF(COUNTIFS(BB$1:BB16,_xlfn.RANK.EQ(BA17,BA$2:BA$111,0))&gt;0,_xlfn.MAXIFS(BB$1:BB16,BA$1:BA16,BA17)+1,_xlfn.RANK.EQ(BA17,BA$2:BA$111,0)),"")</f>
        <v>9</v>
      </c>
      <c r="BC17" s="1" t="str">
        <f>IF(ISNUMBER(BA17)=TRUE,IF(_xlfn.RANK.EQ(BA17,$BA$2:$BA$111)&lt;='Tournament Setup'!$B$32,_xlfn.RANK.EQ(BA17,$BA$2:$BA$111),""),"")</f>
        <v/>
      </c>
      <c r="BD17" s="31">
        <f>IF(AND($F17='Tournament Setup'!$A$32,SUM($O17,$Q17)=0,$E17="M",$BC17&gt;'Tournament Setup'!$B$32),$H17,"")</f>
        <v>42</v>
      </c>
      <c r="BE17" s="1" t="str">
        <f>IF(ISNUMBER(BD17)=TRUE,IF(_xlfn.RANK.EQ(BD17,$BD$2:$BD$111)&lt;='Tournament Setup'!$C$32,_xlfn.RANK.EQ(BD17,$BD$2:$BD$111),""),"")</f>
        <v/>
      </c>
      <c r="BF17" s="31" t="str">
        <f>IF(AND($F17='Tournament Setup'!$A$32,SUM($O17,$S17)=0,$E17="F",$BC17&gt;'Tournament Setup'!$B$32),$H17,"")</f>
        <v/>
      </c>
      <c r="BG17" s="12" t="str">
        <f>IF(ISNUMBER(BF17)=TRUE,IF(_xlfn.RANK.EQ(BF17,$BF$2:$BF$111)&lt;='Tournament Setup'!$D$32,_xlfn.RANK.EQ(BF17,$BF$2:$BF$111),""),"")</f>
        <v/>
      </c>
      <c r="BH17" s="30" t="str">
        <f>IF(AND($F17='Tournament Setup'!$A$33,$I17&lt;&gt;0),$I17,"")</f>
        <v/>
      </c>
      <c r="BI17" s="47" t="str">
        <f>IF(ISNUMBER(BH17),IF(COUNTIFS(BI$1:BI16,_xlfn.RANK.EQ(BH17,BH$2:BH$111,0))&gt;0,_xlfn.MAXIFS(BI$1:BI16,BH$1:BH16,BH17)+1,_xlfn.RANK.EQ(BH17,BH$2:BH$111,0)),"")</f>
        <v/>
      </c>
      <c r="BJ17" s="1" t="str">
        <f>IF(ISNUMBER(BH17)=TRUE,IF(_xlfn.RANK.EQ(BH17,$BH$2:$BH$111)&lt;='Tournament Setup'!$B$46,_xlfn.RANK.EQ(BH17,$BH$2:$BH$111),""),"")</f>
        <v/>
      </c>
      <c r="BK17" s="30" t="str">
        <f>IF(AND($F17='Tournament Setup'!$A$33,SUM($O17,$Q17,$S17)=0),$H17,"")</f>
        <v/>
      </c>
      <c r="BL17" s="47" t="str">
        <f>IF(ISNUMBER(BK17),IF(COUNTIFS(BL$1:BL16,_xlfn.RANK.EQ(BK17,BK$2:BK$111,0))&gt;0,_xlfn.MAXIFS(BL$1:BL16,BK$1:BK16,BK17)+1,_xlfn.RANK.EQ(BK17,BK$2:BK$111,0)),"")</f>
        <v/>
      </c>
      <c r="BM17" s="1" t="str">
        <f>IF(ISNUMBER(BK17)=TRUE,IF(_xlfn.RANK.EQ(BK17,$BK$2:$BK$111)&lt;='Tournament Setup'!$B$33,_xlfn.RANK.EQ(BK17,$BK$2:$BK$111),""),"")</f>
        <v/>
      </c>
      <c r="BN17" s="31" t="str">
        <f>IF(AND($F17='Tournament Setup'!$A$33,SUM($O17,$Q17)=0,$E17="M",$BM17&gt;'Tournament Setup'!$B$33),$H17,"")</f>
        <v/>
      </c>
      <c r="BO17" s="1" t="str">
        <f>IF(ISNUMBER(BN17)=TRUE,IF(_xlfn.RANK.EQ(BN17,$BN$2:$BN$111)&lt;='Tournament Setup'!$C$33,_xlfn.RANK.EQ(BN17,$BN$2:$BN$111),""),"")</f>
        <v/>
      </c>
      <c r="BP17" s="31" t="str">
        <f>IF(AND($F17='Tournament Setup'!$A$33,SUM($O17,$S17)=0,$E17="F",$BM17&gt;'Tournament Setup'!$B$33),$H17,"")</f>
        <v/>
      </c>
      <c r="BQ17" s="12" t="str">
        <f>IF(ISNUMBER(BP17)=TRUE,IF(_xlfn.RANK.EQ(BP17,$BP$2:$BP$111)&lt;='Tournament Setup'!$D$33,_xlfn.RANK.EQ(BP17,$BP$2:$BP$111),""),"")</f>
        <v/>
      </c>
      <c r="BR17" s="30" t="str">
        <f>IF($G17='Tournament Setup'!$A$38,$H17,"")</f>
        <v/>
      </c>
      <c r="BS17" s="47" t="str">
        <f>IF(ISNUMBER(BR17),IF(COUNTIFS(BS$1:BS16,_xlfn.RANK.EQ(BR17,BR$2:BR$111,0))&gt;0,_xlfn.MAXIFS(BS$1:BS16,BR$1:BR16,BR17)+1,_xlfn.RANK.EQ(BR17,BR$2:BR$111,0)),"")</f>
        <v/>
      </c>
      <c r="BT17" s="1" t="str">
        <f>IF(ISNUMBER(BR17)=TRUE,IF(_xlfn.RANK.EQ(BR17,$BR$2:$BR$111)&lt;='Tournament Setup'!$B$38,_xlfn.RANK.EQ(BR17,$BR$2:$BR$111),""),"")</f>
        <v/>
      </c>
      <c r="BU17" s="31" t="str">
        <f>IF(AND($G17='Tournament Setup'!$A$38,$E17="M",$BT17&gt;'Tournament Setup'!$B$38),$H17,"")</f>
        <v/>
      </c>
      <c r="BV17" s="1" t="str">
        <f>IF(ISNUMBER(BU17)=TRUE,IF(_xlfn.RANK.EQ(BU17,$BU$2:$BU$111)&lt;='Tournament Setup'!$C$38,_xlfn.RANK.EQ(BU17,$BU$2:$BU$111),""),"")</f>
        <v/>
      </c>
      <c r="BW17" s="31" t="str">
        <f>IF(AND($G17='Tournament Setup'!$A$38,$E17="F",$BT17&gt;'Tournament Setup'!$B$38),$H17,"")</f>
        <v/>
      </c>
      <c r="BX17" s="12" t="str">
        <f>IF(ISNUMBER(BW17)=TRUE,IF(_xlfn.RANK.EQ(BW17,$BW$2:$BW$111)&lt;='Tournament Setup'!$D$38,_xlfn.RANK.EQ(BW17,$BW$2:$BW$111),""),"")</f>
        <v/>
      </c>
      <c r="BY17" s="30" t="str">
        <f>IF($G17='Tournament Setup'!$A$39,$H17,"")</f>
        <v/>
      </c>
      <c r="BZ17" s="47" t="str">
        <f>IF(ISNUMBER(BY17),IF(COUNTIFS(BZ$1:BZ16,_xlfn.RANK.EQ(BY17,BY$2:BY$111,0))&gt;0,_xlfn.MAXIFS(BZ$1:BZ16,BY$1:BY16,BY17)+1,_xlfn.RANK.EQ(BY17,BY$2:BY$111,0)),"")</f>
        <v/>
      </c>
      <c r="CA17" s="1" t="str">
        <f>IF(ISNUMBER(BY17)=TRUE,IF(_xlfn.RANK.EQ(BY17,$BY$2:$BY$111)&lt;='Tournament Setup'!$B$39,_xlfn.RANK.EQ(BY17,$BY$2:$BY$111),""),"")</f>
        <v/>
      </c>
      <c r="CB17" s="31" t="str">
        <f>IF(AND($G17='Tournament Setup'!$A$39,$E17="M",$CA17&gt;'Tournament Setup'!$B$39),$H17,"")</f>
        <v/>
      </c>
      <c r="CC17" s="1" t="str">
        <f>IF(ISNUMBER(CB17)=TRUE,IF(_xlfn.RANK.EQ(CB17,$CB$2:$CB$111)&lt;='Tournament Setup'!$C$39,_xlfn.RANK.EQ(CB17,$CB$2:$CB$111),""),"")</f>
        <v/>
      </c>
      <c r="CD17" s="31" t="str">
        <f>IF(AND($G17='Tournament Setup'!$A$39,$E17="F",$CA17&gt;'Tournament Setup'!$B$39),$H17,"")</f>
        <v/>
      </c>
      <c r="CE17" s="12" t="str">
        <f>IF(ISNUMBER(CD17)=TRUE,IF(_xlfn.RANK.EQ(CD17,$CD$2:$CD$111)&lt;='Tournament Setup'!$D$39,_xlfn.RANK.EQ(CD17,$CD$2:$CD$111),""),"")</f>
        <v/>
      </c>
      <c r="CF17" s="30" t="str">
        <f>IF($G17='Tournament Setup'!$A$40,$H17,"")</f>
        <v/>
      </c>
      <c r="CG17" s="47" t="str">
        <f>IF(ISNUMBER(CF17),IF(COUNTIFS(CG$1:CG16,_xlfn.RANK.EQ(CF17,CF$2:CF$111,0))&gt;0,_xlfn.MAXIFS(CG$1:CG16,CF$1:CF16,CF17)+1,_xlfn.RANK.EQ(CF17,CF$2:CF$111,0)),"")</f>
        <v/>
      </c>
      <c r="CH17" s="1" t="str">
        <f>IF(ISNUMBER(CF17)=TRUE,IF(_xlfn.RANK.EQ(CF17,$CF$2:$CF$111)&lt;='Tournament Setup'!$B$40,_xlfn.RANK.EQ(CF17,$CF$2:$CF$111),""),"")</f>
        <v/>
      </c>
      <c r="CI17" s="31" t="str">
        <f>IF(AND($G17='Tournament Setup'!$A$40,$E17="M",$CH17&gt;'Tournament Setup'!$B$40),$H17,"")</f>
        <v/>
      </c>
      <c r="CJ17" s="1" t="str">
        <f>IF(ISNUMBER(CI17)=TRUE,IF(_xlfn.RANK.EQ(CI17,$CI$2:$CI$111)&lt;='Tournament Setup'!$C$40,_xlfn.RANK.EQ(CI17,$CI$2:$CI$111),""),"")</f>
        <v/>
      </c>
      <c r="CK17" s="31" t="str">
        <f>IF(AND($G17='Tournament Setup'!$A$40,$E17="F",$CH17&gt;'Tournament Setup'!$B$40),$H17,"")</f>
        <v/>
      </c>
      <c r="CL17" s="12" t="str">
        <f>IF(ISNUMBER(CK17)=TRUE,IF(_xlfn.RANK.EQ(CK17,$CK$2:$CK$111)&lt;='Tournament Setup'!$D$40,_xlfn.RANK.EQ(CK17,$CK$2:$CK$111),""),"")</f>
        <v/>
      </c>
      <c r="CM17" s="30">
        <f>IF($G17='Tournament Setup'!$A$41,$H17,"")</f>
        <v>42</v>
      </c>
      <c r="CN17" s="47">
        <f>IF(ISNUMBER(CM17),IF(COUNTIFS(CN$1:CN16,_xlfn.RANK.EQ(CM17,CM$2:CM$111,0))&gt;0,_xlfn.MAXIFS(CN$1:CN16,CM$1:CM16,CM17)+1,_xlfn.RANK.EQ(CM17,CM$2:CM$111,0)),"")</f>
        <v>7</v>
      </c>
      <c r="CO17" s="1" t="str">
        <f>IF(ISNUMBER(CM17)=TRUE,IF(_xlfn.RANK.EQ(CM17,$CM$2:$CM$111)&lt;='Tournament Setup'!$B$41,_xlfn.RANK.EQ(CM17,$CM$2:$CM$111),""),"")</f>
        <v/>
      </c>
      <c r="CP17" s="31">
        <f>IF(AND($G17='Tournament Setup'!$A$41,$E17="M",$CO17&gt;'Tournament Setup'!$B$41),$H17,"")</f>
        <v>42</v>
      </c>
      <c r="CQ17" s="1" t="str">
        <f>IF(ISNUMBER(CP17)=TRUE,IF(_xlfn.RANK.EQ(CP17,$CP$2:$CP$111)&lt;='Tournament Setup'!$C$41,_xlfn.RANK.EQ(CP17,$CP$2:$CP$111),""),"")</f>
        <v/>
      </c>
      <c r="CR17" s="31" t="str">
        <f>IF(AND($G17='Tournament Setup'!$A$41,$E17="F",$CO17&gt;'Tournament Setup'!$B$41),$H17,"")</f>
        <v/>
      </c>
      <c r="CS17" s="12" t="str">
        <f>IF(ISNUMBER(CR17)=TRUE,IF(_xlfn.RANK.EQ(CR17,$CR$2:$CR$111)&lt;='Tournament Setup'!$D$41,_xlfn.RANK.EQ(CR17,$CR$2:$CR$111),""),"")</f>
        <v/>
      </c>
    </row>
    <row r="18" spans="1:97" x14ac:dyDescent="0.3">
      <c r="A18" t="s">
        <v>53</v>
      </c>
      <c r="B18" t="str">
        <f>IFERROR(INDEX('Tournament List'!$B:$B,MATCH($A18,'Tournament List'!$A:$A,0)),"")</f>
        <v>Joan</v>
      </c>
      <c r="C18" t="str">
        <f>IFERROR(INDEX('Tournament List'!$C:$C,MATCH($A18,'Tournament List'!$A:$A,0)),"")</f>
        <v>Last Name17</v>
      </c>
      <c r="D18" t="str">
        <f t="shared" si="0"/>
        <v>Joan Last Name17</v>
      </c>
      <c r="E18" s="1" t="str">
        <f>IFERROR(INDEX('Tournament List'!F:F,MATCH($A18,'Tournament List'!$A:$A,0)),"")</f>
        <v>F</v>
      </c>
      <c r="F18" t="str">
        <f>IFERROR(INDEX('Tournament List'!M:M,MATCH($A18,'Tournament List'!$A:$A,0)),"")</f>
        <v>Novice</v>
      </c>
      <c r="G18" s="1" t="str">
        <f>IFERROR(INDEX('Tournament List'!W:W,MATCH($A18,'Tournament List'!$A:$A,0)),"")</f>
        <v>D</v>
      </c>
      <c r="H18" s="129">
        <f>IFERROR(INDEX('Tournament List'!Z:Z,MATCH($A18,'Tournament List'!$A:$A,0)),"")</f>
        <v>60</v>
      </c>
      <c r="I18" s="152">
        <f>IFERROR(INDEX('Tournament List'!T:T,MATCH($A18,'Tournament List'!$A:$A,0)),"")</f>
        <v>220</v>
      </c>
      <c r="J18" s="56">
        <f>IF(ISNUMBER(I18),IF(COUNTIFS(J$1:J17,_xlfn.RANK.EQ(I18,I$2:I$111,0))&gt;0,_xlfn.MAXIFS(J$1:J17,I$1:I17,I18)+1,_xlfn.RANK.EQ(I18,I$2:I$111,0)),"")</f>
        <v>6</v>
      </c>
      <c r="K18" s="11">
        <f t="shared" si="1"/>
        <v>35</v>
      </c>
      <c r="L18" s="56">
        <f>IF(ISNUMBER(H18),IF(COUNTIFS(L$1:L17,_xlfn.RANK.EQ(H18,H$2:H$111,0))&gt;0,_xlfn.MAXIFS(L$1:L17,H$1:H17,H18)+1,_xlfn.RANK.EQ(H18,H$2:H$111,0)),"")</f>
        <v>35</v>
      </c>
      <c r="M18" s="151">
        <f t="shared" si="2"/>
        <v>60</v>
      </c>
      <c r="N18" s="47">
        <f>IF(ISNUMBER(M18),IF(COUNTIFS(N$1:N17,_xlfn.RANK.EQ(M18,M$2:M$111,0))&gt;0,_xlfn.MAXIFS(N$1:N17,M$1:M17,M18)+1,_xlfn.RANK.EQ(M18,M$2:M$111,0)),"")</f>
        <v>33</v>
      </c>
      <c r="O18" s="1" t="str">
        <f>IF(ISNUMBER(M18)=TRUE,IF(_xlfn.RANK.EQ(M18,$M$2:$M$111)&lt;='Tournament Setup'!$B$23,_xlfn.RANK.EQ(M18,$M$2:$M$111),""),"")</f>
        <v/>
      </c>
      <c r="P18" s="150" t="str">
        <f t="shared" si="3"/>
        <v/>
      </c>
      <c r="Q18" s="1" t="str">
        <f>IF(ISNUMBER(P18)=TRUE,IF(_xlfn.RANK.EQ(P18,$P$2:$P$111)&lt;='Tournament Setup'!$B$24,_xlfn.RANK.EQ(P18,$P$2:$P$111),""),"")</f>
        <v/>
      </c>
      <c r="R18" s="150">
        <f t="shared" si="4"/>
        <v>60</v>
      </c>
      <c r="S18" s="12" t="str">
        <f>IF(ISNUMBER(R18)=TRUE,IF(_xlfn.RANK.EQ(R18,$R$2:$R$111)&lt;='Tournament Setup'!$B$25,_xlfn.RANK.EQ(R18,$R$2:$R$111),""),"")</f>
        <v/>
      </c>
      <c r="T18" s="152">
        <f>IF(AND($F18='Tournament Setup'!$A$29,$I18&lt;&gt;0),$I18,"")</f>
        <v>220</v>
      </c>
      <c r="U18" s="47">
        <f>IF(ISNUMBER(T18),IF(COUNTIFS(U$1:U17,_xlfn.RANK.EQ(T18,T$2:T$111,0))&gt;0,_xlfn.MAXIFS(U$1:U17,T$1:T17,T18)+1,_xlfn.RANK.EQ(T18,T$2:T$111,0)),"")</f>
        <v>1</v>
      </c>
      <c r="V18" s="1">
        <f>IF(ISNUMBER(T18)=TRUE,IF(_xlfn.RANK.EQ(T18,$T$3:$T$112)&lt;='Tournament Setup'!$B$46,_xlfn.RANK.EQ(T18,$T$2:$T$111),""),"")</f>
        <v>1</v>
      </c>
      <c r="W18" s="30">
        <f>IF(AND($F18='Tournament Setup'!$A$29,SUM($O18,$Q18,$S18)=0),$H18,"")</f>
        <v>60</v>
      </c>
      <c r="X18" s="47">
        <f>IF(ISNUMBER(W18),IF(COUNTIFS(X$1:X17,_xlfn.RANK.EQ(W18,W$2:W$111,0))&gt;0,_xlfn.MAXIFS(X$1:X17,W$1:W17,W18)+1,_xlfn.RANK.EQ(W18,W$2:W$111,0)),"")</f>
        <v>8</v>
      </c>
      <c r="Y18" s="1" t="str">
        <f>IF(ISNUMBER(W18)=TRUE,IF(_xlfn.RANK.EQ(W18,$W$2:$W$111)&lt;='Tournament Setup'!$B$29,_xlfn.RANK.EQ(W18,$W$2:$W$111),""),"")</f>
        <v/>
      </c>
      <c r="Z18" s="31" t="str">
        <f>IF(AND($F18='Tournament Setup'!$A$29,SUM($O18,$Q18)=0,$E18="M",$Y18&gt;'Tournament Setup'!$B$29),$H18,"")</f>
        <v/>
      </c>
      <c r="AA18" s="1" t="str">
        <f>IF(ISNUMBER(Z18)=TRUE,IF(_xlfn.RANK.EQ(Z18,$Z$2:$Z$111)&lt;='Tournament Setup'!$C$29,_xlfn.RANK.EQ(Z18,$Z$2:$Z$111),""),"")</f>
        <v/>
      </c>
      <c r="AB18" s="31">
        <f>IF(AND($F18='Tournament Setup'!$A$29,SUM($O18,$S18)=0,$E18="F",$Y18&gt;'Tournament Setup'!$B$29),$H18,"")</f>
        <v>60</v>
      </c>
      <c r="AC18" s="12">
        <f>IF(ISNUMBER(AB18)=TRUE,IF(_xlfn.RANK.EQ(AB18,$AB$2:$AB$111)&lt;='Tournament Setup'!$D$29,_xlfn.RANK.EQ(AB18,$AB$2:$AB$111),""),"")</f>
        <v>3</v>
      </c>
      <c r="AD18" s="30" t="str">
        <f>IF(AND($F18='Tournament Setup'!$A$30,$I18&lt;&gt;0),$I18,"")</f>
        <v/>
      </c>
      <c r="AE18" s="47" t="str">
        <f>IF(ISNUMBER(AD18),IF(COUNTIFS(AE$1:AE17,_xlfn.RANK.EQ(AD18,AD$2:AD$111,0))&gt;0,_xlfn.MAXIFS(AE$1:AE17,AD$1:AD17,AD18)+1,_xlfn.RANK.EQ(AD18,AD$2:AD$111,0)),"")</f>
        <v/>
      </c>
      <c r="AF18" s="1" t="str">
        <f>IF(ISNUMBER(AD18)=TRUE,IF(_xlfn.RANK.EQ(AD18,$AD$2:$AD$111)&lt;='Tournament Setup'!$B$46,_xlfn.RANK.EQ(AD18,$AD$2:$AD$111),""),"")</f>
        <v/>
      </c>
      <c r="AG18" s="30" t="str">
        <f>IF(AND($F18='Tournament Setup'!$A$30,SUM($O18,$Q18,$S18)=0),$H18,"")</f>
        <v/>
      </c>
      <c r="AH18" s="47" t="str">
        <f>IF(ISNUMBER(AG18),IF(COUNTIFS(AH$1:AH17,_xlfn.RANK.EQ(AG18,AG$2:AG$111,0))&gt;0,_xlfn.MAXIFS(AH$1:AH17,AG$1:AG17,AG18)+1,_xlfn.RANK.EQ(AG18,AG$2:AG$111,0)),"")</f>
        <v/>
      </c>
      <c r="AI18" s="1" t="str">
        <f>IF(ISNUMBER(AG18)=TRUE,IF(_xlfn.RANK.EQ(AG18,$AG$2:$AG$111)&lt;='Tournament Setup'!$B$30,_xlfn.RANK.EQ(AG18,$AG$2:$AG$111),""),"")</f>
        <v/>
      </c>
      <c r="AJ18" s="31" t="str">
        <f>IF(AND($F18='Tournament Setup'!$A$30,SUM($O18,$Q18)=0,$E18="M",$AI18&gt;'Tournament Setup'!$B$30),$H18,"")</f>
        <v/>
      </c>
      <c r="AK18" s="1" t="str">
        <f>IF(ISNUMBER(AJ18)=TRUE,IF(_xlfn.RANK.EQ(AJ18,$AJ$2:$AJ$111)&lt;='Tournament Setup'!$C$30,_xlfn.RANK.EQ(AJ18,$AJ$2:$AJ$111),""),"")</f>
        <v/>
      </c>
      <c r="AL18" s="31" t="str">
        <f>IF(AND($F18='Tournament Setup'!$A$30,SUM($O18,$S18)=0,$E18="F",$AI18&gt;'Tournament Setup'!$B$30),$H18,"")</f>
        <v/>
      </c>
      <c r="AM18" s="12" t="str">
        <f>IF(ISNUMBER(AL18)=TRUE,IF(_xlfn.RANK.EQ(AL18,$AL$2:$AL$111)&lt;='Tournament Setup'!$D$30,_xlfn.RANK.EQ(AL18,$AL$2:$AL$111),""),"")</f>
        <v/>
      </c>
      <c r="AN18" s="30" t="str">
        <f>IF(AND($F18='Tournament Setup'!$A$31,$I18&lt;&gt;0),$I18,"")</f>
        <v/>
      </c>
      <c r="AO18" s="47" t="str">
        <f>IF(ISNUMBER(AN18),IF(COUNTIFS(AO$1:AO17,_xlfn.RANK.EQ(AN18,AN$2:AN$111,0))&gt;0,_xlfn.MAXIFS(AO$1:AO17,AN$1:AN17,AN18)+1,_xlfn.RANK.EQ(AN18,AN$2:AN$111,0)),"")</f>
        <v/>
      </c>
      <c r="AP18" s="1" t="str">
        <f>IF(ISNUMBER(AN18)=TRUE,IF(_xlfn.RANK.EQ(AN18,$AN$2:$AN$111)&lt;='Tournament Setup'!$B$46,_xlfn.RANK.EQ(AN18,$AN$2:$AN$111),""),"")</f>
        <v/>
      </c>
      <c r="AQ18" s="30" t="str">
        <f>IF(AND($F18='Tournament Setup'!$A$31,SUM($O18,$Q18,$S18)=0),$H18,"")</f>
        <v/>
      </c>
      <c r="AR18" s="47" t="str">
        <f>IF(ISNUMBER(AQ18),IF(COUNTIFS(AR$1:AR17,_xlfn.RANK.EQ(AQ18,AQ$2:AQ$111,0))&gt;0,_xlfn.MAXIFS(AR$1:AR17,AQ$1:AQ17,AQ18)+1,_xlfn.RANK.EQ(AQ18,AQ$2:AQ$111,0)),"")</f>
        <v/>
      </c>
      <c r="AS18" s="1" t="str">
        <f>IF(ISNUMBER(AQ18)=TRUE,IF(_xlfn.RANK.EQ(AQ18,$AQ$2:$AQ$111)&lt;='Tournament Setup'!$B$31,_xlfn.RANK.EQ(AQ18,$AQ$2:$AQ$111),""),"")</f>
        <v/>
      </c>
      <c r="AT18" s="31" t="str">
        <f>IF(AND($F18='Tournament Setup'!$A$31,SUM($O18,$Q18)=0,$E18="M",$AS18&gt;'Tournament Setup'!$B$31),$H18,"")</f>
        <v/>
      </c>
      <c r="AU18" s="1" t="str">
        <f>IF(ISNUMBER(AT18)=TRUE,IF(_xlfn.RANK.EQ(AT18,$AT$2:$AT$111)&lt;='Tournament Setup'!$C$31,_xlfn.RANK.EQ(AT18,$AT$2:$AT$111),""),"")</f>
        <v/>
      </c>
      <c r="AV18" s="31" t="str">
        <f>IF(AND($F18='Tournament Setup'!$A$31,SUM($O18,$S18)=0,$E18="F",$AS18&gt;'Tournament Setup'!$B$31),$H18,"")</f>
        <v/>
      </c>
      <c r="AW18" s="12" t="str">
        <f>IF(ISNUMBER(AV18)=TRUE,IF(_xlfn.RANK.EQ(AV18,$AV$2:$AV$111)&lt;='Tournament Setup'!$D$31,_xlfn.RANK.EQ(AV18,$AV$2:$AV$111),""),"")</f>
        <v/>
      </c>
      <c r="AX18" s="30" t="str">
        <f>IF(AND($F18='Tournament Setup'!$A$32,$I18&lt;&gt;0),$I18,"")</f>
        <v/>
      </c>
      <c r="AY18" s="47" t="str">
        <f>IF(ISNUMBER(AX18),IF(COUNTIFS(AY$1:AY17,_xlfn.RANK.EQ(AX18,AX$2:AX$111,0))&gt;0,_xlfn.MAXIFS(AY$1:AY17,AX$1:AX17,AX18)+1,_xlfn.RANK.EQ(AX18,AX$2:AX$111,0)),"")</f>
        <v/>
      </c>
      <c r="AZ18" s="1" t="str">
        <f>IF(ISNUMBER(AX18)=TRUE,IF(_xlfn.RANK.EQ(AX18,$AX$2:$AX$111)&lt;='Tournament Setup'!$B$46,_xlfn.RANK.EQ(AX18,$AX$2:$AX$111),""),"")</f>
        <v/>
      </c>
      <c r="BA18" s="30" t="str">
        <f>IF(AND($F18='Tournament Setup'!$A$32,SUM($O18,$Q18,$S18)=0),$H18,"")</f>
        <v/>
      </c>
      <c r="BB18" s="47" t="str">
        <f>IF(ISNUMBER(BA18),IF(COUNTIFS(BB$1:BB17,_xlfn.RANK.EQ(BA18,BA$2:BA$111,0))&gt;0,_xlfn.MAXIFS(BB$1:BB17,BA$1:BA17,BA18)+1,_xlfn.RANK.EQ(BA18,BA$2:BA$111,0)),"")</f>
        <v/>
      </c>
      <c r="BC18" s="1" t="str">
        <f>IF(ISNUMBER(BA18)=TRUE,IF(_xlfn.RANK.EQ(BA18,$BA$2:$BA$111)&lt;='Tournament Setup'!$B$32,_xlfn.RANK.EQ(BA18,$BA$2:$BA$111),""),"")</f>
        <v/>
      </c>
      <c r="BD18" s="31" t="str">
        <f>IF(AND($F18='Tournament Setup'!$A$32,SUM($O18,$Q18)=0,$E18="M",$BC18&gt;'Tournament Setup'!$B$32),$H18,"")</f>
        <v/>
      </c>
      <c r="BE18" s="1" t="str">
        <f>IF(ISNUMBER(BD18)=TRUE,IF(_xlfn.RANK.EQ(BD18,$BD$2:$BD$111)&lt;='Tournament Setup'!$C$32,_xlfn.RANK.EQ(BD18,$BD$2:$BD$111),""),"")</f>
        <v/>
      </c>
      <c r="BF18" s="31" t="str">
        <f>IF(AND($F18='Tournament Setup'!$A$32,SUM($O18,$S18)=0,$E18="F",$BC18&gt;'Tournament Setup'!$B$32),$H18,"")</f>
        <v/>
      </c>
      <c r="BG18" s="12" t="str">
        <f>IF(ISNUMBER(BF18)=TRUE,IF(_xlfn.RANK.EQ(BF18,$BF$2:$BF$111)&lt;='Tournament Setup'!$D$32,_xlfn.RANK.EQ(BF18,$BF$2:$BF$111),""),"")</f>
        <v/>
      </c>
      <c r="BH18" s="30" t="str">
        <f>IF(AND($F18='Tournament Setup'!$A$33,$I18&lt;&gt;0),$I18,"")</f>
        <v/>
      </c>
      <c r="BI18" s="47" t="str">
        <f>IF(ISNUMBER(BH18),IF(COUNTIFS(BI$1:BI17,_xlfn.RANK.EQ(BH18,BH$2:BH$111,0))&gt;0,_xlfn.MAXIFS(BI$1:BI17,BH$1:BH17,BH18)+1,_xlfn.RANK.EQ(BH18,BH$2:BH$111,0)),"")</f>
        <v/>
      </c>
      <c r="BJ18" s="1" t="str">
        <f>IF(ISNUMBER(BH18)=TRUE,IF(_xlfn.RANK.EQ(BH18,$BH$2:$BH$111)&lt;='Tournament Setup'!$B$46,_xlfn.RANK.EQ(BH18,$BH$2:$BH$111),""),"")</f>
        <v/>
      </c>
      <c r="BK18" s="30" t="str">
        <f>IF(AND($F18='Tournament Setup'!$A$33,SUM($O18,$Q18,$S18)=0),$H18,"")</f>
        <v/>
      </c>
      <c r="BL18" s="47" t="str">
        <f>IF(ISNUMBER(BK18),IF(COUNTIFS(BL$1:BL17,_xlfn.RANK.EQ(BK18,BK$2:BK$111,0))&gt;0,_xlfn.MAXIFS(BL$1:BL17,BK$1:BK17,BK18)+1,_xlfn.RANK.EQ(BK18,BK$2:BK$111,0)),"")</f>
        <v/>
      </c>
      <c r="BM18" s="1" t="str">
        <f>IF(ISNUMBER(BK18)=TRUE,IF(_xlfn.RANK.EQ(BK18,$BK$2:$BK$111)&lt;='Tournament Setup'!$B$33,_xlfn.RANK.EQ(BK18,$BK$2:$BK$111),""),"")</f>
        <v/>
      </c>
      <c r="BN18" s="31" t="str">
        <f>IF(AND($F18='Tournament Setup'!$A$33,SUM($O18,$Q18)=0,$E18="M",$BM18&gt;'Tournament Setup'!$B$33),$H18,"")</f>
        <v/>
      </c>
      <c r="BO18" s="1" t="str">
        <f>IF(ISNUMBER(BN18)=TRUE,IF(_xlfn.RANK.EQ(BN18,$BN$2:$BN$111)&lt;='Tournament Setup'!$C$33,_xlfn.RANK.EQ(BN18,$BN$2:$BN$111),""),"")</f>
        <v/>
      </c>
      <c r="BP18" s="31" t="str">
        <f>IF(AND($F18='Tournament Setup'!$A$33,SUM($O18,$S18)=0,$E18="F",$BM18&gt;'Tournament Setup'!$B$33),$H18,"")</f>
        <v/>
      </c>
      <c r="BQ18" s="12" t="str">
        <f>IF(ISNUMBER(BP18)=TRUE,IF(_xlfn.RANK.EQ(BP18,$BP$2:$BP$111)&lt;='Tournament Setup'!$D$33,_xlfn.RANK.EQ(BP18,$BP$2:$BP$111),""),"")</f>
        <v/>
      </c>
      <c r="BR18" s="30" t="str">
        <f>IF($G18='Tournament Setup'!$A$38,$H18,"")</f>
        <v/>
      </c>
      <c r="BS18" s="47" t="str">
        <f>IF(ISNUMBER(BR18),IF(COUNTIFS(BS$1:BS17,_xlfn.RANK.EQ(BR18,BR$2:BR$111,0))&gt;0,_xlfn.MAXIFS(BS$1:BS17,BR$1:BR17,BR18)+1,_xlfn.RANK.EQ(BR18,BR$2:BR$111,0)),"")</f>
        <v/>
      </c>
      <c r="BT18" s="1" t="str">
        <f>IF(ISNUMBER(BR18)=TRUE,IF(_xlfn.RANK.EQ(BR18,$BR$2:$BR$111)&lt;='Tournament Setup'!$B$38,_xlfn.RANK.EQ(BR18,$BR$2:$BR$111),""),"")</f>
        <v/>
      </c>
      <c r="BU18" s="31" t="str">
        <f>IF(AND($G18='Tournament Setup'!$A$38,$E18="M",$BT18&gt;'Tournament Setup'!$B$38),$H18,"")</f>
        <v/>
      </c>
      <c r="BV18" s="1" t="str">
        <f>IF(ISNUMBER(BU18)=TRUE,IF(_xlfn.RANK.EQ(BU18,$BU$2:$BU$111)&lt;='Tournament Setup'!$C$38,_xlfn.RANK.EQ(BU18,$BU$2:$BU$111),""),"")</f>
        <v/>
      </c>
      <c r="BW18" s="31" t="str">
        <f>IF(AND($G18='Tournament Setup'!$A$38,$E18="F",$BT18&gt;'Tournament Setup'!$B$38),$H18,"")</f>
        <v/>
      </c>
      <c r="BX18" s="12" t="str">
        <f>IF(ISNUMBER(BW18)=TRUE,IF(_xlfn.RANK.EQ(BW18,$BW$2:$BW$111)&lt;='Tournament Setup'!$D$38,_xlfn.RANK.EQ(BW18,$BW$2:$BW$111),""),"")</f>
        <v/>
      </c>
      <c r="BY18" s="30" t="str">
        <f>IF($G18='Tournament Setup'!$A$39,$H18,"")</f>
        <v/>
      </c>
      <c r="BZ18" s="47" t="str">
        <f>IF(ISNUMBER(BY18),IF(COUNTIFS(BZ$1:BZ17,_xlfn.RANK.EQ(BY18,BY$2:BY$111,0))&gt;0,_xlfn.MAXIFS(BZ$1:BZ17,BY$1:BY17,BY18)+1,_xlfn.RANK.EQ(BY18,BY$2:BY$111,0)),"")</f>
        <v/>
      </c>
      <c r="CA18" s="1" t="str">
        <f>IF(ISNUMBER(BY18)=TRUE,IF(_xlfn.RANK.EQ(BY18,$BY$2:$BY$111)&lt;='Tournament Setup'!$B$39,_xlfn.RANK.EQ(BY18,$BY$2:$BY$111),""),"")</f>
        <v/>
      </c>
      <c r="CB18" s="31" t="str">
        <f>IF(AND($G18='Tournament Setup'!$A$39,$E18="M",$CA18&gt;'Tournament Setup'!$B$39),$H18,"")</f>
        <v/>
      </c>
      <c r="CC18" s="1" t="str">
        <f>IF(ISNUMBER(CB18)=TRUE,IF(_xlfn.RANK.EQ(CB18,$CB$2:$CB$111)&lt;='Tournament Setup'!$C$39,_xlfn.RANK.EQ(CB18,$CB$2:$CB$111),""),"")</f>
        <v/>
      </c>
      <c r="CD18" s="31" t="str">
        <f>IF(AND($G18='Tournament Setup'!$A$39,$E18="F",$CA18&gt;'Tournament Setup'!$B$39),$H18,"")</f>
        <v/>
      </c>
      <c r="CE18" s="12" t="str">
        <f>IF(ISNUMBER(CD18)=TRUE,IF(_xlfn.RANK.EQ(CD18,$CD$2:$CD$111)&lt;='Tournament Setup'!$D$39,_xlfn.RANK.EQ(CD18,$CD$2:$CD$111),""),"")</f>
        <v/>
      </c>
      <c r="CF18" s="30" t="str">
        <f>IF($G18='Tournament Setup'!$A$40,$H18,"")</f>
        <v/>
      </c>
      <c r="CG18" s="47" t="str">
        <f>IF(ISNUMBER(CF18),IF(COUNTIFS(CG$1:CG17,_xlfn.RANK.EQ(CF18,CF$2:CF$111,0))&gt;0,_xlfn.MAXIFS(CG$1:CG17,CF$1:CF17,CF18)+1,_xlfn.RANK.EQ(CF18,CF$2:CF$111,0)),"")</f>
        <v/>
      </c>
      <c r="CH18" s="1" t="str">
        <f>IF(ISNUMBER(CF18)=TRUE,IF(_xlfn.RANK.EQ(CF18,$CF$2:$CF$111)&lt;='Tournament Setup'!$B$40,_xlfn.RANK.EQ(CF18,$CF$2:$CF$111),""),"")</f>
        <v/>
      </c>
      <c r="CI18" s="31" t="str">
        <f>IF(AND($G18='Tournament Setup'!$A$40,$E18="M",$CH18&gt;'Tournament Setup'!$B$40),$H18,"")</f>
        <v/>
      </c>
      <c r="CJ18" s="1" t="str">
        <f>IF(ISNUMBER(CI18)=TRUE,IF(_xlfn.RANK.EQ(CI18,$CI$2:$CI$111)&lt;='Tournament Setup'!$C$40,_xlfn.RANK.EQ(CI18,$CI$2:$CI$111),""),"")</f>
        <v/>
      </c>
      <c r="CK18" s="31" t="str">
        <f>IF(AND($G18='Tournament Setup'!$A$40,$E18="F",$CH18&gt;'Tournament Setup'!$B$40),$H18,"")</f>
        <v/>
      </c>
      <c r="CL18" s="12" t="str">
        <f>IF(ISNUMBER(CK18)=TRUE,IF(_xlfn.RANK.EQ(CK18,$CK$2:$CK$111)&lt;='Tournament Setup'!$D$40,_xlfn.RANK.EQ(CK18,$CK$2:$CK$111),""),"")</f>
        <v/>
      </c>
      <c r="CM18" s="30">
        <f>IF($G18='Tournament Setup'!$A$41,$H18,"")</f>
        <v>60</v>
      </c>
      <c r="CN18" s="47">
        <f>IF(ISNUMBER(CM18),IF(COUNTIFS(CN$1:CN17,_xlfn.RANK.EQ(CM18,CM$2:CM$111,0))&gt;0,_xlfn.MAXIFS(CN$1:CN17,CM$1:CM17,CM18)+1,_xlfn.RANK.EQ(CM18,CM$2:CM$111,0)),"")</f>
        <v>4</v>
      </c>
      <c r="CO18" s="1" t="str">
        <f>IF(ISNUMBER(CM18)=TRUE,IF(_xlfn.RANK.EQ(CM18,$CM$2:$CM$111)&lt;='Tournament Setup'!$B$41,_xlfn.RANK.EQ(CM18,$CM$2:$CM$111),""),"")</f>
        <v/>
      </c>
      <c r="CP18" s="31" t="str">
        <f>IF(AND($G18='Tournament Setup'!$A$41,$E18="M",$CO18&gt;'Tournament Setup'!$B$41),$H18,"")</f>
        <v/>
      </c>
      <c r="CQ18" s="1" t="str">
        <f>IF(ISNUMBER(CP18)=TRUE,IF(_xlfn.RANK.EQ(CP18,$CP$2:$CP$111)&lt;='Tournament Setup'!$C$41,_xlfn.RANK.EQ(CP18,$CP$2:$CP$111),""),"")</f>
        <v/>
      </c>
      <c r="CR18" s="31">
        <f>IF(AND($G18='Tournament Setup'!$A$41,$E18="F",$CO18&gt;'Tournament Setup'!$B$41),$H18,"")</f>
        <v>60</v>
      </c>
      <c r="CS18" s="12">
        <f>IF(ISNUMBER(CR18)=TRUE,IF(_xlfn.RANK.EQ(CR18,$CR$2:$CR$111)&lt;='Tournament Setup'!$D$41,_xlfn.RANK.EQ(CR18,$CR$2:$CR$111),""),"")</f>
        <v>2</v>
      </c>
    </row>
    <row r="19" spans="1:97" x14ac:dyDescent="0.3">
      <c r="A19" t="s">
        <v>54</v>
      </c>
      <c r="B19" t="str">
        <f>IFERROR(INDEX('Tournament List'!$B:$B,MATCH($A19,'Tournament List'!$A:$A,0)),"")</f>
        <v>Jill</v>
      </c>
      <c r="C19" t="str">
        <f>IFERROR(INDEX('Tournament List'!$C:$C,MATCH($A19,'Tournament List'!$A:$A,0)),"")</f>
        <v>Last Name18</v>
      </c>
      <c r="D19" t="str">
        <f t="shared" si="0"/>
        <v>Jill Last Name18</v>
      </c>
      <c r="E19" s="1" t="str">
        <f>IFERROR(INDEX('Tournament List'!F:F,MATCH($A19,'Tournament List'!$A:$A,0)),"")</f>
        <v>F</v>
      </c>
      <c r="F19" t="str">
        <f>IFERROR(INDEX('Tournament List'!M:M,MATCH($A19,'Tournament List'!$A:$A,0)),"")</f>
        <v>Collegiate</v>
      </c>
      <c r="G19" s="1" t="str">
        <f>IFERROR(INDEX('Tournament List'!W:W,MATCH($A19,'Tournament List'!$A:$A,0)),"")</f>
        <v>C</v>
      </c>
      <c r="H19" s="129">
        <f>IFERROR(INDEX('Tournament List'!Z:Z,MATCH($A19,'Tournament List'!$A:$A,0)),"")</f>
        <v>90</v>
      </c>
      <c r="I19" s="152" t="str">
        <f>IFERROR(INDEX('Tournament List'!T:T,MATCH($A19,'Tournament List'!$A:$A,0)),"")</f>
        <v/>
      </c>
      <c r="J19" s="56" t="str">
        <f>IF(ISNUMBER(I19),IF(COUNTIFS(J$1:J18,_xlfn.RANK.EQ(I19,I$2:I$111,0))&gt;0,_xlfn.MAXIFS(J$1:J18,I$1:I18,I19)+1,_xlfn.RANK.EQ(I19,I$2:I$111,0)),"")</f>
        <v/>
      </c>
      <c r="K19" s="11">
        <f t="shared" si="1"/>
        <v>7</v>
      </c>
      <c r="L19" s="56">
        <f>IF(ISNUMBER(H19),IF(COUNTIFS(L$1:L18,_xlfn.RANK.EQ(H19,H$2:H$111,0))&gt;0,_xlfn.MAXIFS(L$1:L18,H$1:H18,H19)+1,_xlfn.RANK.EQ(H19,H$2:H$111,0)),"")</f>
        <v>7</v>
      </c>
      <c r="M19" s="151" t="str">
        <f t="shared" si="2"/>
        <v/>
      </c>
      <c r="N19" s="47" t="str">
        <f>IF(ISNUMBER(M19),IF(COUNTIFS(N$1:N18,_xlfn.RANK.EQ(M19,M$2:M$111,0))&gt;0,_xlfn.MAXIFS(N$1:N18,M$1:M18,M19)+1,_xlfn.RANK.EQ(M19,M$2:M$111,0)),"")</f>
        <v/>
      </c>
      <c r="O19" s="1" t="str">
        <f>IF(ISNUMBER(M19)=TRUE,IF(_xlfn.RANK.EQ(M19,$M$2:$M$111)&lt;='Tournament Setup'!$B$23,_xlfn.RANK.EQ(M19,$M$2:$M$111),""),"")</f>
        <v/>
      </c>
      <c r="P19" s="150" t="str">
        <f t="shared" si="3"/>
        <v/>
      </c>
      <c r="Q19" s="1" t="str">
        <f>IF(ISNUMBER(P19)=TRUE,IF(_xlfn.RANK.EQ(P19,$P$2:$P$111)&lt;='Tournament Setup'!$B$24,_xlfn.RANK.EQ(P19,$P$2:$P$111),""),"")</f>
        <v/>
      </c>
      <c r="R19" s="150" t="str">
        <f t="shared" si="4"/>
        <v/>
      </c>
      <c r="S19" s="12" t="str">
        <f>IF(ISNUMBER(R19)=TRUE,IF(_xlfn.RANK.EQ(R19,$R$2:$R$111)&lt;='Tournament Setup'!$B$25,_xlfn.RANK.EQ(R19,$R$2:$R$111),""),"")</f>
        <v/>
      </c>
      <c r="T19" s="152" t="str">
        <f>IF(AND($F19='Tournament Setup'!$A$29,$I19&lt;&gt;0),$I19,"")</f>
        <v/>
      </c>
      <c r="U19" s="47" t="str">
        <f>IF(ISNUMBER(T19),IF(COUNTIFS(U$1:U18,_xlfn.RANK.EQ(T19,T$2:T$111,0))&gt;0,_xlfn.MAXIFS(U$1:U18,T$1:T18,T19)+1,_xlfn.RANK.EQ(T19,T$2:T$111,0)),"")</f>
        <v/>
      </c>
      <c r="V19" s="1" t="str">
        <f>IF(ISNUMBER(T19)=TRUE,IF(_xlfn.RANK.EQ(T19,$T$3:$T$112)&lt;='Tournament Setup'!$B$46,_xlfn.RANK.EQ(T19,$T$2:$T$111),""),"")</f>
        <v/>
      </c>
      <c r="W19" s="30" t="str">
        <f>IF(AND($F19='Tournament Setup'!$A$29,SUM($O19,$Q19,$S19)=0),$H19,"")</f>
        <v/>
      </c>
      <c r="X19" s="47" t="str">
        <f>IF(ISNUMBER(W19),IF(COUNTIFS(X$1:X18,_xlfn.RANK.EQ(W19,W$2:W$111,0))&gt;0,_xlfn.MAXIFS(X$1:X18,W$1:W18,W19)+1,_xlfn.RANK.EQ(W19,W$2:W$111,0)),"")</f>
        <v/>
      </c>
      <c r="Y19" s="1" t="str">
        <f>IF(ISNUMBER(W19)=TRUE,IF(_xlfn.RANK.EQ(W19,$W$2:$W$111)&lt;='Tournament Setup'!$B$29,_xlfn.RANK.EQ(W19,$W$2:$W$111),""),"")</f>
        <v/>
      </c>
      <c r="Z19" s="31" t="str">
        <f>IF(AND($F19='Tournament Setup'!$A$29,SUM($O19,$Q19)=0,$E19="M",$Y19&gt;'Tournament Setup'!$B$29),$H19,"")</f>
        <v/>
      </c>
      <c r="AA19" s="1" t="str">
        <f>IF(ISNUMBER(Z19)=TRUE,IF(_xlfn.RANK.EQ(Z19,$Z$2:$Z$111)&lt;='Tournament Setup'!$C$29,_xlfn.RANK.EQ(Z19,$Z$2:$Z$111),""),"")</f>
        <v/>
      </c>
      <c r="AB19" s="31" t="str">
        <f>IF(AND($F19='Tournament Setup'!$A$29,SUM($O19,$S19)=0,$E19="F",$Y19&gt;'Tournament Setup'!$B$29),$H19,"")</f>
        <v/>
      </c>
      <c r="AC19" s="12" t="str">
        <f>IF(ISNUMBER(AB19)=TRUE,IF(_xlfn.RANK.EQ(AB19,$AB$2:$AB$111)&lt;='Tournament Setup'!$D$29,_xlfn.RANK.EQ(AB19,$AB$2:$AB$111),""),"")</f>
        <v/>
      </c>
      <c r="AD19" s="30" t="str">
        <f>IF(AND($F19='Tournament Setup'!$A$30,$I19&lt;&gt;0),$I19,"")</f>
        <v/>
      </c>
      <c r="AE19" s="47" t="str">
        <f>IF(ISNUMBER(AD19),IF(COUNTIFS(AE$1:AE18,_xlfn.RANK.EQ(AD19,AD$2:AD$111,0))&gt;0,_xlfn.MAXIFS(AE$1:AE18,AD$1:AD18,AD19)+1,_xlfn.RANK.EQ(AD19,AD$2:AD$111,0)),"")</f>
        <v/>
      </c>
      <c r="AF19" s="1" t="str">
        <f>IF(ISNUMBER(AD19)=TRUE,IF(_xlfn.RANK.EQ(AD19,$AD$2:$AD$111)&lt;='Tournament Setup'!$B$46,_xlfn.RANK.EQ(AD19,$AD$2:$AD$111),""),"")</f>
        <v/>
      </c>
      <c r="AG19" s="30" t="str">
        <f>IF(AND($F19='Tournament Setup'!$A$30,SUM($O19,$Q19,$S19)=0),$H19,"")</f>
        <v/>
      </c>
      <c r="AH19" s="47" t="str">
        <f>IF(ISNUMBER(AG19),IF(COUNTIFS(AH$1:AH18,_xlfn.RANK.EQ(AG19,AG$2:AG$111,0))&gt;0,_xlfn.MAXIFS(AH$1:AH18,AG$1:AG18,AG19)+1,_xlfn.RANK.EQ(AG19,AG$2:AG$111,0)),"")</f>
        <v/>
      </c>
      <c r="AI19" s="1" t="str">
        <f>IF(ISNUMBER(AG19)=TRUE,IF(_xlfn.RANK.EQ(AG19,$AG$2:$AG$111)&lt;='Tournament Setup'!$B$30,_xlfn.RANK.EQ(AG19,$AG$2:$AG$111),""),"")</f>
        <v/>
      </c>
      <c r="AJ19" s="31" t="str">
        <f>IF(AND($F19='Tournament Setup'!$A$30,SUM($O19,$Q19)=0,$E19="M",$AI19&gt;'Tournament Setup'!$B$30),$H19,"")</f>
        <v/>
      </c>
      <c r="AK19" s="1" t="str">
        <f>IF(ISNUMBER(AJ19)=TRUE,IF(_xlfn.RANK.EQ(AJ19,$AJ$2:$AJ$111)&lt;='Tournament Setup'!$C$30,_xlfn.RANK.EQ(AJ19,$AJ$2:$AJ$111),""),"")</f>
        <v/>
      </c>
      <c r="AL19" s="31" t="str">
        <f>IF(AND($F19='Tournament Setup'!$A$30,SUM($O19,$S19)=0,$E19="F",$AI19&gt;'Tournament Setup'!$B$30),$H19,"")</f>
        <v/>
      </c>
      <c r="AM19" s="12" t="str">
        <f>IF(ISNUMBER(AL19)=TRUE,IF(_xlfn.RANK.EQ(AL19,$AL$2:$AL$111)&lt;='Tournament Setup'!$D$30,_xlfn.RANK.EQ(AL19,$AL$2:$AL$111),""),"")</f>
        <v/>
      </c>
      <c r="AN19" s="30" t="str">
        <f>IF(AND($F19='Tournament Setup'!$A$31,$I19&lt;&gt;0),$I19,"")</f>
        <v/>
      </c>
      <c r="AO19" s="47" t="str">
        <f>IF(ISNUMBER(AN19),IF(COUNTIFS(AO$1:AO18,_xlfn.RANK.EQ(AN19,AN$2:AN$111,0))&gt;0,_xlfn.MAXIFS(AO$1:AO18,AN$1:AN18,AN19)+1,_xlfn.RANK.EQ(AN19,AN$2:AN$111,0)),"")</f>
        <v/>
      </c>
      <c r="AP19" s="1" t="str">
        <f>IF(ISNUMBER(AN19)=TRUE,IF(_xlfn.RANK.EQ(AN19,$AN$2:$AN$111)&lt;='Tournament Setup'!$B$46,_xlfn.RANK.EQ(AN19,$AN$2:$AN$111),""),"")</f>
        <v/>
      </c>
      <c r="AQ19" s="30" t="str">
        <f>IF(AND($F19='Tournament Setup'!$A$31,SUM($O19,$Q19,$S19)=0),$H19,"")</f>
        <v/>
      </c>
      <c r="AR19" s="47" t="str">
        <f>IF(ISNUMBER(AQ19),IF(COUNTIFS(AR$1:AR18,_xlfn.RANK.EQ(AQ19,AQ$2:AQ$111,0))&gt;0,_xlfn.MAXIFS(AR$1:AR18,AQ$1:AQ18,AQ19)+1,_xlfn.RANK.EQ(AQ19,AQ$2:AQ$111,0)),"")</f>
        <v/>
      </c>
      <c r="AS19" s="1" t="str">
        <f>IF(ISNUMBER(AQ19)=TRUE,IF(_xlfn.RANK.EQ(AQ19,$AQ$2:$AQ$111)&lt;='Tournament Setup'!$B$31,_xlfn.RANK.EQ(AQ19,$AQ$2:$AQ$111),""),"")</f>
        <v/>
      </c>
      <c r="AT19" s="31" t="str">
        <f>IF(AND($F19='Tournament Setup'!$A$31,SUM($O19,$Q19)=0,$E19="M",$AS19&gt;'Tournament Setup'!$B$31),$H19,"")</f>
        <v/>
      </c>
      <c r="AU19" s="1" t="str">
        <f>IF(ISNUMBER(AT19)=TRUE,IF(_xlfn.RANK.EQ(AT19,$AT$2:$AT$111)&lt;='Tournament Setup'!$C$31,_xlfn.RANK.EQ(AT19,$AT$2:$AT$111),""),"")</f>
        <v/>
      </c>
      <c r="AV19" s="31" t="str">
        <f>IF(AND($F19='Tournament Setup'!$A$31,SUM($O19,$S19)=0,$E19="F",$AS19&gt;'Tournament Setup'!$B$31),$H19,"")</f>
        <v/>
      </c>
      <c r="AW19" s="12" t="str">
        <f>IF(ISNUMBER(AV19)=TRUE,IF(_xlfn.RANK.EQ(AV19,$AV$2:$AV$111)&lt;='Tournament Setup'!$D$31,_xlfn.RANK.EQ(AV19,$AV$2:$AV$111),""),"")</f>
        <v/>
      </c>
      <c r="AX19" s="30" t="str">
        <f>IF(AND($F19='Tournament Setup'!$A$32,$I19&lt;&gt;0),$I19,"")</f>
        <v/>
      </c>
      <c r="AY19" s="47" t="str">
        <f>IF(ISNUMBER(AX19),IF(COUNTIFS(AY$1:AY18,_xlfn.RANK.EQ(AX19,AX$2:AX$111,0))&gt;0,_xlfn.MAXIFS(AY$1:AY18,AX$1:AX18,AX19)+1,_xlfn.RANK.EQ(AX19,AX$2:AX$111,0)),"")</f>
        <v/>
      </c>
      <c r="AZ19" s="1" t="str">
        <f>IF(ISNUMBER(AX19)=TRUE,IF(_xlfn.RANK.EQ(AX19,$AX$2:$AX$111)&lt;='Tournament Setup'!$B$46,_xlfn.RANK.EQ(AX19,$AX$2:$AX$111),""),"")</f>
        <v/>
      </c>
      <c r="BA19" s="30" t="str">
        <f>IF(AND($F19='Tournament Setup'!$A$32,SUM($O19,$Q19,$S19)=0),$H19,"")</f>
        <v/>
      </c>
      <c r="BB19" s="47" t="str">
        <f>IF(ISNUMBER(BA19),IF(COUNTIFS(BB$1:BB18,_xlfn.RANK.EQ(BA19,BA$2:BA$111,0))&gt;0,_xlfn.MAXIFS(BB$1:BB18,BA$1:BA18,BA19)+1,_xlfn.RANK.EQ(BA19,BA$2:BA$111,0)),"")</f>
        <v/>
      </c>
      <c r="BC19" s="1" t="str">
        <f>IF(ISNUMBER(BA19)=TRUE,IF(_xlfn.RANK.EQ(BA19,$BA$2:$BA$111)&lt;='Tournament Setup'!$B$32,_xlfn.RANK.EQ(BA19,$BA$2:$BA$111),""),"")</f>
        <v/>
      </c>
      <c r="BD19" s="31" t="str">
        <f>IF(AND($F19='Tournament Setup'!$A$32,SUM($O19,$Q19)=0,$E19="M",$BC19&gt;'Tournament Setup'!$B$32),$H19,"")</f>
        <v/>
      </c>
      <c r="BE19" s="1" t="str">
        <f>IF(ISNUMBER(BD19)=TRUE,IF(_xlfn.RANK.EQ(BD19,$BD$2:$BD$111)&lt;='Tournament Setup'!$C$32,_xlfn.RANK.EQ(BD19,$BD$2:$BD$111),""),"")</f>
        <v/>
      </c>
      <c r="BF19" s="31" t="str">
        <f>IF(AND($F19='Tournament Setup'!$A$32,SUM($O19,$S19)=0,$E19="F",$BC19&gt;'Tournament Setup'!$B$32),$H19,"")</f>
        <v/>
      </c>
      <c r="BG19" s="12" t="str">
        <f>IF(ISNUMBER(BF19)=TRUE,IF(_xlfn.RANK.EQ(BF19,$BF$2:$BF$111)&lt;='Tournament Setup'!$D$32,_xlfn.RANK.EQ(BF19,$BF$2:$BF$111),""),"")</f>
        <v/>
      </c>
      <c r="BH19" s="30" t="str">
        <f>IF(AND($F19='Tournament Setup'!$A$33,$I19&lt;&gt;0),$I19,"")</f>
        <v/>
      </c>
      <c r="BI19" s="47" t="str">
        <f>IF(ISNUMBER(BH19),IF(COUNTIFS(BI$1:BI18,_xlfn.RANK.EQ(BH19,BH$2:BH$111,0))&gt;0,_xlfn.MAXIFS(BI$1:BI18,BH$1:BH18,BH19)+1,_xlfn.RANK.EQ(BH19,BH$2:BH$111,0)),"")</f>
        <v/>
      </c>
      <c r="BJ19" s="1" t="str">
        <f>IF(ISNUMBER(BH19)=TRUE,IF(_xlfn.RANK.EQ(BH19,$BH$2:$BH$111)&lt;='Tournament Setup'!$B$46,_xlfn.RANK.EQ(BH19,$BH$2:$BH$111),""),"")</f>
        <v/>
      </c>
      <c r="BK19" s="30">
        <f>IF(AND($F19='Tournament Setup'!$A$33,SUM($O19,$Q19,$S19)=0),$H19,"")</f>
        <v>90</v>
      </c>
      <c r="BL19" s="47">
        <f>IF(ISNUMBER(BK19),IF(COUNTIFS(BL$1:BL18,_xlfn.RANK.EQ(BK19,BK$2:BK$111,0))&gt;0,_xlfn.MAXIFS(BL$1:BL18,BK$1:BK18,BK19)+1,_xlfn.RANK.EQ(BK19,BK$2:BK$111,0)),"")</f>
        <v>1</v>
      </c>
      <c r="BM19" s="1">
        <f>IF(ISNUMBER(BK19)=TRUE,IF(_xlfn.RANK.EQ(BK19,$BK$2:$BK$111)&lt;='Tournament Setup'!$B$33,_xlfn.RANK.EQ(BK19,$BK$2:$BK$111),""),"")</f>
        <v>1</v>
      </c>
      <c r="BN19" s="31" t="str">
        <f>IF(AND($F19='Tournament Setup'!$A$33,SUM($O19,$Q19)=0,$E19="M",$BM19&gt;'Tournament Setup'!$B$33),$H19,"")</f>
        <v/>
      </c>
      <c r="BO19" s="1" t="str">
        <f>IF(ISNUMBER(BN19)=TRUE,IF(_xlfn.RANK.EQ(BN19,$BN$2:$BN$111)&lt;='Tournament Setup'!$C$33,_xlfn.RANK.EQ(BN19,$BN$2:$BN$111),""),"")</f>
        <v/>
      </c>
      <c r="BP19" s="31" t="str">
        <f>IF(AND($F19='Tournament Setup'!$A$33,SUM($O19,$S19)=0,$E19="F",$BM19&gt;'Tournament Setup'!$B$33),$H19,"")</f>
        <v/>
      </c>
      <c r="BQ19" s="12" t="str">
        <f>IF(ISNUMBER(BP19)=TRUE,IF(_xlfn.RANK.EQ(BP19,$BP$2:$BP$111)&lt;='Tournament Setup'!$D$33,_xlfn.RANK.EQ(BP19,$BP$2:$BP$111),""),"")</f>
        <v/>
      </c>
      <c r="BR19" s="30" t="str">
        <f>IF($G19='Tournament Setup'!$A$38,$H19,"")</f>
        <v/>
      </c>
      <c r="BS19" s="47" t="str">
        <f>IF(ISNUMBER(BR19),IF(COUNTIFS(BS$1:BS18,_xlfn.RANK.EQ(BR19,BR$2:BR$111,0))&gt;0,_xlfn.MAXIFS(BS$1:BS18,BR$1:BR18,BR19)+1,_xlfn.RANK.EQ(BR19,BR$2:BR$111,0)),"")</f>
        <v/>
      </c>
      <c r="BT19" s="1" t="str">
        <f>IF(ISNUMBER(BR19)=TRUE,IF(_xlfn.RANK.EQ(BR19,$BR$2:$BR$111)&lt;='Tournament Setup'!$B$38,_xlfn.RANK.EQ(BR19,$BR$2:$BR$111),""),"")</f>
        <v/>
      </c>
      <c r="BU19" s="31" t="str">
        <f>IF(AND($G19='Tournament Setup'!$A$38,$E19="M",$BT19&gt;'Tournament Setup'!$B$38),$H19,"")</f>
        <v/>
      </c>
      <c r="BV19" s="1" t="str">
        <f>IF(ISNUMBER(BU19)=TRUE,IF(_xlfn.RANK.EQ(BU19,$BU$2:$BU$111)&lt;='Tournament Setup'!$C$38,_xlfn.RANK.EQ(BU19,$BU$2:$BU$111),""),"")</f>
        <v/>
      </c>
      <c r="BW19" s="31" t="str">
        <f>IF(AND($G19='Tournament Setup'!$A$38,$E19="F",$BT19&gt;'Tournament Setup'!$B$38),$H19,"")</f>
        <v/>
      </c>
      <c r="BX19" s="12" t="str">
        <f>IF(ISNUMBER(BW19)=TRUE,IF(_xlfn.RANK.EQ(BW19,$BW$2:$BW$111)&lt;='Tournament Setup'!$D$38,_xlfn.RANK.EQ(BW19,$BW$2:$BW$111),""),"")</f>
        <v/>
      </c>
      <c r="BY19" s="30" t="str">
        <f>IF($G19='Tournament Setup'!$A$39,$H19,"")</f>
        <v/>
      </c>
      <c r="BZ19" s="47" t="str">
        <f>IF(ISNUMBER(BY19),IF(COUNTIFS(BZ$1:BZ18,_xlfn.RANK.EQ(BY19,BY$2:BY$111,0))&gt;0,_xlfn.MAXIFS(BZ$1:BZ18,BY$1:BY18,BY19)+1,_xlfn.RANK.EQ(BY19,BY$2:BY$111,0)),"")</f>
        <v/>
      </c>
      <c r="CA19" s="1" t="str">
        <f>IF(ISNUMBER(BY19)=TRUE,IF(_xlfn.RANK.EQ(BY19,$BY$2:$BY$111)&lt;='Tournament Setup'!$B$39,_xlfn.RANK.EQ(BY19,$BY$2:$BY$111),""),"")</f>
        <v/>
      </c>
      <c r="CB19" s="31" t="str">
        <f>IF(AND($G19='Tournament Setup'!$A$39,$E19="M",$CA19&gt;'Tournament Setup'!$B$39),$H19,"")</f>
        <v/>
      </c>
      <c r="CC19" s="1" t="str">
        <f>IF(ISNUMBER(CB19)=TRUE,IF(_xlfn.RANK.EQ(CB19,$CB$2:$CB$111)&lt;='Tournament Setup'!$C$39,_xlfn.RANK.EQ(CB19,$CB$2:$CB$111),""),"")</f>
        <v/>
      </c>
      <c r="CD19" s="31" t="str">
        <f>IF(AND($G19='Tournament Setup'!$A$39,$E19="F",$CA19&gt;'Tournament Setup'!$B$39),$H19,"")</f>
        <v/>
      </c>
      <c r="CE19" s="12" t="str">
        <f>IF(ISNUMBER(CD19)=TRUE,IF(_xlfn.RANK.EQ(CD19,$CD$2:$CD$111)&lt;='Tournament Setup'!$D$39,_xlfn.RANK.EQ(CD19,$CD$2:$CD$111),""),"")</f>
        <v/>
      </c>
      <c r="CF19" s="30">
        <f>IF($G19='Tournament Setup'!$A$40,$H19,"")</f>
        <v>90</v>
      </c>
      <c r="CG19" s="47">
        <f>IF(ISNUMBER(CF19),IF(COUNTIFS(CG$1:CG18,_xlfn.RANK.EQ(CF19,CF$2:CF$111,0))&gt;0,_xlfn.MAXIFS(CG$1:CG18,CF$1:CF18,CF19)+1,_xlfn.RANK.EQ(CF19,CF$2:CF$111,0)),"")</f>
        <v>2</v>
      </c>
      <c r="CH19" s="1" t="str">
        <f>IF(ISNUMBER(CF19)=TRUE,IF(_xlfn.RANK.EQ(CF19,$CF$2:$CF$111)&lt;='Tournament Setup'!$B$40,_xlfn.RANK.EQ(CF19,$CF$2:$CF$111),""),"")</f>
        <v/>
      </c>
      <c r="CI19" s="31" t="str">
        <f>IF(AND($G19='Tournament Setup'!$A$40,$E19="M",$CH19&gt;'Tournament Setup'!$B$40),$H19,"")</f>
        <v/>
      </c>
      <c r="CJ19" s="1" t="str">
        <f>IF(ISNUMBER(CI19)=TRUE,IF(_xlfn.RANK.EQ(CI19,$CI$2:$CI$111)&lt;='Tournament Setup'!$C$40,_xlfn.RANK.EQ(CI19,$CI$2:$CI$111),""),"")</f>
        <v/>
      </c>
      <c r="CK19" s="31">
        <f>IF(AND($G19='Tournament Setup'!$A$40,$E19="F",$CH19&gt;'Tournament Setup'!$B$40),$H19,"")</f>
        <v>90</v>
      </c>
      <c r="CL19" s="12">
        <f>IF(ISNUMBER(CK19)=TRUE,IF(_xlfn.RANK.EQ(CK19,$CK$2:$CK$111)&lt;='Tournament Setup'!$D$40,_xlfn.RANK.EQ(CK19,$CK$2:$CK$111),""),"")</f>
        <v>1</v>
      </c>
      <c r="CM19" s="30" t="str">
        <f>IF($G19='Tournament Setup'!$A$41,$H19,"")</f>
        <v/>
      </c>
      <c r="CN19" s="47" t="str">
        <f>IF(ISNUMBER(CM19),IF(COUNTIFS(CN$1:CN18,_xlfn.RANK.EQ(CM19,CM$2:CM$111,0))&gt;0,_xlfn.MAXIFS(CN$1:CN18,CM$1:CM18,CM19)+1,_xlfn.RANK.EQ(CM19,CM$2:CM$111,0)),"")</f>
        <v/>
      </c>
      <c r="CO19" s="1" t="str">
        <f>IF(ISNUMBER(CM19)=TRUE,IF(_xlfn.RANK.EQ(CM19,$CM$2:$CM$111)&lt;='Tournament Setup'!$B$41,_xlfn.RANK.EQ(CM19,$CM$2:$CM$111),""),"")</f>
        <v/>
      </c>
      <c r="CP19" s="31" t="str">
        <f>IF(AND($G19='Tournament Setup'!$A$41,$E19="M",$CO19&gt;'Tournament Setup'!$B$41),$H19,"")</f>
        <v/>
      </c>
      <c r="CQ19" s="1" t="str">
        <f>IF(ISNUMBER(CP19)=TRUE,IF(_xlfn.RANK.EQ(CP19,$CP$2:$CP$111)&lt;='Tournament Setup'!$C$41,_xlfn.RANK.EQ(CP19,$CP$2:$CP$111),""),"")</f>
        <v/>
      </c>
      <c r="CR19" s="31" t="str">
        <f>IF(AND($G19='Tournament Setup'!$A$41,$E19="F",$CO19&gt;'Tournament Setup'!$B$41),$H19,"")</f>
        <v/>
      </c>
      <c r="CS19" s="12" t="str">
        <f>IF(ISNUMBER(CR19)=TRUE,IF(_xlfn.RANK.EQ(CR19,$CR$2:$CR$111)&lt;='Tournament Setup'!$D$41,_xlfn.RANK.EQ(CR19,$CR$2:$CR$111),""),"")</f>
        <v/>
      </c>
    </row>
    <row r="20" spans="1:97" x14ac:dyDescent="0.3">
      <c r="A20" t="s">
        <v>55</v>
      </c>
      <c r="B20" t="str">
        <f>IFERROR(INDEX('Tournament List'!$B:$B,MATCH($A20,'Tournament List'!$A:$A,0)),"")</f>
        <v>Jack</v>
      </c>
      <c r="C20" t="str">
        <f>IFERROR(INDEX('Tournament List'!$C:$C,MATCH($A20,'Tournament List'!$A:$A,0)),"")</f>
        <v>Last Name19</v>
      </c>
      <c r="D20" t="str">
        <f t="shared" si="0"/>
        <v>Jack Last Name19</v>
      </c>
      <c r="E20" s="1" t="str">
        <f>IFERROR(INDEX('Tournament List'!F:F,MATCH($A20,'Tournament List'!$A:$A,0)),"")</f>
        <v>M</v>
      </c>
      <c r="F20" t="str">
        <f>IFERROR(INDEX('Tournament List'!M:M,MATCH($A20,'Tournament List'!$A:$A,0)),"")</f>
        <v>Varsity</v>
      </c>
      <c r="G20" s="1" t="str">
        <f>IFERROR(INDEX('Tournament List'!W:W,MATCH($A20,'Tournament List'!$A:$A,0)),"")</f>
        <v>B</v>
      </c>
      <c r="H20" s="129">
        <f>IFERROR(INDEX('Tournament List'!Z:Z,MATCH($A20,'Tournament List'!$A:$A,0)),"")</f>
        <v>82</v>
      </c>
      <c r="I20" s="152">
        <f>IFERROR(INDEX('Tournament List'!T:T,MATCH($A20,'Tournament List'!$A:$A,0)),"")</f>
        <v>239</v>
      </c>
      <c r="J20" s="56">
        <f>IF(ISNUMBER(I20),IF(COUNTIFS(J$1:J19,_xlfn.RANK.EQ(I20,I$2:I$111,0))&gt;0,_xlfn.MAXIFS(J$1:J19,I$1:I19,I20)+1,_xlfn.RANK.EQ(I20,I$2:I$111,0)),"")</f>
        <v>2</v>
      </c>
      <c r="K20" s="11">
        <f t="shared" si="1"/>
        <v>16</v>
      </c>
      <c r="L20" s="56">
        <f>IF(ISNUMBER(H20),IF(COUNTIFS(L$1:L19,_xlfn.RANK.EQ(H20,H$2:H$111,0))&gt;0,_xlfn.MAXIFS(L$1:L19,H$1:H19,H20)+1,_xlfn.RANK.EQ(H20,H$2:H$111,0)),"")</f>
        <v>17</v>
      </c>
      <c r="M20" s="151">
        <f t="shared" si="2"/>
        <v>82</v>
      </c>
      <c r="N20" s="47">
        <f>IF(ISNUMBER(M20),IF(COUNTIFS(N$1:N19,_xlfn.RANK.EQ(M20,M$2:M$111,0))&gt;0,_xlfn.MAXIFS(N$1:N19,M$1:M19,M20)+1,_xlfn.RANK.EQ(M20,M$2:M$111,0)),"")</f>
        <v>15</v>
      </c>
      <c r="O20" s="1" t="str">
        <f>IF(ISNUMBER(M20)=TRUE,IF(_xlfn.RANK.EQ(M20,$M$2:$M$111)&lt;='Tournament Setup'!$B$23,_xlfn.RANK.EQ(M20,$M$2:$M$111),""),"")</f>
        <v/>
      </c>
      <c r="P20" s="150">
        <f t="shared" si="3"/>
        <v>82</v>
      </c>
      <c r="Q20" s="1" t="str">
        <f>IF(ISNUMBER(P20)=TRUE,IF(_xlfn.RANK.EQ(P20,$P$2:$P$111)&lt;='Tournament Setup'!$B$24,_xlfn.RANK.EQ(P20,$P$2:$P$111),""),"")</f>
        <v/>
      </c>
      <c r="R20" s="150" t="str">
        <f t="shared" si="4"/>
        <v/>
      </c>
      <c r="S20" s="12" t="str">
        <f>IF(ISNUMBER(R20)=TRUE,IF(_xlfn.RANK.EQ(R20,$R$2:$R$111)&lt;='Tournament Setup'!$B$25,_xlfn.RANK.EQ(R20,$R$2:$R$111),""),"")</f>
        <v/>
      </c>
      <c r="T20" s="152" t="str">
        <f>IF(AND($F20='Tournament Setup'!$A$29,$I20&lt;&gt;0),$I20,"")</f>
        <v/>
      </c>
      <c r="U20" s="47" t="str">
        <f>IF(ISNUMBER(T20),IF(COUNTIFS(U$1:U19,_xlfn.RANK.EQ(T20,T$2:T$111,0))&gt;0,_xlfn.MAXIFS(U$1:U19,T$1:T19,T20)+1,_xlfn.RANK.EQ(T20,T$2:T$111,0)),"")</f>
        <v/>
      </c>
      <c r="V20" s="1" t="str">
        <f>IF(ISNUMBER(T20)=TRUE,IF(_xlfn.RANK.EQ(T20,$T$3:$T$112)&lt;='Tournament Setup'!$B$46,_xlfn.RANK.EQ(T20,$T$2:$T$111),""),"")</f>
        <v/>
      </c>
      <c r="W20" s="30" t="str">
        <f>IF(AND($F20='Tournament Setup'!$A$29,SUM($O20,$Q20,$S20)=0),$H20,"")</f>
        <v/>
      </c>
      <c r="X20" s="47" t="str">
        <f>IF(ISNUMBER(W20),IF(COUNTIFS(X$1:X19,_xlfn.RANK.EQ(W20,W$2:W$111,0))&gt;0,_xlfn.MAXIFS(X$1:X19,W$1:W19,W20)+1,_xlfn.RANK.EQ(W20,W$2:W$111,0)),"")</f>
        <v/>
      </c>
      <c r="Y20" s="1" t="str">
        <f>IF(ISNUMBER(W20)=TRUE,IF(_xlfn.RANK.EQ(W20,$W$2:$W$111)&lt;='Tournament Setup'!$B$29,_xlfn.RANK.EQ(W20,$W$2:$W$111),""),"")</f>
        <v/>
      </c>
      <c r="Z20" s="31" t="str">
        <f>IF(AND($F20='Tournament Setup'!$A$29,SUM($O20,$Q20)=0,$E20="M",$Y20&gt;'Tournament Setup'!$B$29),$H20,"")</f>
        <v/>
      </c>
      <c r="AA20" s="1" t="str">
        <f>IF(ISNUMBER(Z20)=TRUE,IF(_xlfn.RANK.EQ(Z20,$Z$2:$Z$111)&lt;='Tournament Setup'!$C$29,_xlfn.RANK.EQ(Z20,$Z$2:$Z$111),""),"")</f>
        <v/>
      </c>
      <c r="AB20" s="31" t="str">
        <f>IF(AND($F20='Tournament Setup'!$A$29,SUM($O20,$S20)=0,$E20="F",$Y20&gt;'Tournament Setup'!$B$29),$H20,"")</f>
        <v/>
      </c>
      <c r="AC20" s="12" t="str">
        <f>IF(ISNUMBER(AB20)=TRUE,IF(_xlfn.RANK.EQ(AB20,$AB$2:$AB$111)&lt;='Tournament Setup'!$D$29,_xlfn.RANK.EQ(AB20,$AB$2:$AB$111),""),"")</f>
        <v/>
      </c>
      <c r="AD20" s="30" t="str">
        <f>IF(AND($F20='Tournament Setup'!$A$30,$I20&lt;&gt;0),$I20,"")</f>
        <v/>
      </c>
      <c r="AE20" s="47" t="str">
        <f>IF(ISNUMBER(AD20),IF(COUNTIFS(AE$1:AE19,_xlfn.RANK.EQ(AD20,AD$2:AD$111,0))&gt;0,_xlfn.MAXIFS(AE$1:AE19,AD$1:AD19,AD20)+1,_xlfn.RANK.EQ(AD20,AD$2:AD$111,0)),"")</f>
        <v/>
      </c>
      <c r="AF20" s="1" t="str">
        <f>IF(ISNUMBER(AD20)=TRUE,IF(_xlfn.RANK.EQ(AD20,$AD$2:$AD$111)&lt;='Tournament Setup'!$B$46,_xlfn.RANK.EQ(AD20,$AD$2:$AD$111),""),"")</f>
        <v/>
      </c>
      <c r="AG20" s="30" t="str">
        <f>IF(AND($F20='Tournament Setup'!$A$30,SUM($O20,$Q20,$S20)=0),$H20,"")</f>
        <v/>
      </c>
      <c r="AH20" s="47" t="str">
        <f>IF(ISNUMBER(AG20),IF(COUNTIFS(AH$1:AH19,_xlfn.RANK.EQ(AG20,AG$2:AG$111,0))&gt;0,_xlfn.MAXIFS(AH$1:AH19,AG$1:AG19,AG20)+1,_xlfn.RANK.EQ(AG20,AG$2:AG$111,0)),"")</f>
        <v/>
      </c>
      <c r="AI20" s="1" t="str">
        <f>IF(ISNUMBER(AG20)=TRUE,IF(_xlfn.RANK.EQ(AG20,$AG$2:$AG$111)&lt;='Tournament Setup'!$B$30,_xlfn.RANK.EQ(AG20,$AG$2:$AG$111),""),"")</f>
        <v/>
      </c>
      <c r="AJ20" s="31" t="str">
        <f>IF(AND($F20='Tournament Setup'!$A$30,SUM($O20,$Q20)=0,$E20="M",$AI20&gt;'Tournament Setup'!$B$30),$H20,"")</f>
        <v/>
      </c>
      <c r="AK20" s="1" t="str">
        <f>IF(ISNUMBER(AJ20)=TRUE,IF(_xlfn.RANK.EQ(AJ20,$AJ$2:$AJ$111)&lt;='Tournament Setup'!$C$30,_xlfn.RANK.EQ(AJ20,$AJ$2:$AJ$111),""),"")</f>
        <v/>
      </c>
      <c r="AL20" s="31" t="str">
        <f>IF(AND($F20='Tournament Setup'!$A$30,SUM($O20,$S20)=0,$E20="F",$AI20&gt;'Tournament Setup'!$B$30),$H20,"")</f>
        <v/>
      </c>
      <c r="AM20" s="12" t="str">
        <f>IF(ISNUMBER(AL20)=TRUE,IF(_xlfn.RANK.EQ(AL20,$AL$2:$AL$111)&lt;='Tournament Setup'!$D$30,_xlfn.RANK.EQ(AL20,$AL$2:$AL$111),""),"")</f>
        <v/>
      </c>
      <c r="AN20" s="30" t="str">
        <f>IF(AND($F20='Tournament Setup'!$A$31,$I20&lt;&gt;0),$I20,"")</f>
        <v/>
      </c>
      <c r="AO20" s="47" t="str">
        <f>IF(ISNUMBER(AN20),IF(COUNTIFS(AO$1:AO19,_xlfn.RANK.EQ(AN20,AN$2:AN$111,0))&gt;0,_xlfn.MAXIFS(AO$1:AO19,AN$1:AN19,AN20)+1,_xlfn.RANK.EQ(AN20,AN$2:AN$111,0)),"")</f>
        <v/>
      </c>
      <c r="AP20" s="1" t="str">
        <f>IF(ISNUMBER(AN20)=TRUE,IF(_xlfn.RANK.EQ(AN20,$AN$2:$AN$111)&lt;='Tournament Setup'!$B$46,_xlfn.RANK.EQ(AN20,$AN$2:$AN$111),""),"")</f>
        <v/>
      </c>
      <c r="AQ20" s="30" t="str">
        <f>IF(AND($F20='Tournament Setup'!$A$31,SUM($O20,$Q20,$S20)=0),$H20,"")</f>
        <v/>
      </c>
      <c r="AR20" s="47" t="str">
        <f>IF(ISNUMBER(AQ20),IF(COUNTIFS(AR$1:AR19,_xlfn.RANK.EQ(AQ20,AQ$2:AQ$111,0))&gt;0,_xlfn.MAXIFS(AR$1:AR19,AQ$1:AQ19,AQ20)+1,_xlfn.RANK.EQ(AQ20,AQ$2:AQ$111,0)),"")</f>
        <v/>
      </c>
      <c r="AS20" s="1" t="str">
        <f>IF(ISNUMBER(AQ20)=TRUE,IF(_xlfn.RANK.EQ(AQ20,$AQ$2:$AQ$111)&lt;='Tournament Setup'!$B$31,_xlfn.RANK.EQ(AQ20,$AQ$2:$AQ$111),""),"")</f>
        <v/>
      </c>
      <c r="AT20" s="31" t="str">
        <f>IF(AND($F20='Tournament Setup'!$A$31,SUM($O20,$Q20)=0,$E20="M",$AS20&gt;'Tournament Setup'!$B$31),$H20,"")</f>
        <v/>
      </c>
      <c r="AU20" s="1" t="str">
        <f>IF(ISNUMBER(AT20)=TRUE,IF(_xlfn.RANK.EQ(AT20,$AT$2:$AT$111)&lt;='Tournament Setup'!$C$31,_xlfn.RANK.EQ(AT20,$AT$2:$AT$111),""),"")</f>
        <v/>
      </c>
      <c r="AV20" s="31" t="str">
        <f>IF(AND($F20='Tournament Setup'!$A$31,SUM($O20,$S20)=0,$E20="F",$AS20&gt;'Tournament Setup'!$B$31),$H20,"")</f>
        <v/>
      </c>
      <c r="AW20" s="12" t="str">
        <f>IF(ISNUMBER(AV20)=TRUE,IF(_xlfn.RANK.EQ(AV20,$AV$2:$AV$111)&lt;='Tournament Setup'!$D$31,_xlfn.RANK.EQ(AV20,$AV$2:$AV$111),""),"")</f>
        <v/>
      </c>
      <c r="AX20" s="30">
        <f>IF(AND($F20='Tournament Setup'!$A$32,$I20&lt;&gt;0),$I20,"")</f>
        <v>239</v>
      </c>
      <c r="AY20" s="47">
        <f>IF(ISNUMBER(AX20),IF(COUNTIFS(AY$1:AY19,_xlfn.RANK.EQ(AX20,AX$2:AX$111,0))&gt;0,_xlfn.MAXIFS(AY$1:AY19,AX$1:AX19,AX20)+1,_xlfn.RANK.EQ(AX20,AX$2:AX$111,0)),"")</f>
        <v>1</v>
      </c>
      <c r="AZ20" s="1">
        <f>IF(ISNUMBER(AX20)=TRUE,IF(_xlfn.RANK.EQ(AX20,$AX$2:$AX$111)&lt;='Tournament Setup'!$B$46,_xlfn.RANK.EQ(AX20,$AX$2:$AX$111),""),"")</f>
        <v>1</v>
      </c>
      <c r="BA20" s="30">
        <f>IF(AND($F20='Tournament Setup'!$A$32,SUM($O20,$Q20,$S20)=0),$H20,"")</f>
        <v>82</v>
      </c>
      <c r="BB20" s="47">
        <f>IF(ISNUMBER(BA20),IF(COUNTIFS(BB$1:BB19,_xlfn.RANK.EQ(BA20,BA$2:BA$111,0))&gt;0,_xlfn.MAXIFS(BB$1:BB19,BA$1:BA19,BA20)+1,_xlfn.RANK.EQ(BA20,BA$2:BA$111,0)),"")</f>
        <v>5</v>
      </c>
      <c r="BC20" s="1" t="str">
        <f>IF(ISNUMBER(BA20)=TRUE,IF(_xlfn.RANK.EQ(BA20,$BA$2:$BA$111)&lt;='Tournament Setup'!$B$32,_xlfn.RANK.EQ(BA20,$BA$2:$BA$111),""),"")</f>
        <v/>
      </c>
      <c r="BD20" s="31">
        <f>IF(AND($F20='Tournament Setup'!$A$32,SUM($O20,$Q20)=0,$E20="M",$BC20&gt;'Tournament Setup'!$B$32),$H20,"")</f>
        <v>82</v>
      </c>
      <c r="BE20" s="1" t="str">
        <f>IF(ISNUMBER(BD20)=TRUE,IF(_xlfn.RANK.EQ(BD20,$BD$2:$BD$111)&lt;='Tournament Setup'!$C$32,_xlfn.RANK.EQ(BD20,$BD$2:$BD$111),""),"")</f>
        <v/>
      </c>
      <c r="BF20" s="31" t="str">
        <f>IF(AND($F20='Tournament Setup'!$A$32,SUM($O20,$S20)=0,$E20="F",$BC20&gt;'Tournament Setup'!$B$32),$H20,"")</f>
        <v/>
      </c>
      <c r="BG20" s="12" t="str">
        <f>IF(ISNUMBER(BF20)=TRUE,IF(_xlfn.RANK.EQ(BF20,$BF$2:$BF$111)&lt;='Tournament Setup'!$D$32,_xlfn.RANK.EQ(BF20,$BF$2:$BF$111),""),"")</f>
        <v/>
      </c>
      <c r="BH20" s="30" t="str">
        <f>IF(AND($F20='Tournament Setup'!$A$33,$I20&lt;&gt;0),$I20,"")</f>
        <v/>
      </c>
      <c r="BI20" s="47" t="str">
        <f>IF(ISNUMBER(BH20),IF(COUNTIFS(BI$1:BI19,_xlfn.RANK.EQ(BH20,BH$2:BH$111,0))&gt;0,_xlfn.MAXIFS(BI$1:BI19,BH$1:BH19,BH20)+1,_xlfn.RANK.EQ(BH20,BH$2:BH$111,0)),"")</f>
        <v/>
      </c>
      <c r="BJ20" s="1" t="str">
        <f>IF(ISNUMBER(BH20)=TRUE,IF(_xlfn.RANK.EQ(BH20,$BH$2:$BH$111)&lt;='Tournament Setup'!$B$46,_xlfn.RANK.EQ(BH20,$BH$2:$BH$111),""),"")</f>
        <v/>
      </c>
      <c r="BK20" s="30" t="str">
        <f>IF(AND($F20='Tournament Setup'!$A$33,SUM($O20,$Q20,$S20)=0),$H20,"")</f>
        <v/>
      </c>
      <c r="BL20" s="47" t="str">
        <f>IF(ISNUMBER(BK20),IF(COUNTIFS(BL$1:BL19,_xlfn.RANK.EQ(BK20,BK$2:BK$111,0))&gt;0,_xlfn.MAXIFS(BL$1:BL19,BK$1:BK19,BK20)+1,_xlfn.RANK.EQ(BK20,BK$2:BK$111,0)),"")</f>
        <v/>
      </c>
      <c r="BM20" s="1" t="str">
        <f>IF(ISNUMBER(BK20)=TRUE,IF(_xlfn.RANK.EQ(BK20,$BK$2:$BK$111)&lt;='Tournament Setup'!$B$33,_xlfn.RANK.EQ(BK20,$BK$2:$BK$111),""),"")</f>
        <v/>
      </c>
      <c r="BN20" s="31" t="str">
        <f>IF(AND($F20='Tournament Setup'!$A$33,SUM($O20,$Q20)=0,$E20="M",$BM20&gt;'Tournament Setup'!$B$33),$H20,"")</f>
        <v/>
      </c>
      <c r="BO20" s="1" t="str">
        <f>IF(ISNUMBER(BN20)=TRUE,IF(_xlfn.RANK.EQ(BN20,$BN$2:$BN$111)&lt;='Tournament Setup'!$C$33,_xlfn.RANK.EQ(BN20,$BN$2:$BN$111),""),"")</f>
        <v/>
      </c>
      <c r="BP20" s="31" t="str">
        <f>IF(AND($F20='Tournament Setup'!$A$33,SUM($O20,$S20)=0,$E20="F",$BM20&gt;'Tournament Setup'!$B$33),$H20,"")</f>
        <v/>
      </c>
      <c r="BQ20" s="12" t="str">
        <f>IF(ISNUMBER(BP20)=TRUE,IF(_xlfn.RANK.EQ(BP20,$BP$2:$BP$111)&lt;='Tournament Setup'!$D$33,_xlfn.RANK.EQ(BP20,$BP$2:$BP$111),""),"")</f>
        <v/>
      </c>
      <c r="BR20" s="30" t="str">
        <f>IF($G20='Tournament Setup'!$A$38,$H20,"")</f>
        <v/>
      </c>
      <c r="BS20" s="47" t="str">
        <f>IF(ISNUMBER(BR20),IF(COUNTIFS(BS$1:BS19,_xlfn.RANK.EQ(BR20,BR$2:BR$111,0))&gt;0,_xlfn.MAXIFS(BS$1:BS19,BR$1:BR19,BR20)+1,_xlfn.RANK.EQ(BR20,BR$2:BR$111,0)),"")</f>
        <v/>
      </c>
      <c r="BT20" s="1" t="str">
        <f>IF(ISNUMBER(BR20)=TRUE,IF(_xlfn.RANK.EQ(BR20,$BR$2:$BR$111)&lt;='Tournament Setup'!$B$38,_xlfn.RANK.EQ(BR20,$BR$2:$BR$111),""),"")</f>
        <v/>
      </c>
      <c r="BU20" s="31" t="str">
        <f>IF(AND($G20='Tournament Setup'!$A$38,$E20="M",$BT20&gt;'Tournament Setup'!$B$38),$H20,"")</f>
        <v/>
      </c>
      <c r="BV20" s="1" t="str">
        <f>IF(ISNUMBER(BU20)=TRUE,IF(_xlfn.RANK.EQ(BU20,$BU$2:$BU$111)&lt;='Tournament Setup'!$C$38,_xlfn.RANK.EQ(BU20,$BU$2:$BU$111),""),"")</f>
        <v/>
      </c>
      <c r="BW20" s="31" t="str">
        <f>IF(AND($G20='Tournament Setup'!$A$38,$E20="F",$BT20&gt;'Tournament Setup'!$B$38),$H20,"")</f>
        <v/>
      </c>
      <c r="BX20" s="12" t="str">
        <f>IF(ISNUMBER(BW20)=TRUE,IF(_xlfn.RANK.EQ(BW20,$BW$2:$BW$111)&lt;='Tournament Setup'!$D$38,_xlfn.RANK.EQ(BW20,$BW$2:$BW$111),""),"")</f>
        <v/>
      </c>
      <c r="BY20" s="30">
        <f>IF($G20='Tournament Setup'!$A$39,$H20,"")</f>
        <v>82</v>
      </c>
      <c r="BZ20" s="47">
        <f>IF(ISNUMBER(BY20),IF(COUNTIFS(BZ$1:BZ19,_xlfn.RANK.EQ(BY20,BY$2:BY$111,0))&gt;0,_xlfn.MAXIFS(BZ$1:BZ19,BY$1:BY19,BY20)+1,_xlfn.RANK.EQ(BY20,BY$2:BY$111,0)),"")</f>
        <v>9</v>
      </c>
      <c r="CA20" s="1" t="str">
        <f>IF(ISNUMBER(BY20)=TRUE,IF(_xlfn.RANK.EQ(BY20,$BY$2:$BY$111)&lt;='Tournament Setup'!$B$39,_xlfn.RANK.EQ(BY20,$BY$2:$BY$111),""),"")</f>
        <v/>
      </c>
      <c r="CB20" s="31">
        <f>IF(AND($G20='Tournament Setup'!$A$39,$E20="M",$CA20&gt;'Tournament Setup'!$B$39),$H20,"")</f>
        <v>82</v>
      </c>
      <c r="CC20" s="1" t="str">
        <f>IF(ISNUMBER(CB20)=TRUE,IF(_xlfn.RANK.EQ(CB20,$CB$2:$CB$111)&lt;='Tournament Setup'!$C$39,_xlfn.RANK.EQ(CB20,$CB$2:$CB$111),""),"")</f>
        <v/>
      </c>
      <c r="CD20" s="31" t="str">
        <f>IF(AND($G20='Tournament Setup'!$A$39,$E20="F",$CA20&gt;'Tournament Setup'!$B$39),$H20,"")</f>
        <v/>
      </c>
      <c r="CE20" s="12" t="str">
        <f>IF(ISNUMBER(CD20)=TRUE,IF(_xlfn.RANK.EQ(CD20,$CD$2:$CD$111)&lt;='Tournament Setup'!$D$39,_xlfn.RANK.EQ(CD20,$CD$2:$CD$111),""),"")</f>
        <v/>
      </c>
      <c r="CF20" s="30" t="str">
        <f>IF($G20='Tournament Setup'!$A$40,$H20,"")</f>
        <v/>
      </c>
      <c r="CG20" s="47" t="str">
        <f>IF(ISNUMBER(CF20),IF(COUNTIFS(CG$1:CG19,_xlfn.RANK.EQ(CF20,CF$2:CF$111,0))&gt;0,_xlfn.MAXIFS(CG$1:CG19,CF$1:CF19,CF20)+1,_xlfn.RANK.EQ(CF20,CF$2:CF$111,0)),"")</f>
        <v/>
      </c>
      <c r="CH20" s="1" t="str">
        <f>IF(ISNUMBER(CF20)=TRUE,IF(_xlfn.RANK.EQ(CF20,$CF$2:$CF$111)&lt;='Tournament Setup'!$B$40,_xlfn.RANK.EQ(CF20,$CF$2:$CF$111),""),"")</f>
        <v/>
      </c>
      <c r="CI20" s="31" t="str">
        <f>IF(AND($G20='Tournament Setup'!$A$40,$E20="M",$CH20&gt;'Tournament Setup'!$B$40),$H20,"")</f>
        <v/>
      </c>
      <c r="CJ20" s="1" t="str">
        <f>IF(ISNUMBER(CI20)=TRUE,IF(_xlfn.RANK.EQ(CI20,$CI$2:$CI$111)&lt;='Tournament Setup'!$C$40,_xlfn.RANK.EQ(CI20,$CI$2:$CI$111),""),"")</f>
        <v/>
      </c>
      <c r="CK20" s="31" t="str">
        <f>IF(AND($G20='Tournament Setup'!$A$40,$E20="F",$CH20&gt;'Tournament Setup'!$B$40),$H20,"")</f>
        <v/>
      </c>
      <c r="CL20" s="12" t="str">
        <f>IF(ISNUMBER(CK20)=TRUE,IF(_xlfn.RANK.EQ(CK20,$CK$2:$CK$111)&lt;='Tournament Setup'!$D$40,_xlfn.RANK.EQ(CK20,$CK$2:$CK$111),""),"")</f>
        <v/>
      </c>
      <c r="CM20" s="30" t="str">
        <f>IF($G20='Tournament Setup'!$A$41,$H20,"")</f>
        <v/>
      </c>
      <c r="CN20" s="47" t="str">
        <f>IF(ISNUMBER(CM20),IF(COUNTIFS(CN$1:CN19,_xlfn.RANK.EQ(CM20,CM$2:CM$111,0))&gt;0,_xlfn.MAXIFS(CN$1:CN19,CM$1:CM19,CM20)+1,_xlfn.RANK.EQ(CM20,CM$2:CM$111,0)),"")</f>
        <v/>
      </c>
      <c r="CO20" s="1" t="str">
        <f>IF(ISNUMBER(CM20)=TRUE,IF(_xlfn.RANK.EQ(CM20,$CM$2:$CM$111)&lt;='Tournament Setup'!$B$41,_xlfn.RANK.EQ(CM20,$CM$2:$CM$111),""),"")</f>
        <v/>
      </c>
      <c r="CP20" s="31" t="str">
        <f>IF(AND($G20='Tournament Setup'!$A$41,$E20="M",$CO20&gt;'Tournament Setup'!$B$41),$H20,"")</f>
        <v/>
      </c>
      <c r="CQ20" s="1" t="str">
        <f>IF(ISNUMBER(CP20)=TRUE,IF(_xlfn.RANK.EQ(CP20,$CP$2:$CP$111)&lt;='Tournament Setup'!$C$41,_xlfn.RANK.EQ(CP20,$CP$2:$CP$111),""),"")</f>
        <v/>
      </c>
      <c r="CR20" s="31" t="str">
        <f>IF(AND($G20='Tournament Setup'!$A$41,$E20="F",$CO20&gt;'Tournament Setup'!$B$41),$H20,"")</f>
        <v/>
      </c>
      <c r="CS20" s="12" t="str">
        <f>IF(ISNUMBER(CR20)=TRUE,IF(_xlfn.RANK.EQ(CR20,$CR$2:$CR$111)&lt;='Tournament Setup'!$D$41,_xlfn.RANK.EQ(CR20,$CR$2:$CR$111),""),"")</f>
        <v/>
      </c>
    </row>
    <row r="21" spans="1:97" x14ac:dyDescent="0.3">
      <c r="A21" t="s">
        <v>56</v>
      </c>
      <c r="B21" t="str">
        <f>IFERROR(INDEX('Tournament List'!$B:$B,MATCH($A21,'Tournament List'!$A:$A,0)),"")</f>
        <v>Chris</v>
      </c>
      <c r="C21" t="str">
        <f>IFERROR(INDEX('Tournament List'!$C:$C,MATCH($A21,'Tournament List'!$A:$A,0)),"")</f>
        <v>Last Name20</v>
      </c>
      <c r="D21" t="str">
        <f t="shared" si="0"/>
        <v>Chris Last Name20</v>
      </c>
      <c r="E21" s="1" t="str">
        <f>IFERROR(INDEX('Tournament List'!F:F,MATCH($A21,'Tournament List'!$A:$A,0)),"")</f>
        <v>M</v>
      </c>
      <c r="F21" t="str">
        <f>IFERROR(INDEX('Tournament List'!M:M,MATCH($A21,'Tournament List'!$A:$A,0)),"")</f>
        <v>Junior Varsity</v>
      </c>
      <c r="G21" s="1" t="str">
        <f>IFERROR(INDEX('Tournament List'!W:W,MATCH($A21,'Tournament List'!$A:$A,0)),"")</f>
        <v>B</v>
      </c>
      <c r="H21" s="129">
        <f>IFERROR(INDEX('Tournament List'!Z:Z,MATCH($A21,'Tournament List'!$A:$A,0)),"")</f>
        <v>32</v>
      </c>
      <c r="I21" s="152" t="str">
        <f>IFERROR(INDEX('Tournament List'!T:T,MATCH($A21,'Tournament List'!$A:$A,0)),"")</f>
        <v/>
      </c>
      <c r="J21" s="56" t="str">
        <f>IF(ISNUMBER(I21),IF(COUNTIFS(J$1:J20,_xlfn.RANK.EQ(I21,I$2:I$111,0))&gt;0,_xlfn.MAXIFS(J$1:J20,I$1:I20,I21)+1,_xlfn.RANK.EQ(I21,I$2:I$111,0)),"")</f>
        <v/>
      </c>
      <c r="K21" s="11">
        <f t="shared" si="1"/>
        <v>46</v>
      </c>
      <c r="L21" s="56">
        <f>IF(ISNUMBER(H21),IF(COUNTIFS(L$1:L20,_xlfn.RANK.EQ(H21,H$2:H$111,0))&gt;0,_xlfn.MAXIFS(L$1:L20,H$1:H20,H21)+1,_xlfn.RANK.EQ(H21,H$2:H$111,0)),"")</f>
        <v>46</v>
      </c>
      <c r="M21" s="151">
        <f t="shared" si="2"/>
        <v>32</v>
      </c>
      <c r="N21" s="47">
        <f>IF(ISNUMBER(M21),IF(COUNTIFS(N$1:N20,_xlfn.RANK.EQ(M21,M$2:M$111,0))&gt;0,_xlfn.MAXIFS(N$1:N20,M$1:M20,M21)+1,_xlfn.RANK.EQ(M21,M$2:M$111,0)),"")</f>
        <v>40</v>
      </c>
      <c r="O21" s="1" t="str">
        <f>IF(ISNUMBER(M21)=TRUE,IF(_xlfn.RANK.EQ(M21,$M$2:$M$111)&lt;='Tournament Setup'!$B$23,_xlfn.RANK.EQ(M21,$M$2:$M$111),""),"")</f>
        <v/>
      </c>
      <c r="P21" s="150">
        <f t="shared" si="3"/>
        <v>32</v>
      </c>
      <c r="Q21" s="1" t="str">
        <f>IF(ISNUMBER(P21)=TRUE,IF(_xlfn.RANK.EQ(P21,$P$2:$P$111)&lt;='Tournament Setup'!$B$24,_xlfn.RANK.EQ(P21,$P$2:$P$111),""),"")</f>
        <v/>
      </c>
      <c r="R21" s="150" t="str">
        <f t="shared" si="4"/>
        <v/>
      </c>
      <c r="S21" s="12" t="str">
        <f>IF(ISNUMBER(R21)=TRUE,IF(_xlfn.RANK.EQ(R21,$R$2:$R$111)&lt;='Tournament Setup'!$B$25,_xlfn.RANK.EQ(R21,$R$2:$R$111),""),"")</f>
        <v/>
      </c>
      <c r="T21" s="152" t="str">
        <f>IF(AND($F21='Tournament Setup'!$A$29,$I21&lt;&gt;0),$I21,"")</f>
        <v/>
      </c>
      <c r="U21" s="47" t="str">
        <f>IF(ISNUMBER(T21),IF(COUNTIFS(U$1:U20,_xlfn.RANK.EQ(T21,T$2:T$111,0))&gt;0,_xlfn.MAXIFS(U$1:U20,T$1:T20,T21)+1,_xlfn.RANK.EQ(T21,T$2:T$111,0)),"")</f>
        <v/>
      </c>
      <c r="V21" s="1" t="str">
        <f>IF(ISNUMBER(T21)=TRUE,IF(_xlfn.RANK.EQ(T21,$T$3:$T$112)&lt;='Tournament Setup'!$B$46,_xlfn.RANK.EQ(T21,$T$2:$T$111),""),"")</f>
        <v/>
      </c>
      <c r="W21" s="30" t="str">
        <f>IF(AND($F21='Tournament Setup'!$A$29,SUM($O21,$Q21,$S21)=0),$H21,"")</f>
        <v/>
      </c>
      <c r="X21" s="47" t="str">
        <f>IF(ISNUMBER(W21),IF(COUNTIFS(X$1:X20,_xlfn.RANK.EQ(W21,W$2:W$111,0))&gt;0,_xlfn.MAXIFS(X$1:X20,W$1:W20,W21)+1,_xlfn.RANK.EQ(W21,W$2:W$111,0)),"")</f>
        <v/>
      </c>
      <c r="Y21" s="1" t="str">
        <f>IF(ISNUMBER(W21)=TRUE,IF(_xlfn.RANK.EQ(W21,$W$2:$W$111)&lt;='Tournament Setup'!$B$29,_xlfn.RANK.EQ(W21,$W$2:$W$111),""),"")</f>
        <v/>
      </c>
      <c r="Z21" s="31" t="str">
        <f>IF(AND($F21='Tournament Setup'!$A$29,SUM($O21,$Q21)=0,$E21="M",$Y21&gt;'Tournament Setup'!$B$29),$H21,"")</f>
        <v/>
      </c>
      <c r="AA21" s="1" t="str">
        <f>IF(ISNUMBER(Z21)=TRUE,IF(_xlfn.RANK.EQ(Z21,$Z$2:$Z$111)&lt;='Tournament Setup'!$C$29,_xlfn.RANK.EQ(Z21,$Z$2:$Z$111),""),"")</f>
        <v/>
      </c>
      <c r="AB21" s="31" t="str">
        <f>IF(AND($F21='Tournament Setup'!$A$29,SUM($O21,$S21)=0,$E21="F",$Y21&gt;'Tournament Setup'!$B$29),$H21,"")</f>
        <v/>
      </c>
      <c r="AC21" s="12" t="str">
        <f>IF(ISNUMBER(AB21)=TRUE,IF(_xlfn.RANK.EQ(AB21,$AB$2:$AB$111)&lt;='Tournament Setup'!$D$29,_xlfn.RANK.EQ(AB21,$AB$2:$AB$111),""),"")</f>
        <v/>
      </c>
      <c r="AD21" s="30" t="str">
        <f>IF(AND($F21='Tournament Setup'!$A$30,$I21&lt;&gt;0),$I21,"")</f>
        <v/>
      </c>
      <c r="AE21" s="47" t="str">
        <f>IF(ISNUMBER(AD21),IF(COUNTIFS(AE$1:AE20,_xlfn.RANK.EQ(AD21,AD$2:AD$111,0))&gt;0,_xlfn.MAXIFS(AE$1:AE20,AD$1:AD20,AD21)+1,_xlfn.RANK.EQ(AD21,AD$2:AD$111,0)),"")</f>
        <v/>
      </c>
      <c r="AF21" s="1" t="str">
        <f>IF(ISNUMBER(AD21)=TRUE,IF(_xlfn.RANK.EQ(AD21,$AD$2:$AD$111)&lt;='Tournament Setup'!$B$46,_xlfn.RANK.EQ(AD21,$AD$2:$AD$111),""),"")</f>
        <v/>
      </c>
      <c r="AG21" s="30" t="str">
        <f>IF(AND($F21='Tournament Setup'!$A$30,SUM($O21,$Q21,$S21)=0),$H21,"")</f>
        <v/>
      </c>
      <c r="AH21" s="47" t="str">
        <f>IF(ISNUMBER(AG21),IF(COUNTIFS(AH$1:AH20,_xlfn.RANK.EQ(AG21,AG$2:AG$111,0))&gt;0,_xlfn.MAXIFS(AH$1:AH20,AG$1:AG20,AG21)+1,_xlfn.RANK.EQ(AG21,AG$2:AG$111,0)),"")</f>
        <v/>
      </c>
      <c r="AI21" s="1" t="str">
        <f>IF(ISNUMBER(AG21)=TRUE,IF(_xlfn.RANK.EQ(AG21,$AG$2:$AG$111)&lt;='Tournament Setup'!$B$30,_xlfn.RANK.EQ(AG21,$AG$2:$AG$111),""),"")</f>
        <v/>
      </c>
      <c r="AJ21" s="31" t="str">
        <f>IF(AND($F21='Tournament Setup'!$A$30,SUM($O21,$Q21)=0,$E21="M",$AI21&gt;'Tournament Setup'!$B$30),$H21,"")</f>
        <v/>
      </c>
      <c r="AK21" s="1" t="str">
        <f>IF(ISNUMBER(AJ21)=TRUE,IF(_xlfn.RANK.EQ(AJ21,$AJ$2:$AJ$111)&lt;='Tournament Setup'!$C$30,_xlfn.RANK.EQ(AJ21,$AJ$2:$AJ$111),""),"")</f>
        <v/>
      </c>
      <c r="AL21" s="31" t="str">
        <f>IF(AND($F21='Tournament Setup'!$A$30,SUM($O21,$S21)=0,$E21="F",$AI21&gt;'Tournament Setup'!$B$30),$H21,"")</f>
        <v/>
      </c>
      <c r="AM21" s="12" t="str">
        <f>IF(ISNUMBER(AL21)=TRUE,IF(_xlfn.RANK.EQ(AL21,$AL$2:$AL$111)&lt;='Tournament Setup'!$D$30,_xlfn.RANK.EQ(AL21,$AL$2:$AL$111),""),"")</f>
        <v/>
      </c>
      <c r="AN21" s="30" t="str">
        <f>IF(AND($F21='Tournament Setup'!$A$31,$I21&lt;&gt;0),$I21,"")</f>
        <v/>
      </c>
      <c r="AO21" s="47" t="str">
        <f>IF(ISNUMBER(AN21),IF(COUNTIFS(AO$1:AO20,_xlfn.RANK.EQ(AN21,AN$2:AN$111,0))&gt;0,_xlfn.MAXIFS(AO$1:AO20,AN$1:AN20,AN21)+1,_xlfn.RANK.EQ(AN21,AN$2:AN$111,0)),"")</f>
        <v/>
      </c>
      <c r="AP21" s="1" t="str">
        <f>IF(ISNUMBER(AN21)=TRUE,IF(_xlfn.RANK.EQ(AN21,$AN$2:$AN$111)&lt;='Tournament Setup'!$B$46,_xlfn.RANK.EQ(AN21,$AN$2:$AN$111),""),"")</f>
        <v/>
      </c>
      <c r="AQ21" s="30">
        <f>IF(AND($F21='Tournament Setup'!$A$31,SUM($O21,$Q21,$S21)=0),$H21,"")</f>
        <v>32</v>
      </c>
      <c r="AR21" s="47">
        <f>IF(ISNUMBER(AQ21),IF(COUNTIFS(AR$1:AR20,_xlfn.RANK.EQ(AQ21,AQ$2:AQ$111,0))&gt;0,_xlfn.MAXIFS(AR$1:AR20,AQ$1:AQ20,AQ21)+1,_xlfn.RANK.EQ(AQ21,AQ$2:AQ$111,0)),"")</f>
        <v>8</v>
      </c>
      <c r="AS21" s="1" t="str">
        <f>IF(ISNUMBER(AQ21)=TRUE,IF(_xlfn.RANK.EQ(AQ21,$AQ$2:$AQ$111)&lt;='Tournament Setup'!$B$31,_xlfn.RANK.EQ(AQ21,$AQ$2:$AQ$111),""),"")</f>
        <v/>
      </c>
      <c r="AT21" s="31">
        <f>IF(AND($F21='Tournament Setup'!$A$31,SUM($O21,$Q21)=0,$E21="M",$AS21&gt;'Tournament Setup'!$B$31),$H21,"")</f>
        <v>32</v>
      </c>
      <c r="AU21" s="1" t="str">
        <f>IF(ISNUMBER(AT21)=TRUE,IF(_xlfn.RANK.EQ(AT21,$AT$2:$AT$111)&lt;='Tournament Setup'!$C$31,_xlfn.RANK.EQ(AT21,$AT$2:$AT$111),""),"")</f>
        <v/>
      </c>
      <c r="AV21" s="31" t="str">
        <f>IF(AND($F21='Tournament Setup'!$A$31,SUM($O21,$S21)=0,$E21="F",$AS21&gt;'Tournament Setup'!$B$31),$H21,"")</f>
        <v/>
      </c>
      <c r="AW21" s="12" t="str">
        <f>IF(ISNUMBER(AV21)=TRUE,IF(_xlfn.RANK.EQ(AV21,$AV$2:$AV$111)&lt;='Tournament Setup'!$D$31,_xlfn.RANK.EQ(AV21,$AV$2:$AV$111),""),"")</f>
        <v/>
      </c>
      <c r="AX21" s="30" t="str">
        <f>IF(AND($F21='Tournament Setup'!$A$32,$I21&lt;&gt;0),$I21,"")</f>
        <v/>
      </c>
      <c r="AY21" s="47" t="str">
        <f>IF(ISNUMBER(AX21),IF(COUNTIFS(AY$1:AY20,_xlfn.RANK.EQ(AX21,AX$2:AX$111,0))&gt;0,_xlfn.MAXIFS(AY$1:AY20,AX$1:AX20,AX21)+1,_xlfn.RANK.EQ(AX21,AX$2:AX$111,0)),"")</f>
        <v/>
      </c>
      <c r="AZ21" s="1" t="str">
        <f>IF(ISNUMBER(AX21)=TRUE,IF(_xlfn.RANK.EQ(AX21,$AX$2:$AX$111)&lt;='Tournament Setup'!$B$46,_xlfn.RANK.EQ(AX21,$AX$2:$AX$111),""),"")</f>
        <v/>
      </c>
      <c r="BA21" s="30" t="str">
        <f>IF(AND($F21='Tournament Setup'!$A$32,SUM($O21,$Q21,$S21)=0),$H21,"")</f>
        <v/>
      </c>
      <c r="BB21" s="47" t="str">
        <f>IF(ISNUMBER(BA21),IF(COUNTIFS(BB$1:BB20,_xlfn.RANK.EQ(BA21,BA$2:BA$111,0))&gt;0,_xlfn.MAXIFS(BB$1:BB20,BA$1:BA20,BA21)+1,_xlfn.RANK.EQ(BA21,BA$2:BA$111,0)),"")</f>
        <v/>
      </c>
      <c r="BC21" s="1" t="str">
        <f>IF(ISNUMBER(BA21)=TRUE,IF(_xlfn.RANK.EQ(BA21,$BA$2:$BA$111)&lt;='Tournament Setup'!$B$32,_xlfn.RANK.EQ(BA21,$BA$2:$BA$111),""),"")</f>
        <v/>
      </c>
      <c r="BD21" s="31" t="str">
        <f>IF(AND($F21='Tournament Setup'!$A$32,SUM($O21,$Q21)=0,$E21="M",$BC21&gt;'Tournament Setup'!$B$32),$H21,"")</f>
        <v/>
      </c>
      <c r="BE21" s="1" t="str">
        <f>IF(ISNUMBER(BD21)=TRUE,IF(_xlfn.RANK.EQ(BD21,$BD$2:$BD$111)&lt;='Tournament Setup'!$C$32,_xlfn.RANK.EQ(BD21,$BD$2:$BD$111),""),"")</f>
        <v/>
      </c>
      <c r="BF21" s="31" t="str">
        <f>IF(AND($F21='Tournament Setup'!$A$32,SUM($O21,$S21)=0,$E21="F",$BC21&gt;'Tournament Setup'!$B$32),$H21,"")</f>
        <v/>
      </c>
      <c r="BG21" s="12" t="str">
        <f>IF(ISNUMBER(BF21)=TRUE,IF(_xlfn.RANK.EQ(BF21,$BF$2:$BF$111)&lt;='Tournament Setup'!$D$32,_xlfn.RANK.EQ(BF21,$BF$2:$BF$111),""),"")</f>
        <v/>
      </c>
      <c r="BH21" s="30" t="str">
        <f>IF(AND($F21='Tournament Setup'!$A$33,$I21&lt;&gt;0),$I21,"")</f>
        <v/>
      </c>
      <c r="BI21" s="47" t="str">
        <f>IF(ISNUMBER(BH21),IF(COUNTIFS(BI$1:BI20,_xlfn.RANK.EQ(BH21,BH$2:BH$111,0))&gt;0,_xlfn.MAXIFS(BI$1:BI20,BH$1:BH20,BH21)+1,_xlfn.RANK.EQ(BH21,BH$2:BH$111,0)),"")</f>
        <v/>
      </c>
      <c r="BJ21" s="1" t="str">
        <f>IF(ISNUMBER(BH21)=TRUE,IF(_xlfn.RANK.EQ(BH21,$BH$2:$BH$111)&lt;='Tournament Setup'!$B$46,_xlfn.RANK.EQ(BH21,$BH$2:$BH$111),""),"")</f>
        <v/>
      </c>
      <c r="BK21" s="30" t="str">
        <f>IF(AND($F21='Tournament Setup'!$A$33,SUM($O21,$Q21,$S21)=0),$H21,"")</f>
        <v/>
      </c>
      <c r="BL21" s="47" t="str">
        <f>IF(ISNUMBER(BK21),IF(COUNTIFS(BL$1:BL20,_xlfn.RANK.EQ(BK21,BK$2:BK$111,0))&gt;0,_xlfn.MAXIFS(BL$1:BL20,BK$1:BK20,BK21)+1,_xlfn.RANK.EQ(BK21,BK$2:BK$111,0)),"")</f>
        <v/>
      </c>
      <c r="BM21" s="1" t="str">
        <f>IF(ISNUMBER(BK21)=TRUE,IF(_xlfn.RANK.EQ(BK21,$BK$2:$BK$111)&lt;='Tournament Setup'!$B$33,_xlfn.RANK.EQ(BK21,$BK$2:$BK$111),""),"")</f>
        <v/>
      </c>
      <c r="BN21" s="31" t="str">
        <f>IF(AND($F21='Tournament Setup'!$A$33,SUM($O21,$Q21)=0,$E21="M",$BM21&gt;'Tournament Setup'!$B$33),$H21,"")</f>
        <v/>
      </c>
      <c r="BO21" s="1" t="str">
        <f>IF(ISNUMBER(BN21)=TRUE,IF(_xlfn.RANK.EQ(BN21,$BN$2:$BN$111)&lt;='Tournament Setup'!$C$33,_xlfn.RANK.EQ(BN21,$BN$2:$BN$111),""),"")</f>
        <v/>
      </c>
      <c r="BP21" s="31" t="str">
        <f>IF(AND($F21='Tournament Setup'!$A$33,SUM($O21,$S21)=0,$E21="F",$BM21&gt;'Tournament Setup'!$B$33),$H21,"")</f>
        <v/>
      </c>
      <c r="BQ21" s="12" t="str">
        <f>IF(ISNUMBER(BP21)=TRUE,IF(_xlfn.RANK.EQ(BP21,$BP$2:$BP$111)&lt;='Tournament Setup'!$D$33,_xlfn.RANK.EQ(BP21,$BP$2:$BP$111),""),"")</f>
        <v/>
      </c>
      <c r="BR21" s="30" t="str">
        <f>IF($G21='Tournament Setup'!$A$38,$H21,"")</f>
        <v/>
      </c>
      <c r="BS21" s="47" t="str">
        <f>IF(ISNUMBER(BR21),IF(COUNTIFS(BS$1:BS20,_xlfn.RANK.EQ(BR21,BR$2:BR$111,0))&gt;0,_xlfn.MAXIFS(BS$1:BS20,BR$1:BR20,BR21)+1,_xlfn.RANK.EQ(BR21,BR$2:BR$111,0)),"")</f>
        <v/>
      </c>
      <c r="BT21" s="1" t="str">
        <f>IF(ISNUMBER(BR21)=TRUE,IF(_xlfn.RANK.EQ(BR21,$BR$2:$BR$111)&lt;='Tournament Setup'!$B$38,_xlfn.RANK.EQ(BR21,$BR$2:$BR$111),""),"")</f>
        <v/>
      </c>
      <c r="BU21" s="31" t="str">
        <f>IF(AND($G21='Tournament Setup'!$A$38,$E21="M",$BT21&gt;'Tournament Setup'!$B$38),$H21,"")</f>
        <v/>
      </c>
      <c r="BV21" s="1" t="str">
        <f>IF(ISNUMBER(BU21)=TRUE,IF(_xlfn.RANK.EQ(BU21,$BU$2:$BU$111)&lt;='Tournament Setup'!$C$38,_xlfn.RANK.EQ(BU21,$BU$2:$BU$111),""),"")</f>
        <v/>
      </c>
      <c r="BW21" s="31" t="str">
        <f>IF(AND($G21='Tournament Setup'!$A$38,$E21="F",$BT21&gt;'Tournament Setup'!$B$38),$H21,"")</f>
        <v/>
      </c>
      <c r="BX21" s="12" t="str">
        <f>IF(ISNUMBER(BW21)=TRUE,IF(_xlfn.RANK.EQ(BW21,$BW$2:$BW$111)&lt;='Tournament Setup'!$D$38,_xlfn.RANK.EQ(BW21,$BW$2:$BW$111),""),"")</f>
        <v/>
      </c>
      <c r="BY21" s="30">
        <f>IF($G21='Tournament Setup'!$A$39,$H21,"")</f>
        <v>32</v>
      </c>
      <c r="BZ21" s="47">
        <f>IF(ISNUMBER(BY21),IF(COUNTIFS(BZ$1:BZ20,_xlfn.RANK.EQ(BY21,BY$2:BY$111,0))&gt;0,_xlfn.MAXIFS(BZ$1:BZ20,BY$1:BY20,BY21)+1,_xlfn.RANK.EQ(BY21,BY$2:BY$111,0)),"")</f>
        <v>16</v>
      </c>
      <c r="CA21" s="1" t="str">
        <f>IF(ISNUMBER(BY21)=TRUE,IF(_xlfn.RANK.EQ(BY21,$BY$2:$BY$111)&lt;='Tournament Setup'!$B$39,_xlfn.RANK.EQ(BY21,$BY$2:$BY$111),""),"")</f>
        <v/>
      </c>
      <c r="CB21" s="31">
        <f>IF(AND($G21='Tournament Setup'!$A$39,$E21="M",$CA21&gt;'Tournament Setup'!$B$39),$H21,"")</f>
        <v>32</v>
      </c>
      <c r="CC21" s="1" t="str">
        <f>IF(ISNUMBER(CB21)=TRUE,IF(_xlfn.RANK.EQ(CB21,$CB$2:$CB$111)&lt;='Tournament Setup'!$C$39,_xlfn.RANK.EQ(CB21,$CB$2:$CB$111),""),"")</f>
        <v/>
      </c>
      <c r="CD21" s="31" t="str">
        <f>IF(AND($G21='Tournament Setup'!$A$39,$E21="F",$CA21&gt;'Tournament Setup'!$B$39),$H21,"")</f>
        <v/>
      </c>
      <c r="CE21" s="12" t="str">
        <f>IF(ISNUMBER(CD21)=TRUE,IF(_xlfn.RANK.EQ(CD21,$CD$2:$CD$111)&lt;='Tournament Setup'!$D$39,_xlfn.RANK.EQ(CD21,$CD$2:$CD$111),""),"")</f>
        <v/>
      </c>
      <c r="CF21" s="30" t="str">
        <f>IF($G21='Tournament Setup'!$A$40,$H21,"")</f>
        <v/>
      </c>
      <c r="CG21" s="47" t="str">
        <f>IF(ISNUMBER(CF21),IF(COUNTIFS(CG$1:CG20,_xlfn.RANK.EQ(CF21,CF$2:CF$111,0))&gt;0,_xlfn.MAXIFS(CG$1:CG20,CF$1:CF20,CF21)+1,_xlfn.RANK.EQ(CF21,CF$2:CF$111,0)),"")</f>
        <v/>
      </c>
      <c r="CH21" s="1" t="str">
        <f>IF(ISNUMBER(CF21)=TRUE,IF(_xlfn.RANK.EQ(CF21,$CF$2:$CF$111)&lt;='Tournament Setup'!$B$40,_xlfn.RANK.EQ(CF21,$CF$2:$CF$111),""),"")</f>
        <v/>
      </c>
      <c r="CI21" s="31" t="str">
        <f>IF(AND($G21='Tournament Setup'!$A$40,$E21="M",$CH21&gt;'Tournament Setup'!$B$40),$H21,"")</f>
        <v/>
      </c>
      <c r="CJ21" s="1" t="str">
        <f>IF(ISNUMBER(CI21)=TRUE,IF(_xlfn.RANK.EQ(CI21,$CI$2:$CI$111)&lt;='Tournament Setup'!$C$40,_xlfn.RANK.EQ(CI21,$CI$2:$CI$111),""),"")</f>
        <v/>
      </c>
      <c r="CK21" s="31" t="str">
        <f>IF(AND($G21='Tournament Setup'!$A$40,$E21="F",$CH21&gt;'Tournament Setup'!$B$40),$H21,"")</f>
        <v/>
      </c>
      <c r="CL21" s="12" t="str">
        <f>IF(ISNUMBER(CK21)=TRUE,IF(_xlfn.RANK.EQ(CK21,$CK$2:$CK$111)&lt;='Tournament Setup'!$D$40,_xlfn.RANK.EQ(CK21,$CK$2:$CK$111),""),"")</f>
        <v/>
      </c>
      <c r="CM21" s="30" t="str">
        <f>IF($G21='Tournament Setup'!$A$41,$H21,"")</f>
        <v/>
      </c>
      <c r="CN21" s="47" t="str">
        <f>IF(ISNUMBER(CM21),IF(COUNTIFS(CN$1:CN20,_xlfn.RANK.EQ(CM21,CM$2:CM$111,0))&gt;0,_xlfn.MAXIFS(CN$1:CN20,CM$1:CM20,CM21)+1,_xlfn.RANK.EQ(CM21,CM$2:CM$111,0)),"")</f>
        <v/>
      </c>
      <c r="CO21" s="1" t="str">
        <f>IF(ISNUMBER(CM21)=TRUE,IF(_xlfn.RANK.EQ(CM21,$CM$2:$CM$111)&lt;='Tournament Setup'!$B$41,_xlfn.RANK.EQ(CM21,$CM$2:$CM$111),""),"")</f>
        <v/>
      </c>
      <c r="CP21" s="31" t="str">
        <f>IF(AND($G21='Tournament Setup'!$A$41,$E21="M",$CO21&gt;'Tournament Setup'!$B$41),$H21,"")</f>
        <v/>
      </c>
      <c r="CQ21" s="1" t="str">
        <f>IF(ISNUMBER(CP21)=TRUE,IF(_xlfn.RANK.EQ(CP21,$CP$2:$CP$111)&lt;='Tournament Setup'!$C$41,_xlfn.RANK.EQ(CP21,$CP$2:$CP$111),""),"")</f>
        <v/>
      </c>
      <c r="CR21" s="31" t="str">
        <f>IF(AND($G21='Tournament Setup'!$A$41,$E21="F",$CO21&gt;'Tournament Setup'!$B$41),$H21,"")</f>
        <v/>
      </c>
      <c r="CS21" s="12" t="str">
        <f>IF(ISNUMBER(CR21)=TRUE,IF(_xlfn.RANK.EQ(CR21,$CR$2:$CR$111)&lt;='Tournament Setup'!$D$41,_xlfn.RANK.EQ(CR21,$CR$2:$CR$111),""),"")</f>
        <v/>
      </c>
    </row>
    <row r="22" spans="1:97" x14ac:dyDescent="0.3">
      <c r="A22" t="s">
        <v>57</v>
      </c>
      <c r="B22" t="str">
        <f>IFERROR(INDEX('Tournament List'!$B:$B,MATCH($A22,'Tournament List'!$A:$A,0)),"")</f>
        <v>Nathan</v>
      </c>
      <c r="C22" t="str">
        <f>IFERROR(INDEX('Tournament List'!$C:$C,MATCH($A22,'Tournament List'!$A:$A,0)),"")</f>
        <v>Last Name21</v>
      </c>
      <c r="D22" t="str">
        <f t="shared" si="0"/>
        <v>Nathan Last Name21</v>
      </c>
      <c r="E22" s="1" t="str">
        <f>IFERROR(INDEX('Tournament List'!F:F,MATCH($A22,'Tournament List'!$A:$A,0)),"")</f>
        <v>M</v>
      </c>
      <c r="F22" t="str">
        <f>IFERROR(INDEX('Tournament List'!M:M,MATCH($A22,'Tournament List'!$A:$A,0)),"")</f>
        <v>Novice</v>
      </c>
      <c r="G22" s="1" t="str">
        <f>IFERROR(INDEX('Tournament List'!W:W,MATCH($A22,'Tournament List'!$A:$A,0)),"")</f>
        <v>C</v>
      </c>
      <c r="H22" s="129">
        <f>IFERROR(INDEX('Tournament List'!Z:Z,MATCH($A22,'Tournament List'!$A:$A,0)),"")</f>
        <v>72</v>
      </c>
      <c r="I22" s="152" t="str">
        <f>IFERROR(INDEX('Tournament List'!T:T,MATCH($A22,'Tournament List'!$A:$A,0)),"")</f>
        <v/>
      </c>
      <c r="J22" s="56" t="str">
        <f>IF(ISNUMBER(I22),IF(COUNTIFS(J$1:J21,_xlfn.RANK.EQ(I22,I$2:I$111,0))&gt;0,_xlfn.MAXIFS(J$1:J21,I$1:I21,I22)+1,_xlfn.RANK.EQ(I22,I$2:I$111,0)),"")</f>
        <v/>
      </c>
      <c r="K22" s="11">
        <f t="shared" si="1"/>
        <v>23</v>
      </c>
      <c r="L22" s="56">
        <f>IF(ISNUMBER(H22),IF(COUNTIFS(L$1:L21,_xlfn.RANK.EQ(H22,H$2:H$111,0))&gt;0,_xlfn.MAXIFS(L$1:L21,H$1:H21,H22)+1,_xlfn.RANK.EQ(H22,H$2:H$111,0)),"")</f>
        <v>24</v>
      </c>
      <c r="M22" s="151">
        <f t="shared" si="2"/>
        <v>72</v>
      </c>
      <c r="N22" s="47">
        <f>IF(ISNUMBER(M22),IF(COUNTIFS(N$1:N21,_xlfn.RANK.EQ(M22,M$2:M$111,0))&gt;0,_xlfn.MAXIFS(N$1:N21,M$1:M21,M22)+1,_xlfn.RANK.EQ(M22,M$2:M$111,0)),"")</f>
        <v>22</v>
      </c>
      <c r="O22" s="1" t="str">
        <f>IF(ISNUMBER(M22)=TRUE,IF(_xlfn.RANK.EQ(M22,$M$2:$M$111)&lt;='Tournament Setup'!$B$23,_xlfn.RANK.EQ(M22,$M$2:$M$111),""),"")</f>
        <v/>
      </c>
      <c r="P22" s="150">
        <f t="shared" si="3"/>
        <v>72</v>
      </c>
      <c r="Q22" s="1" t="str">
        <f>IF(ISNUMBER(P22)=TRUE,IF(_xlfn.RANK.EQ(P22,$P$2:$P$111)&lt;='Tournament Setup'!$B$24,_xlfn.RANK.EQ(P22,$P$2:$P$111),""),"")</f>
        <v/>
      </c>
      <c r="R22" s="150" t="str">
        <f t="shared" si="4"/>
        <v/>
      </c>
      <c r="S22" s="12" t="str">
        <f>IF(ISNUMBER(R22)=TRUE,IF(_xlfn.RANK.EQ(R22,$R$2:$R$111)&lt;='Tournament Setup'!$B$25,_xlfn.RANK.EQ(R22,$R$2:$R$111),""),"")</f>
        <v/>
      </c>
      <c r="T22" s="152" t="str">
        <f>IF(AND($F22='Tournament Setup'!$A$29,$I22&lt;&gt;0),$I22,"")</f>
        <v/>
      </c>
      <c r="U22" s="47" t="str">
        <f>IF(ISNUMBER(T22),IF(COUNTIFS(U$1:U21,_xlfn.RANK.EQ(T22,T$2:T$111,0))&gt;0,_xlfn.MAXIFS(U$1:U21,T$1:T21,T22)+1,_xlfn.RANK.EQ(T22,T$2:T$111,0)),"")</f>
        <v/>
      </c>
      <c r="V22" s="1" t="str">
        <f>IF(ISNUMBER(T22)=TRUE,IF(_xlfn.RANK.EQ(T22,$T$3:$T$112)&lt;='Tournament Setup'!$B$46,_xlfn.RANK.EQ(T22,$T$2:$T$111),""),"")</f>
        <v/>
      </c>
      <c r="W22" s="30">
        <f>IF(AND($F22='Tournament Setup'!$A$29,SUM($O22,$Q22,$S22)=0),$H22,"")</f>
        <v>72</v>
      </c>
      <c r="X22" s="47">
        <f>IF(ISNUMBER(W22),IF(COUNTIFS(X$1:X21,_xlfn.RANK.EQ(W22,W$2:W$111,0))&gt;0,_xlfn.MAXIFS(X$1:X21,W$1:W21,W22)+1,_xlfn.RANK.EQ(W22,W$2:W$111,0)),"")</f>
        <v>4</v>
      </c>
      <c r="Y22" s="1" t="str">
        <f>IF(ISNUMBER(W22)=TRUE,IF(_xlfn.RANK.EQ(W22,$W$2:$W$111)&lt;='Tournament Setup'!$B$29,_xlfn.RANK.EQ(W22,$W$2:$W$111),""),"")</f>
        <v/>
      </c>
      <c r="Z22" s="31">
        <f>IF(AND($F22='Tournament Setup'!$A$29,SUM($O22,$Q22)=0,$E22="M",$Y22&gt;'Tournament Setup'!$B$29),$H22,"")</f>
        <v>72</v>
      </c>
      <c r="AA22" s="1">
        <f>IF(ISNUMBER(Z22)=TRUE,IF(_xlfn.RANK.EQ(Z22,$Z$2:$Z$111)&lt;='Tournament Setup'!$C$29,_xlfn.RANK.EQ(Z22,$Z$2:$Z$111),""),"")</f>
        <v>2</v>
      </c>
      <c r="AB22" s="31" t="str">
        <f>IF(AND($F22='Tournament Setup'!$A$29,SUM($O22,$S22)=0,$E22="F",$Y22&gt;'Tournament Setup'!$B$29),$H22,"")</f>
        <v/>
      </c>
      <c r="AC22" s="12" t="str">
        <f>IF(ISNUMBER(AB22)=TRUE,IF(_xlfn.RANK.EQ(AB22,$AB$2:$AB$111)&lt;='Tournament Setup'!$D$29,_xlfn.RANK.EQ(AB22,$AB$2:$AB$111),""),"")</f>
        <v/>
      </c>
      <c r="AD22" s="30" t="str">
        <f>IF(AND($F22='Tournament Setup'!$A$30,$I22&lt;&gt;0),$I22,"")</f>
        <v/>
      </c>
      <c r="AE22" s="47" t="str">
        <f>IF(ISNUMBER(AD22),IF(COUNTIFS(AE$1:AE21,_xlfn.RANK.EQ(AD22,AD$2:AD$111,0))&gt;0,_xlfn.MAXIFS(AE$1:AE21,AD$1:AD21,AD22)+1,_xlfn.RANK.EQ(AD22,AD$2:AD$111,0)),"")</f>
        <v/>
      </c>
      <c r="AF22" s="1" t="str">
        <f>IF(ISNUMBER(AD22)=TRUE,IF(_xlfn.RANK.EQ(AD22,$AD$2:$AD$111)&lt;='Tournament Setup'!$B$46,_xlfn.RANK.EQ(AD22,$AD$2:$AD$111),""),"")</f>
        <v/>
      </c>
      <c r="AG22" s="30" t="str">
        <f>IF(AND($F22='Tournament Setup'!$A$30,SUM($O22,$Q22,$S22)=0),$H22,"")</f>
        <v/>
      </c>
      <c r="AH22" s="47" t="str">
        <f>IF(ISNUMBER(AG22),IF(COUNTIFS(AH$1:AH21,_xlfn.RANK.EQ(AG22,AG$2:AG$111,0))&gt;0,_xlfn.MAXIFS(AH$1:AH21,AG$1:AG21,AG22)+1,_xlfn.RANK.EQ(AG22,AG$2:AG$111,0)),"")</f>
        <v/>
      </c>
      <c r="AI22" s="1" t="str">
        <f>IF(ISNUMBER(AG22)=TRUE,IF(_xlfn.RANK.EQ(AG22,$AG$2:$AG$111)&lt;='Tournament Setup'!$B$30,_xlfn.RANK.EQ(AG22,$AG$2:$AG$111),""),"")</f>
        <v/>
      </c>
      <c r="AJ22" s="31" t="str">
        <f>IF(AND($F22='Tournament Setup'!$A$30,SUM($O22,$Q22)=0,$E22="M",$AI22&gt;'Tournament Setup'!$B$30),$H22,"")</f>
        <v/>
      </c>
      <c r="AK22" s="1" t="str">
        <f>IF(ISNUMBER(AJ22)=TRUE,IF(_xlfn.RANK.EQ(AJ22,$AJ$2:$AJ$111)&lt;='Tournament Setup'!$C$30,_xlfn.RANK.EQ(AJ22,$AJ$2:$AJ$111),""),"")</f>
        <v/>
      </c>
      <c r="AL22" s="31" t="str">
        <f>IF(AND($F22='Tournament Setup'!$A$30,SUM($O22,$S22)=0,$E22="F",$AI22&gt;'Tournament Setup'!$B$30),$H22,"")</f>
        <v/>
      </c>
      <c r="AM22" s="12" t="str">
        <f>IF(ISNUMBER(AL22)=TRUE,IF(_xlfn.RANK.EQ(AL22,$AL$2:$AL$111)&lt;='Tournament Setup'!$D$30,_xlfn.RANK.EQ(AL22,$AL$2:$AL$111),""),"")</f>
        <v/>
      </c>
      <c r="AN22" s="30" t="str">
        <f>IF(AND($F22='Tournament Setup'!$A$31,$I22&lt;&gt;0),$I22,"")</f>
        <v/>
      </c>
      <c r="AO22" s="47" t="str">
        <f>IF(ISNUMBER(AN22),IF(COUNTIFS(AO$1:AO21,_xlfn.RANK.EQ(AN22,AN$2:AN$111,0))&gt;0,_xlfn.MAXIFS(AO$1:AO21,AN$1:AN21,AN22)+1,_xlfn.RANK.EQ(AN22,AN$2:AN$111,0)),"")</f>
        <v/>
      </c>
      <c r="AP22" s="1" t="str">
        <f>IF(ISNUMBER(AN22)=TRUE,IF(_xlfn.RANK.EQ(AN22,$AN$2:$AN$111)&lt;='Tournament Setup'!$B$46,_xlfn.RANK.EQ(AN22,$AN$2:$AN$111),""),"")</f>
        <v/>
      </c>
      <c r="AQ22" s="30" t="str">
        <f>IF(AND($F22='Tournament Setup'!$A$31,SUM($O22,$Q22,$S22)=0),$H22,"")</f>
        <v/>
      </c>
      <c r="AR22" s="47" t="str">
        <f>IF(ISNUMBER(AQ22),IF(COUNTIFS(AR$1:AR21,_xlfn.RANK.EQ(AQ22,AQ$2:AQ$111,0))&gt;0,_xlfn.MAXIFS(AR$1:AR21,AQ$1:AQ21,AQ22)+1,_xlfn.RANK.EQ(AQ22,AQ$2:AQ$111,0)),"")</f>
        <v/>
      </c>
      <c r="AS22" s="1" t="str">
        <f>IF(ISNUMBER(AQ22)=TRUE,IF(_xlfn.RANK.EQ(AQ22,$AQ$2:$AQ$111)&lt;='Tournament Setup'!$B$31,_xlfn.RANK.EQ(AQ22,$AQ$2:$AQ$111),""),"")</f>
        <v/>
      </c>
      <c r="AT22" s="31" t="str">
        <f>IF(AND($F22='Tournament Setup'!$A$31,SUM($O22,$Q22)=0,$E22="M",$AS22&gt;'Tournament Setup'!$B$31),$H22,"")</f>
        <v/>
      </c>
      <c r="AU22" s="1" t="str">
        <f>IF(ISNUMBER(AT22)=TRUE,IF(_xlfn.RANK.EQ(AT22,$AT$2:$AT$111)&lt;='Tournament Setup'!$C$31,_xlfn.RANK.EQ(AT22,$AT$2:$AT$111),""),"")</f>
        <v/>
      </c>
      <c r="AV22" s="31" t="str">
        <f>IF(AND($F22='Tournament Setup'!$A$31,SUM($O22,$S22)=0,$E22="F",$AS22&gt;'Tournament Setup'!$B$31),$H22,"")</f>
        <v/>
      </c>
      <c r="AW22" s="12" t="str">
        <f>IF(ISNUMBER(AV22)=TRUE,IF(_xlfn.RANK.EQ(AV22,$AV$2:$AV$111)&lt;='Tournament Setup'!$D$31,_xlfn.RANK.EQ(AV22,$AV$2:$AV$111),""),"")</f>
        <v/>
      </c>
      <c r="AX22" s="30" t="str">
        <f>IF(AND($F22='Tournament Setup'!$A$32,$I22&lt;&gt;0),$I22,"")</f>
        <v/>
      </c>
      <c r="AY22" s="47" t="str">
        <f>IF(ISNUMBER(AX22),IF(COUNTIFS(AY$1:AY21,_xlfn.RANK.EQ(AX22,AX$2:AX$111,0))&gt;0,_xlfn.MAXIFS(AY$1:AY21,AX$1:AX21,AX22)+1,_xlfn.RANK.EQ(AX22,AX$2:AX$111,0)),"")</f>
        <v/>
      </c>
      <c r="AZ22" s="1" t="str">
        <f>IF(ISNUMBER(AX22)=TRUE,IF(_xlfn.RANK.EQ(AX22,$AX$2:$AX$111)&lt;='Tournament Setup'!$B$46,_xlfn.RANK.EQ(AX22,$AX$2:$AX$111),""),"")</f>
        <v/>
      </c>
      <c r="BA22" s="30" t="str">
        <f>IF(AND($F22='Tournament Setup'!$A$32,SUM($O22,$Q22,$S22)=0),$H22,"")</f>
        <v/>
      </c>
      <c r="BB22" s="47" t="str">
        <f>IF(ISNUMBER(BA22),IF(COUNTIFS(BB$1:BB21,_xlfn.RANK.EQ(BA22,BA$2:BA$111,0))&gt;0,_xlfn.MAXIFS(BB$1:BB21,BA$1:BA21,BA22)+1,_xlfn.RANK.EQ(BA22,BA$2:BA$111,0)),"")</f>
        <v/>
      </c>
      <c r="BC22" s="1" t="str">
        <f>IF(ISNUMBER(BA22)=TRUE,IF(_xlfn.RANK.EQ(BA22,$BA$2:$BA$111)&lt;='Tournament Setup'!$B$32,_xlfn.RANK.EQ(BA22,$BA$2:$BA$111),""),"")</f>
        <v/>
      </c>
      <c r="BD22" s="31" t="str">
        <f>IF(AND($F22='Tournament Setup'!$A$32,SUM($O22,$Q22)=0,$E22="M",$BC22&gt;'Tournament Setup'!$B$32),$H22,"")</f>
        <v/>
      </c>
      <c r="BE22" s="1" t="str">
        <f>IF(ISNUMBER(BD22)=TRUE,IF(_xlfn.RANK.EQ(BD22,$BD$2:$BD$111)&lt;='Tournament Setup'!$C$32,_xlfn.RANK.EQ(BD22,$BD$2:$BD$111),""),"")</f>
        <v/>
      </c>
      <c r="BF22" s="31" t="str">
        <f>IF(AND($F22='Tournament Setup'!$A$32,SUM($O22,$S22)=0,$E22="F",$BC22&gt;'Tournament Setup'!$B$32),$H22,"")</f>
        <v/>
      </c>
      <c r="BG22" s="12" t="str">
        <f>IF(ISNUMBER(BF22)=TRUE,IF(_xlfn.RANK.EQ(BF22,$BF$2:$BF$111)&lt;='Tournament Setup'!$D$32,_xlfn.RANK.EQ(BF22,$BF$2:$BF$111),""),"")</f>
        <v/>
      </c>
      <c r="BH22" s="30" t="str">
        <f>IF(AND($F22='Tournament Setup'!$A$33,$I22&lt;&gt;0),$I22,"")</f>
        <v/>
      </c>
      <c r="BI22" s="47" t="str">
        <f>IF(ISNUMBER(BH22),IF(COUNTIFS(BI$1:BI21,_xlfn.RANK.EQ(BH22,BH$2:BH$111,0))&gt;0,_xlfn.MAXIFS(BI$1:BI21,BH$1:BH21,BH22)+1,_xlfn.RANK.EQ(BH22,BH$2:BH$111,0)),"")</f>
        <v/>
      </c>
      <c r="BJ22" s="1" t="str">
        <f>IF(ISNUMBER(BH22)=TRUE,IF(_xlfn.RANK.EQ(BH22,$BH$2:$BH$111)&lt;='Tournament Setup'!$B$46,_xlfn.RANK.EQ(BH22,$BH$2:$BH$111),""),"")</f>
        <v/>
      </c>
      <c r="BK22" s="30" t="str">
        <f>IF(AND($F22='Tournament Setup'!$A$33,SUM($O22,$Q22,$S22)=0),$H22,"")</f>
        <v/>
      </c>
      <c r="BL22" s="47" t="str">
        <f>IF(ISNUMBER(BK22),IF(COUNTIFS(BL$1:BL21,_xlfn.RANK.EQ(BK22,BK$2:BK$111,0))&gt;0,_xlfn.MAXIFS(BL$1:BL21,BK$1:BK21,BK22)+1,_xlfn.RANK.EQ(BK22,BK$2:BK$111,0)),"")</f>
        <v/>
      </c>
      <c r="BM22" s="1" t="str">
        <f>IF(ISNUMBER(BK22)=TRUE,IF(_xlfn.RANK.EQ(BK22,$BK$2:$BK$111)&lt;='Tournament Setup'!$B$33,_xlfn.RANK.EQ(BK22,$BK$2:$BK$111),""),"")</f>
        <v/>
      </c>
      <c r="BN22" s="31" t="str">
        <f>IF(AND($F22='Tournament Setup'!$A$33,SUM($O22,$Q22)=0,$E22="M",$BM22&gt;'Tournament Setup'!$B$33),$H22,"")</f>
        <v/>
      </c>
      <c r="BO22" s="1" t="str">
        <f>IF(ISNUMBER(BN22)=TRUE,IF(_xlfn.RANK.EQ(BN22,$BN$2:$BN$111)&lt;='Tournament Setup'!$C$33,_xlfn.RANK.EQ(BN22,$BN$2:$BN$111),""),"")</f>
        <v/>
      </c>
      <c r="BP22" s="31" t="str">
        <f>IF(AND($F22='Tournament Setup'!$A$33,SUM($O22,$S22)=0,$E22="F",$BM22&gt;'Tournament Setup'!$B$33),$H22,"")</f>
        <v/>
      </c>
      <c r="BQ22" s="12" t="str">
        <f>IF(ISNUMBER(BP22)=TRUE,IF(_xlfn.RANK.EQ(BP22,$BP$2:$BP$111)&lt;='Tournament Setup'!$D$33,_xlfn.RANK.EQ(BP22,$BP$2:$BP$111),""),"")</f>
        <v/>
      </c>
      <c r="BR22" s="30" t="str">
        <f>IF($G22='Tournament Setup'!$A$38,$H22,"")</f>
        <v/>
      </c>
      <c r="BS22" s="47" t="str">
        <f>IF(ISNUMBER(BR22),IF(COUNTIFS(BS$1:BS21,_xlfn.RANK.EQ(BR22,BR$2:BR$111,0))&gt;0,_xlfn.MAXIFS(BS$1:BS21,BR$1:BR21,BR22)+1,_xlfn.RANK.EQ(BR22,BR$2:BR$111,0)),"")</f>
        <v/>
      </c>
      <c r="BT22" s="1" t="str">
        <f>IF(ISNUMBER(BR22)=TRUE,IF(_xlfn.RANK.EQ(BR22,$BR$2:$BR$111)&lt;='Tournament Setup'!$B$38,_xlfn.RANK.EQ(BR22,$BR$2:$BR$111),""),"")</f>
        <v/>
      </c>
      <c r="BU22" s="31" t="str">
        <f>IF(AND($G22='Tournament Setup'!$A$38,$E22="M",$BT22&gt;'Tournament Setup'!$B$38),$H22,"")</f>
        <v/>
      </c>
      <c r="BV22" s="1" t="str">
        <f>IF(ISNUMBER(BU22)=TRUE,IF(_xlfn.RANK.EQ(BU22,$BU$2:$BU$111)&lt;='Tournament Setup'!$C$38,_xlfn.RANK.EQ(BU22,$BU$2:$BU$111),""),"")</f>
        <v/>
      </c>
      <c r="BW22" s="31" t="str">
        <f>IF(AND($G22='Tournament Setup'!$A$38,$E22="F",$BT22&gt;'Tournament Setup'!$B$38),$H22,"")</f>
        <v/>
      </c>
      <c r="BX22" s="12" t="str">
        <f>IF(ISNUMBER(BW22)=TRUE,IF(_xlfn.RANK.EQ(BW22,$BW$2:$BW$111)&lt;='Tournament Setup'!$D$38,_xlfn.RANK.EQ(BW22,$BW$2:$BW$111),""),"")</f>
        <v/>
      </c>
      <c r="BY22" s="30" t="str">
        <f>IF($G22='Tournament Setup'!$A$39,$H22,"")</f>
        <v/>
      </c>
      <c r="BZ22" s="47" t="str">
        <f>IF(ISNUMBER(BY22),IF(COUNTIFS(BZ$1:BZ21,_xlfn.RANK.EQ(BY22,BY$2:BY$111,0))&gt;0,_xlfn.MAXIFS(BZ$1:BZ21,BY$1:BY21,BY22)+1,_xlfn.RANK.EQ(BY22,BY$2:BY$111,0)),"")</f>
        <v/>
      </c>
      <c r="CA22" s="1" t="str">
        <f>IF(ISNUMBER(BY22)=TRUE,IF(_xlfn.RANK.EQ(BY22,$BY$2:$BY$111)&lt;='Tournament Setup'!$B$39,_xlfn.RANK.EQ(BY22,$BY$2:$BY$111),""),"")</f>
        <v/>
      </c>
      <c r="CB22" s="31" t="str">
        <f>IF(AND($G22='Tournament Setup'!$A$39,$E22="M",$CA22&gt;'Tournament Setup'!$B$39),$H22,"")</f>
        <v/>
      </c>
      <c r="CC22" s="1" t="str">
        <f>IF(ISNUMBER(CB22)=TRUE,IF(_xlfn.RANK.EQ(CB22,$CB$2:$CB$111)&lt;='Tournament Setup'!$C$39,_xlfn.RANK.EQ(CB22,$CB$2:$CB$111),""),"")</f>
        <v/>
      </c>
      <c r="CD22" s="31" t="str">
        <f>IF(AND($G22='Tournament Setup'!$A$39,$E22="F",$CA22&gt;'Tournament Setup'!$B$39),$H22,"")</f>
        <v/>
      </c>
      <c r="CE22" s="12" t="str">
        <f>IF(ISNUMBER(CD22)=TRUE,IF(_xlfn.RANK.EQ(CD22,$CD$2:$CD$111)&lt;='Tournament Setup'!$D$39,_xlfn.RANK.EQ(CD22,$CD$2:$CD$111),""),"")</f>
        <v/>
      </c>
      <c r="CF22" s="30">
        <f>IF($G22='Tournament Setup'!$A$40,$H22,"")</f>
        <v>72</v>
      </c>
      <c r="CG22" s="47">
        <f>IF(ISNUMBER(CF22),IF(COUNTIFS(CG$1:CG21,_xlfn.RANK.EQ(CF22,CF$2:CF$111,0))&gt;0,_xlfn.MAXIFS(CG$1:CG21,CF$1:CF21,CF22)+1,_xlfn.RANK.EQ(CF22,CF$2:CF$111,0)),"")</f>
        <v>6</v>
      </c>
      <c r="CH22" s="1" t="str">
        <f>IF(ISNUMBER(CF22)=TRUE,IF(_xlfn.RANK.EQ(CF22,$CF$2:$CF$111)&lt;='Tournament Setup'!$B$40,_xlfn.RANK.EQ(CF22,$CF$2:$CF$111),""),"")</f>
        <v/>
      </c>
      <c r="CI22" s="31">
        <f>IF(AND($G22='Tournament Setup'!$A$40,$E22="M",$CH22&gt;'Tournament Setup'!$B$40),$H22,"")</f>
        <v>72</v>
      </c>
      <c r="CJ22" s="1" t="str">
        <f>IF(ISNUMBER(CI22)=TRUE,IF(_xlfn.RANK.EQ(CI22,$CI$2:$CI$111)&lt;='Tournament Setup'!$C$40,_xlfn.RANK.EQ(CI22,$CI$2:$CI$111),""),"")</f>
        <v/>
      </c>
      <c r="CK22" s="31" t="str">
        <f>IF(AND($G22='Tournament Setup'!$A$40,$E22="F",$CH22&gt;'Tournament Setup'!$B$40),$H22,"")</f>
        <v/>
      </c>
      <c r="CL22" s="12" t="str">
        <f>IF(ISNUMBER(CK22)=TRUE,IF(_xlfn.RANK.EQ(CK22,$CK$2:$CK$111)&lt;='Tournament Setup'!$D$40,_xlfn.RANK.EQ(CK22,$CK$2:$CK$111),""),"")</f>
        <v/>
      </c>
      <c r="CM22" s="30" t="str">
        <f>IF($G22='Tournament Setup'!$A$41,$H22,"")</f>
        <v/>
      </c>
      <c r="CN22" s="47" t="str">
        <f>IF(ISNUMBER(CM22),IF(COUNTIFS(CN$1:CN21,_xlfn.RANK.EQ(CM22,CM$2:CM$111,0))&gt;0,_xlfn.MAXIFS(CN$1:CN21,CM$1:CM21,CM22)+1,_xlfn.RANK.EQ(CM22,CM$2:CM$111,0)),"")</f>
        <v/>
      </c>
      <c r="CO22" s="1" t="str">
        <f>IF(ISNUMBER(CM22)=TRUE,IF(_xlfn.RANK.EQ(CM22,$CM$2:$CM$111)&lt;='Tournament Setup'!$B$41,_xlfn.RANK.EQ(CM22,$CM$2:$CM$111),""),"")</f>
        <v/>
      </c>
      <c r="CP22" s="31" t="str">
        <f>IF(AND($G22='Tournament Setup'!$A$41,$E22="M",$CO22&gt;'Tournament Setup'!$B$41),$H22,"")</f>
        <v/>
      </c>
      <c r="CQ22" s="1" t="str">
        <f>IF(ISNUMBER(CP22)=TRUE,IF(_xlfn.RANK.EQ(CP22,$CP$2:$CP$111)&lt;='Tournament Setup'!$C$41,_xlfn.RANK.EQ(CP22,$CP$2:$CP$111),""),"")</f>
        <v/>
      </c>
      <c r="CR22" s="31" t="str">
        <f>IF(AND($G22='Tournament Setup'!$A$41,$E22="F",$CO22&gt;'Tournament Setup'!$B$41),$H22,"")</f>
        <v/>
      </c>
      <c r="CS22" s="12" t="str">
        <f>IF(ISNUMBER(CR22)=TRUE,IF(_xlfn.RANK.EQ(CR22,$CR$2:$CR$111)&lt;='Tournament Setup'!$D$41,_xlfn.RANK.EQ(CR22,$CR$2:$CR$111),""),"")</f>
        <v/>
      </c>
    </row>
    <row r="23" spans="1:97" x14ac:dyDescent="0.3">
      <c r="A23" t="s">
        <v>58</v>
      </c>
      <c r="B23" t="str">
        <f>IFERROR(INDEX('Tournament List'!$B:$B,MATCH($A23,'Tournament List'!$A:$A,0)),"")</f>
        <v>Steve</v>
      </c>
      <c r="C23" t="str">
        <f>IFERROR(INDEX('Tournament List'!$C:$C,MATCH($A23,'Tournament List'!$A:$A,0)),"")</f>
        <v>Last Name22</v>
      </c>
      <c r="D23" t="str">
        <f t="shared" si="0"/>
        <v>Steve Last Name22</v>
      </c>
      <c r="E23" s="1" t="str">
        <f>IFERROR(INDEX('Tournament List'!F:F,MATCH($A23,'Tournament List'!$A:$A,0)),"")</f>
        <v>M</v>
      </c>
      <c r="F23" t="str">
        <f>IFERROR(INDEX('Tournament List'!M:M,MATCH($A23,'Tournament List'!$A:$A,0)),"")</f>
        <v>Intermediate</v>
      </c>
      <c r="G23" s="1" t="str">
        <f>IFERROR(INDEX('Tournament List'!W:W,MATCH($A23,'Tournament List'!$A:$A,0)),"")</f>
        <v>C</v>
      </c>
      <c r="H23" s="129">
        <f>IFERROR(INDEX('Tournament List'!Z:Z,MATCH($A23,'Tournament List'!$A:$A,0)),"")</f>
        <v>70</v>
      </c>
      <c r="I23" s="152" t="str">
        <f>IFERROR(INDEX('Tournament List'!T:T,MATCH($A23,'Tournament List'!$A:$A,0)),"")</f>
        <v/>
      </c>
      <c r="J23" s="56" t="str">
        <f>IF(ISNUMBER(I23),IF(COUNTIFS(J$1:J22,_xlfn.RANK.EQ(I23,I$2:I$111,0))&gt;0,_xlfn.MAXIFS(J$1:J22,I$1:I22,I23)+1,_xlfn.RANK.EQ(I23,I$2:I$111,0)),"")</f>
        <v/>
      </c>
      <c r="K23" s="11">
        <f t="shared" si="1"/>
        <v>26</v>
      </c>
      <c r="L23" s="56">
        <f>IF(ISNUMBER(H23),IF(COUNTIFS(L$1:L22,_xlfn.RANK.EQ(H23,H$2:H$111,0))&gt;0,_xlfn.MAXIFS(L$1:L22,H$1:H22,H23)+1,_xlfn.RANK.EQ(H23,H$2:H$111,0)),"")</f>
        <v>26</v>
      </c>
      <c r="M23" s="151">
        <f t="shared" si="2"/>
        <v>70</v>
      </c>
      <c r="N23" s="47">
        <f>IF(ISNUMBER(M23),IF(COUNTIFS(N$1:N22,_xlfn.RANK.EQ(M23,M$2:M$111,0))&gt;0,_xlfn.MAXIFS(N$1:N22,M$1:M22,M23)+1,_xlfn.RANK.EQ(M23,M$2:M$111,0)),"")</f>
        <v>24</v>
      </c>
      <c r="O23" s="1" t="str">
        <f>IF(ISNUMBER(M23)=TRUE,IF(_xlfn.RANK.EQ(M23,$M$2:$M$111)&lt;='Tournament Setup'!$B$23,_xlfn.RANK.EQ(M23,$M$2:$M$111),""),"")</f>
        <v/>
      </c>
      <c r="P23" s="150">
        <f t="shared" si="3"/>
        <v>70</v>
      </c>
      <c r="Q23" s="1" t="str">
        <f>IF(ISNUMBER(P23)=TRUE,IF(_xlfn.RANK.EQ(P23,$P$2:$P$111)&lt;='Tournament Setup'!$B$24,_xlfn.RANK.EQ(P23,$P$2:$P$111),""),"")</f>
        <v/>
      </c>
      <c r="R23" s="150" t="str">
        <f t="shared" si="4"/>
        <v/>
      </c>
      <c r="S23" s="12" t="str">
        <f>IF(ISNUMBER(R23)=TRUE,IF(_xlfn.RANK.EQ(R23,$R$2:$R$111)&lt;='Tournament Setup'!$B$25,_xlfn.RANK.EQ(R23,$R$2:$R$111),""),"")</f>
        <v/>
      </c>
      <c r="T23" s="152" t="str">
        <f>IF(AND($F23='Tournament Setup'!$A$29,$I23&lt;&gt;0),$I23,"")</f>
        <v/>
      </c>
      <c r="U23" s="47" t="str">
        <f>IF(ISNUMBER(T23),IF(COUNTIFS(U$1:U22,_xlfn.RANK.EQ(T23,T$2:T$111,0))&gt;0,_xlfn.MAXIFS(U$1:U22,T$1:T22,T23)+1,_xlfn.RANK.EQ(T23,T$2:T$111,0)),"")</f>
        <v/>
      </c>
      <c r="V23" s="1" t="str">
        <f>IF(ISNUMBER(T23)=TRUE,IF(_xlfn.RANK.EQ(T23,$T$3:$T$112)&lt;='Tournament Setup'!$B$46,_xlfn.RANK.EQ(T23,$T$2:$T$111),""),"")</f>
        <v/>
      </c>
      <c r="W23" s="30" t="str">
        <f>IF(AND($F23='Tournament Setup'!$A$29,SUM($O23,$Q23,$S23)=0),$H23,"")</f>
        <v/>
      </c>
      <c r="X23" s="47" t="str">
        <f>IF(ISNUMBER(W23),IF(COUNTIFS(X$1:X22,_xlfn.RANK.EQ(W23,W$2:W$111,0))&gt;0,_xlfn.MAXIFS(X$1:X22,W$1:W22,W23)+1,_xlfn.RANK.EQ(W23,W$2:W$111,0)),"")</f>
        <v/>
      </c>
      <c r="Y23" s="1" t="str">
        <f>IF(ISNUMBER(W23)=TRUE,IF(_xlfn.RANK.EQ(W23,$W$2:$W$111)&lt;='Tournament Setup'!$B$29,_xlfn.RANK.EQ(W23,$W$2:$W$111),""),"")</f>
        <v/>
      </c>
      <c r="Z23" s="31" t="str">
        <f>IF(AND($F23='Tournament Setup'!$A$29,SUM($O23,$Q23)=0,$E23="M",$Y23&gt;'Tournament Setup'!$B$29),$H23,"")</f>
        <v/>
      </c>
      <c r="AA23" s="1" t="str">
        <f>IF(ISNUMBER(Z23)=TRUE,IF(_xlfn.RANK.EQ(Z23,$Z$2:$Z$111)&lt;='Tournament Setup'!$C$29,_xlfn.RANK.EQ(Z23,$Z$2:$Z$111),""),"")</f>
        <v/>
      </c>
      <c r="AB23" s="31" t="str">
        <f>IF(AND($F23='Tournament Setup'!$A$29,SUM($O23,$S23)=0,$E23="F",$Y23&gt;'Tournament Setup'!$B$29),$H23,"")</f>
        <v/>
      </c>
      <c r="AC23" s="12" t="str">
        <f>IF(ISNUMBER(AB23)=TRUE,IF(_xlfn.RANK.EQ(AB23,$AB$2:$AB$111)&lt;='Tournament Setup'!$D$29,_xlfn.RANK.EQ(AB23,$AB$2:$AB$111),""),"")</f>
        <v/>
      </c>
      <c r="AD23" s="30" t="str">
        <f>IF(AND($F23='Tournament Setup'!$A$30,$I23&lt;&gt;0),$I23,"")</f>
        <v/>
      </c>
      <c r="AE23" s="47" t="str">
        <f>IF(ISNUMBER(AD23),IF(COUNTIFS(AE$1:AE22,_xlfn.RANK.EQ(AD23,AD$2:AD$111,0))&gt;0,_xlfn.MAXIFS(AE$1:AE22,AD$1:AD22,AD23)+1,_xlfn.RANK.EQ(AD23,AD$2:AD$111,0)),"")</f>
        <v/>
      </c>
      <c r="AF23" s="1" t="str">
        <f>IF(ISNUMBER(AD23)=TRUE,IF(_xlfn.RANK.EQ(AD23,$AD$2:$AD$111)&lt;='Tournament Setup'!$B$46,_xlfn.RANK.EQ(AD23,$AD$2:$AD$111),""),"")</f>
        <v/>
      </c>
      <c r="AG23" s="30">
        <f>IF(AND($F23='Tournament Setup'!$A$30,SUM($O23,$Q23,$S23)=0),$H23,"")</f>
        <v>70</v>
      </c>
      <c r="AH23" s="47">
        <f>IF(ISNUMBER(AG23),IF(COUNTIFS(AH$1:AH22,_xlfn.RANK.EQ(AG23,AG$2:AG$111,0))&gt;0,_xlfn.MAXIFS(AH$1:AH22,AG$1:AG22,AG23)+1,_xlfn.RANK.EQ(AG23,AG$2:AG$111,0)),"")</f>
        <v>6</v>
      </c>
      <c r="AI23" s="1" t="str">
        <f>IF(ISNUMBER(AG23)=TRUE,IF(_xlfn.RANK.EQ(AG23,$AG$2:$AG$111)&lt;='Tournament Setup'!$B$30,_xlfn.RANK.EQ(AG23,$AG$2:$AG$111),""),"")</f>
        <v/>
      </c>
      <c r="AJ23" s="31">
        <f>IF(AND($F23='Tournament Setup'!$A$30,SUM($O23,$Q23)=0,$E23="M",$AI23&gt;'Tournament Setup'!$B$30),$H23,"")</f>
        <v>70</v>
      </c>
      <c r="AK23" s="1">
        <f>IF(ISNUMBER(AJ23)=TRUE,IF(_xlfn.RANK.EQ(AJ23,$AJ$2:$AJ$111)&lt;='Tournament Setup'!$C$30,_xlfn.RANK.EQ(AJ23,$AJ$2:$AJ$111),""),"")</f>
        <v>2</v>
      </c>
      <c r="AL23" s="31" t="str">
        <f>IF(AND($F23='Tournament Setup'!$A$30,SUM($O23,$S23)=0,$E23="F",$AI23&gt;'Tournament Setup'!$B$30),$H23,"")</f>
        <v/>
      </c>
      <c r="AM23" s="12" t="str">
        <f>IF(ISNUMBER(AL23)=TRUE,IF(_xlfn.RANK.EQ(AL23,$AL$2:$AL$111)&lt;='Tournament Setup'!$D$30,_xlfn.RANK.EQ(AL23,$AL$2:$AL$111),""),"")</f>
        <v/>
      </c>
      <c r="AN23" s="30" t="str">
        <f>IF(AND($F23='Tournament Setup'!$A$31,$I23&lt;&gt;0),$I23,"")</f>
        <v/>
      </c>
      <c r="AO23" s="47" t="str">
        <f>IF(ISNUMBER(AN23),IF(COUNTIFS(AO$1:AO22,_xlfn.RANK.EQ(AN23,AN$2:AN$111,0))&gt;0,_xlfn.MAXIFS(AO$1:AO22,AN$1:AN22,AN23)+1,_xlfn.RANK.EQ(AN23,AN$2:AN$111,0)),"")</f>
        <v/>
      </c>
      <c r="AP23" s="1" t="str">
        <f>IF(ISNUMBER(AN23)=TRUE,IF(_xlfn.RANK.EQ(AN23,$AN$2:$AN$111)&lt;='Tournament Setup'!$B$46,_xlfn.RANK.EQ(AN23,$AN$2:$AN$111),""),"")</f>
        <v/>
      </c>
      <c r="AQ23" s="30" t="str">
        <f>IF(AND($F23='Tournament Setup'!$A$31,SUM($O23,$Q23,$S23)=0),$H23,"")</f>
        <v/>
      </c>
      <c r="AR23" s="47" t="str">
        <f>IF(ISNUMBER(AQ23),IF(COUNTIFS(AR$1:AR22,_xlfn.RANK.EQ(AQ23,AQ$2:AQ$111,0))&gt;0,_xlfn.MAXIFS(AR$1:AR22,AQ$1:AQ22,AQ23)+1,_xlfn.RANK.EQ(AQ23,AQ$2:AQ$111,0)),"")</f>
        <v/>
      </c>
      <c r="AS23" s="1" t="str">
        <f>IF(ISNUMBER(AQ23)=TRUE,IF(_xlfn.RANK.EQ(AQ23,$AQ$2:$AQ$111)&lt;='Tournament Setup'!$B$31,_xlfn.RANK.EQ(AQ23,$AQ$2:$AQ$111),""),"")</f>
        <v/>
      </c>
      <c r="AT23" s="31" t="str">
        <f>IF(AND($F23='Tournament Setup'!$A$31,SUM($O23,$Q23)=0,$E23="M",$AS23&gt;'Tournament Setup'!$B$31),$H23,"")</f>
        <v/>
      </c>
      <c r="AU23" s="1" t="str">
        <f>IF(ISNUMBER(AT23)=TRUE,IF(_xlfn.RANK.EQ(AT23,$AT$2:$AT$111)&lt;='Tournament Setup'!$C$31,_xlfn.RANK.EQ(AT23,$AT$2:$AT$111),""),"")</f>
        <v/>
      </c>
      <c r="AV23" s="31" t="str">
        <f>IF(AND($F23='Tournament Setup'!$A$31,SUM($O23,$S23)=0,$E23="F",$AS23&gt;'Tournament Setup'!$B$31),$H23,"")</f>
        <v/>
      </c>
      <c r="AW23" s="12" t="str">
        <f>IF(ISNUMBER(AV23)=TRUE,IF(_xlfn.RANK.EQ(AV23,$AV$2:$AV$111)&lt;='Tournament Setup'!$D$31,_xlfn.RANK.EQ(AV23,$AV$2:$AV$111),""),"")</f>
        <v/>
      </c>
      <c r="AX23" s="30" t="str">
        <f>IF(AND($F23='Tournament Setup'!$A$32,$I23&lt;&gt;0),$I23,"")</f>
        <v/>
      </c>
      <c r="AY23" s="47" t="str">
        <f>IF(ISNUMBER(AX23),IF(COUNTIFS(AY$1:AY22,_xlfn.RANK.EQ(AX23,AX$2:AX$111,0))&gt;0,_xlfn.MAXIFS(AY$1:AY22,AX$1:AX22,AX23)+1,_xlfn.RANK.EQ(AX23,AX$2:AX$111,0)),"")</f>
        <v/>
      </c>
      <c r="AZ23" s="1" t="str">
        <f>IF(ISNUMBER(AX23)=TRUE,IF(_xlfn.RANK.EQ(AX23,$AX$2:$AX$111)&lt;='Tournament Setup'!$B$46,_xlfn.RANK.EQ(AX23,$AX$2:$AX$111),""),"")</f>
        <v/>
      </c>
      <c r="BA23" s="30" t="str">
        <f>IF(AND($F23='Tournament Setup'!$A$32,SUM($O23,$Q23,$S23)=0),$H23,"")</f>
        <v/>
      </c>
      <c r="BB23" s="47" t="str">
        <f>IF(ISNUMBER(BA23),IF(COUNTIFS(BB$1:BB22,_xlfn.RANK.EQ(BA23,BA$2:BA$111,0))&gt;0,_xlfn.MAXIFS(BB$1:BB22,BA$1:BA22,BA23)+1,_xlfn.RANK.EQ(BA23,BA$2:BA$111,0)),"")</f>
        <v/>
      </c>
      <c r="BC23" s="1" t="str">
        <f>IF(ISNUMBER(BA23)=TRUE,IF(_xlfn.RANK.EQ(BA23,$BA$2:$BA$111)&lt;='Tournament Setup'!$B$32,_xlfn.RANK.EQ(BA23,$BA$2:$BA$111),""),"")</f>
        <v/>
      </c>
      <c r="BD23" s="31" t="str">
        <f>IF(AND($F23='Tournament Setup'!$A$32,SUM($O23,$Q23)=0,$E23="M",$BC23&gt;'Tournament Setup'!$B$32),$H23,"")</f>
        <v/>
      </c>
      <c r="BE23" s="1" t="str">
        <f>IF(ISNUMBER(BD23)=TRUE,IF(_xlfn.RANK.EQ(BD23,$BD$2:$BD$111)&lt;='Tournament Setup'!$C$32,_xlfn.RANK.EQ(BD23,$BD$2:$BD$111),""),"")</f>
        <v/>
      </c>
      <c r="BF23" s="31" t="str">
        <f>IF(AND($F23='Tournament Setup'!$A$32,SUM($O23,$S23)=0,$E23="F",$BC23&gt;'Tournament Setup'!$B$32),$H23,"")</f>
        <v/>
      </c>
      <c r="BG23" s="12" t="str">
        <f>IF(ISNUMBER(BF23)=TRUE,IF(_xlfn.RANK.EQ(BF23,$BF$2:$BF$111)&lt;='Tournament Setup'!$D$32,_xlfn.RANK.EQ(BF23,$BF$2:$BF$111),""),"")</f>
        <v/>
      </c>
      <c r="BH23" s="30" t="str">
        <f>IF(AND($F23='Tournament Setup'!$A$33,$I23&lt;&gt;0),$I23,"")</f>
        <v/>
      </c>
      <c r="BI23" s="47" t="str">
        <f>IF(ISNUMBER(BH23),IF(COUNTIFS(BI$1:BI22,_xlfn.RANK.EQ(BH23,BH$2:BH$111,0))&gt;0,_xlfn.MAXIFS(BI$1:BI22,BH$1:BH22,BH23)+1,_xlfn.RANK.EQ(BH23,BH$2:BH$111,0)),"")</f>
        <v/>
      </c>
      <c r="BJ23" s="1" t="str">
        <f>IF(ISNUMBER(BH23)=TRUE,IF(_xlfn.RANK.EQ(BH23,$BH$2:$BH$111)&lt;='Tournament Setup'!$B$46,_xlfn.RANK.EQ(BH23,$BH$2:$BH$111),""),"")</f>
        <v/>
      </c>
      <c r="BK23" s="30" t="str">
        <f>IF(AND($F23='Tournament Setup'!$A$33,SUM($O23,$Q23,$S23)=0),$H23,"")</f>
        <v/>
      </c>
      <c r="BL23" s="47" t="str">
        <f>IF(ISNUMBER(BK23),IF(COUNTIFS(BL$1:BL22,_xlfn.RANK.EQ(BK23,BK$2:BK$111,0))&gt;0,_xlfn.MAXIFS(BL$1:BL22,BK$1:BK22,BK23)+1,_xlfn.RANK.EQ(BK23,BK$2:BK$111,0)),"")</f>
        <v/>
      </c>
      <c r="BM23" s="1" t="str">
        <f>IF(ISNUMBER(BK23)=TRUE,IF(_xlfn.RANK.EQ(BK23,$BK$2:$BK$111)&lt;='Tournament Setup'!$B$33,_xlfn.RANK.EQ(BK23,$BK$2:$BK$111),""),"")</f>
        <v/>
      </c>
      <c r="BN23" s="31" t="str">
        <f>IF(AND($F23='Tournament Setup'!$A$33,SUM($O23,$Q23)=0,$E23="M",$BM23&gt;'Tournament Setup'!$B$33),$H23,"")</f>
        <v/>
      </c>
      <c r="BO23" s="1" t="str">
        <f>IF(ISNUMBER(BN23)=TRUE,IF(_xlfn.RANK.EQ(BN23,$BN$2:$BN$111)&lt;='Tournament Setup'!$C$33,_xlfn.RANK.EQ(BN23,$BN$2:$BN$111),""),"")</f>
        <v/>
      </c>
      <c r="BP23" s="31" t="str">
        <f>IF(AND($F23='Tournament Setup'!$A$33,SUM($O23,$S23)=0,$E23="F",$BM23&gt;'Tournament Setup'!$B$33),$H23,"")</f>
        <v/>
      </c>
      <c r="BQ23" s="12" t="str">
        <f>IF(ISNUMBER(BP23)=TRUE,IF(_xlfn.RANK.EQ(BP23,$BP$2:$BP$111)&lt;='Tournament Setup'!$D$33,_xlfn.RANK.EQ(BP23,$BP$2:$BP$111),""),"")</f>
        <v/>
      </c>
      <c r="BR23" s="30" t="str">
        <f>IF($G23='Tournament Setup'!$A$38,$H23,"")</f>
        <v/>
      </c>
      <c r="BS23" s="47" t="str">
        <f>IF(ISNUMBER(BR23),IF(COUNTIFS(BS$1:BS22,_xlfn.RANK.EQ(BR23,BR$2:BR$111,0))&gt;0,_xlfn.MAXIFS(BS$1:BS22,BR$1:BR22,BR23)+1,_xlfn.RANK.EQ(BR23,BR$2:BR$111,0)),"")</f>
        <v/>
      </c>
      <c r="BT23" s="1" t="str">
        <f>IF(ISNUMBER(BR23)=TRUE,IF(_xlfn.RANK.EQ(BR23,$BR$2:$BR$111)&lt;='Tournament Setup'!$B$38,_xlfn.RANK.EQ(BR23,$BR$2:$BR$111),""),"")</f>
        <v/>
      </c>
      <c r="BU23" s="31" t="str">
        <f>IF(AND($G23='Tournament Setup'!$A$38,$E23="M",$BT23&gt;'Tournament Setup'!$B$38),$H23,"")</f>
        <v/>
      </c>
      <c r="BV23" s="1" t="str">
        <f>IF(ISNUMBER(BU23)=TRUE,IF(_xlfn.RANK.EQ(BU23,$BU$2:$BU$111)&lt;='Tournament Setup'!$C$38,_xlfn.RANK.EQ(BU23,$BU$2:$BU$111),""),"")</f>
        <v/>
      </c>
      <c r="BW23" s="31" t="str">
        <f>IF(AND($G23='Tournament Setup'!$A$38,$E23="F",$BT23&gt;'Tournament Setup'!$B$38),$H23,"")</f>
        <v/>
      </c>
      <c r="BX23" s="12" t="str">
        <f>IF(ISNUMBER(BW23)=TRUE,IF(_xlfn.RANK.EQ(BW23,$BW$2:$BW$111)&lt;='Tournament Setup'!$D$38,_xlfn.RANK.EQ(BW23,$BW$2:$BW$111),""),"")</f>
        <v/>
      </c>
      <c r="BY23" s="30" t="str">
        <f>IF($G23='Tournament Setup'!$A$39,$H23,"")</f>
        <v/>
      </c>
      <c r="BZ23" s="47" t="str">
        <f>IF(ISNUMBER(BY23),IF(COUNTIFS(BZ$1:BZ22,_xlfn.RANK.EQ(BY23,BY$2:BY$111,0))&gt;0,_xlfn.MAXIFS(BZ$1:BZ22,BY$1:BY22,BY23)+1,_xlfn.RANK.EQ(BY23,BY$2:BY$111,0)),"")</f>
        <v/>
      </c>
      <c r="CA23" s="1" t="str">
        <f>IF(ISNUMBER(BY23)=TRUE,IF(_xlfn.RANK.EQ(BY23,$BY$2:$BY$111)&lt;='Tournament Setup'!$B$39,_xlfn.RANK.EQ(BY23,$BY$2:$BY$111),""),"")</f>
        <v/>
      </c>
      <c r="CB23" s="31" t="str">
        <f>IF(AND($G23='Tournament Setup'!$A$39,$E23="M",$CA23&gt;'Tournament Setup'!$B$39),$H23,"")</f>
        <v/>
      </c>
      <c r="CC23" s="1" t="str">
        <f>IF(ISNUMBER(CB23)=TRUE,IF(_xlfn.RANK.EQ(CB23,$CB$2:$CB$111)&lt;='Tournament Setup'!$C$39,_xlfn.RANK.EQ(CB23,$CB$2:$CB$111),""),"")</f>
        <v/>
      </c>
      <c r="CD23" s="31" t="str">
        <f>IF(AND($G23='Tournament Setup'!$A$39,$E23="F",$CA23&gt;'Tournament Setup'!$B$39),$H23,"")</f>
        <v/>
      </c>
      <c r="CE23" s="12" t="str">
        <f>IF(ISNUMBER(CD23)=TRUE,IF(_xlfn.RANK.EQ(CD23,$CD$2:$CD$111)&lt;='Tournament Setup'!$D$39,_xlfn.RANK.EQ(CD23,$CD$2:$CD$111),""),"")</f>
        <v/>
      </c>
      <c r="CF23" s="30">
        <f>IF($G23='Tournament Setup'!$A$40,$H23,"")</f>
        <v>70</v>
      </c>
      <c r="CG23" s="47">
        <f>IF(ISNUMBER(CF23),IF(COUNTIFS(CG$1:CG22,_xlfn.RANK.EQ(CF23,CF$2:CF$111,0))&gt;0,_xlfn.MAXIFS(CG$1:CG22,CF$1:CF22,CF23)+1,_xlfn.RANK.EQ(CF23,CF$2:CF$111,0)),"")</f>
        <v>7</v>
      </c>
      <c r="CH23" s="1" t="str">
        <f>IF(ISNUMBER(CF23)=TRUE,IF(_xlfn.RANK.EQ(CF23,$CF$2:$CF$111)&lt;='Tournament Setup'!$B$40,_xlfn.RANK.EQ(CF23,$CF$2:$CF$111),""),"")</f>
        <v/>
      </c>
      <c r="CI23" s="31">
        <f>IF(AND($G23='Tournament Setup'!$A$40,$E23="M",$CH23&gt;'Tournament Setup'!$B$40),$H23,"")</f>
        <v>70</v>
      </c>
      <c r="CJ23" s="1" t="str">
        <f>IF(ISNUMBER(CI23)=TRUE,IF(_xlfn.RANK.EQ(CI23,$CI$2:$CI$111)&lt;='Tournament Setup'!$C$40,_xlfn.RANK.EQ(CI23,$CI$2:$CI$111),""),"")</f>
        <v/>
      </c>
      <c r="CK23" s="31" t="str">
        <f>IF(AND($G23='Tournament Setup'!$A$40,$E23="F",$CH23&gt;'Tournament Setup'!$B$40),$H23,"")</f>
        <v/>
      </c>
      <c r="CL23" s="12" t="str">
        <f>IF(ISNUMBER(CK23)=TRUE,IF(_xlfn.RANK.EQ(CK23,$CK$2:$CK$111)&lt;='Tournament Setup'!$D$40,_xlfn.RANK.EQ(CK23,$CK$2:$CK$111),""),"")</f>
        <v/>
      </c>
      <c r="CM23" s="30" t="str">
        <f>IF($G23='Tournament Setup'!$A$41,$H23,"")</f>
        <v/>
      </c>
      <c r="CN23" s="47" t="str">
        <f>IF(ISNUMBER(CM23),IF(COUNTIFS(CN$1:CN22,_xlfn.RANK.EQ(CM23,CM$2:CM$111,0))&gt;0,_xlfn.MAXIFS(CN$1:CN22,CM$1:CM22,CM23)+1,_xlfn.RANK.EQ(CM23,CM$2:CM$111,0)),"")</f>
        <v/>
      </c>
      <c r="CO23" s="1" t="str">
        <f>IF(ISNUMBER(CM23)=TRUE,IF(_xlfn.RANK.EQ(CM23,$CM$2:$CM$111)&lt;='Tournament Setup'!$B$41,_xlfn.RANK.EQ(CM23,$CM$2:$CM$111),""),"")</f>
        <v/>
      </c>
      <c r="CP23" s="31" t="str">
        <f>IF(AND($G23='Tournament Setup'!$A$41,$E23="M",$CO23&gt;'Tournament Setup'!$B$41),$H23,"")</f>
        <v/>
      </c>
      <c r="CQ23" s="1" t="str">
        <f>IF(ISNUMBER(CP23)=TRUE,IF(_xlfn.RANK.EQ(CP23,$CP$2:$CP$111)&lt;='Tournament Setup'!$C$41,_xlfn.RANK.EQ(CP23,$CP$2:$CP$111),""),"")</f>
        <v/>
      </c>
      <c r="CR23" s="31" t="str">
        <f>IF(AND($G23='Tournament Setup'!$A$41,$E23="F",$CO23&gt;'Tournament Setup'!$B$41),$H23,"")</f>
        <v/>
      </c>
      <c r="CS23" s="12" t="str">
        <f>IF(ISNUMBER(CR23)=TRUE,IF(_xlfn.RANK.EQ(CR23,$CR$2:$CR$111)&lt;='Tournament Setup'!$D$41,_xlfn.RANK.EQ(CR23,$CR$2:$CR$111),""),"")</f>
        <v/>
      </c>
    </row>
    <row r="24" spans="1:97" x14ac:dyDescent="0.3">
      <c r="A24" t="s">
        <v>59</v>
      </c>
      <c r="B24" t="str">
        <f>IFERROR(INDEX('Tournament List'!$B:$B,MATCH($A24,'Tournament List'!$A:$A,0)),"")</f>
        <v>Tom</v>
      </c>
      <c r="C24" t="str">
        <f>IFERROR(INDEX('Tournament List'!$C:$C,MATCH($A24,'Tournament List'!$A:$A,0)),"")</f>
        <v>Last Name23</v>
      </c>
      <c r="D24" t="str">
        <f t="shared" si="0"/>
        <v>Tom Last Name23</v>
      </c>
      <c r="E24" s="1" t="str">
        <f>IFERROR(INDEX('Tournament List'!F:F,MATCH($A24,'Tournament List'!$A:$A,0)),"")</f>
        <v>M</v>
      </c>
      <c r="F24" t="str">
        <f>IFERROR(INDEX('Tournament List'!M:M,MATCH($A24,'Tournament List'!$A:$A,0)),"")</f>
        <v>Junior Varsity</v>
      </c>
      <c r="G24" s="1" t="str">
        <f>IFERROR(INDEX('Tournament List'!W:W,MATCH($A24,'Tournament List'!$A:$A,0)),"")</f>
        <v>C</v>
      </c>
      <c r="H24" s="129">
        <f>IFERROR(INDEX('Tournament List'!Z:Z,MATCH($A24,'Tournament List'!$A:$A,0)),"")</f>
        <v>61</v>
      </c>
      <c r="I24" s="152">
        <f>IFERROR(INDEX('Tournament List'!T:T,MATCH($A24,'Tournament List'!$A:$A,0)),"")</f>
        <v>239</v>
      </c>
      <c r="J24" s="56">
        <f>IF(ISNUMBER(I24),IF(COUNTIFS(J$1:J23,_xlfn.RANK.EQ(I24,I$2:I$111,0))&gt;0,_xlfn.MAXIFS(J$1:J23,I$1:I23,I24)+1,_xlfn.RANK.EQ(I24,I$2:I$111,0)),"")</f>
        <v>3</v>
      </c>
      <c r="K24" s="11">
        <f t="shared" si="1"/>
        <v>34</v>
      </c>
      <c r="L24" s="56">
        <f>IF(ISNUMBER(H24),IF(COUNTIFS(L$1:L23,_xlfn.RANK.EQ(H24,H$2:H$111,0))&gt;0,_xlfn.MAXIFS(L$1:L23,H$1:H23,H24)+1,_xlfn.RANK.EQ(H24,H$2:H$111,0)),"")</f>
        <v>34</v>
      </c>
      <c r="M24" s="151">
        <f t="shared" si="2"/>
        <v>61</v>
      </c>
      <c r="N24" s="47">
        <f>IF(ISNUMBER(M24),IF(COUNTIFS(N$1:N23,_xlfn.RANK.EQ(M24,M$2:M$111,0))&gt;0,_xlfn.MAXIFS(N$1:N23,M$1:M23,M24)+1,_xlfn.RANK.EQ(M24,M$2:M$111,0)),"")</f>
        <v>32</v>
      </c>
      <c r="O24" s="1" t="str">
        <f>IF(ISNUMBER(M24)=TRUE,IF(_xlfn.RANK.EQ(M24,$M$2:$M$111)&lt;='Tournament Setup'!$B$23,_xlfn.RANK.EQ(M24,$M$2:$M$111),""),"")</f>
        <v/>
      </c>
      <c r="P24" s="150">
        <f t="shared" si="3"/>
        <v>61</v>
      </c>
      <c r="Q24" s="1" t="str">
        <f>IF(ISNUMBER(P24)=TRUE,IF(_xlfn.RANK.EQ(P24,$P$2:$P$111)&lt;='Tournament Setup'!$B$24,_xlfn.RANK.EQ(P24,$P$2:$P$111),""),"")</f>
        <v/>
      </c>
      <c r="R24" s="150" t="str">
        <f t="shared" si="4"/>
        <v/>
      </c>
      <c r="S24" s="12" t="str">
        <f>IF(ISNUMBER(R24)=TRUE,IF(_xlfn.RANK.EQ(R24,$R$2:$R$111)&lt;='Tournament Setup'!$B$25,_xlfn.RANK.EQ(R24,$R$2:$R$111),""),"")</f>
        <v/>
      </c>
      <c r="T24" s="152" t="str">
        <f>IF(AND($F24='Tournament Setup'!$A$29,$I24&lt;&gt;0),$I24,"")</f>
        <v/>
      </c>
      <c r="U24" s="47" t="str">
        <f>IF(ISNUMBER(T24),IF(COUNTIFS(U$1:U23,_xlfn.RANK.EQ(T24,T$2:T$111,0))&gt;0,_xlfn.MAXIFS(U$1:U23,T$1:T23,T24)+1,_xlfn.RANK.EQ(T24,T$2:T$111,0)),"")</f>
        <v/>
      </c>
      <c r="V24" s="1" t="str">
        <f>IF(ISNUMBER(T24)=TRUE,IF(_xlfn.RANK.EQ(T24,$T$3:$T$112)&lt;='Tournament Setup'!$B$46,_xlfn.RANK.EQ(T24,$T$2:$T$111),""),"")</f>
        <v/>
      </c>
      <c r="W24" s="30" t="str">
        <f>IF(AND($F24='Tournament Setup'!$A$29,SUM($O24,$Q24,$S24)=0),$H24,"")</f>
        <v/>
      </c>
      <c r="X24" s="47" t="str">
        <f>IF(ISNUMBER(W24),IF(COUNTIFS(X$1:X23,_xlfn.RANK.EQ(W24,W$2:W$111,0))&gt;0,_xlfn.MAXIFS(X$1:X23,W$1:W23,W24)+1,_xlfn.RANK.EQ(W24,W$2:W$111,0)),"")</f>
        <v/>
      </c>
      <c r="Y24" s="1" t="str">
        <f>IF(ISNUMBER(W24)=TRUE,IF(_xlfn.RANK.EQ(W24,$W$2:$W$111)&lt;='Tournament Setup'!$B$29,_xlfn.RANK.EQ(W24,$W$2:$W$111),""),"")</f>
        <v/>
      </c>
      <c r="Z24" s="31" t="str">
        <f>IF(AND($F24='Tournament Setup'!$A$29,SUM($O24,$Q24)=0,$E24="M",$Y24&gt;'Tournament Setup'!$B$29),$H24,"")</f>
        <v/>
      </c>
      <c r="AA24" s="1" t="str">
        <f>IF(ISNUMBER(Z24)=TRUE,IF(_xlfn.RANK.EQ(Z24,$Z$2:$Z$111)&lt;='Tournament Setup'!$C$29,_xlfn.RANK.EQ(Z24,$Z$2:$Z$111),""),"")</f>
        <v/>
      </c>
      <c r="AB24" s="31" t="str">
        <f>IF(AND($F24='Tournament Setup'!$A$29,SUM($O24,$S24)=0,$E24="F",$Y24&gt;'Tournament Setup'!$B$29),$H24,"")</f>
        <v/>
      </c>
      <c r="AC24" s="12" t="str">
        <f>IF(ISNUMBER(AB24)=TRUE,IF(_xlfn.RANK.EQ(AB24,$AB$2:$AB$111)&lt;='Tournament Setup'!$D$29,_xlfn.RANK.EQ(AB24,$AB$2:$AB$111),""),"")</f>
        <v/>
      </c>
      <c r="AD24" s="30" t="str">
        <f>IF(AND($F24='Tournament Setup'!$A$30,$I24&lt;&gt;0),$I24,"")</f>
        <v/>
      </c>
      <c r="AE24" s="47" t="str">
        <f>IF(ISNUMBER(AD24),IF(COUNTIFS(AE$1:AE23,_xlfn.RANK.EQ(AD24,AD$2:AD$111,0))&gt;0,_xlfn.MAXIFS(AE$1:AE23,AD$1:AD23,AD24)+1,_xlfn.RANK.EQ(AD24,AD$2:AD$111,0)),"")</f>
        <v/>
      </c>
      <c r="AF24" s="1" t="str">
        <f>IF(ISNUMBER(AD24)=TRUE,IF(_xlfn.RANK.EQ(AD24,$AD$2:$AD$111)&lt;='Tournament Setup'!$B$46,_xlfn.RANK.EQ(AD24,$AD$2:$AD$111),""),"")</f>
        <v/>
      </c>
      <c r="AG24" s="30" t="str">
        <f>IF(AND($F24='Tournament Setup'!$A$30,SUM($O24,$Q24,$S24)=0),$H24,"")</f>
        <v/>
      </c>
      <c r="AH24" s="47" t="str">
        <f>IF(ISNUMBER(AG24),IF(COUNTIFS(AH$1:AH23,_xlfn.RANK.EQ(AG24,AG$2:AG$111,0))&gt;0,_xlfn.MAXIFS(AH$1:AH23,AG$1:AG23,AG24)+1,_xlfn.RANK.EQ(AG24,AG$2:AG$111,0)),"")</f>
        <v/>
      </c>
      <c r="AI24" s="1" t="str">
        <f>IF(ISNUMBER(AG24)=TRUE,IF(_xlfn.RANK.EQ(AG24,$AG$2:$AG$111)&lt;='Tournament Setup'!$B$30,_xlfn.RANK.EQ(AG24,$AG$2:$AG$111),""),"")</f>
        <v/>
      </c>
      <c r="AJ24" s="31" t="str">
        <f>IF(AND($F24='Tournament Setup'!$A$30,SUM($O24,$Q24)=0,$E24="M",$AI24&gt;'Tournament Setup'!$B$30),$H24,"")</f>
        <v/>
      </c>
      <c r="AK24" s="1" t="str">
        <f>IF(ISNUMBER(AJ24)=TRUE,IF(_xlfn.RANK.EQ(AJ24,$AJ$2:$AJ$111)&lt;='Tournament Setup'!$C$30,_xlfn.RANK.EQ(AJ24,$AJ$2:$AJ$111),""),"")</f>
        <v/>
      </c>
      <c r="AL24" s="31" t="str">
        <f>IF(AND($F24='Tournament Setup'!$A$30,SUM($O24,$S24)=0,$E24="F",$AI24&gt;'Tournament Setup'!$B$30),$H24,"")</f>
        <v/>
      </c>
      <c r="AM24" s="12" t="str">
        <f>IF(ISNUMBER(AL24)=TRUE,IF(_xlfn.RANK.EQ(AL24,$AL$2:$AL$111)&lt;='Tournament Setup'!$D$30,_xlfn.RANK.EQ(AL24,$AL$2:$AL$111),""),"")</f>
        <v/>
      </c>
      <c r="AN24" s="30">
        <f>IF(AND($F24='Tournament Setup'!$A$31,$I24&lt;&gt;0),$I24,"")</f>
        <v>239</v>
      </c>
      <c r="AO24" s="47">
        <f>IF(ISNUMBER(AN24),IF(COUNTIFS(AO$1:AO23,_xlfn.RANK.EQ(AN24,AN$2:AN$111,0))&gt;0,_xlfn.MAXIFS(AO$1:AO23,AN$1:AN23,AN24)+1,_xlfn.RANK.EQ(AN24,AN$2:AN$111,0)),"")</f>
        <v>1</v>
      </c>
      <c r="AP24" s="1">
        <f>IF(ISNUMBER(AN24)=TRUE,IF(_xlfn.RANK.EQ(AN24,$AN$2:$AN$111)&lt;='Tournament Setup'!$B$46,_xlfn.RANK.EQ(AN24,$AN$2:$AN$111),""),"")</f>
        <v>1</v>
      </c>
      <c r="AQ24" s="30">
        <f>IF(AND($F24='Tournament Setup'!$A$31,SUM($O24,$Q24,$S24)=0),$H24,"")</f>
        <v>61</v>
      </c>
      <c r="AR24" s="47">
        <f>IF(ISNUMBER(AQ24),IF(COUNTIFS(AR$1:AR23,_xlfn.RANK.EQ(AQ24,AQ$2:AQ$111,0))&gt;0,_xlfn.MAXIFS(AR$1:AR23,AQ$1:AQ23,AQ24)+1,_xlfn.RANK.EQ(AQ24,AQ$2:AQ$111,0)),"")</f>
        <v>7</v>
      </c>
      <c r="AS24" s="1" t="str">
        <f>IF(ISNUMBER(AQ24)=TRUE,IF(_xlfn.RANK.EQ(AQ24,$AQ$2:$AQ$111)&lt;='Tournament Setup'!$B$31,_xlfn.RANK.EQ(AQ24,$AQ$2:$AQ$111),""),"")</f>
        <v/>
      </c>
      <c r="AT24" s="31">
        <f>IF(AND($F24='Tournament Setup'!$A$31,SUM($O24,$Q24)=0,$E24="M",$AS24&gt;'Tournament Setup'!$B$31),$H24,"")</f>
        <v>61</v>
      </c>
      <c r="AU24" s="1" t="str">
        <f>IF(ISNUMBER(AT24)=TRUE,IF(_xlfn.RANK.EQ(AT24,$AT$2:$AT$111)&lt;='Tournament Setup'!$C$31,_xlfn.RANK.EQ(AT24,$AT$2:$AT$111),""),"")</f>
        <v/>
      </c>
      <c r="AV24" s="31" t="str">
        <f>IF(AND($F24='Tournament Setup'!$A$31,SUM($O24,$S24)=0,$E24="F",$AS24&gt;'Tournament Setup'!$B$31),$H24,"")</f>
        <v/>
      </c>
      <c r="AW24" s="12" t="str">
        <f>IF(ISNUMBER(AV24)=TRUE,IF(_xlfn.RANK.EQ(AV24,$AV$2:$AV$111)&lt;='Tournament Setup'!$D$31,_xlfn.RANK.EQ(AV24,$AV$2:$AV$111),""),"")</f>
        <v/>
      </c>
      <c r="AX24" s="30" t="str">
        <f>IF(AND($F24='Tournament Setup'!$A$32,$I24&lt;&gt;0),$I24,"")</f>
        <v/>
      </c>
      <c r="AY24" s="47" t="str">
        <f>IF(ISNUMBER(AX24),IF(COUNTIFS(AY$1:AY23,_xlfn.RANK.EQ(AX24,AX$2:AX$111,0))&gt;0,_xlfn.MAXIFS(AY$1:AY23,AX$1:AX23,AX24)+1,_xlfn.RANK.EQ(AX24,AX$2:AX$111,0)),"")</f>
        <v/>
      </c>
      <c r="AZ24" s="1" t="str">
        <f>IF(ISNUMBER(AX24)=TRUE,IF(_xlfn.RANK.EQ(AX24,$AX$2:$AX$111)&lt;='Tournament Setup'!$B$46,_xlfn.RANK.EQ(AX24,$AX$2:$AX$111),""),"")</f>
        <v/>
      </c>
      <c r="BA24" s="30" t="str">
        <f>IF(AND($F24='Tournament Setup'!$A$32,SUM($O24,$Q24,$S24)=0),$H24,"")</f>
        <v/>
      </c>
      <c r="BB24" s="47" t="str">
        <f>IF(ISNUMBER(BA24),IF(COUNTIFS(BB$1:BB23,_xlfn.RANK.EQ(BA24,BA$2:BA$111,0))&gt;0,_xlfn.MAXIFS(BB$1:BB23,BA$1:BA23,BA24)+1,_xlfn.RANK.EQ(BA24,BA$2:BA$111,0)),"")</f>
        <v/>
      </c>
      <c r="BC24" s="1" t="str">
        <f>IF(ISNUMBER(BA24)=TRUE,IF(_xlfn.RANK.EQ(BA24,$BA$2:$BA$111)&lt;='Tournament Setup'!$B$32,_xlfn.RANK.EQ(BA24,$BA$2:$BA$111),""),"")</f>
        <v/>
      </c>
      <c r="BD24" s="31" t="str">
        <f>IF(AND($F24='Tournament Setup'!$A$32,SUM($O24,$Q24)=0,$E24="M",$BC24&gt;'Tournament Setup'!$B$32),$H24,"")</f>
        <v/>
      </c>
      <c r="BE24" s="1" t="str">
        <f>IF(ISNUMBER(BD24)=TRUE,IF(_xlfn.RANK.EQ(BD24,$BD$2:$BD$111)&lt;='Tournament Setup'!$C$32,_xlfn.RANK.EQ(BD24,$BD$2:$BD$111),""),"")</f>
        <v/>
      </c>
      <c r="BF24" s="31" t="str">
        <f>IF(AND($F24='Tournament Setup'!$A$32,SUM($O24,$S24)=0,$E24="F",$BC24&gt;'Tournament Setup'!$B$32),$H24,"")</f>
        <v/>
      </c>
      <c r="BG24" s="12" t="str">
        <f>IF(ISNUMBER(BF24)=TRUE,IF(_xlfn.RANK.EQ(BF24,$BF$2:$BF$111)&lt;='Tournament Setup'!$D$32,_xlfn.RANK.EQ(BF24,$BF$2:$BF$111),""),"")</f>
        <v/>
      </c>
      <c r="BH24" s="30" t="str">
        <f>IF(AND($F24='Tournament Setup'!$A$33,$I24&lt;&gt;0),$I24,"")</f>
        <v/>
      </c>
      <c r="BI24" s="47" t="str">
        <f>IF(ISNUMBER(BH24),IF(COUNTIFS(BI$1:BI23,_xlfn.RANK.EQ(BH24,BH$2:BH$111,0))&gt;0,_xlfn.MAXIFS(BI$1:BI23,BH$1:BH23,BH24)+1,_xlfn.RANK.EQ(BH24,BH$2:BH$111,0)),"")</f>
        <v/>
      </c>
      <c r="BJ24" s="1" t="str">
        <f>IF(ISNUMBER(BH24)=TRUE,IF(_xlfn.RANK.EQ(BH24,$BH$2:$BH$111)&lt;='Tournament Setup'!$B$46,_xlfn.RANK.EQ(BH24,$BH$2:$BH$111),""),"")</f>
        <v/>
      </c>
      <c r="BK24" s="30" t="str">
        <f>IF(AND($F24='Tournament Setup'!$A$33,SUM($O24,$Q24,$S24)=0),$H24,"")</f>
        <v/>
      </c>
      <c r="BL24" s="47" t="str">
        <f>IF(ISNUMBER(BK24),IF(COUNTIFS(BL$1:BL23,_xlfn.RANK.EQ(BK24,BK$2:BK$111,0))&gt;0,_xlfn.MAXIFS(BL$1:BL23,BK$1:BK23,BK24)+1,_xlfn.RANK.EQ(BK24,BK$2:BK$111,0)),"")</f>
        <v/>
      </c>
      <c r="BM24" s="1" t="str">
        <f>IF(ISNUMBER(BK24)=TRUE,IF(_xlfn.RANK.EQ(BK24,$BK$2:$BK$111)&lt;='Tournament Setup'!$B$33,_xlfn.RANK.EQ(BK24,$BK$2:$BK$111),""),"")</f>
        <v/>
      </c>
      <c r="BN24" s="31" t="str">
        <f>IF(AND($F24='Tournament Setup'!$A$33,SUM($O24,$Q24)=0,$E24="M",$BM24&gt;'Tournament Setup'!$B$33),$H24,"")</f>
        <v/>
      </c>
      <c r="BO24" s="1" t="str">
        <f>IF(ISNUMBER(BN24)=TRUE,IF(_xlfn.RANK.EQ(BN24,$BN$2:$BN$111)&lt;='Tournament Setup'!$C$33,_xlfn.RANK.EQ(BN24,$BN$2:$BN$111),""),"")</f>
        <v/>
      </c>
      <c r="BP24" s="31" t="str">
        <f>IF(AND($F24='Tournament Setup'!$A$33,SUM($O24,$S24)=0,$E24="F",$BM24&gt;'Tournament Setup'!$B$33),$H24,"")</f>
        <v/>
      </c>
      <c r="BQ24" s="12" t="str">
        <f>IF(ISNUMBER(BP24)=TRUE,IF(_xlfn.RANK.EQ(BP24,$BP$2:$BP$111)&lt;='Tournament Setup'!$D$33,_xlfn.RANK.EQ(BP24,$BP$2:$BP$111),""),"")</f>
        <v/>
      </c>
      <c r="BR24" s="30" t="str">
        <f>IF($G24='Tournament Setup'!$A$38,$H24,"")</f>
        <v/>
      </c>
      <c r="BS24" s="47" t="str">
        <f>IF(ISNUMBER(BR24),IF(COUNTIFS(BS$1:BS23,_xlfn.RANK.EQ(BR24,BR$2:BR$111,0))&gt;0,_xlfn.MAXIFS(BS$1:BS23,BR$1:BR23,BR24)+1,_xlfn.RANK.EQ(BR24,BR$2:BR$111,0)),"")</f>
        <v/>
      </c>
      <c r="BT24" s="1" t="str">
        <f>IF(ISNUMBER(BR24)=TRUE,IF(_xlfn.RANK.EQ(BR24,$BR$2:$BR$111)&lt;='Tournament Setup'!$B$38,_xlfn.RANK.EQ(BR24,$BR$2:$BR$111),""),"")</f>
        <v/>
      </c>
      <c r="BU24" s="31" t="str">
        <f>IF(AND($G24='Tournament Setup'!$A$38,$E24="M",$BT24&gt;'Tournament Setup'!$B$38),$H24,"")</f>
        <v/>
      </c>
      <c r="BV24" s="1" t="str">
        <f>IF(ISNUMBER(BU24)=TRUE,IF(_xlfn.RANK.EQ(BU24,$BU$2:$BU$111)&lt;='Tournament Setup'!$C$38,_xlfn.RANK.EQ(BU24,$BU$2:$BU$111),""),"")</f>
        <v/>
      </c>
      <c r="BW24" s="31" t="str">
        <f>IF(AND($G24='Tournament Setup'!$A$38,$E24="F",$BT24&gt;'Tournament Setup'!$B$38),$H24,"")</f>
        <v/>
      </c>
      <c r="BX24" s="12" t="str">
        <f>IF(ISNUMBER(BW24)=TRUE,IF(_xlfn.RANK.EQ(BW24,$BW$2:$BW$111)&lt;='Tournament Setup'!$D$38,_xlfn.RANK.EQ(BW24,$BW$2:$BW$111),""),"")</f>
        <v/>
      </c>
      <c r="BY24" s="30" t="str">
        <f>IF($G24='Tournament Setup'!$A$39,$H24,"")</f>
        <v/>
      </c>
      <c r="BZ24" s="47" t="str">
        <f>IF(ISNUMBER(BY24),IF(COUNTIFS(BZ$1:BZ23,_xlfn.RANK.EQ(BY24,BY$2:BY$111,0))&gt;0,_xlfn.MAXIFS(BZ$1:BZ23,BY$1:BY23,BY24)+1,_xlfn.RANK.EQ(BY24,BY$2:BY$111,0)),"")</f>
        <v/>
      </c>
      <c r="CA24" s="1" t="str">
        <f>IF(ISNUMBER(BY24)=TRUE,IF(_xlfn.RANK.EQ(BY24,$BY$2:$BY$111)&lt;='Tournament Setup'!$B$39,_xlfn.RANK.EQ(BY24,$BY$2:$BY$111),""),"")</f>
        <v/>
      </c>
      <c r="CB24" s="31" t="str">
        <f>IF(AND($G24='Tournament Setup'!$A$39,$E24="M",$CA24&gt;'Tournament Setup'!$B$39),$H24,"")</f>
        <v/>
      </c>
      <c r="CC24" s="1" t="str">
        <f>IF(ISNUMBER(CB24)=TRUE,IF(_xlfn.RANK.EQ(CB24,$CB$2:$CB$111)&lt;='Tournament Setup'!$C$39,_xlfn.RANK.EQ(CB24,$CB$2:$CB$111),""),"")</f>
        <v/>
      </c>
      <c r="CD24" s="31" t="str">
        <f>IF(AND($G24='Tournament Setup'!$A$39,$E24="F",$CA24&gt;'Tournament Setup'!$B$39),$H24,"")</f>
        <v/>
      </c>
      <c r="CE24" s="12" t="str">
        <f>IF(ISNUMBER(CD24)=TRUE,IF(_xlfn.RANK.EQ(CD24,$CD$2:$CD$111)&lt;='Tournament Setup'!$D$39,_xlfn.RANK.EQ(CD24,$CD$2:$CD$111),""),"")</f>
        <v/>
      </c>
      <c r="CF24" s="30">
        <f>IF($G24='Tournament Setup'!$A$40,$H24,"")</f>
        <v>61</v>
      </c>
      <c r="CG24" s="47">
        <f>IF(ISNUMBER(CF24),IF(COUNTIFS(CG$1:CG23,_xlfn.RANK.EQ(CF24,CF$2:CF$111,0))&gt;0,_xlfn.MAXIFS(CG$1:CG23,CF$1:CF23,CF24)+1,_xlfn.RANK.EQ(CF24,CF$2:CF$111,0)),"")</f>
        <v>10</v>
      </c>
      <c r="CH24" s="1" t="str">
        <f>IF(ISNUMBER(CF24)=TRUE,IF(_xlfn.RANK.EQ(CF24,$CF$2:$CF$111)&lt;='Tournament Setup'!$B$40,_xlfn.RANK.EQ(CF24,$CF$2:$CF$111),""),"")</f>
        <v/>
      </c>
      <c r="CI24" s="31">
        <f>IF(AND($G24='Tournament Setup'!$A$40,$E24="M",$CH24&gt;'Tournament Setup'!$B$40),$H24,"")</f>
        <v>61</v>
      </c>
      <c r="CJ24" s="1" t="str">
        <f>IF(ISNUMBER(CI24)=TRUE,IF(_xlfn.RANK.EQ(CI24,$CI$2:$CI$111)&lt;='Tournament Setup'!$C$40,_xlfn.RANK.EQ(CI24,$CI$2:$CI$111),""),"")</f>
        <v/>
      </c>
      <c r="CK24" s="31" t="str">
        <f>IF(AND($G24='Tournament Setup'!$A$40,$E24="F",$CH24&gt;'Tournament Setup'!$B$40),$H24,"")</f>
        <v/>
      </c>
      <c r="CL24" s="12" t="str">
        <f>IF(ISNUMBER(CK24)=TRUE,IF(_xlfn.RANK.EQ(CK24,$CK$2:$CK$111)&lt;='Tournament Setup'!$D$40,_xlfn.RANK.EQ(CK24,$CK$2:$CK$111),""),"")</f>
        <v/>
      </c>
      <c r="CM24" s="30" t="str">
        <f>IF($G24='Tournament Setup'!$A$41,$H24,"")</f>
        <v/>
      </c>
      <c r="CN24" s="47" t="str">
        <f>IF(ISNUMBER(CM24),IF(COUNTIFS(CN$1:CN23,_xlfn.RANK.EQ(CM24,CM$2:CM$111,0))&gt;0,_xlfn.MAXIFS(CN$1:CN23,CM$1:CM23,CM24)+1,_xlfn.RANK.EQ(CM24,CM$2:CM$111,0)),"")</f>
        <v/>
      </c>
      <c r="CO24" s="1" t="str">
        <f>IF(ISNUMBER(CM24)=TRUE,IF(_xlfn.RANK.EQ(CM24,$CM$2:$CM$111)&lt;='Tournament Setup'!$B$41,_xlfn.RANK.EQ(CM24,$CM$2:$CM$111),""),"")</f>
        <v/>
      </c>
      <c r="CP24" s="31" t="str">
        <f>IF(AND($G24='Tournament Setup'!$A$41,$E24="M",$CO24&gt;'Tournament Setup'!$B$41),$H24,"")</f>
        <v/>
      </c>
      <c r="CQ24" s="1" t="str">
        <f>IF(ISNUMBER(CP24)=TRUE,IF(_xlfn.RANK.EQ(CP24,$CP$2:$CP$111)&lt;='Tournament Setup'!$C$41,_xlfn.RANK.EQ(CP24,$CP$2:$CP$111),""),"")</f>
        <v/>
      </c>
      <c r="CR24" s="31" t="str">
        <f>IF(AND($G24='Tournament Setup'!$A$41,$E24="F",$CO24&gt;'Tournament Setup'!$B$41),$H24,"")</f>
        <v/>
      </c>
      <c r="CS24" s="12" t="str">
        <f>IF(ISNUMBER(CR24)=TRUE,IF(_xlfn.RANK.EQ(CR24,$CR$2:$CR$111)&lt;='Tournament Setup'!$D$41,_xlfn.RANK.EQ(CR24,$CR$2:$CR$111),""),"")</f>
        <v/>
      </c>
    </row>
    <row r="25" spans="1:97" x14ac:dyDescent="0.3">
      <c r="A25" t="s">
        <v>60</v>
      </c>
      <c r="B25" t="str">
        <f>IFERROR(INDEX('Tournament List'!$B:$B,MATCH($A25,'Tournament List'!$A:$A,0)),"")</f>
        <v>Tim</v>
      </c>
      <c r="C25" t="str">
        <f>IFERROR(INDEX('Tournament List'!$C:$C,MATCH($A25,'Tournament List'!$A:$A,0)),"")</f>
        <v>Last Name24</v>
      </c>
      <c r="D25" t="str">
        <f t="shared" si="0"/>
        <v>Tim Last Name24</v>
      </c>
      <c r="E25" s="1" t="str">
        <f>IFERROR(INDEX('Tournament List'!F:F,MATCH($A25,'Tournament List'!$A:$A,0)),"")</f>
        <v>M</v>
      </c>
      <c r="F25" t="str">
        <f>IFERROR(INDEX('Tournament List'!M:M,MATCH($A25,'Tournament List'!$A:$A,0)),"")</f>
        <v>Novice</v>
      </c>
      <c r="G25" s="1" t="str">
        <f>IFERROR(INDEX('Tournament List'!W:W,MATCH($A25,'Tournament List'!$A:$A,0)),"")</f>
        <v>B</v>
      </c>
      <c r="H25" s="129">
        <f>IFERROR(INDEX('Tournament List'!Z:Z,MATCH($A25,'Tournament List'!$A:$A,0)),"")</f>
        <v>70</v>
      </c>
      <c r="I25" s="152" t="str">
        <f>IFERROR(INDEX('Tournament List'!T:T,MATCH($A25,'Tournament List'!$A:$A,0)),"")</f>
        <v/>
      </c>
      <c r="J25" s="56" t="str">
        <f>IF(ISNUMBER(I25),IF(COUNTIFS(J$1:J24,_xlfn.RANK.EQ(I25,I$2:I$111,0))&gt;0,_xlfn.MAXIFS(J$1:J24,I$1:I24,I25)+1,_xlfn.RANK.EQ(I25,I$2:I$111,0)),"")</f>
        <v/>
      </c>
      <c r="K25" s="11">
        <f t="shared" si="1"/>
        <v>26</v>
      </c>
      <c r="L25" s="56">
        <f>IF(ISNUMBER(H25),IF(COUNTIFS(L$1:L24,_xlfn.RANK.EQ(H25,H$2:H$111,0))&gt;0,_xlfn.MAXIFS(L$1:L24,H$1:H24,H25)+1,_xlfn.RANK.EQ(H25,H$2:H$111,0)),"")</f>
        <v>27</v>
      </c>
      <c r="M25" s="151">
        <f t="shared" si="2"/>
        <v>70</v>
      </c>
      <c r="N25" s="47">
        <f>IF(ISNUMBER(M25),IF(COUNTIFS(N$1:N24,_xlfn.RANK.EQ(M25,M$2:M$111,0))&gt;0,_xlfn.MAXIFS(N$1:N24,M$1:M24,M25)+1,_xlfn.RANK.EQ(M25,M$2:M$111,0)),"")</f>
        <v>25</v>
      </c>
      <c r="O25" s="1" t="str">
        <f>IF(ISNUMBER(M25)=TRUE,IF(_xlfn.RANK.EQ(M25,$M$2:$M$111)&lt;='Tournament Setup'!$B$23,_xlfn.RANK.EQ(M25,$M$2:$M$111),""),"")</f>
        <v/>
      </c>
      <c r="P25" s="150">
        <f t="shared" si="3"/>
        <v>70</v>
      </c>
      <c r="Q25" s="1" t="str">
        <f>IF(ISNUMBER(P25)=TRUE,IF(_xlfn.RANK.EQ(P25,$P$2:$P$111)&lt;='Tournament Setup'!$B$24,_xlfn.RANK.EQ(P25,$P$2:$P$111),""),"")</f>
        <v/>
      </c>
      <c r="R25" s="150" t="str">
        <f t="shared" si="4"/>
        <v/>
      </c>
      <c r="S25" s="12" t="str">
        <f>IF(ISNUMBER(R25)=TRUE,IF(_xlfn.RANK.EQ(R25,$R$2:$R$111)&lt;='Tournament Setup'!$B$25,_xlfn.RANK.EQ(R25,$R$2:$R$111),""),"")</f>
        <v/>
      </c>
      <c r="T25" s="152" t="str">
        <f>IF(AND($F25='Tournament Setup'!$A$29,$I25&lt;&gt;0),$I25,"")</f>
        <v/>
      </c>
      <c r="U25" s="47" t="str">
        <f>IF(ISNUMBER(T25),IF(COUNTIFS(U$1:U24,_xlfn.RANK.EQ(T25,T$2:T$111,0))&gt;0,_xlfn.MAXIFS(U$1:U24,T$1:T24,T25)+1,_xlfn.RANK.EQ(T25,T$2:T$111,0)),"")</f>
        <v/>
      </c>
      <c r="V25" s="1" t="str">
        <f>IF(ISNUMBER(T25)=TRUE,IF(_xlfn.RANK.EQ(T25,$T$3:$T$112)&lt;='Tournament Setup'!$B$46,_xlfn.RANK.EQ(T25,$T$2:$T$111),""),"")</f>
        <v/>
      </c>
      <c r="W25" s="30">
        <f>IF(AND($F25='Tournament Setup'!$A$29,SUM($O25,$Q25,$S25)=0),$H25,"")</f>
        <v>70</v>
      </c>
      <c r="X25" s="47">
        <f>IF(ISNUMBER(W25),IF(COUNTIFS(X$1:X24,_xlfn.RANK.EQ(W25,W$2:W$111,0))&gt;0,_xlfn.MAXIFS(X$1:X24,W$1:W24,W25)+1,_xlfn.RANK.EQ(W25,W$2:W$111,0)),"")</f>
        <v>5</v>
      </c>
      <c r="Y25" s="1" t="str">
        <f>IF(ISNUMBER(W25)=TRUE,IF(_xlfn.RANK.EQ(W25,$W$2:$W$111)&lt;='Tournament Setup'!$B$29,_xlfn.RANK.EQ(W25,$W$2:$W$111),""),"")</f>
        <v/>
      </c>
      <c r="Z25" s="31">
        <f>IF(AND($F25='Tournament Setup'!$A$29,SUM($O25,$Q25)=0,$E25="M",$Y25&gt;'Tournament Setup'!$B$29),$H25,"")</f>
        <v>70</v>
      </c>
      <c r="AA25" s="1">
        <f>IF(ISNUMBER(Z25)=TRUE,IF(_xlfn.RANK.EQ(Z25,$Z$2:$Z$111)&lt;='Tournament Setup'!$C$29,_xlfn.RANK.EQ(Z25,$Z$2:$Z$111),""),"")</f>
        <v>3</v>
      </c>
      <c r="AB25" s="31" t="str">
        <f>IF(AND($F25='Tournament Setup'!$A$29,SUM($O25,$S25)=0,$E25="F",$Y25&gt;'Tournament Setup'!$B$29),$H25,"")</f>
        <v/>
      </c>
      <c r="AC25" s="12" t="str">
        <f>IF(ISNUMBER(AB25)=TRUE,IF(_xlfn.RANK.EQ(AB25,$AB$2:$AB$111)&lt;='Tournament Setup'!$D$29,_xlfn.RANK.EQ(AB25,$AB$2:$AB$111),""),"")</f>
        <v/>
      </c>
      <c r="AD25" s="30" t="str">
        <f>IF(AND($F25='Tournament Setup'!$A$30,$I25&lt;&gt;0),$I25,"")</f>
        <v/>
      </c>
      <c r="AE25" s="47" t="str">
        <f>IF(ISNUMBER(AD25),IF(COUNTIFS(AE$1:AE24,_xlfn.RANK.EQ(AD25,AD$2:AD$111,0))&gt;0,_xlfn.MAXIFS(AE$1:AE24,AD$1:AD24,AD25)+1,_xlfn.RANK.EQ(AD25,AD$2:AD$111,0)),"")</f>
        <v/>
      </c>
      <c r="AF25" s="1" t="str">
        <f>IF(ISNUMBER(AD25)=TRUE,IF(_xlfn.RANK.EQ(AD25,$AD$2:$AD$111)&lt;='Tournament Setup'!$B$46,_xlfn.RANK.EQ(AD25,$AD$2:$AD$111),""),"")</f>
        <v/>
      </c>
      <c r="AG25" s="30" t="str">
        <f>IF(AND($F25='Tournament Setup'!$A$30,SUM($O25,$Q25,$S25)=0),$H25,"")</f>
        <v/>
      </c>
      <c r="AH25" s="47" t="str">
        <f>IF(ISNUMBER(AG25),IF(COUNTIFS(AH$1:AH24,_xlfn.RANK.EQ(AG25,AG$2:AG$111,0))&gt;0,_xlfn.MAXIFS(AH$1:AH24,AG$1:AG24,AG25)+1,_xlfn.RANK.EQ(AG25,AG$2:AG$111,0)),"")</f>
        <v/>
      </c>
      <c r="AI25" s="1" t="str">
        <f>IF(ISNUMBER(AG25)=TRUE,IF(_xlfn.RANK.EQ(AG25,$AG$2:$AG$111)&lt;='Tournament Setup'!$B$30,_xlfn.RANK.EQ(AG25,$AG$2:$AG$111),""),"")</f>
        <v/>
      </c>
      <c r="AJ25" s="31" t="str">
        <f>IF(AND($F25='Tournament Setup'!$A$30,SUM($O25,$Q25)=0,$E25="M",$AI25&gt;'Tournament Setup'!$B$30),$H25,"")</f>
        <v/>
      </c>
      <c r="AK25" s="1" t="str">
        <f>IF(ISNUMBER(AJ25)=TRUE,IF(_xlfn.RANK.EQ(AJ25,$AJ$2:$AJ$111)&lt;='Tournament Setup'!$C$30,_xlfn.RANK.EQ(AJ25,$AJ$2:$AJ$111),""),"")</f>
        <v/>
      </c>
      <c r="AL25" s="31" t="str">
        <f>IF(AND($F25='Tournament Setup'!$A$30,SUM($O25,$S25)=0,$E25="F",$AI25&gt;'Tournament Setup'!$B$30),$H25,"")</f>
        <v/>
      </c>
      <c r="AM25" s="12" t="str">
        <f>IF(ISNUMBER(AL25)=TRUE,IF(_xlfn.RANK.EQ(AL25,$AL$2:$AL$111)&lt;='Tournament Setup'!$D$30,_xlfn.RANK.EQ(AL25,$AL$2:$AL$111),""),"")</f>
        <v/>
      </c>
      <c r="AN25" s="30" t="str">
        <f>IF(AND($F25='Tournament Setup'!$A$31,$I25&lt;&gt;0),$I25,"")</f>
        <v/>
      </c>
      <c r="AO25" s="47" t="str">
        <f>IF(ISNUMBER(AN25),IF(COUNTIFS(AO$1:AO24,_xlfn.RANK.EQ(AN25,AN$2:AN$111,0))&gt;0,_xlfn.MAXIFS(AO$1:AO24,AN$1:AN24,AN25)+1,_xlfn.RANK.EQ(AN25,AN$2:AN$111,0)),"")</f>
        <v/>
      </c>
      <c r="AP25" s="1" t="str">
        <f>IF(ISNUMBER(AN25)=TRUE,IF(_xlfn.RANK.EQ(AN25,$AN$2:$AN$111)&lt;='Tournament Setup'!$B$46,_xlfn.RANK.EQ(AN25,$AN$2:$AN$111),""),"")</f>
        <v/>
      </c>
      <c r="AQ25" s="30" t="str">
        <f>IF(AND($F25='Tournament Setup'!$A$31,SUM($O25,$Q25,$S25)=0),$H25,"")</f>
        <v/>
      </c>
      <c r="AR25" s="47" t="str">
        <f>IF(ISNUMBER(AQ25),IF(COUNTIFS(AR$1:AR24,_xlfn.RANK.EQ(AQ25,AQ$2:AQ$111,0))&gt;0,_xlfn.MAXIFS(AR$1:AR24,AQ$1:AQ24,AQ25)+1,_xlfn.RANK.EQ(AQ25,AQ$2:AQ$111,0)),"")</f>
        <v/>
      </c>
      <c r="AS25" s="1" t="str">
        <f>IF(ISNUMBER(AQ25)=TRUE,IF(_xlfn.RANK.EQ(AQ25,$AQ$2:$AQ$111)&lt;='Tournament Setup'!$B$31,_xlfn.RANK.EQ(AQ25,$AQ$2:$AQ$111),""),"")</f>
        <v/>
      </c>
      <c r="AT25" s="31" t="str">
        <f>IF(AND($F25='Tournament Setup'!$A$31,SUM($O25,$Q25)=0,$E25="M",$AS25&gt;'Tournament Setup'!$B$31),$H25,"")</f>
        <v/>
      </c>
      <c r="AU25" s="1" t="str">
        <f>IF(ISNUMBER(AT25)=TRUE,IF(_xlfn.RANK.EQ(AT25,$AT$2:$AT$111)&lt;='Tournament Setup'!$C$31,_xlfn.RANK.EQ(AT25,$AT$2:$AT$111),""),"")</f>
        <v/>
      </c>
      <c r="AV25" s="31" t="str">
        <f>IF(AND($F25='Tournament Setup'!$A$31,SUM($O25,$S25)=0,$E25="F",$AS25&gt;'Tournament Setup'!$B$31),$H25,"")</f>
        <v/>
      </c>
      <c r="AW25" s="12" t="str">
        <f>IF(ISNUMBER(AV25)=TRUE,IF(_xlfn.RANK.EQ(AV25,$AV$2:$AV$111)&lt;='Tournament Setup'!$D$31,_xlfn.RANK.EQ(AV25,$AV$2:$AV$111),""),"")</f>
        <v/>
      </c>
      <c r="AX25" s="30" t="str">
        <f>IF(AND($F25='Tournament Setup'!$A$32,$I25&lt;&gt;0),$I25,"")</f>
        <v/>
      </c>
      <c r="AY25" s="47" t="str">
        <f>IF(ISNUMBER(AX25),IF(COUNTIFS(AY$1:AY24,_xlfn.RANK.EQ(AX25,AX$2:AX$111,0))&gt;0,_xlfn.MAXIFS(AY$1:AY24,AX$1:AX24,AX25)+1,_xlfn.RANK.EQ(AX25,AX$2:AX$111,0)),"")</f>
        <v/>
      </c>
      <c r="AZ25" s="1" t="str">
        <f>IF(ISNUMBER(AX25)=TRUE,IF(_xlfn.RANK.EQ(AX25,$AX$2:$AX$111)&lt;='Tournament Setup'!$B$46,_xlfn.RANK.EQ(AX25,$AX$2:$AX$111),""),"")</f>
        <v/>
      </c>
      <c r="BA25" s="30" t="str">
        <f>IF(AND($F25='Tournament Setup'!$A$32,SUM($O25,$Q25,$S25)=0),$H25,"")</f>
        <v/>
      </c>
      <c r="BB25" s="47" t="str">
        <f>IF(ISNUMBER(BA25),IF(COUNTIFS(BB$1:BB24,_xlfn.RANK.EQ(BA25,BA$2:BA$111,0))&gt;0,_xlfn.MAXIFS(BB$1:BB24,BA$1:BA24,BA25)+1,_xlfn.RANK.EQ(BA25,BA$2:BA$111,0)),"")</f>
        <v/>
      </c>
      <c r="BC25" s="1" t="str">
        <f>IF(ISNUMBER(BA25)=TRUE,IF(_xlfn.RANK.EQ(BA25,$BA$2:$BA$111)&lt;='Tournament Setup'!$B$32,_xlfn.RANK.EQ(BA25,$BA$2:$BA$111),""),"")</f>
        <v/>
      </c>
      <c r="BD25" s="31" t="str">
        <f>IF(AND($F25='Tournament Setup'!$A$32,SUM($O25,$Q25)=0,$E25="M",$BC25&gt;'Tournament Setup'!$B$32),$H25,"")</f>
        <v/>
      </c>
      <c r="BE25" s="1" t="str">
        <f>IF(ISNUMBER(BD25)=TRUE,IF(_xlfn.RANK.EQ(BD25,$BD$2:$BD$111)&lt;='Tournament Setup'!$C$32,_xlfn.RANK.EQ(BD25,$BD$2:$BD$111),""),"")</f>
        <v/>
      </c>
      <c r="BF25" s="31" t="str">
        <f>IF(AND($F25='Tournament Setup'!$A$32,SUM($O25,$S25)=0,$E25="F",$BC25&gt;'Tournament Setup'!$B$32),$H25,"")</f>
        <v/>
      </c>
      <c r="BG25" s="12" t="str">
        <f>IF(ISNUMBER(BF25)=TRUE,IF(_xlfn.RANK.EQ(BF25,$BF$2:$BF$111)&lt;='Tournament Setup'!$D$32,_xlfn.RANK.EQ(BF25,$BF$2:$BF$111),""),"")</f>
        <v/>
      </c>
      <c r="BH25" s="30" t="str">
        <f>IF(AND($F25='Tournament Setup'!$A$33,$I25&lt;&gt;0),$I25,"")</f>
        <v/>
      </c>
      <c r="BI25" s="47" t="str">
        <f>IF(ISNUMBER(BH25),IF(COUNTIFS(BI$1:BI24,_xlfn.RANK.EQ(BH25,BH$2:BH$111,0))&gt;0,_xlfn.MAXIFS(BI$1:BI24,BH$1:BH24,BH25)+1,_xlfn.RANK.EQ(BH25,BH$2:BH$111,0)),"")</f>
        <v/>
      </c>
      <c r="BJ25" s="1" t="str">
        <f>IF(ISNUMBER(BH25)=TRUE,IF(_xlfn.RANK.EQ(BH25,$BH$2:$BH$111)&lt;='Tournament Setup'!$B$46,_xlfn.RANK.EQ(BH25,$BH$2:$BH$111),""),"")</f>
        <v/>
      </c>
      <c r="BK25" s="30" t="str">
        <f>IF(AND($F25='Tournament Setup'!$A$33,SUM($O25,$Q25,$S25)=0),$H25,"")</f>
        <v/>
      </c>
      <c r="BL25" s="47" t="str">
        <f>IF(ISNUMBER(BK25),IF(COUNTIFS(BL$1:BL24,_xlfn.RANK.EQ(BK25,BK$2:BK$111,0))&gt;0,_xlfn.MAXIFS(BL$1:BL24,BK$1:BK24,BK25)+1,_xlfn.RANK.EQ(BK25,BK$2:BK$111,0)),"")</f>
        <v/>
      </c>
      <c r="BM25" s="1" t="str">
        <f>IF(ISNUMBER(BK25)=TRUE,IF(_xlfn.RANK.EQ(BK25,$BK$2:$BK$111)&lt;='Tournament Setup'!$B$33,_xlfn.RANK.EQ(BK25,$BK$2:$BK$111),""),"")</f>
        <v/>
      </c>
      <c r="BN25" s="31" t="str">
        <f>IF(AND($F25='Tournament Setup'!$A$33,SUM($O25,$Q25)=0,$E25="M",$BM25&gt;'Tournament Setup'!$B$33),$H25,"")</f>
        <v/>
      </c>
      <c r="BO25" s="1" t="str">
        <f>IF(ISNUMBER(BN25)=TRUE,IF(_xlfn.RANK.EQ(BN25,$BN$2:$BN$111)&lt;='Tournament Setup'!$C$33,_xlfn.RANK.EQ(BN25,$BN$2:$BN$111),""),"")</f>
        <v/>
      </c>
      <c r="BP25" s="31" t="str">
        <f>IF(AND($F25='Tournament Setup'!$A$33,SUM($O25,$S25)=0,$E25="F",$BM25&gt;'Tournament Setup'!$B$33),$H25,"")</f>
        <v/>
      </c>
      <c r="BQ25" s="12" t="str">
        <f>IF(ISNUMBER(BP25)=TRUE,IF(_xlfn.RANK.EQ(BP25,$BP$2:$BP$111)&lt;='Tournament Setup'!$D$33,_xlfn.RANK.EQ(BP25,$BP$2:$BP$111),""),"")</f>
        <v/>
      </c>
      <c r="BR25" s="30" t="str">
        <f>IF($G25='Tournament Setup'!$A$38,$H25,"")</f>
        <v/>
      </c>
      <c r="BS25" s="47" t="str">
        <f>IF(ISNUMBER(BR25),IF(COUNTIFS(BS$1:BS24,_xlfn.RANK.EQ(BR25,BR$2:BR$111,0))&gt;0,_xlfn.MAXIFS(BS$1:BS24,BR$1:BR24,BR25)+1,_xlfn.RANK.EQ(BR25,BR$2:BR$111,0)),"")</f>
        <v/>
      </c>
      <c r="BT25" s="1" t="str">
        <f>IF(ISNUMBER(BR25)=TRUE,IF(_xlfn.RANK.EQ(BR25,$BR$2:$BR$111)&lt;='Tournament Setup'!$B$38,_xlfn.RANK.EQ(BR25,$BR$2:$BR$111),""),"")</f>
        <v/>
      </c>
      <c r="BU25" s="31" t="str">
        <f>IF(AND($G25='Tournament Setup'!$A$38,$E25="M",$BT25&gt;'Tournament Setup'!$B$38),$H25,"")</f>
        <v/>
      </c>
      <c r="BV25" s="1" t="str">
        <f>IF(ISNUMBER(BU25)=TRUE,IF(_xlfn.RANK.EQ(BU25,$BU$2:$BU$111)&lt;='Tournament Setup'!$C$38,_xlfn.RANK.EQ(BU25,$BU$2:$BU$111),""),"")</f>
        <v/>
      </c>
      <c r="BW25" s="31" t="str">
        <f>IF(AND($G25='Tournament Setup'!$A$38,$E25="F",$BT25&gt;'Tournament Setup'!$B$38),$H25,"")</f>
        <v/>
      </c>
      <c r="BX25" s="12" t="str">
        <f>IF(ISNUMBER(BW25)=TRUE,IF(_xlfn.RANK.EQ(BW25,$BW$2:$BW$111)&lt;='Tournament Setup'!$D$38,_xlfn.RANK.EQ(BW25,$BW$2:$BW$111),""),"")</f>
        <v/>
      </c>
      <c r="BY25" s="30">
        <f>IF($G25='Tournament Setup'!$A$39,$H25,"")</f>
        <v>70</v>
      </c>
      <c r="BZ25" s="47">
        <f>IF(ISNUMBER(BY25),IF(COUNTIFS(BZ$1:BZ24,_xlfn.RANK.EQ(BY25,BY$2:BY$111,0))&gt;0,_xlfn.MAXIFS(BZ$1:BZ24,BY$1:BY24,BY25)+1,_xlfn.RANK.EQ(BY25,BY$2:BY$111,0)),"")</f>
        <v>13</v>
      </c>
      <c r="CA25" s="1" t="str">
        <f>IF(ISNUMBER(BY25)=TRUE,IF(_xlfn.RANK.EQ(BY25,$BY$2:$BY$111)&lt;='Tournament Setup'!$B$39,_xlfn.RANK.EQ(BY25,$BY$2:$BY$111),""),"")</f>
        <v/>
      </c>
      <c r="CB25" s="31">
        <f>IF(AND($G25='Tournament Setup'!$A$39,$E25="M",$CA25&gt;'Tournament Setup'!$B$39),$H25,"")</f>
        <v>70</v>
      </c>
      <c r="CC25" s="1" t="str">
        <f>IF(ISNUMBER(CB25)=TRUE,IF(_xlfn.RANK.EQ(CB25,$CB$2:$CB$111)&lt;='Tournament Setup'!$C$39,_xlfn.RANK.EQ(CB25,$CB$2:$CB$111),""),"")</f>
        <v/>
      </c>
      <c r="CD25" s="31" t="str">
        <f>IF(AND($G25='Tournament Setup'!$A$39,$E25="F",$CA25&gt;'Tournament Setup'!$B$39),$H25,"")</f>
        <v/>
      </c>
      <c r="CE25" s="12" t="str">
        <f>IF(ISNUMBER(CD25)=TRUE,IF(_xlfn.RANK.EQ(CD25,$CD$2:$CD$111)&lt;='Tournament Setup'!$D$39,_xlfn.RANK.EQ(CD25,$CD$2:$CD$111),""),"")</f>
        <v/>
      </c>
      <c r="CF25" s="30" t="str">
        <f>IF($G25='Tournament Setup'!$A$40,$H25,"")</f>
        <v/>
      </c>
      <c r="CG25" s="47" t="str">
        <f>IF(ISNUMBER(CF25),IF(COUNTIFS(CG$1:CG24,_xlfn.RANK.EQ(CF25,CF$2:CF$111,0))&gt;0,_xlfn.MAXIFS(CG$1:CG24,CF$1:CF24,CF25)+1,_xlfn.RANK.EQ(CF25,CF$2:CF$111,0)),"")</f>
        <v/>
      </c>
      <c r="CH25" s="1" t="str">
        <f>IF(ISNUMBER(CF25)=TRUE,IF(_xlfn.RANK.EQ(CF25,$CF$2:$CF$111)&lt;='Tournament Setup'!$B$40,_xlfn.RANK.EQ(CF25,$CF$2:$CF$111),""),"")</f>
        <v/>
      </c>
      <c r="CI25" s="31" t="str">
        <f>IF(AND($G25='Tournament Setup'!$A$40,$E25="M",$CH25&gt;'Tournament Setup'!$B$40),$H25,"")</f>
        <v/>
      </c>
      <c r="CJ25" s="1" t="str">
        <f>IF(ISNUMBER(CI25)=TRUE,IF(_xlfn.RANK.EQ(CI25,$CI$2:$CI$111)&lt;='Tournament Setup'!$C$40,_xlfn.RANK.EQ(CI25,$CI$2:$CI$111),""),"")</f>
        <v/>
      </c>
      <c r="CK25" s="31" t="str">
        <f>IF(AND($G25='Tournament Setup'!$A$40,$E25="F",$CH25&gt;'Tournament Setup'!$B$40),$H25,"")</f>
        <v/>
      </c>
      <c r="CL25" s="12" t="str">
        <f>IF(ISNUMBER(CK25)=TRUE,IF(_xlfn.RANK.EQ(CK25,$CK$2:$CK$111)&lt;='Tournament Setup'!$D$40,_xlfn.RANK.EQ(CK25,$CK$2:$CK$111),""),"")</f>
        <v/>
      </c>
      <c r="CM25" s="30" t="str">
        <f>IF($G25='Tournament Setup'!$A$41,$H25,"")</f>
        <v/>
      </c>
      <c r="CN25" s="47" t="str">
        <f>IF(ISNUMBER(CM25),IF(COUNTIFS(CN$1:CN24,_xlfn.RANK.EQ(CM25,CM$2:CM$111,0))&gt;0,_xlfn.MAXIFS(CN$1:CN24,CM$1:CM24,CM25)+1,_xlfn.RANK.EQ(CM25,CM$2:CM$111,0)),"")</f>
        <v/>
      </c>
      <c r="CO25" s="1" t="str">
        <f>IF(ISNUMBER(CM25)=TRUE,IF(_xlfn.RANK.EQ(CM25,$CM$2:$CM$111)&lt;='Tournament Setup'!$B$41,_xlfn.RANK.EQ(CM25,$CM$2:$CM$111),""),"")</f>
        <v/>
      </c>
      <c r="CP25" s="31" t="str">
        <f>IF(AND($G25='Tournament Setup'!$A$41,$E25="M",$CO25&gt;'Tournament Setup'!$B$41),$H25,"")</f>
        <v/>
      </c>
      <c r="CQ25" s="1" t="str">
        <f>IF(ISNUMBER(CP25)=TRUE,IF(_xlfn.RANK.EQ(CP25,$CP$2:$CP$111)&lt;='Tournament Setup'!$C$41,_xlfn.RANK.EQ(CP25,$CP$2:$CP$111),""),"")</f>
        <v/>
      </c>
      <c r="CR25" s="31" t="str">
        <f>IF(AND($G25='Tournament Setup'!$A$41,$E25="F",$CO25&gt;'Tournament Setup'!$B$41),$H25,"")</f>
        <v/>
      </c>
      <c r="CS25" s="12" t="str">
        <f>IF(ISNUMBER(CR25)=TRUE,IF(_xlfn.RANK.EQ(CR25,$CR$2:$CR$111)&lt;='Tournament Setup'!$D$41,_xlfn.RANK.EQ(CR25,$CR$2:$CR$111),""),"")</f>
        <v/>
      </c>
    </row>
    <row r="26" spans="1:97" x14ac:dyDescent="0.3">
      <c r="A26" t="s">
        <v>181</v>
      </c>
      <c r="B26" t="str">
        <f>IFERROR(INDEX('Tournament List'!$B:$B,MATCH($A26,'Tournament List'!$A:$A,0)),"")</f>
        <v>Harry</v>
      </c>
      <c r="C26" t="str">
        <f>IFERROR(INDEX('Tournament List'!$C:$C,MATCH($A26,'Tournament List'!$A:$A,0)),"")</f>
        <v>Last Name25</v>
      </c>
      <c r="D26" t="str">
        <f t="shared" si="0"/>
        <v>Harry Last Name25</v>
      </c>
      <c r="E26" s="1" t="str">
        <f>IFERROR(INDEX('Tournament List'!F:F,MATCH($A26,'Tournament List'!$A:$A,0)),"")</f>
        <v>M</v>
      </c>
      <c r="F26" t="str">
        <f>IFERROR(INDEX('Tournament List'!M:M,MATCH($A26,'Tournament List'!$A:$A,0)),"")</f>
        <v>Varsity</v>
      </c>
      <c r="G26" s="1" t="str">
        <f>IFERROR(INDEX('Tournament List'!W:W,MATCH($A26,'Tournament List'!$A:$A,0)),"")</f>
        <v>B</v>
      </c>
      <c r="H26" s="129">
        <f>IFERROR(INDEX('Tournament List'!Z:Z,MATCH($A26,'Tournament List'!$A:$A,0)),"")</f>
        <v>72</v>
      </c>
      <c r="I26" s="152" t="str">
        <f>IFERROR(INDEX('Tournament List'!T:T,MATCH($A26,'Tournament List'!$A:$A,0)),"")</f>
        <v/>
      </c>
      <c r="J26" s="56" t="str">
        <f>IF(ISNUMBER(I26),IF(COUNTIFS(J$1:J25,_xlfn.RANK.EQ(I26,I$2:I$111,0))&gt;0,_xlfn.MAXIFS(J$1:J25,I$1:I25,I26)+1,_xlfn.RANK.EQ(I26,I$2:I$111,0)),"")</f>
        <v/>
      </c>
      <c r="K26" s="11">
        <f t="shared" si="1"/>
        <v>23</v>
      </c>
      <c r="L26" s="56">
        <f>IF(ISNUMBER(H26),IF(COUNTIFS(L$1:L25,_xlfn.RANK.EQ(H26,H$2:H$111,0))&gt;0,_xlfn.MAXIFS(L$1:L25,H$1:H25,H26)+1,_xlfn.RANK.EQ(H26,H$2:H$111,0)),"")</f>
        <v>25</v>
      </c>
      <c r="M26" s="151">
        <f t="shared" si="2"/>
        <v>72</v>
      </c>
      <c r="N26" s="47">
        <f>IF(ISNUMBER(M26),IF(COUNTIFS(N$1:N25,_xlfn.RANK.EQ(M26,M$2:M$111,0))&gt;0,_xlfn.MAXIFS(N$1:N25,M$1:M25,M26)+1,_xlfn.RANK.EQ(M26,M$2:M$111,0)),"")</f>
        <v>23</v>
      </c>
      <c r="O26" s="1" t="str">
        <f>IF(ISNUMBER(M26)=TRUE,IF(_xlfn.RANK.EQ(M26,$M$2:$M$111)&lt;='Tournament Setup'!$B$23,_xlfn.RANK.EQ(M26,$M$2:$M$111),""),"")</f>
        <v/>
      </c>
      <c r="P26" s="150">
        <f t="shared" si="3"/>
        <v>72</v>
      </c>
      <c r="Q26" s="1" t="str">
        <f>IF(ISNUMBER(P26)=TRUE,IF(_xlfn.RANK.EQ(P26,$P$2:$P$111)&lt;='Tournament Setup'!$B$24,_xlfn.RANK.EQ(P26,$P$2:$P$111),""),"")</f>
        <v/>
      </c>
      <c r="R26" s="150" t="str">
        <f t="shared" si="4"/>
        <v/>
      </c>
      <c r="S26" s="12" t="str">
        <f>IF(ISNUMBER(R26)=TRUE,IF(_xlfn.RANK.EQ(R26,$R$2:$R$111)&lt;='Tournament Setup'!$B$25,_xlfn.RANK.EQ(R26,$R$2:$R$111),""),"")</f>
        <v/>
      </c>
      <c r="T26" s="152" t="str">
        <f>IF(AND($F26='Tournament Setup'!$A$29,$I26&lt;&gt;0),$I26,"")</f>
        <v/>
      </c>
      <c r="U26" s="47" t="str">
        <f>IF(ISNUMBER(T26),IF(COUNTIFS(U$1:U25,_xlfn.RANK.EQ(T26,T$2:T$111,0))&gt;0,_xlfn.MAXIFS(U$1:U25,T$1:T25,T26)+1,_xlfn.RANK.EQ(T26,T$2:T$111,0)),"")</f>
        <v/>
      </c>
      <c r="V26" s="1" t="str">
        <f>IF(ISNUMBER(T26)=TRUE,IF(_xlfn.RANK.EQ(T26,$T$3:$T$112)&lt;='Tournament Setup'!$B$46,_xlfn.RANK.EQ(T26,$T$2:$T$111),""),"")</f>
        <v/>
      </c>
      <c r="W26" s="30" t="str">
        <f>IF(AND($F26='Tournament Setup'!$A$29,SUM($O26,$Q26,$S26)=0),$H26,"")</f>
        <v/>
      </c>
      <c r="X26" s="47" t="str">
        <f>IF(ISNUMBER(W26),IF(COUNTIFS(X$1:X25,_xlfn.RANK.EQ(W26,W$2:W$111,0))&gt;0,_xlfn.MAXIFS(X$1:X25,W$1:W25,W26)+1,_xlfn.RANK.EQ(W26,W$2:W$111,0)),"")</f>
        <v/>
      </c>
      <c r="Y26" s="1" t="str">
        <f>IF(ISNUMBER(W26)=TRUE,IF(_xlfn.RANK.EQ(W26,$W$2:$W$111)&lt;='Tournament Setup'!$B$29,_xlfn.RANK.EQ(W26,$W$2:$W$111),""),"")</f>
        <v/>
      </c>
      <c r="Z26" s="31" t="str">
        <f>IF(AND($F26='Tournament Setup'!$A$29,SUM($O26,$Q26)=0,$E26="M",$Y26&gt;'Tournament Setup'!$B$29),$H26,"")</f>
        <v/>
      </c>
      <c r="AA26" s="1" t="str">
        <f>IF(ISNUMBER(Z26)=TRUE,IF(_xlfn.RANK.EQ(Z26,$Z$2:$Z$111)&lt;='Tournament Setup'!$C$29,_xlfn.RANK.EQ(Z26,$Z$2:$Z$111),""),"")</f>
        <v/>
      </c>
      <c r="AB26" s="31" t="str">
        <f>IF(AND($F26='Tournament Setup'!$A$29,SUM($O26,$S26)=0,$E26="F",$Y26&gt;'Tournament Setup'!$B$29),$H26,"")</f>
        <v/>
      </c>
      <c r="AC26" s="12" t="str">
        <f>IF(ISNUMBER(AB26)=TRUE,IF(_xlfn.RANK.EQ(AB26,$AB$2:$AB$111)&lt;='Tournament Setup'!$D$29,_xlfn.RANK.EQ(AB26,$AB$2:$AB$111),""),"")</f>
        <v/>
      </c>
      <c r="AD26" s="30" t="str">
        <f>IF(AND($F26='Tournament Setup'!$A$30,$I26&lt;&gt;0),$I26,"")</f>
        <v/>
      </c>
      <c r="AE26" s="47" t="str">
        <f>IF(ISNUMBER(AD26),IF(COUNTIFS(AE$1:AE25,_xlfn.RANK.EQ(AD26,AD$2:AD$111,0))&gt;0,_xlfn.MAXIFS(AE$1:AE25,AD$1:AD25,AD26)+1,_xlfn.RANK.EQ(AD26,AD$2:AD$111,0)),"")</f>
        <v/>
      </c>
      <c r="AF26" s="1" t="str">
        <f>IF(ISNUMBER(AD26)=TRUE,IF(_xlfn.RANK.EQ(AD26,$AD$2:$AD$111)&lt;='Tournament Setup'!$B$46,_xlfn.RANK.EQ(AD26,$AD$2:$AD$111),""),"")</f>
        <v/>
      </c>
      <c r="AG26" s="30" t="str">
        <f>IF(AND($F26='Tournament Setup'!$A$30,SUM($O26,$Q26,$S26)=0),$H26,"")</f>
        <v/>
      </c>
      <c r="AH26" s="47" t="str">
        <f>IF(ISNUMBER(AG26),IF(COUNTIFS(AH$1:AH25,_xlfn.RANK.EQ(AG26,AG$2:AG$111,0))&gt;0,_xlfn.MAXIFS(AH$1:AH25,AG$1:AG25,AG26)+1,_xlfn.RANK.EQ(AG26,AG$2:AG$111,0)),"")</f>
        <v/>
      </c>
      <c r="AI26" s="1" t="str">
        <f>IF(ISNUMBER(AG26)=TRUE,IF(_xlfn.RANK.EQ(AG26,$AG$2:$AG$111)&lt;='Tournament Setup'!$B$30,_xlfn.RANK.EQ(AG26,$AG$2:$AG$111),""),"")</f>
        <v/>
      </c>
      <c r="AJ26" s="31" t="str">
        <f>IF(AND($F26='Tournament Setup'!$A$30,SUM($O26,$Q26)=0,$E26="M",$AI26&gt;'Tournament Setup'!$B$30),$H26,"")</f>
        <v/>
      </c>
      <c r="AK26" s="1" t="str">
        <f>IF(ISNUMBER(AJ26)=TRUE,IF(_xlfn.RANK.EQ(AJ26,$AJ$2:$AJ$111)&lt;='Tournament Setup'!$C$30,_xlfn.RANK.EQ(AJ26,$AJ$2:$AJ$111),""),"")</f>
        <v/>
      </c>
      <c r="AL26" s="31" t="str">
        <f>IF(AND($F26='Tournament Setup'!$A$30,SUM($O26,$S26)=0,$E26="F",$AI26&gt;'Tournament Setup'!$B$30),$H26,"")</f>
        <v/>
      </c>
      <c r="AM26" s="12" t="str">
        <f>IF(ISNUMBER(AL26)=TRUE,IF(_xlfn.RANK.EQ(AL26,$AL$2:$AL$111)&lt;='Tournament Setup'!$D$30,_xlfn.RANK.EQ(AL26,$AL$2:$AL$111),""),"")</f>
        <v/>
      </c>
      <c r="AN26" s="30" t="str">
        <f>IF(AND($F26='Tournament Setup'!$A$31,$I26&lt;&gt;0),$I26,"")</f>
        <v/>
      </c>
      <c r="AO26" s="47" t="str">
        <f>IF(ISNUMBER(AN26),IF(COUNTIFS(AO$1:AO25,_xlfn.RANK.EQ(AN26,AN$2:AN$111,0))&gt;0,_xlfn.MAXIFS(AO$1:AO25,AN$1:AN25,AN26)+1,_xlfn.RANK.EQ(AN26,AN$2:AN$111,0)),"")</f>
        <v/>
      </c>
      <c r="AP26" s="1" t="str">
        <f>IF(ISNUMBER(AN26)=TRUE,IF(_xlfn.RANK.EQ(AN26,$AN$2:$AN$111)&lt;='Tournament Setup'!$B$46,_xlfn.RANK.EQ(AN26,$AN$2:$AN$111),""),"")</f>
        <v/>
      </c>
      <c r="AQ26" s="30" t="str">
        <f>IF(AND($F26='Tournament Setup'!$A$31,SUM($O26,$Q26,$S26)=0),$H26,"")</f>
        <v/>
      </c>
      <c r="AR26" s="47" t="str">
        <f>IF(ISNUMBER(AQ26),IF(COUNTIFS(AR$1:AR25,_xlfn.RANK.EQ(AQ26,AQ$2:AQ$111,0))&gt;0,_xlfn.MAXIFS(AR$1:AR25,AQ$1:AQ25,AQ26)+1,_xlfn.RANK.EQ(AQ26,AQ$2:AQ$111,0)),"")</f>
        <v/>
      </c>
      <c r="AS26" s="1" t="str">
        <f>IF(ISNUMBER(AQ26)=TRUE,IF(_xlfn.RANK.EQ(AQ26,$AQ$2:$AQ$111)&lt;='Tournament Setup'!$B$31,_xlfn.RANK.EQ(AQ26,$AQ$2:$AQ$111),""),"")</f>
        <v/>
      </c>
      <c r="AT26" s="31" t="str">
        <f>IF(AND($F26='Tournament Setup'!$A$31,SUM($O26,$Q26)=0,$E26="M",$AS26&gt;'Tournament Setup'!$B$31),$H26,"")</f>
        <v/>
      </c>
      <c r="AU26" s="1" t="str">
        <f>IF(ISNUMBER(AT26)=TRUE,IF(_xlfn.RANK.EQ(AT26,$AT$2:$AT$111)&lt;='Tournament Setup'!$C$31,_xlfn.RANK.EQ(AT26,$AT$2:$AT$111),""),"")</f>
        <v/>
      </c>
      <c r="AV26" s="31" t="str">
        <f>IF(AND($F26='Tournament Setup'!$A$31,SUM($O26,$S26)=0,$E26="F",$AS26&gt;'Tournament Setup'!$B$31),$H26,"")</f>
        <v/>
      </c>
      <c r="AW26" s="12" t="str">
        <f>IF(ISNUMBER(AV26)=TRUE,IF(_xlfn.RANK.EQ(AV26,$AV$2:$AV$111)&lt;='Tournament Setup'!$D$31,_xlfn.RANK.EQ(AV26,$AV$2:$AV$111),""),"")</f>
        <v/>
      </c>
      <c r="AX26" s="30" t="str">
        <f>IF(AND($F26='Tournament Setup'!$A$32,$I26&lt;&gt;0),$I26,"")</f>
        <v/>
      </c>
      <c r="AY26" s="47" t="str">
        <f>IF(ISNUMBER(AX26),IF(COUNTIFS(AY$1:AY25,_xlfn.RANK.EQ(AX26,AX$2:AX$111,0))&gt;0,_xlfn.MAXIFS(AY$1:AY25,AX$1:AX25,AX26)+1,_xlfn.RANK.EQ(AX26,AX$2:AX$111,0)),"")</f>
        <v/>
      </c>
      <c r="AZ26" s="1" t="str">
        <f>IF(ISNUMBER(AX26)=TRUE,IF(_xlfn.RANK.EQ(AX26,$AX$2:$AX$111)&lt;='Tournament Setup'!$B$46,_xlfn.RANK.EQ(AX26,$AX$2:$AX$111),""),"")</f>
        <v/>
      </c>
      <c r="BA26" s="30">
        <f>IF(AND($F26='Tournament Setup'!$A$32,SUM($O26,$Q26,$S26)=0),$H26,"")</f>
        <v>72</v>
      </c>
      <c r="BB26" s="47">
        <f>IF(ISNUMBER(BA26),IF(COUNTIFS(BB$1:BB25,_xlfn.RANK.EQ(BA26,BA$2:BA$111,0))&gt;0,_xlfn.MAXIFS(BB$1:BB25,BA$1:BA25,BA26)+1,_xlfn.RANK.EQ(BA26,BA$2:BA$111,0)),"")</f>
        <v>6</v>
      </c>
      <c r="BC26" s="1" t="str">
        <f>IF(ISNUMBER(BA26)=TRUE,IF(_xlfn.RANK.EQ(BA26,$BA$2:$BA$111)&lt;='Tournament Setup'!$B$32,_xlfn.RANK.EQ(BA26,$BA$2:$BA$111),""),"")</f>
        <v/>
      </c>
      <c r="BD26" s="31">
        <f>IF(AND($F26='Tournament Setup'!$A$32,SUM($O26,$Q26)=0,$E26="M",$BC26&gt;'Tournament Setup'!$B$32),$H26,"")</f>
        <v>72</v>
      </c>
      <c r="BE26" s="1" t="str">
        <f>IF(ISNUMBER(BD26)=TRUE,IF(_xlfn.RANK.EQ(BD26,$BD$2:$BD$111)&lt;='Tournament Setup'!$C$32,_xlfn.RANK.EQ(BD26,$BD$2:$BD$111),""),"")</f>
        <v/>
      </c>
      <c r="BF26" s="31" t="str">
        <f>IF(AND($F26='Tournament Setup'!$A$32,SUM($O26,$S26)=0,$E26="F",$BC26&gt;'Tournament Setup'!$B$32),$H26,"")</f>
        <v/>
      </c>
      <c r="BG26" s="12" t="str">
        <f>IF(ISNUMBER(BF26)=TRUE,IF(_xlfn.RANK.EQ(BF26,$BF$2:$BF$111)&lt;='Tournament Setup'!$D$32,_xlfn.RANK.EQ(BF26,$BF$2:$BF$111),""),"")</f>
        <v/>
      </c>
      <c r="BH26" s="30" t="str">
        <f>IF(AND($F26='Tournament Setup'!$A$33,$I26&lt;&gt;0),$I26,"")</f>
        <v/>
      </c>
      <c r="BI26" s="47" t="str">
        <f>IF(ISNUMBER(BH26),IF(COUNTIFS(BI$1:BI25,_xlfn.RANK.EQ(BH26,BH$2:BH$111,0))&gt;0,_xlfn.MAXIFS(BI$1:BI25,BH$1:BH25,BH26)+1,_xlfn.RANK.EQ(BH26,BH$2:BH$111,0)),"")</f>
        <v/>
      </c>
      <c r="BJ26" s="1" t="str">
        <f>IF(ISNUMBER(BH26)=TRUE,IF(_xlfn.RANK.EQ(BH26,$BH$2:$BH$111)&lt;='Tournament Setup'!$B$46,_xlfn.RANK.EQ(BH26,$BH$2:$BH$111),""),"")</f>
        <v/>
      </c>
      <c r="BK26" s="30" t="str">
        <f>IF(AND($F26='Tournament Setup'!$A$33,SUM($O26,$Q26,$S26)=0),$H26,"")</f>
        <v/>
      </c>
      <c r="BL26" s="47" t="str">
        <f>IF(ISNUMBER(BK26),IF(COUNTIFS(BL$1:BL25,_xlfn.RANK.EQ(BK26,BK$2:BK$111,0))&gt;0,_xlfn.MAXIFS(BL$1:BL25,BK$1:BK25,BK26)+1,_xlfn.RANK.EQ(BK26,BK$2:BK$111,0)),"")</f>
        <v/>
      </c>
      <c r="BM26" s="1" t="str">
        <f>IF(ISNUMBER(BK26)=TRUE,IF(_xlfn.RANK.EQ(BK26,$BK$2:$BK$111)&lt;='Tournament Setup'!$B$33,_xlfn.RANK.EQ(BK26,$BK$2:$BK$111),""),"")</f>
        <v/>
      </c>
      <c r="BN26" s="31" t="str">
        <f>IF(AND($F26='Tournament Setup'!$A$33,SUM($O26,$Q26)=0,$E26="M",$BM26&gt;'Tournament Setup'!$B$33),$H26,"")</f>
        <v/>
      </c>
      <c r="BO26" s="1" t="str">
        <f>IF(ISNUMBER(BN26)=TRUE,IF(_xlfn.RANK.EQ(BN26,$BN$2:$BN$111)&lt;='Tournament Setup'!$C$33,_xlfn.RANK.EQ(BN26,$BN$2:$BN$111),""),"")</f>
        <v/>
      </c>
      <c r="BP26" s="31" t="str">
        <f>IF(AND($F26='Tournament Setup'!$A$33,SUM($O26,$S26)=0,$E26="F",$BM26&gt;'Tournament Setup'!$B$33),$H26,"")</f>
        <v/>
      </c>
      <c r="BQ26" s="12" t="str">
        <f>IF(ISNUMBER(BP26)=TRUE,IF(_xlfn.RANK.EQ(BP26,$BP$2:$BP$111)&lt;='Tournament Setup'!$D$33,_xlfn.RANK.EQ(BP26,$BP$2:$BP$111),""),"")</f>
        <v/>
      </c>
      <c r="BR26" s="30" t="str">
        <f>IF($G26='Tournament Setup'!$A$38,$H26,"")</f>
        <v/>
      </c>
      <c r="BS26" s="47" t="str">
        <f>IF(ISNUMBER(BR26),IF(COUNTIFS(BS$1:BS25,_xlfn.RANK.EQ(BR26,BR$2:BR$111,0))&gt;0,_xlfn.MAXIFS(BS$1:BS25,BR$1:BR25,BR26)+1,_xlfn.RANK.EQ(BR26,BR$2:BR$111,0)),"")</f>
        <v/>
      </c>
      <c r="BT26" s="1" t="str">
        <f>IF(ISNUMBER(BR26)=TRUE,IF(_xlfn.RANK.EQ(BR26,$BR$2:$BR$111)&lt;='Tournament Setup'!$B$38,_xlfn.RANK.EQ(BR26,$BR$2:$BR$111),""),"")</f>
        <v/>
      </c>
      <c r="BU26" s="31" t="str">
        <f>IF(AND($G26='Tournament Setup'!$A$38,$E26="M",$BT26&gt;'Tournament Setup'!$B$38),$H26,"")</f>
        <v/>
      </c>
      <c r="BV26" s="1" t="str">
        <f>IF(ISNUMBER(BU26)=TRUE,IF(_xlfn.RANK.EQ(BU26,$BU$2:$BU$111)&lt;='Tournament Setup'!$C$38,_xlfn.RANK.EQ(BU26,$BU$2:$BU$111),""),"")</f>
        <v/>
      </c>
      <c r="BW26" s="31" t="str">
        <f>IF(AND($G26='Tournament Setup'!$A$38,$E26="F",$BT26&gt;'Tournament Setup'!$B$38),$H26,"")</f>
        <v/>
      </c>
      <c r="BX26" s="12" t="str">
        <f>IF(ISNUMBER(BW26)=TRUE,IF(_xlfn.RANK.EQ(BW26,$BW$2:$BW$111)&lt;='Tournament Setup'!$D$38,_xlfn.RANK.EQ(BW26,$BW$2:$BW$111),""),"")</f>
        <v/>
      </c>
      <c r="BY26" s="30">
        <f>IF($G26='Tournament Setup'!$A$39,$H26,"")</f>
        <v>72</v>
      </c>
      <c r="BZ26" s="47">
        <f>IF(ISNUMBER(BY26),IF(COUNTIFS(BZ$1:BZ25,_xlfn.RANK.EQ(BY26,BY$2:BY$111,0))&gt;0,_xlfn.MAXIFS(BZ$1:BZ25,BY$1:BY25,BY26)+1,_xlfn.RANK.EQ(BY26,BY$2:BY$111,0)),"")</f>
        <v>12</v>
      </c>
      <c r="CA26" s="1" t="str">
        <f>IF(ISNUMBER(BY26)=TRUE,IF(_xlfn.RANK.EQ(BY26,$BY$2:$BY$111)&lt;='Tournament Setup'!$B$39,_xlfn.RANK.EQ(BY26,$BY$2:$BY$111),""),"")</f>
        <v/>
      </c>
      <c r="CB26" s="31">
        <f>IF(AND($G26='Tournament Setup'!$A$39,$E26="M",$CA26&gt;'Tournament Setup'!$B$39),$H26,"")</f>
        <v>72</v>
      </c>
      <c r="CC26" s="1" t="str">
        <f>IF(ISNUMBER(CB26)=TRUE,IF(_xlfn.RANK.EQ(CB26,$CB$2:$CB$111)&lt;='Tournament Setup'!$C$39,_xlfn.RANK.EQ(CB26,$CB$2:$CB$111),""),"")</f>
        <v/>
      </c>
      <c r="CD26" s="31" t="str">
        <f>IF(AND($G26='Tournament Setup'!$A$39,$E26="F",$CA26&gt;'Tournament Setup'!$B$39),$H26,"")</f>
        <v/>
      </c>
      <c r="CE26" s="12" t="str">
        <f>IF(ISNUMBER(CD26)=TRUE,IF(_xlfn.RANK.EQ(CD26,$CD$2:$CD$111)&lt;='Tournament Setup'!$D$39,_xlfn.RANK.EQ(CD26,$CD$2:$CD$111),""),"")</f>
        <v/>
      </c>
      <c r="CF26" s="30" t="str">
        <f>IF($G26='Tournament Setup'!$A$40,$H26,"")</f>
        <v/>
      </c>
      <c r="CG26" s="47" t="str">
        <f>IF(ISNUMBER(CF26),IF(COUNTIFS(CG$1:CG25,_xlfn.RANK.EQ(CF26,CF$2:CF$111,0))&gt;0,_xlfn.MAXIFS(CG$1:CG25,CF$1:CF25,CF26)+1,_xlfn.RANK.EQ(CF26,CF$2:CF$111,0)),"")</f>
        <v/>
      </c>
      <c r="CH26" s="1" t="str">
        <f>IF(ISNUMBER(CF26)=TRUE,IF(_xlfn.RANK.EQ(CF26,$CF$2:$CF$111)&lt;='Tournament Setup'!$B$40,_xlfn.RANK.EQ(CF26,$CF$2:$CF$111),""),"")</f>
        <v/>
      </c>
      <c r="CI26" s="31" t="str">
        <f>IF(AND($G26='Tournament Setup'!$A$40,$E26="M",$CH26&gt;'Tournament Setup'!$B$40),$H26,"")</f>
        <v/>
      </c>
      <c r="CJ26" s="1" t="str">
        <f>IF(ISNUMBER(CI26)=TRUE,IF(_xlfn.RANK.EQ(CI26,$CI$2:$CI$111)&lt;='Tournament Setup'!$C$40,_xlfn.RANK.EQ(CI26,$CI$2:$CI$111),""),"")</f>
        <v/>
      </c>
      <c r="CK26" s="31" t="str">
        <f>IF(AND($G26='Tournament Setup'!$A$40,$E26="F",$CH26&gt;'Tournament Setup'!$B$40),$H26,"")</f>
        <v/>
      </c>
      <c r="CL26" s="12" t="str">
        <f>IF(ISNUMBER(CK26)=TRUE,IF(_xlfn.RANK.EQ(CK26,$CK$2:$CK$111)&lt;='Tournament Setup'!$D$40,_xlfn.RANK.EQ(CK26,$CK$2:$CK$111),""),"")</f>
        <v/>
      </c>
      <c r="CM26" s="30" t="str">
        <f>IF($G26='Tournament Setup'!$A$41,$H26,"")</f>
        <v/>
      </c>
      <c r="CN26" s="47" t="str">
        <f>IF(ISNUMBER(CM26),IF(COUNTIFS(CN$1:CN25,_xlfn.RANK.EQ(CM26,CM$2:CM$111,0))&gt;0,_xlfn.MAXIFS(CN$1:CN25,CM$1:CM25,CM26)+1,_xlfn.RANK.EQ(CM26,CM$2:CM$111,0)),"")</f>
        <v/>
      </c>
      <c r="CO26" s="1" t="str">
        <f>IF(ISNUMBER(CM26)=TRUE,IF(_xlfn.RANK.EQ(CM26,$CM$2:$CM$111)&lt;='Tournament Setup'!$B$41,_xlfn.RANK.EQ(CM26,$CM$2:$CM$111),""),"")</f>
        <v/>
      </c>
      <c r="CP26" s="31" t="str">
        <f>IF(AND($G26='Tournament Setup'!$A$41,$E26="M",$CO26&gt;'Tournament Setup'!$B$41),$H26,"")</f>
        <v/>
      </c>
      <c r="CQ26" s="1" t="str">
        <f>IF(ISNUMBER(CP26)=TRUE,IF(_xlfn.RANK.EQ(CP26,$CP$2:$CP$111)&lt;='Tournament Setup'!$C$41,_xlfn.RANK.EQ(CP26,$CP$2:$CP$111),""),"")</f>
        <v/>
      </c>
      <c r="CR26" s="31" t="str">
        <f>IF(AND($G26='Tournament Setup'!$A$41,$E26="F",$CO26&gt;'Tournament Setup'!$B$41),$H26,"")</f>
        <v/>
      </c>
      <c r="CS26" s="12" t="str">
        <f>IF(ISNUMBER(CR26)=TRUE,IF(_xlfn.RANK.EQ(CR26,$CR$2:$CR$111)&lt;='Tournament Setup'!$D$41,_xlfn.RANK.EQ(CR26,$CR$2:$CR$111),""),"")</f>
        <v/>
      </c>
    </row>
    <row r="27" spans="1:97" x14ac:dyDescent="0.3">
      <c r="A27" t="s">
        <v>182</v>
      </c>
      <c r="B27" t="str">
        <f>IFERROR(INDEX('Tournament List'!$B:$B,MATCH($A27,'Tournament List'!$A:$A,0)),"")</f>
        <v>Gary</v>
      </c>
      <c r="C27" t="str">
        <f>IFERROR(INDEX('Tournament List'!$C:$C,MATCH($A27,'Tournament List'!$A:$A,0)),"")</f>
        <v>Last Name26</v>
      </c>
      <c r="D27" t="str">
        <f t="shared" si="0"/>
        <v>Gary Last Name26</v>
      </c>
      <c r="E27" s="1" t="str">
        <f>IFERROR(INDEX('Tournament List'!F:F,MATCH($A27,'Tournament List'!$A:$A,0)),"")</f>
        <v>M</v>
      </c>
      <c r="F27" t="str">
        <f>IFERROR(INDEX('Tournament List'!M:M,MATCH($A27,'Tournament List'!$A:$A,0)),"")</f>
        <v>Junior Varsity</v>
      </c>
      <c r="G27" s="1" t="str">
        <f>IFERROR(INDEX('Tournament List'!W:W,MATCH($A27,'Tournament List'!$A:$A,0)),"")</f>
        <v>B</v>
      </c>
      <c r="H27" s="129">
        <f>IFERROR(INDEX('Tournament List'!Z:Z,MATCH($A27,'Tournament List'!$A:$A,0)),"")</f>
        <v>86</v>
      </c>
      <c r="I27" s="152">
        <f>IFERROR(INDEX('Tournament List'!T:T,MATCH($A27,'Tournament List'!$A:$A,0)),"")</f>
        <v>239</v>
      </c>
      <c r="J27" s="56">
        <f>IF(ISNUMBER(I27),IF(COUNTIFS(J$1:J26,_xlfn.RANK.EQ(I27,I$2:I$111,0))&gt;0,_xlfn.MAXIFS(J$1:J26,I$1:I26,I27)+1,_xlfn.RANK.EQ(I27,I$2:I$111,0)),"")</f>
        <v>4</v>
      </c>
      <c r="K27" s="11">
        <f t="shared" si="1"/>
        <v>12</v>
      </c>
      <c r="L27" s="56">
        <f>IF(ISNUMBER(H27),IF(COUNTIFS(L$1:L26,_xlfn.RANK.EQ(H27,H$2:H$111,0))&gt;0,_xlfn.MAXIFS(L$1:L26,H$1:H26,H27)+1,_xlfn.RANK.EQ(H27,H$2:H$111,0)),"")</f>
        <v>12</v>
      </c>
      <c r="M27" s="151">
        <f t="shared" si="2"/>
        <v>86</v>
      </c>
      <c r="N27" s="47">
        <f>IF(ISNUMBER(M27),IF(COUNTIFS(N$1:N26,_xlfn.RANK.EQ(M27,M$2:M$111,0))&gt;0,_xlfn.MAXIFS(N$1:N26,M$1:M26,M27)+1,_xlfn.RANK.EQ(M27,M$2:M$111,0)),"")</f>
        <v>10</v>
      </c>
      <c r="O27" s="1" t="str">
        <f>IF(ISNUMBER(M27)=TRUE,IF(_xlfn.RANK.EQ(M27,$M$2:$M$111)&lt;='Tournament Setup'!$B$23,_xlfn.RANK.EQ(M27,$M$2:$M$111),""),"")</f>
        <v/>
      </c>
      <c r="P27" s="150">
        <f t="shared" si="3"/>
        <v>86</v>
      </c>
      <c r="Q27" s="1" t="str">
        <f>IF(ISNUMBER(P27)=TRUE,IF(_xlfn.RANK.EQ(P27,$P$2:$P$111)&lt;='Tournament Setup'!$B$24,_xlfn.RANK.EQ(P27,$P$2:$P$111),""),"")</f>
        <v/>
      </c>
      <c r="R27" s="150" t="str">
        <f t="shared" si="4"/>
        <v/>
      </c>
      <c r="S27" s="12" t="str">
        <f>IF(ISNUMBER(R27)=TRUE,IF(_xlfn.RANK.EQ(R27,$R$2:$R$111)&lt;='Tournament Setup'!$B$25,_xlfn.RANK.EQ(R27,$R$2:$R$111),""),"")</f>
        <v/>
      </c>
      <c r="T27" s="152" t="str">
        <f>IF(AND($F27='Tournament Setup'!$A$29,$I27&lt;&gt;0),$I27,"")</f>
        <v/>
      </c>
      <c r="U27" s="47" t="str">
        <f>IF(ISNUMBER(T27),IF(COUNTIFS(U$1:U26,_xlfn.RANK.EQ(T27,T$2:T$111,0))&gt;0,_xlfn.MAXIFS(U$1:U26,T$1:T26,T27)+1,_xlfn.RANK.EQ(T27,T$2:T$111,0)),"")</f>
        <v/>
      </c>
      <c r="V27" s="1" t="str">
        <f>IF(ISNUMBER(T27)=TRUE,IF(_xlfn.RANK.EQ(T27,$T$3:$T$112)&lt;='Tournament Setup'!$B$46,_xlfn.RANK.EQ(T27,$T$2:$T$111),""),"")</f>
        <v/>
      </c>
      <c r="W27" s="30" t="str">
        <f>IF(AND($F27='Tournament Setup'!$A$29,SUM($O27,$Q27,$S27)=0),$H27,"")</f>
        <v/>
      </c>
      <c r="X27" s="47" t="str">
        <f>IF(ISNUMBER(W27),IF(COUNTIFS(X$1:X26,_xlfn.RANK.EQ(W27,W$2:W$111,0))&gt;0,_xlfn.MAXIFS(X$1:X26,W$1:W26,W27)+1,_xlfn.RANK.EQ(W27,W$2:W$111,0)),"")</f>
        <v/>
      </c>
      <c r="Y27" s="1" t="str">
        <f>IF(ISNUMBER(W27)=TRUE,IF(_xlfn.RANK.EQ(W27,$W$2:$W$111)&lt;='Tournament Setup'!$B$29,_xlfn.RANK.EQ(W27,$W$2:$W$111),""),"")</f>
        <v/>
      </c>
      <c r="Z27" s="31" t="str">
        <f>IF(AND($F27='Tournament Setup'!$A$29,SUM($O27,$Q27)=0,$E27="M",$Y27&gt;'Tournament Setup'!$B$29),$H27,"")</f>
        <v/>
      </c>
      <c r="AA27" s="1" t="str">
        <f>IF(ISNUMBER(Z27)=TRUE,IF(_xlfn.RANK.EQ(Z27,$Z$2:$Z$111)&lt;='Tournament Setup'!$C$29,_xlfn.RANK.EQ(Z27,$Z$2:$Z$111),""),"")</f>
        <v/>
      </c>
      <c r="AB27" s="31" t="str">
        <f>IF(AND($F27='Tournament Setup'!$A$29,SUM($O27,$S27)=0,$E27="F",$Y27&gt;'Tournament Setup'!$B$29),$H27,"")</f>
        <v/>
      </c>
      <c r="AC27" s="12" t="str">
        <f>IF(ISNUMBER(AB27)=TRUE,IF(_xlfn.RANK.EQ(AB27,$AB$2:$AB$111)&lt;='Tournament Setup'!$D$29,_xlfn.RANK.EQ(AB27,$AB$2:$AB$111),""),"")</f>
        <v/>
      </c>
      <c r="AD27" s="30" t="str">
        <f>IF(AND($F27='Tournament Setup'!$A$30,$I27&lt;&gt;0),$I27,"")</f>
        <v/>
      </c>
      <c r="AE27" s="47" t="str">
        <f>IF(ISNUMBER(AD27),IF(COUNTIFS(AE$1:AE26,_xlfn.RANK.EQ(AD27,AD$2:AD$111,0))&gt;0,_xlfn.MAXIFS(AE$1:AE26,AD$1:AD26,AD27)+1,_xlfn.RANK.EQ(AD27,AD$2:AD$111,0)),"")</f>
        <v/>
      </c>
      <c r="AF27" s="1" t="str">
        <f>IF(ISNUMBER(AD27)=TRUE,IF(_xlfn.RANK.EQ(AD27,$AD$2:$AD$111)&lt;='Tournament Setup'!$B$46,_xlfn.RANK.EQ(AD27,$AD$2:$AD$111),""),"")</f>
        <v/>
      </c>
      <c r="AG27" s="30" t="str">
        <f>IF(AND($F27='Tournament Setup'!$A$30,SUM($O27,$Q27,$S27)=0),$H27,"")</f>
        <v/>
      </c>
      <c r="AH27" s="47" t="str">
        <f>IF(ISNUMBER(AG27),IF(COUNTIFS(AH$1:AH26,_xlfn.RANK.EQ(AG27,AG$2:AG$111,0))&gt;0,_xlfn.MAXIFS(AH$1:AH26,AG$1:AG26,AG27)+1,_xlfn.RANK.EQ(AG27,AG$2:AG$111,0)),"")</f>
        <v/>
      </c>
      <c r="AI27" s="1" t="str">
        <f>IF(ISNUMBER(AG27)=TRUE,IF(_xlfn.RANK.EQ(AG27,$AG$2:$AG$111)&lt;='Tournament Setup'!$B$30,_xlfn.RANK.EQ(AG27,$AG$2:$AG$111),""),"")</f>
        <v/>
      </c>
      <c r="AJ27" s="31" t="str">
        <f>IF(AND($F27='Tournament Setup'!$A$30,SUM($O27,$Q27)=0,$E27="M",$AI27&gt;'Tournament Setup'!$B$30),$H27,"")</f>
        <v/>
      </c>
      <c r="AK27" s="1" t="str">
        <f>IF(ISNUMBER(AJ27)=TRUE,IF(_xlfn.RANK.EQ(AJ27,$AJ$2:$AJ$111)&lt;='Tournament Setup'!$C$30,_xlfn.RANK.EQ(AJ27,$AJ$2:$AJ$111),""),"")</f>
        <v/>
      </c>
      <c r="AL27" s="31" t="str">
        <f>IF(AND($F27='Tournament Setup'!$A$30,SUM($O27,$S27)=0,$E27="F",$AI27&gt;'Tournament Setup'!$B$30),$H27,"")</f>
        <v/>
      </c>
      <c r="AM27" s="12" t="str">
        <f>IF(ISNUMBER(AL27)=TRUE,IF(_xlfn.RANK.EQ(AL27,$AL$2:$AL$111)&lt;='Tournament Setup'!$D$30,_xlfn.RANK.EQ(AL27,$AL$2:$AL$111),""),"")</f>
        <v/>
      </c>
      <c r="AN27" s="30">
        <f>IF(AND($F27='Tournament Setup'!$A$31,$I27&lt;&gt;0),$I27,"")</f>
        <v>239</v>
      </c>
      <c r="AO27" s="47">
        <f>IF(ISNUMBER(AN27),IF(COUNTIFS(AO$1:AO26,_xlfn.RANK.EQ(AN27,AN$2:AN$111,0))&gt;0,_xlfn.MAXIFS(AO$1:AO26,AN$1:AN26,AN27)+1,_xlfn.RANK.EQ(AN27,AN$2:AN$111,0)),"")</f>
        <v>2</v>
      </c>
      <c r="AP27" s="1">
        <f>IF(ISNUMBER(AN27)=TRUE,IF(_xlfn.RANK.EQ(AN27,$AN$2:$AN$111)&lt;='Tournament Setup'!$B$46,_xlfn.RANK.EQ(AN27,$AN$2:$AN$111),""),"")</f>
        <v>1</v>
      </c>
      <c r="AQ27" s="30">
        <f>IF(AND($F27='Tournament Setup'!$A$31,SUM($O27,$Q27,$S27)=0),$H27,"")</f>
        <v>86</v>
      </c>
      <c r="AR27" s="47">
        <f>IF(ISNUMBER(AQ27),IF(COUNTIFS(AR$1:AR26,_xlfn.RANK.EQ(AQ27,AQ$2:AQ$111,0))&gt;0,_xlfn.MAXIFS(AR$1:AR26,AQ$1:AQ26,AQ27)+1,_xlfn.RANK.EQ(AQ27,AQ$2:AQ$111,0)),"")</f>
        <v>2</v>
      </c>
      <c r="AS27" s="1" t="str">
        <f>IF(ISNUMBER(AQ27)=TRUE,IF(_xlfn.RANK.EQ(AQ27,$AQ$2:$AQ$111)&lt;='Tournament Setup'!$B$31,_xlfn.RANK.EQ(AQ27,$AQ$2:$AQ$111),""),"")</f>
        <v/>
      </c>
      <c r="AT27" s="31">
        <f>IF(AND($F27='Tournament Setup'!$A$31,SUM($O27,$Q27)=0,$E27="M",$AS27&gt;'Tournament Setup'!$B$31),$H27,"")</f>
        <v>86</v>
      </c>
      <c r="AU27" s="1">
        <f>IF(ISNUMBER(AT27)=TRUE,IF(_xlfn.RANK.EQ(AT27,$AT$2:$AT$111)&lt;='Tournament Setup'!$C$31,_xlfn.RANK.EQ(AT27,$AT$2:$AT$111),""),"")</f>
        <v>2</v>
      </c>
      <c r="AV27" s="31" t="str">
        <f>IF(AND($F27='Tournament Setup'!$A$31,SUM($O27,$S27)=0,$E27="F",$AS27&gt;'Tournament Setup'!$B$31),$H27,"")</f>
        <v/>
      </c>
      <c r="AW27" s="12" t="str">
        <f>IF(ISNUMBER(AV27)=TRUE,IF(_xlfn.RANK.EQ(AV27,$AV$2:$AV$111)&lt;='Tournament Setup'!$D$31,_xlfn.RANK.EQ(AV27,$AV$2:$AV$111),""),"")</f>
        <v/>
      </c>
      <c r="AX27" s="30" t="str">
        <f>IF(AND($F27='Tournament Setup'!$A$32,$I27&lt;&gt;0),$I27,"")</f>
        <v/>
      </c>
      <c r="AY27" s="47" t="str">
        <f>IF(ISNUMBER(AX27),IF(COUNTIFS(AY$1:AY26,_xlfn.RANK.EQ(AX27,AX$2:AX$111,0))&gt;0,_xlfn.MAXIFS(AY$1:AY26,AX$1:AX26,AX27)+1,_xlfn.RANK.EQ(AX27,AX$2:AX$111,0)),"")</f>
        <v/>
      </c>
      <c r="AZ27" s="1" t="str">
        <f>IF(ISNUMBER(AX27)=TRUE,IF(_xlfn.RANK.EQ(AX27,$AX$2:$AX$111)&lt;='Tournament Setup'!$B$46,_xlfn.RANK.EQ(AX27,$AX$2:$AX$111),""),"")</f>
        <v/>
      </c>
      <c r="BA27" s="30" t="str">
        <f>IF(AND($F27='Tournament Setup'!$A$32,SUM($O27,$Q27,$S27)=0),$H27,"")</f>
        <v/>
      </c>
      <c r="BB27" s="47" t="str">
        <f>IF(ISNUMBER(BA27),IF(COUNTIFS(BB$1:BB26,_xlfn.RANK.EQ(BA27,BA$2:BA$111,0))&gt;0,_xlfn.MAXIFS(BB$1:BB26,BA$1:BA26,BA27)+1,_xlfn.RANK.EQ(BA27,BA$2:BA$111,0)),"")</f>
        <v/>
      </c>
      <c r="BC27" s="1" t="str">
        <f>IF(ISNUMBER(BA27)=TRUE,IF(_xlfn.RANK.EQ(BA27,$BA$2:$BA$111)&lt;='Tournament Setup'!$B$32,_xlfn.RANK.EQ(BA27,$BA$2:$BA$111),""),"")</f>
        <v/>
      </c>
      <c r="BD27" s="31" t="str">
        <f>IF(AND($F27='Tournament Setup'!$A$32,SUM($O27,$Q27)=0,$E27="M",$BC27&gt;'Tournament Setup'!$B$32),$H27,"")</f>
        <v/>
      </c>
      <c r="BE27" s="1" t="str">
        <f>IF(ISNUMBER(BD27)=TRUE,IF(_xlfn.RANK.EQ(BD27,$BD$2:$BD$111)&lt;='Tournament Setup'!$C$32,_xlfn.RANK.EQ(BD27,$BD$2:$BD$111),""),"")</f>
        <v/>
      </c>
      <c r="BF27" s="31" t="str">
        <f>IF(AND($F27='Tournament Setup'!$A$32,SUM($O27,$S27)=0,$E27="F",$BC27&gt;'Tournament Setup'!$B$32),$H27,"")</f>
        <v/>
      </c>
      <c r="BG27" s="12" t="str">
        <f>IF(ISNUMBER(BF27)=TRUE,IF(_xlfn.RANK.EQ(BF27,$BF$2:$BF$111)&lt;='Tournament Setup'!$D$32,_xlfn.RANK.EQ(BF27,$BF$2:$BF$111),""),"")</f>
        <v/>
      </c>
      <c r="BH27" s="30" t="str">
        <f>IF(AND($F27='Tournament Setup'!$A$33,$I27&lt;&gt;0),$I27,"")</f>
        <v/>
      </c>
      <c r="BI27" s="47" t="str">
        <f>IF(ISNUMBER(BH27),IF(COUNTIFS(BI$1:BI26,_xlfn.RANK.EQ(BH27,BH$2:BH$111,0))&gt;0,_xlfn.MAXIFS(BI$1:BI26,BH$1:BH26,BH27)+1,_xlfn.RANK.EQ(BH27,BH$2:BH$111,0)),"")</f>
        <v/>
      </c>
      <c r="BJ27" s="1" t="str">
        <f>IF(ISNUMBER(BH27)=TRUE,IF(_xlfn.RANK.EQ(BH27,$BH$2:$BH$111)&lt;='Tournament Setup'!$B$46,_xlfn.RANK.EQ(BH27,$BH$2:$BH$111),""),"")</f>
        <v/>
      </c>
      <c r="BK27" s="30" t="str">
        <f>IF(AND($F27='Tournament Setup'!$A$33,SUM($O27,$Q27,$S27)=0),$H27,"")</f>
        <v/>
      </c>
      <c r="BL27" s="47" t="str">
        <f>IF(ISNUMBER(BK27),IF(COUNTIFS(BL$1:BL26,_xlfn.RANK.EQ(BK27,BK$2:BK$111,0))&gt;0,_xlfn.MAXIFS(BL$1:BL26,BK$1:BK26,BK27)+1,_xlfn.RANK.EQ(BK27,BK$2:BK$111,0)),"")</f>
        <v/>
      </c>
      <c r="BM27" s="1" t="str">
        <f>IF(ISNUMBER(BK27)=TRUE,IF(_xlfn.RANK.EQ(BK27,$BK$2:$BK$111)&lt;='Tournament Setup'!$B$33,_xlfn.RANK.EQ(BK27,$BK$2:$BK$111),""),"")</f>
        <v/>
      </c>
      <c r="BN27" s="31" t="str">
        <f>IF(AND($F27='Tournament Setup'!$A$33,SUM($O27,$Q27)=0,$E27="M",$BM27&gt;'Tournament Setup'!$B$33),$H27,"")</f>
        <v/>
      </c>
      <c r="BO27" s="1" t="str">
        <f>IF(ISNUMBER(BN27)=TRUE,IF(_xlfn.RANK.EQ(BN27,$BN$2:$BN$111)&lt;='Tournament Setup'!$C$33,_xlfn.RANK.EQ(BN27,$BN$2:$BN$111),""),"")</f>
        <v/>
      </c>
      <c r="BP27" s="31" t="str">
        <f>IF(AND($F27='Tournament Setup'!$A$33,SUM($O27,$S27)=0,$E27="F",$BM27&gt;'Tournament Setup'!$B$33),$H27,"")</f>
        <v/>
      </c>
      <c r="BQ27" s="12" t="str">
        <f>IF(ISNUMBER(BP27)=TRUE,IF(_xlfn.RANK.EQ(BP27,$BP$2:$BP$111)&lt;='Tournament Setup'!$D$33,_xlfn.RANK.EQ(BP27,$BP$2:$BP$111),""),"")</f>
        <v/>
      </c>
      <c r="BR27" s="30" t="str">
        <f>IF($G27='Tournament Setup'!$A$38,$H27,"")</f>
        <v/>
      </c>
      <c r="BS27" s="47" t="str">
        <f>IF(ISNUMBER(BR27),IF(COUNTIFS(BS$1:BS26,_xlfn.RANK.EQ(BR27,BR$2:BR$111,0))&gt;0,_xlfn.MAXIFS(BS$1:BS26,BR$1:BR26,BR27)+1,_xlfn.RANK.EQ(BR27,BR$2:BR$111,0)),"")</f>
        <v/>
      </c>
      <c r="BT27" s="1" t="str">
        <f>IF(ISNUMBER(BR27)=TRUE,IF(_xlfn.RANK.EQ(BR27,$BR$2:$BR$111)&lt;='Tournament Setup'!$B$38,_xlfn.RANK.EQ(BR27,$BR$2:$BR$111),""),"")</f>
        <v/>
      </c>
      <c r="BU27" s="31" t="str">
        <f>IF(AND($G27='Tournament Setup'!$A$38,$E27="M",$BT27&gt;'Tournament Setup'!$B$38),$H27,"")</f>
        <v/>
      </c>
      <c r="BV27" s="1" t="str">
        <f>IF(ISNUMBER(BU27)=TRUE,IF(_xlfn.RANK.EQ(BU27,$BU$2:$BU$111)&lt;='Tournament Setup'!$C$38,_xlfn.RANK.EQ(BU27,$BU$2:$BU$111),""),"")</f>
        <v/>
      </c>
      <c r="BW27" s="31" t="str">
        <f>IF(AND($G27='Tournament Setup'!$A$38,$E27="F",$BT27&gt;'Tournament Setup'!$B$38),$H27,"")</f>
        <v/>
      </c>
      <c r="BX27" s="12" t="str">
        <f>IF(ISNUMBER(BW27)=TRUE,IF(_xlfn.RANK.EQ(BW27,$BW$2:$BW$111)&lt;='Tournament Setup'!$D$38,_xlfn.RANK.EQ(BW27,$BW$2:$BW$111),""),"")</f>
        <v/>
      </c>
      <c r="BY27" s="30">
        <f>IF($G27='Tournament Setup'!$A$39,$H27,"")</f>
        <v>86</v>
      </c>
      <c r="BZ27" s="47">
        <f>IF(ISNUMBER(BY27),IF(COUNTIFS(BZ$1:BZ26,_xlfn.RANK.EQ(BY27,BY$2:BY$111,0))&gt;0,_xlfn.MAXIFS(BZ$1:BZ26,BY$1:BY26,BY27)+1,_xlfn.RANK.EQ(BY27,BY$2:BY$111,0)),"")</f>
        <v>7</v>
      </c>
      <c r="CA27" s="1" t="str">
        <f>IF(ISNUMBER(BY27)=TRUE,IF(_xlfn.RANK.EQ(BY27,$BY$2:$BY$111)&lt;='Tournament Setup'!$B$39,_xlfn.RANK.EQ(BY27,$BY$2:$BY$111),""),"")</f>
        <v/>
      </c>
      <c r="CB27" s="31">
        <f>IF(AND($G27='Tournament Setup'!$A$39,$E27="M",$CA27&gt;'Tournament Setup'!$B$39),$H27,"")</f>
        <v>86</v>
      </c>
      <c r="CC27" s="1" t="str">
        <f>IF(ISNUMBER(CB27)=TRUE,IF(_xlfn.RANK.EQ(CB27,$CB$2:$CB$111)&lt;='Tournament Setup'!$C$39,_xlfn.RANK.EQ(CB27,$CB$2:$CB$111),""),"")</f>
        <v/>
      </c>
      <c r="CD27" s="31" t="str">
        <f>IF(AND($G27='Tournament Setup'!$A$39,$E27="F",$CA27&gt;'Tournament Setup'!$B$39),$H27,"")</f>
        <v/>
      </c>
      <c r="CE27" s="12" t="str">
        <f>IF(ISNUMBER(CD27)=TRUE,IF(_xlfn.RANK.EQ(CD27,$CD$2:$CD$111)&lt;='Tournament Setup'!$D$39,_xlfn.RANK.EQ(CD27,$CD$2:$CD$111),""),"")</f>
        <v/>
      </c>
      <c r="CF27" s="30" t="str">
        <f>IF($G27='Tournament Setup'!$A$40,$H27,"")</f>
        <v/>
      </c>
      <c r="CG27" s="47" t="str">
        <f>IF(ISNUMBER(CF27),IF(COUNTIFS(CG$1:CG26,_xlfn.RANK.EQ(CF27,CF$2:CF$111,0))&gt;0,_xlfn.MAXIFS(CG$1:CG26,CF$1:CF26,CF27)+1,_xlfn.RANK.EQ(CF27,CF$2:CF$111,0)),"")</f>
        <v/>
      </c>
      <c r="CH27" s="1" t="str">
        <f>IF(ISNUMBER(CF27)=TRUE,IF(_xlfn.RANK.EQ(CF27,$CF$2:$CF$111)&lt;='Tournament Setup'!$B$40,_xlfn.RANK.EQ(CF27,$CF$2:$CF$111),""),"")</f>
        <v/>
      </c>
      <c r="CI27" s="31" t="str">
        <f>IF(AND($G27='Tournament Setup'!$A$40,$E27="M",$CH27&gt;'Tournament Setup'!$B$40),$H27,"")</f>
        <v/>
      </c>
      <c r="CJ27" s="1" t="str">
        <f>IF(ISNUMBER(CI27)=TRUE,IF(_xlfn.RANK.EQ(CI27,$CI$2:$CI$111)&lt;='Tournament Setup'!$C$40,_xlfn.RANK.EQ(CI27,$CI$2:$CI$111),""),"")</f>
        <v/>
      </c>
      <c r="CK27" s="31" t="str">
        <f>IF(AND($G27='Tournament Setup'!$A$40,$E27="F",$CH27&gt;'Tournament Setup'!$B$40),$H27,"")</f>
        <v/>
      </c>
      <c r="CL27" s="12" t="str">
        <f>IF(ISNUMBER(CK27)=TRUE,IF(_xlfn.RANK.EQ(CK27,$CK$2:$CK$111)&lt;='Tournament Setup'!$D$40,_xlfn.RANK.EQ(CK27,$CK$2:$CK$111),""),"")</f>
        <v/>
      </c>
      <c r="CM27" s="30" t="str">
        <f>IF($G27='Tournament Setup'!$A$41,$H27,"")</f>
        <v/>
      </c>
      <c r="CN27" s="47" t="str">
        <f>IF(ISNUMBER(CM27),IF(COUNTIFS(CN$1:CN26,_xlfn.RANK.EQ(CM27,CM$2:CM$111,0))&gt;0,_xlfn.MAXIFS(CN$1:CN26,CM$1:CM26,CM27)+1,_xlfn.RANK.EQ(CM27,CM$2:CM$111,0)),"")</f>
        <v/>
      </c>
      <c r="CO27" s="1" t="str">
        <f>IF(ISNUMBER(CM27)=TRUE,IF(_xlfn.RANK.EQ(CM27,$CM$2:$CM$111)&lt;='Tournament Setup'!$B$41,_xlfn.RANK.EQ(CM27,$CM$2:$CM$111),""),"")</f>
        <v/>
      </c>
      <c r="CP27" s="31" t="str">
        <f>IF(AND($G27='Tournament Setup'!$A$41,$E27="M",$CO27&gt;'Tournament Setup'!$B$41),$H27,"")</f>
        <v/>
      </c>
      <c r="CQ27" s="1" t="str">
        <f>IF(ISNUMBER(CP27)=TRUE,IF(_xlfn.RANK.EQ(CP27,$CP$2:$CP$111)&lt;='Tournament Setup'!$C$41,_xlfn.RANK.EQ(CP27,$CP$2:$CP$111),""),"")</f>
        <v/>
      </c>
      <c r="CR27" s="31" t="str">
        <f>IF(AND($G27='Tournament Setup'!$A$41,$E27="F",$CO27&gt;'Tournament Setup'!$B$41),$H27,"")</f>
        <v/>
      </c>
      <c r="CS27" s="12" t="str">
        <f>IF(ISNUMBER(CR27)=TRUE,IF(_xlfn.RANK.EQ(CR27,$CR$2:$CR$111)&lt;='Tournament Setup'!$D$41,_xlfn.RANK.EQ(CR27,$CR$2:$CR$111),""),"")</f>
        <v/>
      </c>
    </row>
    <row r="28" spans="1:97" x14ac:dyDescent="0.3">
      <c r="A28" t="s">
        <v>183</v>
      </c>
      <c r="B28" t="str">
        <f>IFERROR(INDEX('Tournament List'!$B:$B,MATCH($A28,'Tournament List'!$A:$A,0)),"")</f>
        <v>Becky</v>
      </c>
      <c r="C28" t="str">
        <f>IFERROR(INDEX('Tournament List'!$C:$C,MATCH($A28,'Tournament List'!$A:$A,0)),"")</f>
        <v>Last Name27</v>
      </c>
      <c r="D28" t="str">
        <f t="shared" si="0"/>
        <v>Becky Last Name27</v>
      </c>
      <c r="E28" s="1" t="str">
        <f>IFERROR(INDEX('Tournament List'!F:F,MATCH($A28,'Tournament List'!$A:$A,0)),"")</f>
        <v>F</v>
      </c>
      <c r="F28" t="str">
        <f>IFERROR(INDEX('Tournament List'!M:M,MATCH($A28,'Tournament List'!$A:$A,0)),"")</f>
        <v>Collegiate</v>
      </c>
      <c r="G28" s="1" t="str">
        <f>IFERROR(INDEX('Tournament List'!W:W,MATCH($A28,'Tournament List'!$A:$A,0)),"")</f>
        <v>C</v>
      </c>
      <c r="H28" s="129">
        <f>IFERROR(INDEX('Tournament List'!Z:Z,MATCH($A28,'Tournament List'!$A:$A,0)),"")</f>
        <v>45</v>
      </c>
      <c r="I28" s="152" t="str">
        <f>IFERROR(INDEX('Tournament List'!T:T,MATCH($A28,'Tournament List'!$A:$A,0)),"")</f>
        <v/>
      </c>
      <c r="J28" s="56" t="str">
        <f>IF(ISNUMBER(I28),IF(COUNTIFS(J$1:J27,_xlfn.RANK.EQ(I28,I$2:I$111,0))&gt;0,_xlfn.MAXIFS(J$1:J27,I$1:I27,I28)+1,_xlfn.RANK.EQ(I28,I$2:I$111,0)),"")</f>
        <v/>
      </c>
      <c r="K28" s="11">
        <f t="shared" si="1"/>
        <v>43</v>
      </c>
      <c r="L28" s="56">
        <f>IF(ISNUMBER(H28),IF(COUNTIFS(L$1:L27,_xlfn.RANK.EQ(H28,H$2:H$111,0))&gt;0,_xlfn.MAXIFS(L$1:L27,H$1:H27,H28)+1,_xlfn.RANK.EQ(H28,H$2:H$111,0)),"")</f>
        <v>43</v>
      </c>
      <c r="M28" s="151" t="str">
        <f t="shared" si="2"/>
        <v/>
      </c>
      <c r="N28" s="47" t="str">
        <f>IF(ISNUMBER(M28),IF(COUNTIFS(N$1:N27,_xlfn.RANK.EQ(M28,M$2:M$111,0))&gt;0,_xlfn.MAXIFS(N$1:N27,M$1:M27,M28)+1,_xlfn.RANK.EQ(M28,M$2:M$111,0)),"")</f>
        <v/>
      </c>
      <c r="O28" s="1" t="str">
        <f>IF(ISNUMBER(M28)=TRUE,IF(_xlfn.RANK.EQ(M28,$M$2:$M$111)&lt;='Tournament Setup'!$B$23,_xlfn.RANK.EQ(M28,$M$2:$M$111),""),"")</f>
        <v/>
      </c>
      <c r="P28" s="150" t="str">
        <f t="shared" si="3"/>
        <v/>
      </c>
      <c r="Q28" s="1" t="str">
        <f>IF(ISNUMBER(P28)=TRUE,IF(_xlfn.RANK.EQ(P28,$P$2:$P$111)&lt;='Tournament Setup'!$B$24,_xlfn.RANK.EQ(P28,$P$2:$P$111),""),"")</f>
        <v/>
      </c>
      <c r="R28" s="150" t="str">
        <f t="shared" si="4"/>
        <v/>
      </c>
      <c r="S28" s="12" t="str">
        <f>IF(ISNUMBER(R28)=TRUE,IF(_xlfn.RANK.EQ(R28,$R$2:$R$111)&lt;='Tournament Setup'!$B$25,_xlfn.RANK.EQ(R28,$R$2:$R$111),""),"")</f>
        <v/>
      </c>
      <c r="T28" s="152" t="str">
        <f>IF(AND($F28='Tournament Setup'!$A$29,$I28&lt;&gt;0),$I28,"")</f>
        <v/>
      </c>
      <c r="U28" s="47" t="str">
        <f>IF(ISNUMBER(T28),IF(COUNTIFS(U$1:U27,_xlfn.RANK.EQ(T28,T$2:T$111,0))&gt;0,_xlfn.MAXIFS(U$1:U27,T$1:T27,T28)+1,_xlfn.RANK.EQ(T28,T$2:T$111,0)),"")</f>
        <v/>
      </c>
      <c r="V28" s="1" t="str">
        <f>IF(ISNUMBER(T28)=TRUE,IF(_xlfn.RANK.EQ(T28,$T$3:$T$112)&lt;='Tournament Setup'!$B$46,_xlfn.RANK.EQ(T28,$T$2:$T$111),""),"")</f>
        <v/>
      </c>
      <c r="W28" s="30" t="str">
        <f>IF(AND($F28='Tournament Setup'!$A$29,SUM($O28,$Q28,$S28)=0),$H28,"")</f>
        <v/>
      </c>
      <c r="X28" s="47" t="str">
        <f>IF(ISNUMBER(W28),IF(COUNTIFS(X$1:X27,_xlfn.RANK.EQ(W28,W$2:W$111,0))&gt;0,_xlfn.MAXIFS(X$1:X27,W$1:W27,W28)+1,_xlfn.RANK.EQ(W28,W$2:W$111,0)),"")</f>
        <v/>
      </c>
      <c r="Y28" s="1" t="str">
        <f>IF(ISNUMBER(W28)=TRUE,IF(_xlfn.RANK.EQ(W28,$W$2:$W$111)&lt;='Tournament Setup'!$B$29,_xlfn.RANK.EQ(W28,$W$2:$W$111),""),"")</f>
        <v/>
      </c>
      <c r="Z28" s="31" t="str">
        <f>IF(AND($F28='Tournament Setup'!$A$29,SUM($O28,$Q28)=0,$E28="M",$Y28&gt;'Tournament Setup'!$B$29),$H28,"")</f>
        <v/>
      </c>
      <c r="AA28" s="1" t="str">
        <f>IF(ISNUMBER(Z28)=TRUE,IF(_xlfn.RANK.EQ(Z28,$Z$2:$Z$111)&lt;='Tournament Setup'!$C$29,_xlfn.RANK.EQ(Z28,$Z$2:$Z$111),""),"")</f>
        <v/>
      </c>
      <c r="AB28" s="31" t="str">
        <f>IF(AND($F28='Tournament Setup'!$A$29,SUM($O28,$S28)=0,$E28="F",$Y28&gt;'Tournament Setup'!$B$29),$H28,"")</f>
        <v/>
      </c>
      <c r="AC28" s="12" t="str">
        <f>IF(ISNUMBER(AB28)=TRUE,IF(_xlfn.RANK.EQ(AB28,$AB$2:$AB$111)&lt;='Tournament Setup'!$D$29,_xlfn.RANK.EQ(AB28,$AB$2:$AB$111),""),"")</f>
        <v/>
      </c>
      <c r="AD28" s="30" t="str">
        <f>IF(AND($F28='Tournament Setup'!$A$30,$I28&lt;&gt;0),$I28,"")</f>
        <v/>
      </c>
      <c r="AE28" s="47" t="str">
        <f>IF(ISNUMBER(AD28),IF(COUNTIFS(AE$1:AE27,_xlfn.RANK.EQ(AD28,AD$2:AD$111,0))&gt;0,_xlfn.MAXIFS(AE$1:AE27,AD$1:AD27,AD28)+1,_xlfn.RANK.EQ(AD28,AD$2:AD$111,0)),"")</f>
        <v/>
      </c>
      <c r="AF28" s="1" t="str">
        <f>IF(ISNUMBER(AD28)=TRUE,IF(_xlfn.RANK.EQ(AD28,$AD$2:$AD$111)&lt;='Tournament Setup'!$B$46,_xlfn.RANK.EQ(AD28,$AD$2:$AD$111),""),"")</f>
        <v/>
      </c>
      <c r="AG28" s="30" t="str">
        <f>IF(AND($F28='Tournament Setup'!$A$30,SUM($O28,$Q28,$S28)=0),$H28,"")</f>
        <v/>
      </c>
      <c r="AH28" s="47" t="str">
        <f>IF(ISNUMBER(AG28),IF(COUNTIFS(AH$1:AH27,_xlfn.RANK.EQ(AG28,AG$2:AG$111,0))&gt;0,_xlfn.MAXIFS(AH$1:AH27,AG$1:AG27,AG28)+1,_xlfn.RANK.EQ(AG28,AG$2:AG$111,0)),"")</f>
        <v/>
      </c>
      <c r="AI28" s="1" t="str">
        <f>IF(ISNUMBER(AG28)=TRUE,IF(_xlfn.RANK.EQ(AG28,$AG$2:$AG$111)&lt;='Tournament Setup'!$B$30,_xlfn.RANK.EQ(AG28,$AG$2:$AG$111),""),"")</f>
        <v/>
      </c>
      <c r="AJ28" s="31" t="str">
        <f>IF(AND($F28='Tournament Setup'!$A$30,SUM($O28,$Q28)=0,$E28="M",$AI28&gt;'Tournament Setup'!$B$30),$H28,"")</f>
        <v/>
      </c>
      <c r="AK28" s="1" t="str">
        <f>IF(ISNUMBER(AJ28)=TRUE,IF(_xlfn.RANK.EQ(AJ28,$AJ$2:$AJ$111)&lt;='Tournament Setup'!$C$30,_xlfn.RANK.EQ(AJ28,$AJ$2:$AJ$111),""),"")</f>
        <v/>
      </c>
      <c r="AL28" s="31" t="str">
        <f>IF(AND($F28='Tournament Setup'!$A$30,SUM($O28,$S28)=0,$E28="F",$AI28&gt;'Tournament Setup'!$B$30),$H28,"")</f>
        <v/>
      </c>
      <c r="AM28" s="12" t="str">
        <f>IF(ISNUMBER(AL28)=TRUE,IF(_xlfn.RANK.EQ(AL28,$AL$2:$AL$111)&lt;='Tournament Setup'!$D$30,_xlfn.RANK.EQ(AL28,$AL$2:$AL$111),""),"")</f>
        <v/>
      </c>
      <c r="AN28" s="30" t="str">
        <f>IF(AND($F28='Tournament Setup'!$A$31,$I28&lt;&gt;0),$I28,"")</f>
        <v/>
      </c>
      <c r="AO28" s="47" t="str">
        <f>IF(ISNUMBER(AN28),IF(COUNTIFS(AO$1:AO27,_xlfn.RANK.EQ(AN28,AN$2:AN$111,0))&gt;0,_xlfn.MAXIFS(AO$1:AO27,AN$1:AN27,AN28)+1,_xlfn.RANK.EQ(AN28,AN$2:AN$111,0)),"")</f>
        <v/>
      </c>
      <c r="AP28" s="1" t="str">
        <f>IF(ISNUMBER(AN28)=TRUE,IF(_xlfn.RANK.EQ(AN28,$AN$2:$AN$111)&lt;='Tournament Setup'!$B$46,_xlfn.RANK.EQ(AN28,$AN$2:$AN$111),""),"")</f>
        <v/>
      </c>
      <c r="AQ28" s="30" t="str">
        <f>IF(AND($F28='Tournament Setup'!$A$31,SUM($O28,$Q28,$S28)=0),$H28,"")</f>
        <v/>
      </c>
      <c r="AR28" s="47" t="str">
        <f>IF(ISNUMBER(AQ28),IF(COUNTIFS(AR$1:AR27,_xlfn.RANK.EQ(AQ28,AQ$2:AQ$111,0))&gt;0,_xlfn.MAXIFS(AR$1:AR27,AQ$1:AQ27,AQ28)+1,_xlfn.RANK.EQ(AQ28,AQ$2:AQ$111,0)),"")</f>
        <v/>
      </c>
      <c r="AS28" s="1" t="str">
        <f>IF(ISNUMBER(AQ28)=TRUE,IF(_xlfn.RANK.EQ(AQ28,$AQ$2:$AQ$111)&lt;='Tournament Setup'!$B$31,_xlfn.RANK.EQ(AQ28,$AQ$2:$AQ$111),""),"")</f>
        <v/>
      </c>
      <c r="AT28" s="31" t="str">
        <f>IF(AND($F28='Tournament Setup'!$A$31,SUM($O28,$Q28)=0,$E28="M",$AS28&gt;'Tournament Setup'!$B$31),$H28,"")</f>
        <v/>
      </c>
      <c r="AU28" s="1" t="str">
        <f>IF(ISNUMBER(AT28)=TRUE,IF(_xlfn.RANK.EQ(AT28,$AT$2:$AT$111)&lt;='Tournament Setup'!$C$31,_xlfn.RANK.EQ(AT28,$AT$2:$AT$111),""),"")</f>
        <v/>
      </c>
      <c r="AV28" s="31" t="str">
        <f>IF(AND($F28='Tournament Setup'!$A$31,SUM($O28,$S28)=0,$E28="F",$AS28&gt;'Tournament Setup'!$B$31),$H28,"")</f>
        <v/>
      </c>
      <c r="AW28" s="12" t="str">
        <f>IF(ISNUMBER(AV28)=TRUE,IF(_xlfn.RANK.EQ(AV28,$AV$2:$AV$111)&lt;='Tournament Setup'!$D$31,_xlfn.RANK.EQ(AV28,$AV$2:$AV$111),""),"")</f>
        <v/>
      </c>
      <c r="AX28" s="30" t="str">
        <f>IF(AND($F28='Tournament Setup'!$A$32,$I28&lt;&gt;0),$I28,"")</f>
        <v/>
      </c>
      <c r="AY28" s="47" t="str">
        <f>IF(ISNUMBER(AX28),IF(COUNTIFS(AY$1:AY27,_xlfn.RANK.EQ(AX28,AX$2:AX$111,0))&gt;0,_xlfn.MAXIFS(AY$1:AY27,AX$1:AX27,AX28)+1,_xlfn.RANK.EQ(AX28,AX$2:AX$111,0)),"")</f>
        <v/>
      </c>
      <c r="AZ28" s="1" t="str">
        <f>IF(ISNUMBER(AX28)=TRUE,IF(_xlfn.RANK.EQ(AX28,$AX$2:$AX$111)&lt;='Tournament Setup'!$B$46,_xlfn.RANK.EQ(AX28,$AX$2:$AX$111),""),"")</f>
        <v/>
      </c>
      <c r="BA28" s="30" t="str">
        <f>IF(AND($F28='Tournament Setup'!$A$32,SUM($O28,$Q28,$S28)=0),$H28,"")</f>
        <v/>
      </c>
      <c r="BB28" s="47" t="str">
        <f>IF(ISNUMBER(BA28),IF(COUNTIFS(BB$1:BB27,_xlfn.RANK.EQ(BA28,BA$2:BA$111,0))&gt;0,_xlfn.MAXIFS(BB$1:BB27,BA$1:BA27,BA28)+1,_xlfn.RANK.EQ(BA28,BA$2:BA$111,0)),"")</f>
        <v/>
      </c>
      <c r="BC28" s="1" t="str">
        <f>IF(ISNUMBER(BA28)=TRUE,IF(_xlfn.RANK.EQ(BA28,$BA$2:$BA$111)&lt;='Tournament Setup'!$B$32,_xlfn.RANK.EQ(BA28,$BA$2:$BA$111),""),"")</f>
        <v/>
      </c>
      <c r="BD28" s="31" t="str">
        <f>IF(AND($F28='Tournament Setup'!$A$32,SUM($O28,$Q28)=0,$E28="M",$BC28&gt;'Tournament Setup'!$B$32),$H28,"")</f>
        <v/>
      </c>
      <c r="BE28" s="1" t="str">
        <f>IF(ISNUMBER(BD28)=TRUE,IF(_xlfn.RANK.EQ(BD28,$BD$2:$BD$111)&lt;='Tournament Setup'!$C$32,_xlfn.RANK.EQ(BD28,$BD$2:$BD$111),""),"")</f>
        <v/>
      </c>
      <c r="BF28" s="31" t="str">
        <f>IF(AND($F28='Tournament Setup'!$A$32,SUM($O28,$S28)=0,$E28="F",$BC28&gt;'Tournament Setup'!$B$32),$H28,"")</f>
        <v/>
      </c>
      <c r="BG28" s="12" t="str">
        <f>IF(ISNUMBER(BF28)=TRUE,IF(_xlfn.RANK.EQ(BF28,$BF$2:$BF$111)&lt;='Tournament Setup'!$D$32,_xlfn.RANK.EQ(BF28,$BF$2:$BF$111),""),"")</f>
        <v/>
      </c>
      <c r="BH28" s="30" t="str">
        <f>IF(AND($F28='Tournament Setup'!$A$33,$I28&lt;&gt;0),$I28,"")</f>
        <v/>
      </c>
      <c r="BI28" s="47" t="str">
        <f>IF(ISNUMBER(BH28),IF(COUNTIFS(BI$1:BI27,_xlfn.RANK.EQ(BH28,BH$2:BH$111,0))&gt;0,_xlfn.MAXIFS(BI$1:BI27,BH$1:BH27,BH28)+1,_xlfn.RANK.EQ(BH28,BH$2:BH$111,0)),"")</f>
        <v/>
      </c>
      <c r="BJ28" s="1" t="str">
        <f>IF(ISNUMBER(BH28)=TRUE,IF(_xlfn.RANK.EQ(BH28,$BH$2:$BH$111)&lt;='Tournament Setup'!$B$46,_xlfn.RANK.EQ(BH28,$BH$2:$BH$111),""),"")</f>
        <v/>
      </c>
      <c r="BK28" s="30">
        <f>IF(AND($F28='Tournament Setup'!$A$33,SUM($O28,$Q28,$S28)=0),$H28,"")</f>
        <v>45</v>
      </c>
      <c r="BL28" s="47">
        <f>IF(ISNUMBER(BK28),IF(COUNTIFS(BL$1:BL27,_xlfn.RANK.EQ(BK28,BK$2:BK$111,0))&gt;0,_xlfn.MAXIFS(BL$1:BL27,BK$1:BK27,BK28)+1,_xlfn.RANK.EQ(BK28,BK$2:BK$111,0)),"")</f>
        <v>5</v>
      </c>
      <c r="BM28" s="1" t="str">
        <f>IF(ISNUMBER(BK28)=TRUE,IF(_xlfn.RANK.EQ(BK28,$BK$2:$BK$111)&lt;='Tournament Setup'!$B$33,_xlfn.RANK.EQ(BK28,$BK$2:$BK$111),""),"")</f>
        <v/>
      </c>
      <c r="BN28" s="31" t="str">
        <f>IF(AND($F28='Tournament Setup'!$A$33,SUM($O28,$Q28)=0,$E28="M",$BM28&gt;'Tournament Setup'!$B$33),$H28,"")</f>
        <v/>
      </c>
      <c r="BO28" s="1" t="str">
        <f>IF(ISNUMBER(BN28)=TRUE,IF(_xlfn.RANK.EQ(BN28,$BN$2:$BN$111)&lt;='Tournament Setup'!$C$33,_xlfn.RANK.EQ(BN28,$BN$2:$BN$111),""),"")</f>
        <v/>
      </c>
      <c r="BP28" s="31">
        <f>IF(AND($F28='Tournament Setup'!$A$33,SUM($O28,$S28)=0,$E28="F",$BM28&gt;'Tournament Setup'!$B$33),$H28,"")</f>
        <v>45</v>
      </c>
      <c r="BQ28" s="12" t="str">
        <f>IF(ISNUMBER(BP28)=TRUE,IF(_xlfn.RANK.EQ(BP28,$BP$2:$BP$111)&lt;='Tournament Setup'!$D$33,_xlfn.RANK.EQ(BP28,$BP$2:$BP$111),""),"")</f>
        <v/>
      </c>
      <c r="BR28" s="30" t="str">
        <f>IF($G28='Tournament Setup'!$A$38,$H28,"")</f>
        <v/>
      </c>
      <c r="BS28" s="47" t="str">
        <f>IF(ISNUMBER(BR28),IF(COUNTIFS(BS$1:BS27,_xlfn.RANK.EQ(BR28,BR$2:BR$111,0))&gt;0,_xlfn.MAXIFS(BS$1:BS27,BR$1:BR27,BR28)+1,_xlfn.RANK.EQ(BR28,BR$2:BR$111,0)),"")</f>
        <v/>
      </c>
      <c r="BT28" s="1" t="str">
        <f>IF(ISNUMBER(BR28)=TRUE,IF(_xlfn.RANK.EQ(BR28,$BR$2:$BR$111)&lt;='Tournament Setup'!$B$38,_xlfn.RANK.EQ(BR28,$BR$2:$BR$111),""),"")</f>
        <v/>
      </c>
      <c r="BU28" s="31" t="str">
        <f>IF(AND($G28='Tournament Setup'!$A$38,$E28="M",$BT28&gt;'Tournament Setup'!$B$38),$H28,"")</f>
        <v/>
      </c>
      <c r="BV28" s="1" t="str">
        <f>IF(ISNUMBER(BU28)=TRUE,IF(_xlfn.RANK.EQ(BU28,$BU$2:$BU$111)&lt;='Tournament Setup'!$C$38,_xlfn.RANK.EQ(BU28,$BU$2:$BU$111),""),"")</f>
        <v/>
      </c>
      <c r="BW28" s="31" t="str">
        <f>IF(AND($G28='Tournament Setup'!$A$38,$E28="F",$BT28&gt;'Tournament Setup'!$B$38),$H28,"")</f>
        <v/>
      </c>
      <c r="BX28" s="12" t="str">
        <f>IF(ISNUMBER(BW28)=TRUE,IF(_xlfn.RANK.EQ(BW28,$BW$2:$BW$111)&lt;='Tournament Setup'!$D$38,_xlfn.RANK.EQ(BW28,$BW$2:$BW$111),""),"")</f>
        <v/>
      </c>
      <c r="BY28" s="30" t="str">
        <f>IF($G28='Tournament Setup'!$A$39,$H28,"")</f>
        <v/>
      </c>
      <c r="BZ28" s="47" t="str">
        <f>IF(ISNUMBER(BY28),IF(COUNTIFS(BZ$1:BZ27,_xlfn.RANK.EQ(BY28,BY$2:BY$111,0))&gt;0,_xlfn.MAXIFS(BZ$1:BZ27,BY$1:BY27,BY28)+1,_xlfn.RANK.EQ(BY28,BY$2:BY$111,0)),"")</f>
        <v/>
      </c>
      <c r="CA28" s="1" t="str">
        <f>IF(ISNUMBER(BY28)=TRUE,IF(_xlfn.RANK.EQ(BY28,$BY$2:$BY$111)&lt;='Tournament Setup'!$B$39,_xlfn.RANK.EQ(BY28,$BY$2:$BY$111),""),"")</f>
        <v/>
      </c>
      <c r="CB28" s="31" t="str">
        <f>IF(AND($G28='Tournament Setup'!$A$39,$E28="M",$CA28&gt;'Tournament Setup'!$B$39),$H28,"")</f>
        <v/>
      </c>
      <c r="CC28" s="1" t="str">
        <f>IF(ISNUMBER(CB28)=TRUE,IF(_xlfn.RANK.EQ(CB28,$CB$2:$CB$111)&lt;='Tournament Setup'!$C$39,_xlfn.RANK.EQ(CB28,$CB$2:$CB$111),""),"")</f>
        <v/>
      </c>
      <c r="CD28" s="31" t="str">
        <f>IF(AND($G28='Tournament Setup'!$A$39,$E28="F",$CA28&gt;'Tournament Setup'!$B$39),$H28,"")</f>
        <v/>
      </c>
      <c r="CE28" s="12" t="str">
        <f>IF(ISNUMBER(CD28)=TRUE,IF(_xlfn.RANK.EQ(CD28,$CD$2:$CD$111)&lt;='Tournament Setup'!$D$39,_xlfn.RANK.EQ(CD28,$CD$2:$CD$111),""),"")</f>
        <v/>
      </c>
      <c r="CF28" s="30">
        <f>IF($G28='Tournament Setup'!$A$40,$H28,"")</f>
        <v>45</v>
      </c>
      <c r="CG28" s="47">
        <f>IF(ISNUMBER(CF28),IF(COUNTIFS(CG$1:CG27,_xlfn.RANK.EQ(CF28,CF$2:CF$111,0))&gt;0,_xlfn.MAXIFS(CG$1:CG27,CF$1:CF27,CF28)+1,_xlfn.RANK.EQ(CF28,CF$2:CF$111,0)),"")</f>
        <v>14</v>
      </c>
      <c r="CH28" s="1" t="str">
        <f>IF(ISNUMBER(CF28)=TRUE,IF(_xlfn.RANK.EQ(CF28,$CF$2:$CF$111)&lt;='Tournament Setup'!$B$40,_xlfn.RANK.EQ(CF28,$CF$2:$CF$111),""),"")</f>
        <v/>
      </c>
      <c r="CI28" s="31" t="str">
        <f>IF(AND($G28='Tournament Setup'!$A$40,$E28="M",$CH28&gt;'Tournament Setup'!$B$40),$H28,"")</f>
        <v/>
      </c>
      <c r="CJ28" s="1" t="str">
        <f>IF(ISNUMBER(CI28)=TRUE,IF(_xlfn.RANK.EQ(CI28,$CI$2:$CI$111)&lt;='Tournament Setup'!$C$40,_xlfn.RANK.EQ(CI28,$CI$2:$CI$111),""),"")</f>
        <v/>
      </c>
      <c r="CK28" s="31">
        <f>IF(AND($G28='Tournament Setup'!$A$40,$E28="F",$CH28&gt;'Tournament Setup'!$B$40),$H28,"")</f>
        <v>45</v>
      </c>
      <c r="CL28" s="12" t="str">
        <f>IF(ISNUMBER(CK28)=TRUE,IF(_xlfn.RANK.EQ(CK28,$CK$2:$CK$111)&lt;='Tournament Setup'!$D$40,_xlfn.RANK.EQ(CK28,$CK$2:$CK$111),""),"")</f>
        <v/>
      </c>
      <c r="CM28" s="30" t="str">
        <f>IF($G28='Tournament Setup'!$A$41,$H28,"")</f>
        <v/>
      </c>
      <c r="CN28" s="47" t="str">
        <f>IF(ISNUMBER(CM28),IF(COUNTIFS(CN$1:CN27,_xlfn.RANK.EQ(CM28,CM$2:CM$111,0))&gt;0,_xlfn.MAXIFS(CN$1:CN27,CM$1:CM27,CM28)+1,_xlfn.RANK.EQ(CM28,CM$2:CM$111,0)),"")</f>
        <v/>
      </c>
      <c r="CO28" s="1" t="str">
        <f>IF(ISNUMBER(CM28)=TRUE,IF(_xlfn.RANK.EQ(CM28,$CM$2:$CM$111)&lt;='Tournament Setup'!$B$41,_xlfn.RANK.EQ(CM28,$CM$2:$CM$111),""),"")</f>
        <v/>
      </c>
      <c r="CP28" s="31" t="str">
        <f>IF(AND($G28='Tournament Setup'!$A$41,$E28="M",$CO28&gt;'Tournament Setup'!$B$41),$H28,"")</f>
        <v/>
      </c>
      <c r="CQ28" s="1" t="str">
        <f>IF(ISNUMBER(CP28)=TRUE,IF(_xlfn.RANK.EQ(CP28,$CP$2:$CP$111)&lt;='Tournament Setup'!$C$41,_xlfn.RANK.EQ(CP28,$CP$2:$CP$111),""),"")</f>
        <v/>
      </c>
      <c r="CR28" s="31" t="str">
        <f>IF(AND($G28='Tournament Setup'!$A$41,$E28="F",$CO28&gt;'Tournament Setup'!$B$41),$H28,"")</f>
        <v/>
      </c>
      <c r="CS28" s="12" t="str">
        <f>IF(ISNUMBER(CR28)=TRUE,IF(_xlfn.RANK.EQ(CR28,$CR$2:$CR$111)&lt;='Tournament Setup'!$D$41,_xlfn.RANK.EQ(CR28,$CR$2:$CR$111),""),"")</f>
        <v/>
      </c>
    </row>
    <row r="29" spans="1:97" x14ac:dyDescent="0.3">
      <c r="A29" t="s">
        <v>184</v>
      </c>
      <c r="B29" t="str">
        <f>IFERROR(INDEX('Tournament List'!$B:$B,MATCH($A29,'Tournament List'!$A:$A,0)),"")</f>
        <v>Brad</v>
      </c>
      <c r="C29" t="str">
        <f>IFERROR(INDEX('Tournament List'!$C:$C,MATCH($A29,'Tournament List'!$A:$A,0)),"")</f>
        <v>Last Name28</v>
      </c>
      <c r="D29" t="str">
        <f t="shared" si="0"/>
        <v>Brad Last Name28</v>
      </c>
      <c r="E29" s="1" t="str">
        <f>IFERROR(INDEX('Tournament List'!F:F,MATCH($A29,'Tournament List'!$A:$A,0)),"")</f>
        <v>M</v>
      </c>
      <c r="F29" t="str">
        <f>IFERROR(INDEX('Tournament List'!M:M,MATCH($A29,'Tournament List'!$A:$A,0)),"")</f>
        <v>Varsity</v>
      </c>
      <c r="G29" s="1" t="str">
        <f>IFERROR(INDEX('Tournament List'!W:W,MATCH($A29,'Tournament List'!$A:$A,0)),"")</f>
        <v>D</v>
      </c>
      <c r="H29" s="129">
        <f>IFERROR(INDEX('Tournament List'!Z:Z,MATCH($A29,'Tournament List'!$A:$A,0)),"")</f>
        <v>63</v>
      </c>
      <c r="I29" s="152" t="str">
        <f>IFERROR(INDEX('Tournament List'!T:T,MATCH($A29,'Tournament List'!$A:$A,0)),"")</f>
        <v/>
      </c>
      <c r="J29" s="56" t="str">
        <f>IF(ISNUMBER(I29),IF(COUNTIFS(J$1:J28,_xlfn.RANK.EQ(I29,I$2:I$111,0))&gt;0,_xlfn.MAXIFS(J$1:J28,I$1:I28,I29)+1,_xlfn.RANK.EQ(I29,I$2:I$111,0)),"")</f>
        <v/>
      </c>
      <c r="K29" s="11">
        <f t="shared" si="1"/>
        <v>32</v>
      </c>
      <c r="L29" s="56">
        <f>IF(ISNUMBER(H29),IF(COUNTIFS(L$1:L28,_xlfn.RANK.EQ(H29,H$2:H$111,0))&gt;0,_xlfn.MAXIFS(L$1:L28,H$1:H28,H29)+1,_xlfn.RANK.EQ(H29,H$2:H$111,0)),"")</f>
        <v>33</v>
      </c>
      <c r="M29" s="151">
        <f t="shared" si="2"/>
        <v>63</v>
      </c>
      <c r="N29" s="47">
        <f>IF(ISNUMBER(M29),IF(COUNTIFS(N$1:N28,_xlfn.RANK.EQ(M29,M$2:M$111,0))&gt;0,_xlfn.MAXIFS(N$1:N28,M$1:M28,M29)+1,_xlfn.RANK.EQ(M29,M$2:M$111,0)),"")</f>
        <v>31</v>
      </c>
      <c r="O29" s="1" t="str">
        <f>IF(ISNUMBER(M29)=TRUE,IF(_xlfn.RANK.EQ(M29,$M$2:$M$111)&lt;='Tournament Setup'!$B$23,_xlfn.RANK.EQ(M29,$M$2:$M$111),""),"")</f>
        <v/>
      </c>
      <c r="P29" s="150">
        <f t="shared" si="3"/>
        <v>63</v>
      </c>
      <c r="Q29" s="1" t="str">
        <f>IF(ISNUMBER(P29)=TRUE,IF(_xlfn.RANK.EQ(P29,$P$2:$P$111)&lt;='Tournament Setup'!$B$24,_xlfn.RANK.EQ(P29,$P$2:$P$111),""),"")</f>
        <v/>
      </c>
      <c r="R29" s="150" t="str">
        <f t="shared" si="4"/>
        <v/>
      </c>
      <c r="S29" s="12" t="str">
        <f>IF(ISNUMBER(R29)=TRUE,IF(_xlfn.RANK.EQ(R29,$R$2:$R$111)&lt;='Tournament Setup'!$B$25,_xlfn.RANK.EQ(R29,$R$2:$R$111),""),"")</f>
        <v/>
      </c>
      <c r="T29" s="152" t="str">
        <f>IF(AND($F29='Tournament Setup'!$A$29,$I29&lt;&gt;0),$I29,"")</f>
        <v/>
      </c>
      <c r="U29" s="47" t="str">
        <f>IF(ISNUMBER(T29),IF(COUNTIFS(U$1:U28,_xlfn.RANK.EQ(T29,T$2:T$111,0))&gt;0,_xlfn.MAXIFS(U$1:U28,T$1:T28,T29)+1,_xlfn.RANK.EQ(T29,T$2:T$111,0)),"")</f>
        <v/>
      </c>
      <c r="V29" s="1" t="str">
        <f>IF(ISNUMBER(T29)=TRUE,IF(_xlfn.RANK.EQ(T29,$T$3:$T$112)&lt;='Tournament Setup'!$B$46,_xlfn.RANK.EQ(T29,$T$2:$T$111),""),"")</f>
        <v/>
      </c>
      <c r="W29" s="30" t="str">
        <f>IF(AND($F29='Tournament Setup'!$A$29,SUM($O29,$Q29,$S29)=0),$H29,"")</f>
        <v/>
      </c>
      <c r="X29" s="47" t="str">
        <f>IF(ISNUMBER(W29),IF(COUNTIFS(X$1:X28,_xlfn.RANK.EQ(W29,W$2:W$111,0))&gt;0,_xlfn.MAXIFS(X$1:X28,W$1:W28,W29)+1,_xlfn.RANK.EQ(W29,W$2:W$111,0)),"")</f>
        <v/>
      </c>
      <c r="Y29" s="1" t="str">
        <f>IF(ISNUMBER(W29)=TRUE,IF(_xlfn.RANK.EQ(W29,$W$2:$W$111)&lt;='Tournament Setup'!$B$29,_xlfn.RANK.EQ(W29,$W$2:$W$111),""),"")</f>
        <v/>
      </c>
      <c r="Z29" s="31" t="str">
        <f>IF(AND($F29='Tournament Setup'!$A$29,SUM($O29,$Q29)=0,$E29="M",$Y29&gt;'Tournament Setup'!$B$29),$H29,"")</f>
        <v/>
      </c>
      <c r="AA29" s="1" t="str">
        <f>IF(ISNUMBER(Z29)=TRUE,IF(_xlfn.RANK.EQ(Z29,$Z$2:$Z$111)&lt;='Tournament Setup'!$C$29,_xlfn.RANK.EQ(Z29,$Z$2:$Z$111),""),"")</f>
        <v/>
      </c>
      <c r="AB29" s="31" t="str">
        <f>IF(AND($F29='Tournament Setup'!$A$29,SUM($O29,$S29)=0,$E29="F",$Y29&gt;'Tournament Setup'!$B$29),$H29,"")</f>
        <v/>
      </c>
      <c r="AC29" s="12" t="str">
        <f>IF(ISNUMBER(AB29)=TRUE,IF(_xlfn.RANK.EQ(AB29,$AB$2:$AB$111)&lt;='Tournament Setup'!$D$29,_xlfn.RANK.EQ(AB29,$AB$2:$AB$111),""),"")</f>
        <v/>
      </c>
      <c r="AD29" s="30" t="str">
        <f>IF(AND($F29='Tournament Setup'!$A$30,$I29&lt;&gt;0),$I29,"")</f>
        <v/>
      </c>
      <c r="AE29" s="47" t="str">
        <f>IF(ISNUMBER(AD29),IF(COUNTIFS(AE$1:AE28,_xlfn.RANK.EQ(AD29,AD$2:AD$111,0))&gt;0,_xlfn.MAXIFS(AE$1:AE28,AD$1:AD28,AD29)+1,_xlfn.RANK.EQ(AD29,AD$2:AD$111,0)),"")</f>
        <v/>
      </c>
      <c r="AF29" s="1" t="str">
        <f>IF(ISNUMBER(AD29)=TRUE,IF(_xlfn.RANK.EQ(AD29,$AD$2:$AD$111)&lt;='Tournament Setup'!$B$46,_xlfn.RANK.EQ(AD29,$AD$2:$AD$111),""),"")</f>
        <v/>
      </c>
      <c r="AG29" s="30" t="str">
        <f>IF(AND($F29='Tournament Setup'!$A$30,SUM($O29,$Q29,$S29)=0),$H29,"")</f>
        <v/>
      </c>
      <c r="AH29" s="47" t="str">
        <f>IF(ISNUMBER(AG29),IF(COUNTIFS(AH$1:AH28,_xlfn.RANK.EQ(AG29,AG$2:AG$111,0))&gt;0,_xlfn.MAXIFS(AH$1:AH28,AG$1:AG28,AG29)+1,_xlfn.RANK.EQ(AG29,AG$2:AG$111,0)),"")</f>
        <v/>
      </c>
      <c r="AI29" s="1" t="str">
        <f>IF(ISNUMBER(AG29)=TRUE,IF(_xlfn.RANK.EQ(AG29,$AG$2:$AG$111)&lt;='Tournament Setup'!$B$30,_xlfn.RANK.EQ(AG29,$AG$2:$AG$111),""),"")</f>
        <v/>
      </c>
      <c r="AJ29" s="31" t="str">
        <f>IF(AND($F29='Tournament Setup'!$A$30,SUM($O29,$Q29)=0,$E29="M",$AI29&gt;'Tournament Setup'!$B$30),$H29,"")</f>
        <v/>
      </c>
      <c r="AK29" s="1" t="str">
        <f>IF(ISNUMBER(AJ29)=TRUE,IF(_xlfn.RANK.EQ(AJ29,$AJ$2:$AJ$111)&lt;='Tournament Setup'!$C$30,_xlfn.RANK.EQ(AJ29,$AJ$2:$AJ$111),""),"")</f>
        <v/>
      </c>
      <c r="AL29" s="31" t="str">
        <f>IF(AND($F29='Tournament Setup'!$A$30,SUM($O29,$S29)=0,$E29="F",$AI29&gt;'Tournament Setup'!$B$30),$H29,"")</f>
        <v/>
      </c>
      <c r="AM29" s="12" t="str">
        <f>IF(ISNUMBER(AL29)=TRUE,IF(_xlfn.RANK.EQ(AL29,$AL$2:$AL$111)&lt;='Tournament Setup'!$D$30,_xlfn.RANK.EQ(AL29,$AL$2:$AL$111),""),"")</f>
        <v/>
      </c>
      <c r="AN29" s="30" t="str">
        <f>IF(AND($F29='Tournament Setup'!$A$31,$I29&lt;&gt;0),$I29,"")</f>
        <v/>
      </c>
      <c r="AO29" s="47" t="str">
        <f>IF(ISNUMBER(AN29),IF(COUNTIFS(AO$1:AO28,_xlfn.RANK.EQ(AN29,AN$2:AN$111,0))&gt;0,_xlfn.MAXIFS(AO$1:AO28,AN$1:AN28,AN29)+1,_xlfn.RANK.EQ(AN29,AN$2:AN$111,0)),"")</f>
        <v/>
      </c>
      <c r="AP29" s="1" t="str">
        <f>IF(ISNUMBER(AN29)=TRUE,IF(_xlfn.RANK.EQ(AN29,$AN$2:$AN$111)&lt;='Tournament Setup'!$B$46,_xlfn.RANK.EQ(AN29,$AN$2:$AN$111),""),"")</f>
        <v/>
      </c>
      <c r="AQ29" s="30" t="str">
        <f>IF(AND($F29='Tournament Setup'!$A$31,SUM($O29,$Q29,$S29)=0),$H29,"")</f>
        <v/>
      </c>
      <c r="AR29" s="47" t="str">
        <f>IF(ISNUMBER(AQ29),IF(COUNTIFS(AR$1:AR28,_xlfn.RANK.EQ(AQ29,AQ$2:AQ$111,0))&gt;0,_xlfn.MAXIFS(AR$1:AR28,AQ$1:AQ28,AQ29)+1,_xlfn.RANK.EQ(AQ29,AQ$2:AQ$111,0)),"")</f>
        <v/>
      </c>
      <c r="AS29" s="1" t="str">
        <f>IF(ISNUMBER(AQ29)=TRUE,IF(_xlfn.RANK.EQ(AQ29,$AQ$2:$AQ$111)&lt;='Tournament Setup'!$B$31,_xlfn.RANK.EQ(AQ29,$AQ$2:$AQ$111),""),"")</f>
        <v/>
      </c>
      <c r="AT29" s="31" t="str">
        <f>IF(AND($F29='Tournament Setup'!$A$31,SUM($O29,$Q29)=0,$E29="M",$AS29&gt;'Tournament Setup'!$B$31),$H29,"")</f>
        <v/>
      </c>
      <c r="AU29" s="1" t="str">
        <f>IF(ISNUMBER(AT29)=TRUE,IF(_xlfn.RANK.EQ(AT29,$AT$2:$AT$111)&lt;='Tournament Setup'!$C$31,_xlfn.RANK.EQ(AT29,$AT$2:$AT$111),""),"")</f>
        <v/>
      </c>
      <c r="AV29" s="31" t="str">
        <f>IF(AND($F29='Tournament Setup'!$A$31,SUM($O29,$S29)=0,$E29="F",$AS29&gt;'Tournament Setup'!$B$31),$H29,"")</f>
        <v/>
      </c>
      <c r="AW29" s="12" t="str">
        <f>IF(ISNUMBER(AV29)=TRUE,IF(_xlfn.RANK.EQ(AV29,$AV$2:$AV$111)&lt;='Tournament Setup'!$D$31,_xlfn.RANK.EQ(AV29,$AV$2:$AV$111),""),"")</f>
        <v/>
      </c>
      <c r="AX29" s="30" t="str">
        <f>IF(AND($F29='Tournament Setup'!$A$32,$I29&lt;&gt;0),$I29,"")</f>
        <v/>
      </c>
      <c r="AY29" s="47" t="str">
        <f>IF(ISNUMBER(AX29),IF(COUNTIFS(AY$1:AY28,_xlfn.RANK.EQ(AX29,AX$2:AX$111,0))&gt;0,_xlfn.MAXIFS(AY$1:AY28,AX$1:AX28,AX29)+1,_xlfn.RANK.EQ(AX29,AX$2:AX$111,0)),"")</f>
        <v/>
      </c>
      <c r="AZ29" s="1" t="str">
        <f>IF(ISNUMBER(AX29)=TRUE,IF(_xlfn.RANK.EQ(AX29,$AX$2:$AX$111)&lt;='Tournament Setup'!$B$46,_xlfn.RANK.EQ(AX29,$AX$2:$AX$111),""),"")</f>
        <v/>
      </c>
      <c r="BA29" s="30">
        <f>IF(AND($F29='Tournament Setup'!$A$32,SUM($O29,$Q29,$S29)=0),$H29,"")</f>
        <v>63</v>
      </c>
      <c r="BB29" s="47">
        <f>IF(ISNUMBER(BA29),IF(COUNTIFS(BB$1:BB28,_xlfn.RANK.EQ(BA29,BA$2:BA$111,0))&gt;0,_xlfn.MAXIFS(BB$1:BB28,BA$1:BA28,BA29)+1,_xlfn.RANK.EQ(BA29,BA$2:BA$111,0)),"")</f>
        <v>7</v>
      </c>
      <c r="BC29" s="1" t="str">
        <f>IF(ISNUMBER(BA29)=TRUE,IF(_xlfn.RANK.EQ(BA29,$BA$2:$BA$111)&lt;='Tournament Setup'!$B$32,_xlfn.RANK.EQ(BA29,$BA$2:$BA$111),""),"")</f>
        <v/>
      </c>
      <c r="BD29" s="31">
        <f>IF(AND($F29='Tournament Setup'!$A$32,SUM($O29,$Q29)=0,$E29="M",$BC29&gt;'Tournament Setup'!$B$32),$H29,"")</f>
        <v>63</v>
      </c>
      <c r="BE29" s="1" t="str">
        <f>IF(ISNUMBER(BD29)=TRUE,IF(_xlfn.RANK.EQ(BD29,$BD$2:$BD$111)&lt;='Tournament Setup'!$C$32,_xlfn.RANK.EQ(BD29,$BD$2:$BD$111),""),"")</f>
        <v/>
      </c>
      <c r="BF29" s="31" t="str">
        <f>IF(AND($F29='Tournament Setup'!$A$32,SUM($O29,$S29)=0,$E29="F",$BC29&gt;'Tournament Setup'!$B$32),$H29,"")</f>
        <v/>
      </c>
      <c r="BG29" s="12" t="str">
        <f>IF(ISNUMBER(BF29)=TRUE,IF(_xlfn.RANK.EQ(BF29,$BF$2:$BF$111)&lt;='Tournament Setup'!$D$32,_xlfn.RANK.EQ(BF29,$BF$2:$BF$111),""),"")</f>
        <v/>
      </c>
      <c r="BH29" s="30" t="str">
        <f>IF(AND($F29='Tournament Setup'!$A$33,$I29&lt;&gt;0),$I29,"")</f>
        <v/>
      </c>
      <c r="BI29" s="47" t="str">
        <f>IF(ISNUMBER(BH29),IF(COUNTIFS(BI$1:BI28,_xlfn.RANK.EQ(BH29,BH$2:BH$111,0))&gt;0,_xlfn.MAXIFS(BI$1:BI28,BH$1:BH28,BH29)+1,_xlfn.RANK.EQ(BH29,BH$2:BH$111,0)),"")</f>
        <v/>
      </c>
      <c r="BJ29" s="1" t="str">
        <f>IF(ISNUMBER(BH29)=TRUE,IF(_xlfn.RANK.EQ(BH29,$BH$2:$BH$111)&lt;='Tournament Setup'!$B$46,_xlfn.RANK.EQ(BH29,$BH$2:$BH$111),""),"")</f>
        <v/>
      </c>
      <c r="BK29" s="30" t="str">
        <f>IF(AND($F29='Tournament Setup'!$A$33,SUM($O29,$Q29,$S29)=0),$H29,"")</f>
        <v/>
      </c>
      <c r="BL29" s="47" t="str">
        <f>IF(ISNUMBER(BK29),IF(COUNTIFS(BL$1:BL28,_xlfn.RANK.EQ(BK29,BK$2:BK$111,0))&gt;0,_xlfn.MAXIFS(BL$1:BL28,BK$1:BK28,BK29)+1,_xlfn.RANK.EQ(BK29,BK$2:BK$111,0)),"")</f>
        <v/>
      </c>
      <c r="BM29" s="1" t="str">
        <f>IF(ISNUMBER(BK29)=TRUE,IF(_xlfn.RANK.EQ(BK29,$BK$2:$BK$111)&lt;='Tournament Setup'!$B$33,_xlfn.RANK.EQ(BK29,$BK$2:$BK$111),""),"")</f>
        <v/>
      </c>
      <c r="BN29" s="31" t="str">
        <f>IF(AND($F29='Tournament Setup'!$A$33,SUM($O29,$Q29)=0,$E29="M",$BM29&gt;'Tournament Setup'!$B$33),$H29,"")</f>
        <v/>
      </c>
      <c r="BO29" s="1" t="str">
        <f>IF(ISNUMBER(BN29)=TRUE,IF(_xlfn.RANK.EQ(BN29,$BN$2:$BN$111)&lt;='Tournament Setup'!$C$33,_xlfn.RANK.EQ(BN29,$BN$2:$BN$111),""),"")</f>
        <v/>
      </c>
      <c r="BP29" s="31" t="str">
        <f>IF(AND($F29='Tournament Setup'!$A$33,SUM($O29,$S29)=0,$E29="F",$BM29&gt;'Tournament Setup'!$B$33),$H29,"")</f>
        <v/>
      </c>
      <c r="BQ29" s="12" t="str">
        <f>IF(ISNUMBER(BP29)=TRUE,IF(_xlfn.RANK.EQ(BP29,$BP$2:$BP$111)&lt;='Tournament Setup'!$D$33,_xlfn.RANK.EQ(BP29,$BP$2:$BP$111),""),"")</f>
        <v/>
      </c>
      <c r="BR29" s="30" t="str">
        <f>IF($G29='Tournament Setup'!$A$38,$H29,"")</f>
        <v/>
      </c>
      <c r="BS29" s="47" t="str">
        <f>IF(ISNUMBER(BR29),IF(COUNTIFS(BS$1:BS28,_xlfn.RANK.EQ(BR29,BR$2:BR$111,0))&gt;0,_xlfn.MAXIFS(BS$1:BS28,BR$1:BR28,BR29)+1,_xlfn.RANK.EQ(BR29,BR$2:BR$111,0)),"")</f>
        <v/>
      </c>
      <c r="BT29" s="1" t="str">
        <f>IF(ISNUMBER(BR29)=TRUE,IF(_xlfn.RANK.EQ(BR29,$BR$2:$BR$111)&lt;='Tournament Setup'!$B$38,_xlfn.RANK.EQ(BR29,$BR$2:$BR$111),""),"")</f>
        <v/>
      </c>
      <c r="BU29" s="31" t="str">
        <f>IF(AND($G29='Tournament Setup'!$A$38,$E29="M",$BT29&gt;'Tournament Setup'!$B$38),$H29,"")</f>
        <v/>
      </c>
      <c r="BV29" s="1" t="str">
        <f>IF(ISNUMBER(BU29)=TRUE,IF(_xlfn.RANK.EQ(BU29,$BU$2:$BU$111)&lt;='Tournament Setup'!$C$38,_xlfn.RANK.EQ(BU29,$BU$2:$BU$111),""),"")</f>
        <v/>
      </c>
      <c r="BW29" s="31" t="str">
        <f>IF(AND($G29='Tournament Setup'!$A$38,$E29="F",$BT29&gt;'Tournament Setup'!$B$38),$H29,"")</f>
        <v/>
      </c>
      <c r="BX29" s="12" t="str">
        <f>IF(ISNUMBER(BW29)=TRUE,IF(_xlfn.RANK.EQ(BW29,$BW$2:$BW$111)&lt;='Tournament Setup'!$D$38,_xlfn.RANK.EQ(BW29,$BW$2:$BW$111),""),"")</f>
        <v/>
      </c>
      <c r="BY29" s="30" t="str">
        <f>IF($G29='Tournament Setup'!$A$39,$H29,"")</f>
        <v/>
      </c>
      <c r="BZ29" s="47" t="str">
        <f>IF(ISNUMBER(BY29),IF(COUNTIFS(BZ$1:BZ28,_xlfn.RANK.EQ(BY29,BY$2:BY$111,0))&gt;0,_xlfn.MAXIFS(BZ$1:BZ28,BY$1:BY28,BY29)+1,_xlfn.RANK.EQ(BY29,BY$2:BY$111,0)),"")</f>
        <v/>
      </c>
      <c r="CA29" s="1" t="str">
        <f>IF(ISNUMBER(BY29)=TRUE,IF(_xlfn.RANK.EQ(BY29,$BY$2:$BY$111)&lt;='Tournament Setup'!$B$39,_xlfn.RANK.EQ(BY29,$BY$2:$BY$111),""),"")</f>
        <v/>
      </c>
      <c r="CB29" s="31" t="str">
        <f>IF(AND($G29='Tournament Setup'!$A$39,$E29="M",$CA29&gt;'Tournament Setup'!$B$39),$H29,"")</f>
        <v/>
      </c>
      <c r="CC29" s="1" t="str">
        <f>IF(ISNUMBER(CB29)=TRUE,IF(_xlfn.RANK.EQ(CB29,$CB$2:$CB$111)&lt;='Tournament Setup'!$C$39,_xlfn.RANK.EQ(CB29,$CB$2:$CB$111),""),"")</f>
        <v/>
      </c>
      <c r="CD29" s="31" t="str">
        <f>IF(AND($G29='Tournament Setup'!$A$39,$E29="F",$CA29&gt;'Tournament Setup'!$B$39),$H29,"")</f>
        <v/>
      </c>
      <c r="CE29" s="12" t="str">
        <f>IF(ISNUMBER(CD29)=TRUE,IF(_xlfn.RANK.EQ(CD29,$CD$2:$CD$111)&lt;='Tournament Setup'!$D$39,_xlfn.RANK.EQ(CD29,$CD$2:$CD$111),""),"")</f>
        <v/>
      </c>
      <c r="CF29" s="30" t="str">
        <f>IF($G29='Tournament Setup'!$A$40,$H29,"")</f>
        <v/>
      </c>
      <c r="CG29" s="47" t="str">
        <f>IF(ISNUMBER(CF29),IF(COUNTIFS(CG$1:CG28,_xlfn.RANK.EQ(CF29,CF$2:CF$111,0))&gt;0,_xlfn.MAXIFS(CG$1:CG28,CF$1:CF28,CF29)+1,_xlfn.RANK.EQ(CF29,CF$2:CF$111,0)),"")</f>
        <v/>
      </c>
      <c r="CH29" s="1" t="str">
        <f>IF(ISNUMBER(CF29)=TRUE,IF(_xlfn.RANK.EQ(CF29,$CF$2:$CF$111)&lt;='Tournament Setup'!$B$40,_xlfn.RANK.EQ(CF29,$CF$2:$CF$111),""),"")</f>
        <v/>
      </c>
      <c r="CI29" s="31" t="str">
        <f>IF(AND($G29='Tournament Setup'!$A$40,$E29="M",$CH29&gt;'Tournament Setup'!$B$40),$H29,"")</f>
        <v/>
      </c>
      <c r="CJ29" s="1" t="str">
        <f>IF(ISNUMBER(CI29)=TRUE,IF(_xlfn.RANK.EQ(CI29,$CI$2:$CI$111)&lt;='Tournament Setup'!$C$40,_xlfn.RANK.EQ(CI29,$CI$2:$CI$111),""),"")</f>
        <v/>
      </c>
      <c r="CK29" s="31" t="str">
        <f>IF(AND($G29='Tournament Setup'!$A$40,$E29="F",$CH29&gt;'Tournament Setup'!$B$40),$H29,"")</f>
        <v/>
      </c>
      <c r="CL29" s="12" t="str">
        <f>IF(ISNUMBER(CK29)=TRUE,IF(_xlfn.RANK.EQ(CK29,$CK$2:$CK$111)&lt;='Tournament Setup'!$D$40,_xlfn.RANK.EQ(CK29,$CK$2:$CK$111),""),"")</f>
        <v/>
      </c>
      <c r="CM29" s="30">
        <f>IF($G29='Tournament Setup'!$A$41,$H29,"")</f>
        <v>63</v>
      </c>
      <c r="CN29" s="47">
        <f>IF(ISNUMBER(CM29),IF(COUNTIFS(CN$1:CN28,_xlfn.RANK.EQ(CM29,CM$2:CM$111,0))&gt;0,_xlfn.MAXIFS(CN$1:CN28,CM$1:CM28,CM29)+1,_xlfn.RANK.EQ(CM29,CM$2:CM$111,0)),"")</f>
        <v>3</v>
      </c>
      <c r="CO29" s="1" t="str">
        <f>IF(ISNUMBER(CM29)=TRUE,IF(_xlfn.RANK.EQ(CM29,$CM$2:$CM$111)&lt;='Tournament Setup'!$B$41,_xlfn.RANK.EQ(CM29,$CM$2:$CM$111),""),"")</f>
        <v/>
      </c>
      <c r="CP29" s="31">
        <f>IF(AND($G29='Tournament Setup'!$A$41,$E29="M",$CO29&gt;'Tournament Setup'!$B$41),$H29,"")</f>
        <v>63</v>
      </c>
      <c r="CQ29" s="1">
        <f>IF(ISNUMBER(CP29)=TRUE,IF(_xlfn.RANK.EQ(CP29,$CP$2:$CP$111)&lt;='Tournament Setup'!$C$41,_xlfn.RANK.EQ(CP29,$CP$2:$CP$111),""),"")</f>
        <v>2</v>
      </c>
      <c r="CR29" s="31" t="str">
        <f>IF(AND($G29='Tournament Setup'!$A$41,$E29="F",$CO29&gt;'Tournament Setup'!$B$41),$H29,"")</f>
        <v/>
      </c>
      <c r="CS29" s="12" t="str">
        <f>IF(ISNUMBER(CR29)=TRUE,IF(_xlfn.RANK.EQ(CR29,$CR$2:$CR$111)&lt;='Tournament Setup'!$D$41,_xlfn.RANK.EQ(CR29,$CR$2:$CR$111),""),"")</f>
        <v/>
      </c>
    </row>
    <row r="30" spans="1:97" x14ac:dyDescent="0.3">
      <c r="A30" t="s">
        <v>185</v>
      </c>
      <c r="B30" t="str">
        <f>IFERROR(INDEX('Tournament List'!$B:$B,MATCH($A30,'Tournament List'!$A:$A,0)),"")</f>
        <v>Alan</v>
      </c>
      <c r="C30" t="str">
        <f>IFERROR(INDEX('Tournament List'!$C:$C,MATCH($A30,'Tournament List'!$A:$A,0)),"")</f>
        <v>Last Name29</v>
      </c>
      <c r="D30" t="str">
        <f t="shared" si="0"/>
        <v>Alan Last Name29</v>
      </c>
      <c r="E30" s="1" t="str">
        <f>IFERROR(INDEX('Tournament List'!F:F,MATCH($A30,'Tournament List'!$A:$A,0)),"")</f>
        <v>M</v>
      </c>
      <c r="F30" t="str">
        <f>IFERROR(INDEX('Tournament List'!M:M,MATCH($A30,'Tournament List'!$A:$A,0)),"")</f>
        <v>Junior Varsity</v>
      </c>
      <c r="G30" s="1" t="str">
        <f>IFERROR(INDEX('Tournament List'!W:W,MATCH($A30,'Tournament List'!$A:$A,0)),"")</f>
        <v>A</v>
      </c>
      <c r="H30" s="129">
        <f>IFERROR(INDEX('Tournament List'!Z:Z,MATCH($A30,'Tournament List'!$A:$A,0)),"")</f>
        <v>80</v>
      </c>
      <c r="I30" s="152" t="str">
        <f>IFERROR(INDEX('Tournament List'!T:T,MATCH($A30,'Tournament List'!$A:$A,0)),"")</f>
        <v/>
      </c>
      <c r="J30" s="56" t="str">
        <f>IF(ISNUMBER(I30),IF(COUNTIFS(J$1:J29,_xlfn.RANK.EQ(I30,I$2:I$111,0))&gt;0,_xlfn.MAXIFS(J$1:J29,I$1:I29,I30)+1,_xlfn.RANK.EQ(I30,I$2:I$111,0)),"")</f>
        <v/>
      </c>
      <c r="K30" s="11">
        <f t="shared" si="1"/>
        <v>18</v>
      </c>
      <c r="L30" s="56">
        <f>IF(ISNUMBER(H30),IF(COUNTIFS(L$1:L29,_xlfn.RANK.EQ(H30,H$2:H$111,0))&gt;0,_xlfn.MAXIFS(L$1:L29,H$1:H29,H30)+1,_xlfn.RANK.EQ(H30,H$2:H$111,0)),"")</f>
        <v>18</v>
      </c>
      <c r="M30" s="151">
        <f t="shared" si="2"/>
        <v>80</v>
      </c>
      <c r="N30" s="47">
        <f>IF(ISNUMBER(M30),IF(COUNTIFS(N$1:N29,_xlfn.RANK.EQ(M30,M$2:M$111,0))&gt;0,_xlfn.MAXIFS(N$1:N29,M$1:M29,M30)+1,_xlfn.RANK.EQ(M30,M$2:M$111,0)),"")</f>
        <v>16</v>
      </c>
      <c r="O30" s="1" t="str">
        <f>IF(ISNUMBER(M30)=TRUE,IF(_xlfn.RANK.EQ(M30,$M$2:$M$111)&lt;='Tournament Setup'!$B$23,_xlfn.RANK.EQ(M30,$M$2:$M$111),""),"")</f>
        <v/>
      </c>
      <c r="P30" s="150">
        <f t="shared" si="3"/>
        <v>80</v>
      </c>
      <c r="Q30" s="1" t="str">
        <f>IF(ISNUMBER(P30)=TRUE,IF(_xlfn.RANK.EQ(P30,$P$2:$P$111)&lt;='Tournament Setup'!$B$24,_xlfn.RANK.EQ(P30,$P$2:$P$111),""),"")</f>
        <v/>
      </c>
      <c r="R30" s="150" t="str">
        <f t="shared" si="4"/>
        <v/>
      </c>
      <c r="S30" s="12" t="str">
        <f>IF(ISNUMBER(R30)=TRUE,IF(_xlfn.RANK.EQ(R30,$R$2:$R$111)&lt;='Tournament Setup'!$B$25,_xlfn.RANK.EQ(R30,$R$2:$R$111),""),"")</f>
        <v/>
      </c>
      <c r="T30" s="152" t="str">
        <f>IF(AND($F30='Tournament Setup'!$A$29,$I30&lt;&gt;0),$I30,"")</f>
        <v/>
      </c>
      <c r="U30" s="47" t="str">
        <f>IF(ISNUMBER(T30),IF(COUNTIFS(U$1:U29,_xlfn.RANK.EQ(T30,T$2:T$111,0))&gt;0,_xlfn.MAXIFS(U$1:U29,T$1:T29,T30)+1,_xlfn.RANK.EQ(T30,T$2:T$111,0)),"")</f>
        <v/>
      </c>
      <c r="V30" s="1" t="str">
        <f>IF(ISNUMBER(T30)=TRUE,IF(_xlfn.RANK.EQ(T30,$T$3:$T$112)&lt;='Tournament Setup'!$B$46,_xlfn.RANK.EQ(T30,$T$2:$T$111),""),"")</f>
        <v/>
      </c>
      <c r="W30" s="30" t="str">
        <f>IF(AND($F30='Tournament Setup'!$A$29,SUM($O30,$Q30,$S30)=0),$H30,"")</f>
        <v/>
      </c>
      <c r="X30" s="47" t="str">
        <f>IF(ISNUMBER(W30),IF(COUNTIFS(X$1:X29,_xlfn.RANK.EQ(W30,W$2:W$111,0))&gt;0,_xlfn.MAXIFS(X$1:X29,W$1:W29,W30)+1,_xlfn.RANK.EQ(W30,W$2:W$111,0)),"")</f>
        <v/>
      </c>
      <c r="Y30" s="1" t="str">
        <f>IF(ISNUMBER(W30)=TRUE,IF(_xlfn.RANK.EQ(W30,$W$2:$W$111)&lt;='Tournament Setup'!$B$29,_xlfn.RANK.EQ(W30,$W$2:$W$111),""),"")</f>
        <v/>
      </c>
      <c r="Z30" s="31" t="str">
        <f>IF(AND($F30='Tournament Setup'!$A$29,SUM($O30,$Q30)=0,$E30="M",$Y30&gt;'Tournament Setup'!$B$29),$H30,"")</f>
        <v/>
      </c>
      <c r="AA30" s="1" t="str">
        <f>IF(ISNUMBER(Z30)=TRUE,IF(_xlfn.RANK.EQ(Z30,$Z$2:$Z$111)&lt;='Tournament Setup'!$C$29,_xlfn.RANK.EQ(Z30,$Z$2:$Z$111),""),"")</f>
        <v/>
      </c>
      <c r="AB30" s="31" t="str">
        <f>IF(AND($F30='Tournament Setup'!$A$29,SUM($O30,$S30)=0,$E30="F",$Y30&gt;'Tournament Setup'!$B$29),$H30,"")</f>
        <v/>
      </c>
      <c r="AC30" s="12" t="str">
        <f>IF(ISNUMBER(AB30)=TRUE,IF(_xlfn.RANK.EQ(AB30,$AB$2:$AB$111)&lt;='Tournament Setup'!$D$29,_xlfn.RANK.EQ(AB30,$AB$2:$AB$111),""),"")</f>
        <v/>
      </c>
      <c r="AD30" s="30" t="str">
        <f>IF(AND($F30='Tournament Setup'!$A$30,$I30&lt;&gt;0),$I30,"")</f>
        <v/>
      </c>
      <c r="AE30" s="47" t="str">
        <f>IF(ISNUMBER(AD30),IF(COUNTIFS(AE$1:AE29,_xlfn.RANK.EQ(AD30,AD$2:AD$111,0))&gt;0,_xlfn.MAXIFS(AE$1:AE29,AD$1:AD29,AD30)+1,_xlfn.RANK.EQ(AD30,AD$2:AD$111,0)),"")</f>
        <v/>
      </c>
      <c r="AF30" s="1" t="str">
        <f>IF(ISNUMBER(AD30)=TRUE,IF(_xlfn.RANK.EQ(AD30,$AD$2:$AD$111)&lt;='Tournament Setup'!$B$46,_xlfn.RANK.EQ(AD30,$AD$2:$AD$111),""),"")</f>
        <v/>
      </c>
      <c r="AG30" s="30" t="str">
        <f>IF(AND($F30='Tournament Setup'!$A$30,SUM($O30,$Q30,$S30)=0),$H30,"")</f>
        <v/>
      </c>
      <c r="AH30" s="47" t="str">
        <f>IF(ISNUMBER(AG30),IF(COUNTIFS(AH$1:AH29,_xlfn.RANK.EQ(AG30,AG$2:AG$111,0))&gt;0,_xlfn.MAXIFS(AH$1:AH29,AG$1:AG29,AG30)+1,_xlfn.RANK.EQ(AG30,AG$2:AG$111,0)),"")</f>
        <v/>
      </c>
      <c r="AI30" s="1" t="str">
        <f>IF(ISNUMBER(AG30)=TRUE,IF(_xlfn.RANK.EQ(AG30,$AG$2:$AG$111)&lt;='Tournament Setup'!$B$30,_xlfn.RANK.EQ(AG30,$AG$2:$AG$111),""),"")</f>
        <v/>
      </c>
      <c r="AJ30" s="31" t="str">
        <f>IF(AND($F30='Tournament Setup'!$A$30,SUM($O30,$Q30)=0,$E30="M",$AI30&gt;'Tournament Setup'!$B$30),$H30,"")</f>
        <v/>
      </c>
      <c r="AK30" s="1" t="str">
        <f>IF(ISNUMBER(AJ30)=TRUE,IF(_xlfn.RANK.EQ(AJ30,$AJ$2:$AJ$111)&lt;='Tournament Setup'!$C$30,_xlfn.RANK.EQ(AJ30,$AJ$2:$AJ$111),""),"")</f>
        <v/>
      </c>
      <c r="AL30" s="31" t="str">
        <f>IF(AND($F30='Tournament Setup'!$A$30,SUM($O30,$S30)=0,$E30="F",$AI30&gt;'Tournament Setup'!$B$30),$H30,"")</f>
        <v/>
      </c>
      <c r="AM30" s="12" t="str">
        <f>IF(ISNUMBER(AL30)=TRUE,IF(_xlfn.RANK.EQ(AL30,$AL$2:$AL$111)&lt;='Tournament Setup'!$D$30,_xlfn.RANK.EQ(AL30,$AL$2:$AL$111),""),"")</f>
        <v/>
      </c>
      <c r="AN30" s="30" t="str">
        <f>IF(AND($F30='Tournament Setup'!$A$31,$I30&lt;&gt;0),$I30,"")</f>
        <v/>
      </c>
      <c r="AO30" s="47" t="str">
        <f>IF(ISNUMBER(AN30),IF(COUNTIFS(AO$1:AO29,_xlfn.RANK.EQ(AN30,AN$2:AN$111,0))&gt;0,_xlfn.MAXIFS(AO$1:AO29,AN$1:AN29,AN30)+1,_xlfn.RANK.EQ(AN30,AN$2:AN$111,0)),"")</f>
        <v/>
      </c>
      <c r="AP30" s="1" t="str">
        <f>IF(ISNUMBER(AN30)=TRUE,IF(_xlfn.RANK.EQ(AN30,$AN$2:$AN$111)&lt;='Tournament Setup'!$B$46,_xlfn.RANK.EQ(AN30,$AN$2:$AN$111),""),"")</f>
        <v/>
      </c>
      <c r="AQ30" s="30">
        <f>IF(AND($F30='Tournament Setup'!$A$31,SUM($O30,$Q30,$S30)=0),$H30,"")</f>
        <v>80</v>
      </c>
      <c r="AR30" s="47">
        <f>IF(ISNUMBER(AQ30),IF(COUNTIFS(AR$1:AR29,_xlfn.RANK.EQ(AQ30,AQ$2:AQ$111,0))&gt;0,_xlfn.MAXIFS(AR$1:AR29,AQ$1:AQ29,AQ30)+1,_xlfn.RANK.EQ(AQ30,AQ$2:AQ$111,0)),"")</f>
        <v>3</v>
      </c>
      <c r="AS30" s="1" t="str">
        <f>IF(ISNUMBER(AQ30)=TRUE,IF(_xlfn.RANK.EQ(AQ30,$AQ$2:$AQ$111)&lt;='Tournament Setup'!$B$31,_xlfn.RANK.EQ(AQ30,$AQ$2:$AQ$111),""),"")</f>
        <v/>
      </c>
      <c r="AT30" s="31">
        <f>IF(AND($F30='Tournament Setup'!$A$31,SUM($O30,$Q30)=0,$E30="M",$AS30&gt;'Tournament Setup'!$B$31),$H30,"")</f>
        <v>80</v>
      </c>
      <c r="AU30" s="1">
        <f>IF(ISNUMBER(AT30)=TRUE,IF(_xlfn.RANK.EQ(AT30,$AT$2:$AT$111)&lt;='Tournament Setup'!$C$31,_xlfn.RANK.EQ(AT30,$AT$2:$AT$111),""),"")</f>
        <v>3</v>
      </c>
      <c r="AV30" s="31" t="str">
        <f>IF(AND($F30='Tournament Setup'!$A$31,SUM($O30,$S30)=0,$E30="F",$AS30&gt;'Tournament Setup'!$B$31),$H30,"")</f>
        <v/>
      </c>
      <c r="AW30" s="12" t="str">
        <f>IF(ISNUMBER(AV30)=TRUE,IF(_xlfn.RANK.EQ(AV30,$AV$2:$AV$111)&lt;='Tournament Setup'!$D$31,_xlfn.RANK.EQ(AV30,$AV$2:$AV$111),""),"")</f>
        <v/>
      </c>
      <c r="AX30" s="30" t="str">
        <f>IF(AND($F30='Tournament Setup'!$A$32,$I30&lt;&gt;0),$I30,"")</f>
        <v/>
      </c>
      <c r="AY30" s="47" t="str">
        <f>IF(ISNUMBER(AX30),IF(COUNTIFS(AY$1:AY29,_xlfn.RANK.EQ(AX30,AX$2:AX$111,0))&gt;0,_xlfn.MAXIFS(AY$1:AY29,AX$1:AX29,AX30)+1,_xlfn.RANK.EQ(AX30,AX$2:AX$111,0)),"")</f>
        <v/>
      </c>
      <c r="AZ30" s="1" t="str">
        <f>IF(ISNUMBER(AX30)=TRUE,IF(_xlfn.RANK.EQ(AX30,$AX$2:$AX$111)&lt;='Tournament Setup'!$B$46,_xlfn.RANK.EQ(AX30,$AX$2:$AX$111),""),"")</f>
        <v/>
      </c>
      <c r="BA30" s="30" t="str">
        <f>IF(AND($F30='Tournament Setup'!$A$32,SUM($O30,$Q30,$S30)=0),$H30,"")</f>
        <v/>
      </c>
      <c r="BB30" s="47" t="str">
        <f>IF(ISNUMBER(BA30),IF(COUNTIFS(BB$1:BB29,_xlfn.RANK.EQ(BA30,BA$2:BA$111,0))&gt;0,_xlfn.MAXIFS(BB$1:BB29,BA$1:BA29,BA30)+1,_xlfn.RANK.EQ(BA30,BA$2:BA$111,0)),"")</f>
        <v/>
      </c>
      <c r="BC30" s="1" t="str">
        <f>IF(ISNUMBER(BA30)=TRUE,IF(_xlfn.RANK.EQ(BA30,$BA$2:$BA$111)&lt;='Tournament Setup'!$B$32,_xlfn.RANK.EQ(BA30,$BA$2:$BA$111),""),"")</f>
        <v/>
      </c>
      <c r="BD30" s="31" t="str">
        <f>IF(AND($F30='Tournament Setup'!$A$32,SUM($O30,$Q30)=0,$E30="M",$BC30&gt;'Tournament Setup'!$B$32),$H30,"")</f>
        <v/>
      </c>
      <c r="BE30" s="1" t="str">
        <f>IF(ISNUMBER(BD30)=TRUE,IF(_xlfn.RANK.EQ(BD30,$BD$2:$BD$111)&lt;='Tournament Setup'!$C$32,_xlfn.RANK.EQ(BD30,$BD$2:$BD$111),""),"")</f>
        <v/>
      </c>
      <c r="BF30" s="31" t="str">
        <f>IF(AND($F30='Tournament Setup'!$A$32,SUM($O30,$S30)=0,$E30="F",$BC30&gt;'Tournament Setup'!$B$32),$H30,"")</f>
        <v/>
      </c>
      <c r="BG30" s="12" t="str">
        <f>IF(ISNUMBER(BF30)=TRUE,IF(_xlfn.RANK.EQ(BF30,$BF$2:$BF$111)&lt;='Tournament Setup'!$D$32,_xlfn.RANK.EQ(BF30,$BF$2:$BF$111),""),"")</f>
        <v/>
      </c>
      <c r="BH30" s="30" t="str">
        <f>IF(AND($F30='Tournament Setup'!$A$33,$I30&lt;&gt;0),$I30,"")</f>
        <v/>
      </c>
      <c r="BI30" s="47" t="str">
        <f>IF(ISNUMBER(BH30),IF(COUNTIFS(BI$1:BI29,_xlfn.RANK.EQ(BH30,BH$2:BH$111,0))&gt;0,_xlfn.MAXIFS(BI$1:BI29,BH$1:BH29,BH30)+1,_xlfn.RANK.EQ(BH30,BH$2:BH$111,0)),"")</f>
        <v/>
      </c>
      <c r="BJ30" s="1" t="str">
        <f>IF(ISNUMBER(BH30)=TRUE,IF(_xlfn.RANK.EQ(BH30,$BH$2:$BH$111)&lt;='Tournament Setup'!$B$46,_xlfn.RANK.EQ(BH30,$BH$2:$BH$111),""),"")</f>
        <v/>
      </c>
      <c r="BK30" s="30" t="str">
        <f>IF(AND($F30='Tournament Setup'!$A$33,SUM($O30,$Q30,$S30)=0),$H30,"")</f>
        <v/>
      </c>
      <c r="BL30" s="47" t="str">
        <f>IF(ISNUMBER(BK30),IF(COUNTIFS(BL$1:BL29,_xlfn.RANK.EQ(BK30,BK$2:BK$111,0))&gt;0,_xlfn.MAXIFS(BL$1:BL29,BK$1:BK29,BK30)+1,_xlfn.RANK.EQ(BK30,BK$2:BK$111,0)),"")</f>
        <v/>
      </c>
      <c r="BM30" s="1" t="str">
        <f>IF(ISNUMBER(BK30)=TRUE,IF(_xlfn.RANK.EQ(BK30,$BK$2:$BK$111)&lt;='Tournament Setup'!$B$33,_xlfn.RANK.EQ(BK30,$BK$2:$BK$111),""),"")</f>
        <v/>
      </c>
      <c r="BN30" s="31" t="str">
        <f>IF(AND($F30='Tournament Setup'!$A$33,SUM($O30,$Q30)=0,$E30="M",$BM30&gt;'Tournament Setup'!$B$33),$H30,"")</f>
        <v/>
      </c>
      <c r="BO30" s="1" t="str">
        <f>IF(ISNUMBER(BN30)=TRUE,IF(_xlfn.RANK.EQ(BN30,$BN$2:$BN$111)&lt;='Tournament Setup'!$C$33,_xlfn.RANK.EQ(BN30,$BN$2:$BN$111),""),"")</f>
        <v/>
      </c>
      <c r="BP30" s="31" t="str">
        <f>IF(AND($F30='Tournament Setup'!$A$33,SUM($O30,$S30)=0,$E30="F",$BM30&gt;'Tournament Setup'!$B$33),$H30,"")</f>
        <v/>
      </c>
      <c r="BQ30" s="12" t="str">
        <f>IF(ISNUMBER(BP30)=TRUE,IF(_xlfn.RANK.EQ(BP30,$BP$2:$BP$111)&lt;='Tournament Setup'!$D$33,_xlfn.RANK.EQ(BP30,$BP$2:$BP$111),""),"")</f>
        <v/>
      </c>
      <c r="BR30" s="30">
        <f>IF($G30='Tournament Setup'!$A$38,$H30,"")</f>
        <v>80</v>
      </c>
      <c r="BS30" s="47">
        <f>IF(ISNUMBER(BR30),IF(COUNTIFS(BS$1:BS29,_xlfn.RANK.EQ(BR30,BR$2:BR$111,0))&gt;0,_xlfn.MAXIFS(BS$1:BS29,BR$1:BR29,BR30)+1,_xlfn.RANK.EQ(BR30,BR$2:BR$111,0)),"")</f>
        <v>4</v>
      </c>
      <c r="BT30" s="1" t="str">
        <f>IF(ISNUMBER(BR30)=TRUE,IF(_xlfn.RANK.EQ(BR30,$BR$2:$BR$111)&lt;='Tournament Setup'!$B$38,_xlfn.RANK.EQ(BR30,$BR$2:$BR$111),""),"")</f>
        <v/>
      </c>
      <c r="BU30" s="31">
        <f>IF(AND($G30='Tournament Setup'!$A$38,$E30="M",$BT30&gt;'Tournament Setup'!$B$38),$H30,"")</f>
        <v>80</v>
      </c>
      <c r="BV30" s="1">
        <f>IF(ISNUMBER(BU30)=TRUE,IF(_xlfn.RANK.EQ(BU30,$BU$2:$BU$111)&lt;='Tournament Setup'!$C$38,_xlfn.RANK.EQ(BU30,$BU$2:$BU$111),""),"")</f>
        <v>2</v>
      </c>
      <c r="BW30" s="31" t="str">
        <f>IF(AND($G30='Tournament Setup'!$A$38,$E30="F",$BT30&gt;'Tournament Setup'!$B$38),$H30,"")</f>
        <v/>
      </c>
      <c r="BX30" s="12" t="str">
        <f>IF(ISNUMBER(BW30)=TRUE,IF(_xlfn.RANK.EQ(BW30,$BW$2:$BW$111)&lt;='Tournament Setup'!$D$38,_xlfn.RANK.EQ(BW30,$BW$2:$BW$111),""),"")</f>
        <v/>
      </c>
      <c r="BY30" s="30" t="str">
        <f>IF($G30='Tournament Setup'!$A$39,$H30,"")</f>
        <v/>
      </c>
      <c r="BZ30" s="47" t="str">
        <f>IF(ISNUMBER(BY30),IF(COUNTIFS(BZ$1:BZ29,_xlfn.RANK.EQ(BY30,BY$2:BY$111,0))&gt;0,_xlfn.MAXIFS(BZ$1:BZ29,BY$1:BY29,BY30)+1,_xlfn.RANK.EQ(BY30,BY$2:BY$111,0)),"")</f>
        <v/>
      </c>
      <c r="CA30" s="1" t="str">
        <f>IF(ISNUMBER(BY30)=TRUE,IF(_xlfn.RANK.EQ(BY30,$BY$2:$BY$111)&lt;='Tournament Setup'!$B$39,_xlfn.RANK.EQ(BY30,$BY$2:$BY$111),""),"")</f>
        <v/>
      </c>
      <c r="CB30" s="31" t="str">
        <f>IF(AND($G30='Tournament Setup'!$A$39,$E30="M",$CA30&gt;'Tournament Setup'!$B$39),$H30,"")</f>
        <v/>
      </c>
      <c r="CC30" s="1" t="str">
        <f>IF(ISNUMBER(CB30)=TRUE,IF(_xlfn.RANK.EQ(CB30,$CB$2:$CB$111)&lt;='Tournament Setup'!$C$39,_xlfn.RANK.EQ(CB30,$CB$2:$CB$111),""),"")</f>
        <v/>
      </c>
      <c r="CD30" s="31" t="str">
        <f>IF(AND($G30='Tournament Setup'!$A$39,$E30="F",$CA30&gt;'Tournament Setup'!$B$39),$H30,"")</f>
        <v/>
      </c>
      <c r="CE30" s="12" t="str">
        <f>IF(ISNUMBER(CD30)=TRUE,IF(_xlfn.RANK.EQ(CD30,$CD$2:$CD$111)&lt;='Tournament Setup'!$D$39,_xlfn.RANK.EQ(CD30,$CD$2:$CD$111),""),"")</f>
        <v/>
      </c>
      <c r="CF30" s="30" t="str">
        <f>IF($G30='Tournament Setup'!$A$40,$H30,"")</f>
        <v/>
      </c>
      <c r="CG30" s="47" t="str">
        <f>IF(ISNUMBER(CF30),IF(COUNTIFS(CG$1:CG29,_xlfn.RANK.EQ(CF30,CF$2:CF$111,0))&gt;0,_xlfn.MAXIFS(CG$1:CG29,CF$1:CF29,CF30)+1,_xlfn.RANK.EQ(CF30,CF$2:CF$111,0)),"")</f>
        <v/>
      </c>
      <c r="CH30" s="1" t="str">
        <f>IF(ISNUMBER(CF30)=TRUE,IF(_xlfn.RANK.EQ(CF30,$CF$2:$CF$111)&lt;='Tournament Setup'!$B$40,_xlfn.RANK.EQ(CF30,$CF$2:$CF$111),""),"")</f>
        <v/>
      </c>
      <c r="CI30" s="31" t="str">
        <f>IF(AND($G30='Tournament Setup'!$A$40,$E30="M",$CH30&gt;'Tournament Setup'!$B$40),$H30,"")</f>
        <v/>
      </c>
      <c r="CJ30" s="1" t="str">
        <f>IF(ISNUMBER(CI30)=TRUE,IF(_xlfn.RANK.EQ(CI30,$CI$2:$CI$111)&lt;='Tournament Setup'!$C$40,_xlfn.RANK.EQ(CI30,$CI$2:$CI$111),""),"")</f>
        <v/>
      </c>
      <c r="CK30" s="31" t="str">
        <f>IF(AND($G30='Tournament Setup'!$A$40,$E30="F",$CH30&gt;'Tournament Setup'!$B$40),$H30,"")</f>
        <v/>
      </c>
      <c r="CL30" s="12" t="str">
        <f>IF(ISNUMBER(CK30)=TRUE,IF(_xlfn.RANK.EQ(CK30,$CK$2:$CK$111)&lt;='Tournament Setup'!$D$40,_xlfn.RANK.EQ(CK30,$CK$2:$CK$111),""),"")</f>
        <v/>
      </c>
      <c r="CM30" s="30" t="str">
        <f>IF($G30='Tournament Setup'!$A$41,$H30,"")</f>
        <v/>
      </c>
      <c r="CN30" s="47" t="str">
        <f>IF(ISNUMBER(CM30),IF(COUNTIFS(CN$1:CN29,_xlfn.RANK.EQ(CM30,CM$2:CM$111,0))&gt;0,_xlfn.MAXIFS(CN$1:CN29,CM$1:CM29,CM30)+1,_xlfn.RANK.EQ(CM30,CM$2:CM$111,0)),"")</f>
        <v/>
      </c>
      <c r="CO30" s="1" t="str">
        <f>IF(ISNUMBER(CM30)=TRUE,IF(_xlfn.RANK.EQ(CM30,$CM$2:$CM$111)&lt;='Tournament Setup'!$B$41,_xlfn.RANK.EQ(CM30,$CM$2:$CM$111),""),"")</f>
        <v/>
      </c>
      <c r="CP30" s="31" t="str">
        <f>IF(AND($G30='Tournament Setup'!$A$41,$E30="M",$CO30&gt;'Tournament Setup'!$B$41),$H30,"")</f>
        <v/>
      </c>
      <c r="CQ30" s="1" t="str">
        <f>IF(ISNUMBER(CP30)=TRUE,IF(_xlfn.RANK.EQ(CP30,$CP$2:$CP$111)&lt;='Tournament Setup'!$C$41,_xlfn.RANK.EQ(CP30,$CP$2:$CP$111),""),"")</f>
        <v/>
      </c>
      <c r="CR30" s="31" t="str">
        <f>IF(AND($G30='Tournament Setup'!$A$41,$E30="F",$CO30&gt;'Tournament Setup'!$B$41),$H30,"")</f>
        <v/>
      </c>
      <c r="CS30" s="12" t="str">
        <f>IF(ISNUMBER(CR30)=TRUE,IF(_xlfn.RANK.EQ(CR30,$CR$2:$CR$111)&lt;='Tournament Setup'!$D$41,_xlfn.RANK.EQ(CR30,$CR$2:$CR$111),""),"")</f>
        <v/>
      </c>
    </row>
    <row r="31" spans="1:97" x14ac:dyDescent="0.3">
      <c r="A31" t="s">
        <v>186</v>
      </c>
      <c r="B31" t="str">
        <f>IFERROR(INDEX('Tournament List'!$B:$B,MATCH($A31,'Tournament List'!$A:$A,0)),"")</f>
        <v>Judy</v>
      </c>
      <c r="C31" t="str">
        <f>IFERROR(INDEX('Tournament List'!$C:$C,MATCH($A31,'Tournament List'!$A:$A,0)),"")</f>
        <v>Last Name30</v>
      </c>
      <c r="D31" t="str">
        <f t="shared" si="0"/>
        <v>Judy Last Name30</v>
      </c>
      <c r="E31" s="1" t="str">
        <f>IFERROR(INDEX('Tournament List'!F:F,MATCH($A31,'Tournament List'!$A:$A,0)),"")</f>
        <v>F</v>
      </c>
      <c r="F31" t="str">
        <f>IFERROR(INDEX('Tournament List'!M:M,MATCH($A31,'Tournament List'!$A:$A,0)),"")</f>
        <v>Collegiate</v>
      </c>
      <c r="G31" s="1" t="str">
        <f>IFERROR(INDEX('Tournament List'!W:W,MATCH($A31,'Tournament List'!$A:$A,0)),"")</f>
        <v>A</v>
      </c>
      <c r="H31" s="129">
        <f>IFERROR(INDEX('Tournament List'!Z:Z,MATCH($A31,'Tournament List'!$A:$A,0)),"")</f>
        <v>51</v>
      </c>
      <c r="I31" s="152" t="str">
        <f>IFERROR(INDEX('Tournament List'!T:T,MATCH($A31,'Tournament List'!$A:$A,0)),"")</f>
        <v/>
      </c>
      <c r="J31" s="56" t="str">
        <f>IF(ISNUMBER(I31),IF(COUNTIFS(J$1:J30,_xlfn.RANK.EQ(I31,I$2:I$111,0))&gt;0,_xlfn.MAXIFS(J$1:J30,I$1:I30,I31)+1,_xlfn.RANK.EQ(I31,I$2:I$111,0)),"")</f>
        <v/>
      </c>
      <c r="K31" s="11">
        <f t="shared" si="1"/>
        <v>39</v>
      </c>
      <c r="L31" s="56">
        <f>IF(ISNUMBER(H31),IF(COUNTIFS(L$1:L30,_xlfn.RANK.EQ(H31,H$2:H$111,0))&gt;0,_xlfn.MAXIFS(L$1:L30,H$1:H30,H31)+1,_xlfn.RANK.EQ(H31,H$2:H$111,0)),"")</f>
        <v>40</v>
      </c>
      <c r="M31" s="151" t="str">
        <f t="shared" si="2"/>
        <v/>
      </c>
      <c r="N31" s="47" t="str">
        <f>IF(ISNUMBER(M31),IF(COUNTIFS(N$1:N30,_xlfn.RANK.EQ(M31,M$2:M$111,0))&gt;0,_xlfn.MAXIFS(N$1:N30,M$1:M30,M31)+1,_xlfn.RANK.EQ(M31,M$2:M$111,0)),"")</f>
        <v/>
      </c>
      <c r="O31" s="1" t="str">
        <f>IF(ISNUMBER(M31)=TRUE,IF(_xlfn.RANK.EQ(M31,$M$2:$M$111)&lt;='Tournament Setup'!$B$23,_xlfn.RANK.EQ(M31,$M$2:$M$111),""),"")</f>
        <v/>
      </c>
      <c r="P31" s="150" t="str">
        <f t="shared" si="3"/>
        <v/>
      </c>
      <c r="Q31" s="1" t="str">
        <f>IF(ISNUMBER(P31)=TRUE,IF(_xlfn.RANK.EQ(P31,$P$2:$P$111)&lt;='Tournament Setup'!$B$24,_xlfn.RANK.EQ(P31,$P$2:$P$111),""),"")</f>
        <v/>
      </c>
      <c r="R31" s="150" t="str">
        <f t="shared" si="4"/>
        <v/>
      </c>
      <c r="S31" s="12" t="str">
        <f>IF(ISNUMBER(R31)=TRUE,IF(_xlfn.RANK.EQ(R31,$R$2:$R$111)&lt;='Tournament Setup'!$B$25,_xlfn.RANK.EQ(R31,$R$2:$R$111),""),"")</f>
        <v/>
      </c>
      <c r="T31" s="152" t="str">
        <f>IF(AND($F31='Tournament Setup'!$A$29,$I31&lt;&gt;0),$I31,"")</f>
        <v/>
      </c>
      <c r="U31" s="47" t="str">
        <f>IF(ISNUMBER(T31),IF(COUNTIFS(U$1:U30,_xlfn.RANK.EQ(T31,T$2:T$111,0))&gt;0,_xlfn.MAXIFS(U$1:U30,T$1:T30,T31)+1,_xlfn.RANK.EQ(T31,T$2:T$111,0)),"")</f>
        <v/>
      </c>
      <c r="V31" s="1" t="str">
        <f>IF(ISNUMBER(T31)=TRUE,IF(_xlfn.RANK.EQ(T31,$T$3:$T$112)&lt;='Tournament Setup'!$B$46,_xlfn.RANK.EQ(T31,$T$2:$T$111),""),"")</f>
        <v/>
      </c>
      <c r="W31" s="30" t="str">
        <f>IF(AND($F31='Tournament Setup'!$A$29,SUM($O31,$Q31,$S31)=0),$H31,"")</f>
        <v/>
      </c>
      <c r="X31" s="47" t="str">
        <f>IF(ISNUMBER(W31),IF(COUNTIFS(X$1:X30,_xlfn.RANK.EQ(W31,W$2:W$111,0))&gt;0,_xlfn.MAXIFS(X$1:X30,W$1:W30,W31)+1,_xlfn.RANK.EQ(W31,W$2:W$111,0)),"")</f>
        <v/>
      </c>
      <c r="Y31" s="1" t="str">
        <f>IF(ISNUMBER(W31)=TRUE,IF(_xlfn.RANK.EQ(W31,$W$2:$W$111)&lt;='Tournament Setup'!$B$29,_xlfn.RANK.EQ(W31,$W$2:$W$111),""),"")</f>
        <v/>
      </c>
      <c r="Z31" s="31" t="str">
        <f>IF(AND($F31='Tournament Setup'!$A$29,SUM($O31,$Q31)=0,$E31="M",$Y31&gt;'Tournament Setup'!$B$29),$H31,"")</f>
        <v/>
      </c>
      <c r="AA31" s="1" t="str">
        <f>IF(ISNUMBER(Z31)=TRUE,IF(_xlfn.RANK.EQ(Z31,$Z$2:$Z$111)&lt;='Tournament Setup'!$C$29,_xlfn.RANK.EQ(Z31,$Z$2:$Z$111),""),"")</f>
        <v/>
      </c>
      <c r="AB31" s="31" t="str">
        <f>IF(AND($F31='Tournament Setup'!$A$29,SUM($O31,$S31)=0,$E31="F",$Y31&gt;'Tournament Setup'!$B$29),$H31,"")</f>
        <v/>
      </c>
      <c r="AC31" s="12" t="str">
        <f>IF(ISNUMBER(AB31)=TRUE,IF(_xlfn.RANK.EQ(AB31,$AB$2:$AB$111)&lt;='Tournament Setup'!$D$29,_xlfn.RANK.EQ(AB31,$AB$2:$AB$111),""),"")</f>
        <v/>
      </c>
      <c r="AD31" s="30" t="str">
        <f>IF(AND($F31='Tournament Setup'!$A$30,$I31&lt;&gt;0),$I31,"")</f>
        <v/>
      </c>
      <c r="AE31" s="47" t="str">
        <f>IF(ISNUMBER(AD31),IF(COUNTIFS(AE$1:AE30,_xlfn.RANK.EQ(AD31,AD$2:AD$111,0))&gt;0,_xlfn.MAXIFS(AE$1:AE30,AD$1:AD30,AD31)+1,_xlfn.RANK.EQ(AD31,AD$2:AD$111,0)),"")</f>
        <v/>
      </c>
      <c r="AF31" s="1" t="str">
        <f>IF(ISNUMBER(AD31)=TRUE,IF(_xlfn.RANK.EQ(AD31,$AD$2:$AD$111)&lt;='Tournament Setup'!$B$46,_xlfn.RANK.EQ(AD31,$AD$2:$AD$111),""),"")</f>
        <v/>
      </c>
      <c r="AG31" s="30" t="str">
        <f>IF(AND($F31='Tournament Setup'!$A$30,SUM($O31,$Q31,$S31)=0),$H31,"")</f>
        <v/>
      </c>
      <c r="AH31" s="47" t="str">
        <f>IF(ISNUMBER(AG31),IF(COUNTIFS(AH$1:AH30,_xlfn.RANK.EQ(AG31,AG$2:AG$111,0))&gt;0,_xlfn.MAXIFS(AH$1:AH30,AG$1:AG30,AG31)+1,_xlfn.RANK.EQ(AG31,AG$2:AG$111,0)),"")</f>
        <v/>
      </c>
      <c r="AI31" s="1" t="str">
        <f>IF(ISNUMBER(AG31)=TRUE,IF(_xlfn.RANK.EQ(AG31,$AG$2:$AG$111)&lt;='Tournament Setup'!$B$30,_xlfn.RANK.EQ(AG31,$AG$2:$AG$111),""),"")</f>
        <v/>
      </c>
      <c r="AJ31" s="31" t="str">
        <f>IF(AND($F31='Tournament Setup'!$A$30,SUM($O31,$Q31)=0,$E31="M",$AI31&gt;'Tournament Setup'!$B$30),$H31,"")</f>
        <v/>
      </c>
      <c r="AK31" s="1" t="str">
        <f>IF(ISNUMBER(AJ31)=TRUE,IF(_xlfn.RANK.EQ(AJ31,$AJ$2:$AJ$111)&lt;='Tournament Setup'!$C$30,_xlfn.RANK.EQ(AJ31,$AJ$2:$AJ$111),""),"")</f>
        <v/>
      </c>
      <c r="AL31" s="31" t="str">
        <f>IF(AND($F31='Tournament Setup'!$A$30,SUM($O31,$S31)=0,$E31="F",$AI31&gt;'Tournament Setup'!$B$30),$H31,"")</f>
        <v/>
      </c>
      <c r="AM31" s="12" t="str">
        <f>IF(ISNUMBER(AL31)=TRUE,IF(_xlfn.RANK.EQ(AL31,$AL$2:$AL$111)&lt;='Tournament Setup'!$D$30,_xlfn.RANK.EQ(AL31,$AL$2:$AL$111),""),"")</f>
        <v/>
      </c>
      <c r="AN31" s="30" t="str">
        <f>IF(AND($F31='Tournament Setup'!$A$31,$I31&lt;&gt;0),$I31,"")</f>
        <v/>
      </c>
      <c r="AO31" s="47" t="str">
        <f>IF(ISNUMBER(AN31),IF(COUNTIFS(AO$1:AO30,_xlfn.RANK.EQ(AN31,AN$2:AN$111,0))&gt;0,_xlfn.MAXIFS(AO$1:AO30,AN$1:AN30,AN31)+1,_xlfn.RANK.EQ(AN31,AN$2:AN$111,0)),"")</f>
        <v/>
      </c>
      <c r="AP31" s="1" t="str">
        <f>IF(ISNUMBER(AN31)=TRUE,IF(_xlfn.RANK.EQ(AN31,$AN$2:$AN$111)&lt;='Tournament Setup'!$B$46,_xlfn.RANK.EQ(AN31,$AN$2:$AN$111),""),"")</f>
        <v/>
      </c>
      <c r="AQ31" s="30" t="str">
        <f>IF(AND($F31='Tournament Setup'!$A$31,SUM($O31,$Q31,$S31)=0),$H31,"")</f>
        <v/>
      </c>
      <c r="AR31" s="47" t="str">
        <f>IF(ISNUMBER(AQ31),IF(COUNTIFS(AR$1:AR30,_xlfn.RANK.EQ(AQ31,AQ$2:AQ$111,0))&gt;0,_xlfn.MAXIFS(AR$1:AR30,AQ$1:AQ30,AQ31)+1,_xlfn.RANK.EQ(AQ31,AQ$2:AQ$111,0)),"")</f>
        <v/>
      </c>
      <c r="AS31" s="1" t="str">
        <f>IF(ISNUMBER(AQ31)=TRUE,IF(_xlfn.RANK.EQ(AQ31,$AQ$2:$AQ$111)&lt;='Tournament Setup'!$B$31,_xlfn.RANK.EQ(AQ31,$AQ$2:$AQ$111),""),"")</f>
        <v/>
      </c>
      <c r="AT31" s="31" t="str">
        <f>IF(AND($F31='Tournament Setup'!$A$31,SUM($O31,$Q31)=0,$E31="M",$AS31&gt;'Tournament Setup'!$B$31),$H31,"")</f>
        <v/>
      </c>
      <c r="AU31" s="1" t="str">
        <f>IF(ISNUMBER(AT31)=TRUE,IF(_xlfn.RANK.EQ(AT31,$AT$2:$AT$111)&lt;='Tournament Setup'!$C$31,_xlfn.RANK.EQ(AT31,$AT$2:$AT$111),""),"")</f>
        <v/>
      </c>
      <c r="AV31" s="31" t="str">
        <f>IF(AND($F31='Tournament Setup'!$A$31,SUM($O31,$S31)=0,$E31="F",$AS31&gt;'Tournament Setup'!$B$31),$H31,"")</f>
        <v/>
      </c>
      <c r="AW31" s="12" t="str">
        <f>IF(ISNUMBER(AV31)=TRUE,IF(_xlfn.RANK.EQ(AV31,$AV$2:$AV$111)&lt;='Tournament Setup'!$D$31,_xlfn.RANK.EQ(AV31,$AV$2:$AV$111),""),"")</f>
        <v/>
      </c>
      <c r="AX31" s="30" t="str">
        <f>IF(AND($F31='Tournament Setup'!$A$32,$I31&lt;&gt;0),$I31,"")</f>
        <v/>
      </c>
      <c r="AY31" s="47" t="str">
        <f>IF(ISNUMBER(AX31),IF(COUNTIFS(AY$1:AY30,_xlfn.RANK.EQ(AX31,AX$2:AX$111,0))&gt;0,_xlfn.MAXIFS(AY$1:AY30,AX$1:AX30,AX31)+1,_xlfn.RANK.EQ(AX31,AX$2:AX$111,0)),"")</f>
        <v/>
      </c>
      <c r="AZ31" s="1" t="str">
        <f>IF(ISNUMBER(AX31)=TRUE,IF(_xlfn.RANK.EQ(AX31,$AX$2:$AX$111)&lt;='Tournament Setup'!$B$46,_xlfn.RANK.EQ(AX31,$AX$2:$AX$111),""),"")</f>
        <v/>
      </c>
      <c r="BA31" s="30" t="str">
        <f>IF(AND($F31='Tournament Setup'!$A$32,SUM($O31,$Q31,$S31)=0),$H31,"")</f>
        <v/>
      </c>
      <c r="BB31" s="47" t="str">
        <f>IF(ISNUMBER(BA31),IF(COUNTIFS(BB$1:BB30,_xlfn.RANK.EQ(BA31,BA$2:BA$111,0))&gt;0,_xlfn.MAXIFS(BB$1:BB30,BA$1:BA30,BA31)+1,_xlfn.RANK.EQ(BA31,BA$2:BA$111,0)),"")</f>
        <v/>
      </c>
      <c r="BC31" s="1" t="str">
        <f>IF(ISNUMBER(BA31)=TRUE,IF(_xlfn.RANK.EQ(BA31,$BA$2:$BA$111)&lt;='Tournament Setup'!$B$32,_xlfn.RANK.EQ(BA31,$BA$2:$BA$111),""),"")</f>
        <v/>
      </c>
      <c r="BD31" s="31" t="str">
        <f>IF(AND($F31='Tournament Setup'!$A$32,SUM($O31,$Q31)=0,$E31="M",$BC31&gt;'Tournament Setup'!$B$32),$H31,"")</f>
        <v/>
      </c>
      <c r="BE31" s="1" t="str">
        <f>IF(ISNUMBER(BD31)=TRUE,IF(_xlfn.RANK.EQ(BD31,$BD$2:$BD$111)&lt;='Tournament Setup'!$C$32,_xlfn.RANK.EQ(BD31,$BD$2:$BD$111),""),"")</f>
        <v/>
      </c>
      <c r="BF31" s="31" t="str">
        <f>IF(AND($F31='Tournament Setup'!$A$32,SUM($O31,$S31)=0,$E31="F",$BC31&gt;'Tournament Setup'!$B$32),$H31,"")</f>
        <v/>
      </c>
      <c r="BG31" s="12" t="str">
        <f>IF(ISNUMBER(BF31)=TRUE,IF(_xlfn.RANK.EQ(BF31,$BF$2:$BF$111)&lt;='Tournament Setup'!$D$32,_xlfn.RANK.EQ(BF31,$BF$2:$BF$111),""),"")</f>
        <v/>
      </c>
      <c r="BH31" s="30" t="str">
        <f>IF(AND($F31='Tournament Setup'!$A$33,$I31&lt;&gt;0),$I31,"")</f>
        <v/>
      </c>
      <c r="BI31" s="47" t="str">
        <f>IF(ISNUMBER(BH31),IF(COUNTIFS(BI$1:BI30,_xlfn.RANK.EQ(BH31,BH$2:BH$111,0))&gt;0,_xlfn.MAXIFS(BI$1:BI30,BH$1:BH30,BH31)+1,_xlfn.RANK.EQ(BH31,BH$2:BH$111,0)),"")</f>
        <v/>
      </c>
      <c r="BJ31" s="1" t="str">
        <f>IF(ISNUMBER(BH31)=TRUE,IF(_xlfn.RANK.EQ(BH31,$BH$2:$BH$111)&lt;='Tournament Setup'!$B$46,_xlfn.RANK.EQ(BH31,$BH$2:$BH$111),""),"")</f>
        <v/>
      </c>
      <c r="BK31" s="30">
        <f>IF(AND($F31='Tournament Setup'!$A$33,SUM($O31,$Q31,$S31)=0),$H31,"")</f>
        <v>51</v>
      </c>
      <c r="BL31" s="47">
        <f>IF(ISNUMBER(BK31),IF(COUNTIFS(BL$1:BL30,_xlfn.RANK.EQ(BK31,BK$2:BK$111,0))&gt;0,_xlfn.MAXIFS(BL$1:BL30,BK$1:BK30,BK31)+1,_xlfn.RANK.EQ(BK31,BK$2:BK$111,0)),"")</f>
        <v>3</v>
      </c>
      <c r="BM31" s="1">
        <f>IF(ISNUMBER(BK31)=TRUE,IF(_xlfn.RANK.EQ(BK31,$BK$2:$BK$111)&lt;='Tournament Setup'!$B$33,_xlfn.RANK.EQ(BK31,$BK$2:$BK$111),""),"")</f>
        <v>3</v>
      </c>
      <c r="BN31" s="31" t="str">
        <f>IF(AND($F31='Tournament Setup'!$A$33,SUM($O31,$Q31)=0,$E31="M",$BM31&gt;'Tournament Setup'!$B$33),$H31,"")</f>
        <v/>
      </c>
      <c r="BO31" s="1" t="str">
        <f>IF(ISNUMBER(BN31)=TRUE,IF(_xlfn.RANK.EQ(BN31,$BN$2:$BN$111)&lt;='Tournament Setup'!$C$33,_xlfn.RANK.EQ(BN31,$BN$2:$BN$111),""),"")</f>
        <v/>
      </c>
      <c r="BP31" s="31" t="str">
        <f>IF(AND($F31='Tournament Setup'!$A$33,SUM($O31,$S31)=0,$E31="F",$BM31&gt;'Tournament Setup'!$B$33),$H31,"")</f>
        <v/>
      </c>
      <c r="BQ31" s="12" t="str">
        <f>IF(ISNUMBER(BP31)=TRUE,IF(_xlfn.RANK.EQ(BP31,$BP$2:$BP$111)&lt;='Tournament Setup'!$D$33,_xlfn.RANK.EQ(BP31,$BP$2:$BP$111),""),"")</f>
        <v/>
      </c>
      <c r="BR31" s="30">
        <f>IF($G31='Tournament Setup'!$A$38,$H31,"")</f>
        <v>51</v>
      </c>
      <c r="BS31" s="47">
        <f>IF(ISNUMBER(BR31),IF(COUNTIFS(BS$1:BS30,_xlfn.RANK.EQ(BR31,BR$2:BR$111,0))&gt;0,_xlfn.MAXIFS(BS$1:BS30,BR$1:BR30,BR31)+1,_xlfn.RANK.EQ(BR31,BR$2:BR$111,0)),"")</f>
        <v>8</v>
      </c>
      <c r="BT31" s="1" t="str">
        <f>IF(ISNUMBER(BR31)=TRUE,IF(_xlfn.RANK.EQ(BR31,$BR$2:$BR$111)&lt;='Tournament Setup'!$B$38,_xlfn.RANK.EQ(BR31,$BR$2:$BR$111),""),"")</f>
        <v/>
      </c>
      <c r="BU31" s="31" t="str">
        <f>IF(AND($G31='Tournament Setup'!$A$38,$E31="M",$BT31&gt;'Tournament Setup'!$B$38),$H31,"")</f>
        <v/>
      </c>
      <c r="BV31" s="1" t="str">
        <f>IF(ISNUMBER(BU31)=TRUE,IF(_xlfn.RANK.EQ(BU31,$BU$2:$BU$111)&lt;='Tournament Setup'!$C$38,_xlfn.RANK.EQ(BU31,$BU$2:$BU$111),""),"")</f>
        <v/>
      </c>
      <c r="BW31" s="31">
        <f>IF(AND($G31='Tournament Setup'!$A$38,$E31="F",$BT31&gt;'Tournament Setup'!$B$38),$H31,"")</f>
        <v>51</v>
      </c>
      <c r="BX31" s="12" t="str">
        <f>IF(ISNUMBER(BW31)=TRUE,IF(_xlfn.RANK.EQ(BW31,$BW$2:$BW$111)&lt;='Tournament Setup'!$D$38,_xlfn.RANK.EQ(BW31,$BW$2:$BW$111),""),"")</f>
        <v/>
      </c>
      <c r="BY31" s="30" t="str">
        <f>IF($G31='Tournament Setup'!$A$39,$H31,"")</f>
        <v/>
      </c>
      <c r="BZ31" s="47" t="str">
        <f>IF(ISNUMBER(BY31),IF(COUNTIFS(BZ$1:BZ30,_xlfn.RANK.EQ(BY31,BY$2:BY$111,0))&gt;0,_xlfn.MAXIFS(BZ$1:BZ30,BY$1:BY30,BY31)+1,_xlfn.RANK.EQ(BY31,BY$2:BY$111,0)),"")</f>
        <v/>
      </c>
      <c r="CA31" s="1" t="str">
        <f>IF(ISNUMBER(BY31)=TRUE,IF(_xlfn.RANK.EQ(BY31,$BY$2:$BY$111)&lt;='Tournament Setup'!$B$39,_xlfn.RANK.EQ(BY31,$BY$2:$BY$111),""),"")</f>
        <v/>
      </c>
      <c r="CB31" s="31" t="str">
        <f>IF(AND($G31='Tournament Setup'!$A$39,$E31="M",$CA31&gt;'Tournament Setup'!$B$39),$H31,"")</f>
        <v/>
      </c>
      <c r="CC31" s="1" t="str">
        <f>IF(ISNUMBER(CB31)=TRUE,IF(_xlfn.RANK.EQ(CB31,$CB$2:$CB$111)&lt;='Tournament Setup'!$C$39,_xlfn.RANK.EQ(CB31,$CB$2:$CB$111),""),"")</f>
        <v/>
      </c>
      <c r="CD31" s="31" t="str">
        <f>IF(AND($G31='Tournament Setup'!$A$39,$E31="F",$CA31&gt;'Tournament Setup'!$B$39),$H31,"")</f>
        <v/>
      </c>
      <c r="CE31" s="12" t="str">
        <f>IF(ISNUMBER(CD31)=TRUE,IF(_xlfn.RANK.EQ(CD31,$CD$2:$CD$111)&lt;='Tournament Setup'!$D$39,_xlfn.RANK.EQ(CD31,$CD$2:$CD$111),""),"")</f>
        <v/>
      </c>
      <c r="CF31" s="30" t="str">
        <f>IF($G31='Tournament Setup'!$A$40,$H31,"")</f>
        <v/>
      </c>
      <c r="CG31" s="47" t="str">
        <f>IF(ISNUMBER(CF31),IF(COUNTIFS(CG$1:CG30,_xlfn.RANK.EQ(CF31,CF$2:CF$111,0))&gt;0,_xlfn.MAXIFS(CG$1:CG30,CF$1:CF30,CF31)+1,_xlfn.RANK.EQ(CF31,CF$2:CF$111,0)),"")</f>
        <v/>
      </c>
      <c r="CH31" s="1" t="str">
        <f>IF(ISNUMBER(CF31)=TRUE,IF(_xlfn.RANK.EQ(CF31,$CF$2:$CF$111)&lt;='Tournament Setup'!$B$40,_xlfn.RANK.EQ(CF31,$CF$2:$CF$111),""),"")</f>
        <v/>
      </c>
      <c r="CI31" s="31" t="str">
        <f>IF(AND($G31='Tournament Setup'!$A$40,$E31="M",$CH31&gt;'Tournament Setup'!$B$40),$H31,"")</f>
        <v/>
      </c>
      <c r="CJ31" s="1" t="str">
        <f>IF(ISNUMBER(CI31)=TRUE,IF(_xlfn.RANK.EQ(CI31,$CI$2:$CI$111)&lt;='Tournament Setup'!$C$40,_xlfn.RANK.EQ(CI31,$CI$2:$CI$111),""),"")</f>
        <v/>
      </c>
      <c r="CK31" s="31" t="str">
        <f>IF(AND($G31='Tournament Setup'!$A$40,$E31="F",$CH31&gt;'Tournament Setup'!$B$40),$H31,"")</f>
        <v/>
      </c>
      <c r="CL31" s="12" t="str">
        <f>IF(ISNUMBER(CK31)=TRUE,IF(_xlfn.RANK.EQ(CK31,$CK$2:$CK$111)&lt;='Tournament Setup'!$D$40,_xlfn.RANK.EQ(CK31,$CK$2:$CK$111),""),"")</f>
        <v/>
      </c>
      <c r="CM31" s="30" t="str">
        <f>IF($G31='Tournament Setup'!$A$41,$H31,"")</f>
        <v/>
      </c>
      <c r="CN31" s="47" t="str">
        <f>IF(ISNUMBER(CM31),IF(COUNTIFS(CN$1:CN30,_xlfn.RANK.EQ(CM31,CM$2:CM$111,0))&gt;0,_xlfn.MAXIFS(CN$1:CN30,CM$1:CM30,CM31)+1,_xlfn.RANK.EQ(CM31,CM$2:CM$111,0)),"")</f>
        <v/>
      </c>
      <c r="CO31" s="1" t="str">
        <f>IF(ISNUMBER(CM31)=TRUE,IF(_xlfn.RANK.EQ(CM31,$CM$2:$CM$111)&lt;='Tournament Setup'!$B$41,_xlfn.RANK.EQ(CM31,$CM$2:$CM$111),""),"")</f>
        <v/>
      </c>
      <c r="CP31" s="31" t="str">
        <f>IF(AND($G31='Tournament Setup'!$A$41,$E31="M",$CO31&gt;'Tournament Setup'!$B$41),$H31,"")</f>
        <v/>
      </c>
      <c r="CQ31" s="1" t="str">
        <f>IF(ISNUMBER(CP31)=TRUE,IF(_xlfn.RANK.EQ(CP31,$CP$2:$CP$111)&lt;='Tournament Setup'!$C$41,_xlfn.RANK.EQ(CP31,$CP$2:$CP$111),""),"")</f>
        <v/>
      </c>
      <c r="CR31" s="31" t="str">
        <f>IF(AND($G31='Tournament Setup'!$A$41,$E31="F",$CO31&gt;'Tournament Setup'!$B$41),$H31,"")</f>
        <v/>
      </c>
      <c r="CS31" s="12" t="str">
        <f>IF(ISNUMBER(CR31)=TRUE,IF(_xlfn.RANK.EQ(CR31,$CR$2:$CR$111)&lt;='Tournament Setup'!$D$41,_xlfn.RANK.EQ(CR31,$CR$2:$CR$111),""),"")</f>
        <v/>
      </c>
    </row>
    <row r="32" spans="1:97" x14ac:dyDescent="0.3">
      <c r="A32" t="s">
        <v>187</v>
      </c>
      <c r="B32" t="str">
        <f>IFERROR(INDEX('Tournament List'!$B:$B,MATCH($A32,'Tournament List'!$A:$A,0)),"")</f>
        <v>Shelly</v>
      </c>
      <c r="C32" t="str">
        <f>IFERROR(INDEX('Tournament List'!$C:$C,MATCH($A32,'Tournament List'!$A:$A,0)),"")</f>
        <v>Last Name31</v>
      </c>
      <c r="D32" t="str">
        <f t="shared" si="0"/>
        <v>Shelly Last Name31</v>
      </c>
      <c r="E32" s="1" t="str">
        <f>IFERROR(INDEX('Tournament List'!F:F,MATCH($A32,'Tournament List'!$A:$A,0)),"")</f>
        <v>F</v>
      </c>
      <c r="F32" t="str">
        <f>IFERROR(INDEX('Tournament List'!M:M,MATCH($A32,'Tournament List'!$A:$A,0)),"")</f>
        <v>Intermediate</v>
      </c>
      <c r="G32" s="1" t="str">
        <f>IFERROR(INDEX('Tournament List'!W:W,MATCH($A32,'Tournament List'!$A:$A,0)),"")</f>
        <v>B</v>
      </c>
      <c r="H32" s="129">
        <f>IFERROR(INDEX('Tournament List'!Z:Z,MATCH($A32,'Tournament List'!$A:$A,0)),"")</f>
        <v>92</v>
      </c>
      <c r="I32" s="152" t="str">
        <f>IFERROR(INDEX('Tournament List'!T:T,MATCH($A32,'Tournament List'!$A:$A,0)),"")</f>
        <v/>
      </c>
      <c r="J32" s="56" t="str">
        <f>IF(ISNUMBER(I32),IF(COUNTIFS(J$1:J31,_xlfn.RANK.EQ(I32,I$2:I$111,0))&gt;0,_xlfn.MAXIFS(J$1:J31,I$1:I31,I32)+1,_xlfn.RANK.EQ(I32,I$2:I$111,0)),"")</f>
        <v/>
      </c>
      <c r="K32" s="11">
        <f t="shared" si="1"/>
        <v>6</v>
      </c>
      <c r="L32" s="56">
        <f>IF(ISNUMBER(H32),IF(COUNTIFS(L$1:L31,_xlfn.RANK.EQ(H32,H$2:H$111,0))&gt;0,_xlfn.MAXIFS(L$1:L31,H$1:H31,H32)+1,_xlfn.RANK.EQ(H32,H$2:H$111,0)),"")</f>
        <v>6</v>
      </c>
      <c r="M32" s="151">
        <f t="shared" si="2"/>
        <v>92</v>
      </c>
      <c r="N32" s="47">
        <f>IF(ISNUMBER(M32),IF(COUNTIFS(N$1:N31,_xlfn.RANK.EQ(M32,M$2:M$111,0))&gt;0,_xlfn.MAXIFS(N$1:N31,M$1:M31,M32)+1,_xlfn.RANK.EQ(M32,M$2:M$111,0)),"")</f>
        <v>6</v>
      </c>
      <c r="O32" s="1" t="str">
        <f>IF(ISNUMBER(M32)=TRUE,IF(_xlfn.RANK.EQ(M32,$M$2:$M$111)&lt;='Tournament Setup'!$B$23,_xlfn.RANK.EQ(M32,$M$2:$M$111),""),"")</f>
        <v/>
      </c>
      <c r="P32" s="150" t="str">
        <f t="shared" si="3"/>
        <v/>
      </c>
      <c r="Q32" s="1" t="str">
        <f>IF(ISNUMBER(P32)=TRUE,IF(_xlfn.RANK.EQ(P32,$P$2:$P$111)&lt;='Tournament Setup'!$B$24,_xlfn.RANK.EQ(P32,$P$2:$P$111),""),"")</f>
        <v/>
      </c>
      <c r="R32" s="150">
        <f t="shared" si="4"/>
        <v>92</v>
      </c>
      <c r="S32" s="12" t="str">
        <f>IF(ISNUMBER(R32)=TRUE,IF(_xlfn.RANK.EQ(R32,$R$2:$R$111)&lt;='Tournament Setup'!$B$25,_xlfn.RANK.EQ(R32,$R$2:$R$111),""),"")</f>
        <v/>
      </c>
      <c r="T32" s="152" t="str">
        <f>IF(AND($F32='Tournament Setup'!$A$29,$I32&lt;&gt;0),$I32,"")</f>
        <v/>
      </c>
      <c r="U32" s="47" t="str">
        <f>IF(ISNUMBER(T32),IF(COUNTIFS(U$1:U31,_xlfn.RANK.EQ(T32,T$2:T$111,0))&gt;0,_xlfn.MAXIFS(U$1:U31,T$1:T31,T32)+1,_xlfn.RANK.EQ(T32,T$2:T$111,0)),"")</f>
        <v/>
      </c>
      <c r="V32" s="1" t="str">
        <f>IF(ISNUMBER(T32)=TRUE,IF(_xlfn.RANK.EQ(T32,$T$3:$T$112)&lt;='Tournament Setup'!$B$46,_xlfn.RANK.EQ(T32,$T$2:$T$111),""),"")</f>
        <v/>
      </c>
      <c r="W32" s="30" t="str">
        <f>IF(AND($F32='Tournament Setup'!$A$29,SUM($O32,$Q32,$S32)=0),$H32,"")</f>
        <v/>
      </c>
      <c r="X32" s="47" t="str">
        <f>IF(ISNUMBER(W32),IF(COUNTIFS(X$1:X31,_xlfn.RANK.EQ(W32,W$2:W$111,0))&gt;0,_xlfn.MAXIFS(X$1:X31,W$1:W31,W32)+1,_xlfn.RANK.EQ(W32,W$2:W$111,0)),"")</f>
        <v/>
      </c>
      <c r="Y32" s="1" t="str">
        <f>IF(ISNUMBER(W32)=TRUE,IF(_xlfn.RANK.EQ(W32,$W$2:$W$111)&lt;='Tournament Setup'!$B$29,_xlfn.RANK.EQ(W32,$W$2:$W$111),""),"")</f>
        <v/>
      </c>
      <c r="Z32" s="31" t="str">
        <f>IF(AND($F32='Tournament Setup'!$A$29,SUM($O32,$Q32)=0,$E32="M",$Y32&gt;'Tournament Setup'!$B$29),$H32,"")</f>
        <v/>
      </c>
      <c r="AA32" s="1" t="str">
        <f>IF(ISNUMBER(Z32)=TRUE,IF(_xlfn.RANK.EQ(Z32,$Z$2:$Z$111)&lt;='Tournament Setup'!$C$29,_xlfn.RANK.EQ(Z32,$Z$2:$Z$111),""),"")</f>
        <v/>
      </c>
      <c r="AB32" s="31" t="str">
        <f>IF(AND($F32='Tournament Setup'!$A$29,SUM($O32,$S32)=0,$E32="F",$Y32&gt;'Tournament Setup'!$B$29),$H32,"")</f>
        <v/>
      </c>
      <c r="AC32" s="12" t="str">
        <f>IF(ISNUMBER(AB32)=TRUE,IF(_xlfn.RANK.EQ(AB32,$AB$2:$AB$111)&lt;='Tournament Setup'!$D$29,_xlfn.RANK.EQ(AB32,$AB$2:$AB$111),""),"")</f>
        <v/>
      </c>
      <c r="AD32" s="30" t="str">
        <f>IF(AND($F32='Tournament Setup'!$A$30,$I32&lt;&gt;0),$I32,"")</f>
        <v/>
      </c>
      <c r="AE32" s="47" t="str">
        <f>IF(ISNUMBER(AD32),IF(COUNTIFS(AE$1:AE31,_xlfn.RANK.EQ(AD32,AD$2:AD$111,0))&gt;0,_xlfn.MAXIFS(AE$1:AE31,AD$1:AD31,AD32)+1,_xlfn.RANK.EQ(AD32,AD$2:AD$111,0)),"")</f>
        <v/>
      </c>
      <c r="AF32" s="1" t="str">
        <f>IF(ISNUMBER(AD32)=TRUE,IF(_xlfn.RANK.EQ(AD32,$AD$2:$AD$111)&lt;='Tournament Setup'!$B$46,_xlfn.RANK.EQ(AD32,$AD$2:$AD$111),""),"")</f>
        <v/>
      </c>
      <c r="AG32" s="30">
        <f>IF(AND($F32='Tournament Setup'!$A$30,SUM($O32,$Q32,$S32)=0),$H32,"")</f>
        <v>92</v>
      </c>
      <c r="AH32" s="47">
        <f>IF(ISNUMBER(AG32),IF(COUNTIFS(AH$1:AH31,_xlfn.RANK.EQ(AG32,AG$2:AG$111,0))&gt;0,_xlfn.MAXIFS(AH$1:AH31,AG$1:AG31,AG32)+1,_xlfn.RANK.EQ(AG32,AG$2:AG$111,0)),"")</f>
        <v>2</v>
      </c>
      <c r="AI32" s="1" t="str">
        <f>IF(ISNUMBER(AG32)=TRUE,IF(_xlfn.RANK.EQ(AG32,$AG$2:$AG$111)&lt;='Tournament Setup'!$B$30,_xlfn.RANK.EQ(AG32,$AG$2:$AG$111),""),"")</f>
        <v/>
      </c>
      <c r="AJ32" s="31" t="str">
        <f>IF(AND($F32='Tournament Setup'!$A$30,SUM($O32,$Q32)=0,$E32="M",$AI32&gt;'Tournament Setup'!$B$30),$H32,"")</f>
        <v/>
      </c>
      <c r="AK32" s="1" t="str">
        <f>IF(ISNUMBER(AJ32)=TRUE,IF(_xlfn.RANK.EQ(AJ32,$AJ$2:$AJ$111)&lt;='Tournament Setup'!$C$30,_xlfn.RANK.EQ(AJ32,$AJ$2:$AJ$111),""),"")</f>
        <v/>
      </c>
      <c r="AL32" s="31">
        <f>IF(AND($F32='Tournament Setup'!$A$30,SUM($O32,$S32)=0,$E32="F",$AI32&gt;'Tournament Setup'!$B$30),$H32,"")</f>
        <v>92</v>
      </c>
      <c r="AM32" s="12">
        <f>IF(ISNUMBER(AL32)=TRUE,IF(_xlfn.RANK.EQ(AL32,$AL$2:$AL$111)&lt;='Tournament Setup'!$D$30,_xlfn.RANK.EQ(AL32,$AL$2:$AL$111),""),"")</f>
        <v>2</v>
      </c>
      <c r="AN32" s="30" t="str">
        <f>IF(AND($F32='Tournament Setup'!$A$31,$I32&lt;&gt;0),$I32,"")</f>
        <v/>
      </c>
      <c r="AO32" s="47" t="str">
        <f>IF(ISNUMBER(AN32),IF(COUNTIFS(AO$1:AO31,_xlfn.RANK.EQ(AN32,AN$2:AN$111,0))&gt;0,_xlfn.MAXIFS(AO$1:AO31,AN$1:AN31,AN32)+1,_xlfn.RANK.EQ(AN32,AN$2:AN$111,0)),"")</f>
        <v/>
      </c>
      <c r="AP32" s="1" t="str">
        <f>IF(ISNUMBER(AN32)=TRUE,IF(_xlfn.RANK.EQ(AN32,$AN$2:$AN$111)&lt;='Tournament Setup'!$B$46,_xlfn.RANK.EQ(AN32,$AN$2:$AN$111),""),"")</f>
        <v/>
      </c>
      <c r="AQ32" s="30" t="str">
        <f>IF(AND($F32='Tournament Setup'!$A$31,SUM($O32,$Q32,$S32)=0),$H32,"")</f>
        <v/>
      </c>
      <c r="AR32" s="47" t="str">
        <f>IF(ISNUMBER(AQ32),IF(COUNTIFS(AR$1:AR31,_xlfn.RANK.EQ(AQ32,AQ$2:AQ$111,0))&gt;0,_xlfn.MAXIFS(AR$1:AR31,AQ$1:AQ31,AQ32)+1,_xlfn.RANK.EQ(AQ32,AQ$2:AQ$111,0)),"")</f>
        <v/>
      </c>
      <c r="AS32" s="1" t="str">
        <f>IF(ISNUMBER(AQ32)=TRUE,IF(_xlfn.RANK.EQ(AQ32,$AQ$2:$AQ$111)&lt;='Tournament Setup'!$B$31,_xlfn.RANK.EQ(AQ32,$AQ$2:$AQ$111),""),"")</f>
        <v/>
      </c>
      <c r="AT32" s="31" t="str">
        <f>IF(AND($F32='Tournament Setup'!$A$31,SUM($O32,$Q32)=0,$E32="M",$AS32&gt;'Tournament Setup'!$B$31),$H32,"")</f>
        <v/>
      </c>
      <c r="AU32" s="1" t="str">
        <f>IF(ISNUMBER(AT32)=TRUE,IF(_xlfn.RANK.EQ(AT32,$AT$2:$AT$111)&lt;='Tournament Setup'!$C$31,_xlfn.RANK.EQ(AT32,$AT$2:$AT$111),""),"")</f>
        <v/>
      </c>
      <c r="AV32" s="31" t="str">
        <f>IF(AND($F32='Tournament Setup'!$A$31,SUM($O32,$S32)=0,$E32="F",$AS32&gt;'Tournament Setup'!$B$31),$H32,"")</f>
        <v/>
      </c>
      <c r="AW32" s="12" t="str">
        <f>IF(ISNUMBER(AV32)=TRUE,IF(_xlfn.RANK.EQ(AV32,$AV$2:$AV$111)&lt;='Tournament Setup'!$D$31,_xlfn.RANK.EQ(AV32,$AV$2:$AV$111),""),"")</f>
        <v/>
      </c>
      <c r="AX32" s="30" t="str">
        <f>IF(AND($F32='Tournament Setup'!$A$32,$I32&lt;&gt;0),$I32,"")</f>
        <v/>
      </c>
      <c r="AY32" s="47" t="str">
        <f>IF(ISNUMBER(AX32),IF(COUNTIFS(AY$1:AY31,_xlfn.RANK.EQ(AX32,AX$2:AX$111,0))&gt;0,_xlfn.MAXIFS(AY$1:AY31,AX$1:AX31,AX32)+1,_xlfn.RANK.EQ(AX32,AX$2:AX$111,0)),"")</f>
        <v/>
      </c>
      <c r="AZ32" s="1" t="str">
        <f>IF(ISNUMBER(AX32)=TRUE,IF(_xlfn.RANK.EQ(AX32,$AX$2:$AX$111)&lt;='Tournament Setup'!$B$46,_xlfn.RANK.EQ(AX32,$AX$2:$AX$111),""),"")</f>
        <v/>
      </c>
      <c r="BA32" s="30" t="str">
        <f>IF(AND($F32='Tournament Setup'!$A$32,SUM($O32,$Q32,$S32)=0),$H32,"")</f>
        <v/>
      </c>
      <c r="BB32" s="47" t="str">
        <f>IF(ISNUMBER(BA32),IF(COUNTIFS(BB$1:BB31,_xlfn.RANK.EQ(BA32,BA$2:BA$111,0))&gt;0,_xlfn.MAXIFS(BB$1:BB31,BA$1:BA31,BA32)+1,_xlfn.RANK.EQ(BA32,BA$2:BA$111,0)),"")</f>
        <v/>
      </c>
      <c r="BC32" s="1" t="str">
        <f>IF(ISNUMBER(BA32)=TRUE,IF(_xlfn.RANK.EQ(BA32,$BA$2:$BA$111)&lt;='Tournament Setup'!$B$32,_xlfn.RANK.EQ(BA32,$BA$2:$BA$111),""),"")</f>
        <v/>
      </c>
      <c r="BD32" s="31" t="str">
        <f>IF(AND($F32='Tournament Setup'!$A$32,SUM($O32,$Q32)=0,$E32="M",$BC32&gt;'Tournament Setup'!$B$32),$H32,"")</f>
        <v/>
      </c>
      <c r="BE32" s="1" t="str">
        <f>IF(ISNUMBER(BD32)=TRUE,IF(_xlfn.RANK.EQ(BD32,$BD$2:$BD$111)&lt;='Tournament Setup'!$C$32,_xlfn.RANK.EQ(BD32,$BD$2:$BD$111),""),"")</f>
        <v/>
      </c>
      <c r="BF32" s="31" t="str">
        <f>IF(AND($F32='Tournament Setup'!$A$32,SUM($O32,$S32)=0,$E32="F",$BC32&gt;'Tournament Setup'!$B$32),$H32,"")</f>
        <v/>
      </c>
      <c r="BG32" s="12" t="str">
        <f>IF(ISNUMBER(BF32)=TRUE,IF(_xlfn.RANK.EQ(BF32,$BF$2:$BF$111)&lt;='Tournament Setup'!$D$32,_xlfn.RANK.EQ(BF32,$BF$2:$BF$111),""),"")</f>
        <v/>
      </c>
      <c r="BH32" s="30" t="str">
        <f>IF(AND($F32='Tournament Setup'!$A$33,$I32&lt;&gt;0),$I32,"")</f>
        <v/>
      </c>
      <c r="BI32" s="47" t="str">
        <f>IF(ISNUMBER(BH32),IF(COUNTIFS(BI$1:BI31,_xlfn.RANK.EQ(BH32,BH$2:BH$111,0))&gt;0,_xlfn.MAXIFS(BI$1:BI31,BH$1:BH31,BH32)+1,_xlfn.RANK.EQ(BH32,BH$2:BH$111,0)),"")</f>
        <v/>
      </c>
      <c r="BJ32" s="1" t="str">
        <f>IF(ISNUMBER(BH32)=TRUE,IF(_xlfn.RANK.EQ(BH32,$BH$2:$BH$111)&lt;='Tournament Setup'!$B$46,_xlfn.RANK.EQ(BH32,$BH$2:$BH$111),""),"")</f>
        <v/>
      </c>
      <c r="BK32" s="30" t="str">
        <f>IF(AND($F32='Tournament Setup'!$A$33,SUM($O32,$Q32,$S32)=0),$H32,"")</f>
        <v/>
      </c>
      <c r="BL32" s="47" t="str">
        <f>IF(ISNUMBER(BK32),IF(COUNTIFS(BL$1:BL31,_xlfn.RANK.EQ(BK32,BK$2:BK$111,0))&gt;0,_xlfn.MAXIFS(BL$1:BL31,BK$1:BK31,BK32)+1,_xlfn.RANK.EQ(BK32,BK$2:BK$111,0)),"")</f>
        <v/>
      </c>
      <c r="BM32" s="1" t="str">
        <f>IF(ISNUMBER(BK32)=TRUE,IF(_xlfn.RANK.EQ(BK32,$BK$2:$BK$111)&lt;='Tournament Setup'!$B$33,_xlfn.RANK.EQ(BK32,$BK$2:$BK$111),""),"")</f>
        <v/>
      </c>
      <c r="BN32" s="31" t="str">
        <f>IF(AND($F32='Tournament Setup'!$A$33,SUM($O32,$Q32)=0,$E32="M",$BM32&gt;'Tournament Setup'!$B$33),$H32,"")</f>
        <v/>
      </c>
      <c r="BO32" s="1" t="str">
        <f>IF(ISNUMBER(BN32)=TRUE,IF(_xlfn.RANK.EQ(BN32,$BN$2:$BN$111)&lt;='Tournament Setup'!$C$33,_xlfn.RANK.EQ(BN32,$BN$2:$BN$111),""),"")</f>
        <v/>
      </c>
      <c r="BP32" s="31" t="str">
        <f>IF(AND($F32='Tournament Setup'!$A$33,SUM($O32,$S32)=0,$E32="F",$BM32&gt;'Tournament Setup'!$B$33),$H32,"")</f>
        <v/>
      </c>
      <c r="BQ32" s="12" t="str">
        <f>IF(ISNUMBER(BP32)=TRUE,IF(_xlfn.RANK.EQ(BP32,$BP$2:$BP$111)&lt;='Tournament Setup'!$D$33,_xlfn.RANK.EQ(BP32,$BP$2:$BP$111),""),"")</f>
        <v/>
      </c>
      <c r="BR32" s="30" t="str">
        <f>IF($G32='Tournament Setup'!$A$38,$H32,"")</f>
        <v/>
      </c>
      <c r="BS32" s="47" t="str">
        <f>IF(ISNUMBER(BR32),IF(COUNTIFS(BS$1:BS31,_xlfn.RANK.EQ(BR32,BR$2:BR$111,0))&gt;0,_xlfn.MAXIFS(BS$1:BS31,BR$1:BR31,BR32)+1,_xlfn.RANK.EQ(BR32,BR$2:BR$111,0)),"")</f>
        <v/>
      </c>
      <c r="BT32" s="1" t="str">
        <f>IF(ISNUMBER(BR32)=TRUE,IF(_xlfn.RANK.EQ(BR32,$BR$2:$BR$111)&lt;='Tournament Setup'!$B$38,_xlfn.RANK.EQ(BR32,$BR$2:$BR$111),""),"")</f>
        <v/>
      </c>
      <c r="BU32" s="31" t="str">
        <f>IF(AND($G32='Tournament Setup'!$A$38,$E32="M",$BT32&gt;'Tournament Setup'!$B$38),$H32,"")</f>
        <v/>
      </c>
      <c r="BV32" s="1" t="str">
        <f>IF(ISNUMBER(BU32)=TRUE,IF(_xlfn.RANK.EQ(BU32,$BU$2:$BU$111)&lt;='Tournament Setup'!$C$38,_xlfn.RANK.EQ(BU32,$BU$2:$BU$111),""),"")</f>
        <v/>
      </c>
      <c r="BW32" s="31" t="str">
        <f>IF(AND($G32='Tournament Setup'!$A$38,$E32="F",$BT32&gt;'Tournament Setup'!$B$38),$H32,"")</f>
        <v/>
      </c>
      <c r="BX32" s="12" t="str">
        <f>IF(ISNUMBER(BW32)=TRUE,IF(_xlfn.RANK.EQ(BW32,$BW$2:$BW$111)&lt;='Tournament Setup'!$D$38,_xlfn.RANK.EQ(BW32,$BW$2:$BW$111),""),"")</f>
        <v/>
      </c>
      <c r="BY32" s="30">
        <f>IF($G32='Tournament Setup'!$A$39,$H32,"")</f>
        <v>92</v>
      </c>
      <c r="BZ32" s="47">
        <f>IF(ISNUMBER(BY32),IF(COUNTIFS(BZ$1:BZ31,_xlfn.RANK.EQ(BY32,BY$2:BY$111,0))&gt;0,_xlfn.MAXIFS(BZ$1:BZ31,BY$1:BY31,BY32)+1,_xlfn.RANK.EQ(BY32,BY$2:BY$111,0)),"")</f>
        <v>4</v>
      </c>
      <c r="CA32" s="1" t="str">
        <f>IF(ISNUMBER(BY32)=TRUE,IF(_xlfn.RANK.EQ(BY32,$BY$2:$BY$111)&lt;='Tournament Setup'!$B$39,_xlfn.RANK.EQ(BY32,$BY$2:$BY$111),""),"")</f>
        <v/>
      </c>
      <c r="CB32" s="31" t="str">
        <f>IF(AND($G32='Tournament Setup'!$A$39,$E32="M",$CA32&gt;'Tournament Setup'!$B$39),$H32,"")</f>
        <v/>
      </c>
      <c r="CC32" s="1" t="str">
        <f>IF(ISNUMBER(CB32)=TRUE,IF(_xlfn.RANK.EQ(CB32,$CB$2:$CB$111)&lt;='Tournament Setup'!$C$39,_xlfn.RANK.EQ(CB32,$CB$2:$CB$111),""),"")</f>
        <v/>
      </c>
      <c r="CD32" s="31">
        <f>IF(AND($G32='Tournament Setup'!$A$39,$E32="F",$CA32&gt;'Tournament Setup'!$B$39),$H32,"")</f>
        <v>92</v>
      </c>
      <c r="CE32" s="12" t="str">
        <f>IF(ISNUMBER(CD32)=TRUE,IF(_xlfn.RANK.EQ(CD32,$CD$2:$CD$111)&lt;='Tournament Setup'!$D$39,_xlfn.RANK.EQ(CD32,$CD$2:$CD$111),""),"")</f>
        <v/>
      </c>
      <c r="CF32" s="30" t="str">
        <f>IF($G32='Tournament Setup'!$A$40,$H32,"")</f>
        <v/>
      </c>
      <c r="CG32" s="47" t="str">
        <f>IF(ISNUMBER(CF32),IF(COUNTIFS(CG$1:CG31,_xlfn.RANK.EQ(CF32,CF$2:CF$111,0))&gt;0,_xlfn.MAXIFS(CG$1:CG31,CF$1:CF31,CF32)+1,_xlfn.RANK.EQ(CF32,CF$2:CF$111,0)),"")</f>
        <v/>
      </c>
      <c r="CH32" s="1" t="str">
        <f>IF(ISNUMBER(CF32)=TRUE,IF(_xlfn.RANK.EQ(CF32,$CF$2:$CF$111)&lt;='Tournament Setup'!$B$40,_xlfn.RANK.EQ(CF32,$CF$2:$CF$111),""),"")</f>
        <v/>
      </c>
      <c r="CI32" s="31" t="str">
        <f>IF(AND($G32='Tournament Setup'!$A$40,$E32="M",$CH32&gt;'Tournament Setup'!$B$40),$H32,"")</f>
        <v/>
      </c>
      <c r="CJ32" s="1" t="str">
        <f>IF(ISNUMBER(CI32)=TRUE,IF(_xlfn.RANK.EQ(CI32,$CI$2:$CI$111)&lt;='Tournament Setup'!$C$40,_xlfn.RANK.EQ(CI32,$CI$2:$CI$111),""),"")</f>
        <v/>
      </c>
      <c r="CK32" s="31" t="str">
        <f>IF(AND($G32='Tournament Setup'!$A$40,$E32="F",$CH32&gt;'Tournament Setup'!$B$40),$H32,"")</f>
        <v/>
      </c>
      <c r="CL32" s="12" t="str">
        <f>IF(ISNUMBER(CK32)=TRUE,IF(_xlfn.RANK.EQ(CK32,$CK$2:$CK$111)&lt;='Tournament Setup'!$D$40,_xlfn.RANK.EQ(CK32,$CK$2:$CK$111),""),"")</f>
        <v/>
      </c>
      <c r="CM32" s="30" t="str">
        <f>IF($G32='Tournament Setup'!$A$41,$H32,"")</f>
        <v/>
      </c>
      <c r="CN32" s="47" t="str">
        <f>IF(ISNUMBER(CM32),IF(COUNTIFS(CN$1:CN31,_xlfn.RANK.EQ(CM32,CM$2:CM$111,0))&gt;0,_xlfn.MAXIFS(CN$1:CN31,CM$1:CM31,CM32)+1,_xlfn.RANK.EQ(CM32,CM$2:CM$111,0)),"")</f>
        <v/>
      </c>
      <c r="CO32" s="1" t="str">
        <f>IF(ISNUMBER(CM32)=TRUE,IF(_xlfn.RANK.EQ(CM32,$CM$2:$CM$111)&lt;='Tournament Setup'!$B$41,_xlfn.RANK.EQ(CM32,$CM$2:$CM$111),""),"")</f>
        <v/>
      </c>
      <c r="CP32" s="31" t="str">
        <f>IF(AND($G32='Tournament Setup'!$A$41,$E32="M",$CO32&gt;'Tournament Setup'!$B$41),$H32,"")</f>
        <v/>
      </c>
      <c r="CQ32" s="1" t="str">
        <f>IF(ISNUMBER(CP32)=TRUE,IF(_xlfn.RANK.EQ(CP32,$CP$2:$CP$111)&lt;='Tournament Setup'!$C$41,_xlfn.RANK.EQ(CP32,$CP$2:$CP$111),""),"")</f>
        <v/>
      </c>
      <c r="CR32" s="31" t="str">
        <f>IF(AND($G32='Tournament Setup'!$A$41,$E32="F",$CO32&gt;'Tournament Setup'!$B$41),$H32,"")</f>
        <v/>
      </c>
      <c r="CS32" s="12" t="str">
        <f>IF(ISNUMBER(CR32)=TRUE,IF(_xlfn.RANK.EQ(CR32,$CR$2:$CR$111)&lt;='Tournament Setup'!$D$41,_xlfn.RANK.EQ(CR32,$CR$2:$CR$111),""),"")</f>
        <v/>
      </c>
    </row>
    <row r="33" spans="1:97" x14ac:dyDescent="0.3">
      <c r="A33" t="s">
        <v>188</v>
      </c>
      <c r="B33" t="str">
        <f>IFERROR(INDEX('Tournament List'!$B:$B,MATCH($A33,'Tournament List'!$A:$A,0)),"")</f>
        <v>Kelly</v>
      </c>
      <c r="C33" t="str">
        <f>IFERROR(INDEX('Tournament List'!$C:$C,MATCH($A33,'Tournament List'!$A:$A,0)),"")</f>
        <v>Last Name32</v>
      </c>
      <c r="D33" t="str">
        <f t="shared" si="0"/>
        <v>Kelly Last Name32</v>
      </c>
      <c r="E33" s="1" t="str">
        <f>IFERROR(INDEX('Tournament List'!F:F,MATCH($A33,'Tournament List'!$A:$A,0)),"")</f>
        <v>F</v>
      </c>
      <c r="F33" t="str">
        <f>IFERROR(INDEX('Tournament List'!M:M,MATCH($A33,'Tournament List'!$A:$A,0)),"")</f>
        <v>Intermediate</v>
      </c>
      <c r="G33" s="1" t="str">
        <f>IFERROR(INDEX('Tournament List'!W:W,MATCH($A33,'Tournament List'!$A:$A,0)),"")</f>
        <v>C</v>
      </c>
      <c r="H33" s="129">
        <f>IFERROR(INDEX('Tournament List'!Z:Z,MATCH($A33,'Tournament List'!$A:$A,0)),"")</f>
        <v>29</v>
      </c>
      <c r="I33" s="152" t="str">
        <f>IFERROR(INDEX('Tournament List'!T:T,MATCH($A33,'Tournament List'!$A:$A,0)),"")</f>
        <v/>
      </c>
      <c r="J33" s="56" t="str">
        <f>IF(ISNUMBER(I33),IF(COUNTIFS(J$1:J32,_xlfn.RANK.EQ(I33,I$2:I$111,0))&gt;0,_xlfn.MAXIFS(J$1:J32,I$1:I32,I33)+1,_xlfn.RANK.EQ(I33,I$2:I$111,0)),"")</f>
        <v/>
      </c>
      <c r="K33" s="11">
        <f t="shared" si="1"/>
        <v>48</v>
      </c>
      <c r="L33" s="56">
        <f>IF(ISNUMBER(H33),IF(COUNTIFS(L$1:L32,_xlfn.RANK.EQ(H33,H$2:H$111,0))&gt;0,_xlfn.MAXIFS(L$1:L32,H$1:H32,H33)+1,_xlfn.RANK.EQ(H33,H$2:H$111,0)),"")</f>
        <v>48</v>
      </c>
      <c r="M33" s="151">
        <f t="shared" si="2"/>
        <v>29</v>
      </c>
      <c r="N33" s="47">
        <f>IF(ISNUMBER(M33),IF(COUNTIFS(N$1:N32,_xlfn.RANK.EQ(M33,M$2:M$111,0))&gt;0,_xlfn.MAXIFS(N$1:N32,M$1:M32,M33)+1,_xlfn.RANK.EQ(M33,M$2:M$111,0)),"")</f>
        <v>42</v>
      </c>
      <c r="O33" s="1" t="str">
        <f>IF(ISNUMBER(M33)=TRUE,IF(_xlfn.RANK.EQ(M33,$M$2:$M$111)&lt;='Tournament Setup'!$B$23,_xlfn.RANK.EQ(M33,$M$2:$M$111),""),"")</f>
        <v/>
      </c>
      <c r="P33" s="150" t="str">
        <f t="shared" si="3"/>
        <v/>
      </c>
      <c r="Q33" s="1" t="str">
        <f>IF(ISNUMBER(P33)=TRUE,IF(_xlfn.RANK.EQ(P33,$P$2:$P$111)&lt;='Tournament Setup'!$B$24,_xlfn.RANK.EQ(P33,$P$2:$P$111),""),"")</f>
        <v/>
      </c>
      <c r="R33" s="150">
        <f t="shared" si="4"/>
        <v>29</v>
      </c>
      <c r="S33" s="12" t="str">
        <f>IF(ISNUMBER(R33)=TRUE,IF(_xlfn.RANK.EQ(R33,$R$2:$R$111)&lt;='Tournament Setup'!$B$25,_xlfn.RANK.EQ(R33,$R$2:$R$111),""),"")</f>
        <v/>
      </c>
      <c r="T33" s="152" t="str">
        <f>IF(AND($F33='Tournament Setup'!$A$29,$I33&lt;&gt;0),$I33,"")</f>
        <v/>
      </c>
      <c r="U33" s="47" t="str">
        <f>IF(ISNUMBER(T33),IF(COUNTIFS(U$1:U32,_xlfn.RANK.EQ(T33,T$2:T$111,0))&gt;0,_xlfn.MAXIFS(U$1:U32,T$1:T32,T33)+1,_xlfn.RANK.EQ(T33,T$2:T$111,0)),"")</f>
        <v/>
      </c>
      <c r="V33" s="1" t="str">
        <f>IF(ISNUMBER(T33)=TRUE,IF(_xlfn.RANK.EQ(T33,$T$3:$T$112)&lt;='Tournament Setup'!$B$46,_xlfn.RANK.EQ(T33,$T$2:$T$111),""),"")</f>
        <v/>
      </c>
      <c r="W33" s="30" t="str">
        <f>IF(AND($F33='Tournament Setup'!$A$29,SUM($O33,$Q33,$S33)=0),$H33,"")</f>
        <v/>
      </c>
      <c r="X33" s="47" t="str">
        <f>IF(ISNUMBER(W33),IF(COUNTIFS(X$1:X32,_xlfn.RANK.EQ(W33,W$2:W$111,0))&gt;0,_xlfn.MAXIFS(X$1:X32,W$1:W32,W33)+1,_xlfn.RANK.EQ(W33,W$2:W$111,0)),"")</f>
        <v/>
      </c>
      <c r="Y33" s="1" t="str">
        <f>IF(ISNUMBER(W33)=TRUE,IF(_xlfn.RANK.EQ(W33,$W$2:$W$111)&lt;='Tournament Setup'!$B$29,_xlfn.RANK.EQ(W33,$W$2:$W$111),""),"")</f>
        <v/>
      </c>
      <c r="Z33" s="31" t="str">
        <f>IF(AND($F33='Tournament Setup'!$A$29,SUM($O33,$Q33)=0,$E33="M",$Y33&gt;'Tournament Setup'!$B$29),$H33,"")</f>
        <v/>
      </c>
      <c r="AA33" s="1" t="str">
        <f>IF(ISNUMBER(Z33)=TRUE,IF(_xlfn.RANK.EQ(Z33,$Z$2:$Z$111)&lt;='Tournament Setup'!$C$29,_xlfn.RANK.EQ(Z33,$Z$2:$Z$111),""),"")</f>
        <v/>
      </c>
      <c r="AB33" s="31" t="str">
        <f>IF(AND($F33='Tournament Setup'!$A$29,SUM($O33,$S33)=0,$E33="F",$Y33&gt;'Tournament Setup'!$B$29),$H33,"")</f>
        <v/>
      </c>
      <c r="AC33" s="12" t="str">
        <f>IF(ISNUMBER(AB33)=TRUE,IF(_xlfn.RANK.EQ(AB33,$AB$2:$AB$111)&lt;='Tournament Setup'!$D$29,_xlfn.RANK.EQ(AB33,$AB$2:$AB$111),""),"")</f>
        <v/>
      </c>
      <c r="AD33" s="30" t="str">
        <f>IF(AND($F33='Tournament Setup'!$A$30,$I33&lt;&gt;0),$I33,"")</f>
        <v/>
      </c>
      <c r="AE33" s="47" t="str">
        <f>IF(ISNUMBER(AD33),IF(COUNTIFS(AE$1:AE32,_xlfn.RANK.EQ(AD33,AD$2:AD$111,0))&gt;0,_xlfn.MAXIFS(AE$1:AE32,AD$1:AD32,AD33)+1,_xlfn.RANK.EQ(AD33,AD$2:AD$111,0)),"")</f>
        <v/>
      </c>
      <c r="AF33" s="1" t="str">
        <f>IF(ISNUMBER(AD33)=TRUE,IF(_xlfn.RANK.EQ(AD33,$AD$2:$AD$111)&lt;='Tournament Setup'!$B$46,_xlfn.RANK.EQ(AD33,$AD$2:$AD$111),""),"")</f>
        <v/>
      </c>
      <c r="AG33" s="30">
        <f>IF(AND($F33='Tournament Setup'!$A$30,SUM($O33,$Q33,$S33)=0),$H33,"")</f>
        <v>29</v>
      </c>
      <c r="AH33" s="47">
        <f>IF(ISNUMBER(AG33),IF(COUNTIFS(AH$1:AH32,_xlfn.RANK.EQ(AG33,AG$2:AG$111,0))&gt;0,_xlfn.MAXIFS(AH$1:AH32,AG$1:AG32,AG33)+1,_xlfn.RANK.EQ(AG33,AG$2:AG$111,0)),"")</f>
        <v>8</v>
      </c>
      <c r="AI33" s="1" t="str">
        <f>IF(ISNUMBER(AG33)=TRUE,IF(_xlfn.RANK.EQ(AG33,$AG$2:$AG$111)&lt;='Tournament Setup'!$B$30,_xlfn.RANK.EQ(AG33,$AG$2:$AG$111),""),"")</f>
        <v/>
      </c>
      <c r="AJ33" s="31" t="str">
        <f>IF(AND($F33='Tournament Setup'!$A$30,SUM($O33,$Q33)=0,$E33="M",$AI33&gt;'Tournament Setup'!$B$30),$H33,"")</f>
        <v/>
      </c>
      <c r="AK33" s="1" t="str">
        <f>IF(ISNUMBER(AJ33)=TRUE,IF(_xlfn.RANK.EQ(AJ33,$AJ$2:$AJ$111)&lt;='Tournament Setup'!$C$30,_xlfn.RANK.EQ(AJ33,$AJ$2:$AJ$111),""),"")</f>
        <v/>
      </c>
      <c r="AL33" s="31">
        <f>IF(AND($F33='Tournament Setup'!$A$30,SUM($O33,$S33)=0,$E33="F",$AI33&gt;'Tournament Setup'!$B$30),$H33,"")</f>
        <v>29</v>
      </c>
      <c r="AM33" s="12" t="str">
        <f>IF(ISNUMBER(AL33)=TRUE,IF(_xlfn.RANK.EQ(AL33,$AL$2:$AL$111)&lt;='Tournament Setup'!$D$30,_xlfn.RANK.EQ(AL33,$AL$2:$AL$111),""),"")</f>
        <v/>
      </c>
      <c r="AN33" s="30" t="str">
        <f>IF(AND($F33='Tournament Setup'!$A$31,$I33&lt;&gt;0),$I33,"")</f>
        <v/>
      </c>
      <c r="AO33" s="47" t="str">
        <f>IF(ISNUMBER(AN33),IF(COUNTIFS(AO$1:AO32,_xlfn.RANK.EQ(AN33,AN$2:AN$111,0))&gt;0,_xlfn.MAXIFS(AO$1:AO32,AN$1:AN32,AN33)+1,_xlfn.RANK.EQ(AN33,AN$2:AN$111,0)),"")</f>
        <v/>
      </c>
      <c r="AP33" s="1" t="str">
        <f>IF(ISNUMBER(AN33)=TRUE,IF(_xlfn.RANK.EQ(AN33,$AN$2:$AN$111)&lt;='Tournament Setup'!$B$46,_xlfn.RANK.EQ(AN33,$AN$2:$AN$111),""),"")</f>
        <v/>
      </c>
      <c r="AQ33" s="30" t="str">
        <f>IF(AND($F33='Tournament Setup'!$A$31,SUM($O33,$Q33,$S33)=0),$H33,"")</f>
        <v/>
      </c>
      <c r="AR33" s="47" t="str">
        <f>IF(ISNUMBER(AQ33),IF(COUNTIFS(AR$1:AR32,_xlfn.RANK.EQ(AQ33,AQ$2:AQ$111,0))&gt;0,_xlfn.MAXIFS(AR$1:AR32,AQ$1:AQ32,AQ33)+1,_xlfn.RANK.EQ(AQ33,AQ$2:AQ$111,0)),"")</f>
        <v/>
      </c>
      <c r="AS33" s="1" t="str">
        <f>IF(ISNUMBER(AQ33)=TRUE,IF(_xlfn.RANK.EQ(AQ33,$AQ$2:$AQ$111)&lt;='Tournament Setup'!$B$31,_xlfn.RANK.EQ(AQ33,$AQ$2:$AQ$111),""),"")</f>
        <v/>
      </c>
      <c r="AT33" s="31" t="str">
        <f>IF(AND($F33='Tournament Setup'!$A$31,SUM($O33,$Q33)=0,$E33="M",$AS33&gt;'Tournament Setup'!$B$31),$H33,"")</f>
        <v/>
      </c>
      <c r="AU33" s="1" t="str">
        <f>IF(ISNUMBER(AT33)=TRUE,IF(_xlfn.RANK.EQ(AT33,$AT$2:$AT$111)&lt;='Tournament Setup'!$C$31,_xlfn.RANK.EQ(AT33,$AT$2:$AT$111),""),"")</f>
        <v/>
      </c>
      <c r="AV33" s="31" t="str">
        <f>IF(AND($F33='Tournament Setup'!$A$31,SUM($O33,$S33)=0,$E33="F",$AS33&gt;'Tournament Setup'!$B$31),$H33,"")</f>
        <v/>
      </c>
      <c r="AW33" s="12" t="str">
        <f>IF(ISNUMBER(AV33)=TRUE,IF(_xlfn.RANK.EQ(AV33,$AV$2:$AV$111)&lt;='Tournament Setup'!$D$31,_xlfn.RANK.EQ(AV33,$AV$2:$AV$111),""),"")</f>
        <v/>
      </c>
      <c r="AX33" s="30" t="str">
        <f>IF(AND($F33='Tournament Setup'!$A$32,$I33&lt;&gt;0),$I33,"")</f>
        <v/>
      </c>
      <c r="AY33" s="47" t="str">
        <f>IF(ISNUMBER(AX33),IF(COUNTIFS(AY$1:AY32,_xlfn.RANK.EQ(AX33,AX$2:AX$111,0))&gt;0,_xlfn.MAXIFS(AY$1:AY32,AX$1:AX32,AX33)+1,_xlfn.RANK.EQ(AX33,AX$2:AX$111,0)),"")</f>
        <v/>
      </c>
      <c r="AZ33" s="1" t="str">
        <f>IF(ISNUMBER(AX33)=TRUE,IF(_xlfn.RANK.EQ(AX33,$AX$2:$AX$111)&lt;='Tournament Setup'!$B$46,_xlfn.RANK.EQ(AX33,$AX$2:$AX$111),""),"")</f>
        <v/>
      </c>
      <c r="BA33" s="30" t="str">
        <f>IF(AND($F33='Tournament Setup'!$A$32,SUM($O33,$Q33,$S33)=0),$H33,"")</f>
        <v/>
      </c>
      <c r="BB33" s="47" t="str">
        <f>IF(ISNUMBER(BA33),IF(COUNTIFS(BB$1:BB32,_xlfn.RANK.EQ(BA33,BA$2:BA$111,0))&gt;0,_xlfn.MAXIFS(BB$1:BB32,BA$1:BA32,BA33)+1,_xlfn.RANK.EQ(BA33,BA$2:BA$111,0)),"")</f>
        <v/>
      </c>
      <c r="BC33" s="1" t="str">
        <f>IF(ISNUMBER(BA33)=TRUE,IF(_xlfn.RANK.EQ(BA33,$BA$2:$BA$111)&lt;='Tournament Setup'!$B$32,_xlfn.RANK.EQ(BA33,$BA$2:$BA$111),""),"")</f>
        <v/>
      </c>
      <c r="BD33" s="31" t="str">
        <f>IF(AND($F33='Tournament Setup'!$A$32,SUM($O33,$Q33)=0,$E33="M",$BC33&gt;'Tournament Setup'!$B$32),$H33,"")</f>
        <v/>
      </c>
      <c r="BE33" s="1" t="str">
        <f>IF(ISNUMBER(BD33)=TRUE,IF(_xlfn.RANK.EQ(BD33,$BD$2:$BD$111)&lt;='Tournament Setup'!$C$32,_xlfn.RANK.EQ(BD33,$BD$2:$BD$111),""),"")</f>
        <v/>
      </c>
      <c r="BF33" s="31" t="str">
        <f>IF(AND($F33='Tournament Setup'!$A$32,SUM($O33,$S33)=0,$E33="F",$BC33&gt;'Tournament Setup'!$B$32),$H33,"")</f>
        <v/>
      </c>
      <c r="BG33" s="12" t="str">
        <f>IF(ISNUMBER(BF33)=TRUE,IF(_xlfn.RANK.EQ(BF33,$BF$2:$BF$111)&lt;='Tournament Setup'!$D$32,_xlfn.RANK.EQ(BF33,$BF$2:$BF$111),""),"")</f>
        <v/>
      </c>
      <c r="BH33" s="30" t="str">
        <f>IF(AND($F33='Tournament Setup'!$A$33,$I33&lt;&gt;0),$I33,"")</f>
        <v/>
      </c>
      <c r="BI33" s="47" t="str">
        <f>IF(ISNUMBER(BH33),IF(COUNTIFS(BI$1:BI32,_xlfn.RANK.EQ(BH33,BH$2:BH$111,0))&gt;0,_xlfn.MAXIFS(BI$1:BI32,BH$1:BH32,BH33)+1,_xlfn.RANK.EQ(BH33,BH$2:BH$111,0)),"")</f>
        <v/>
      </c>
      <c r="BJ33" s="1" t="str">
        <f>IF(ISNUMBER(BH33)=TRUE,IF(_xlfn.RANK.EQ(BH33,$BH$2:$BH$111)&lt;='Tournament Setup'!$B$46,_xlfn.RANK.EQ(BH33,$BH$2:$BH$111),""),"")</f>
        <v/>
      </c>
      <c r="BK33" s="30" t="str">
        <f>IF(AND($F33='Tournament Setup'!$A$33,SUM($O33,$Q33,$S33)=0),$H33,"")</f>
        <v/>
      </c>
      <c r="BL33" s="47" t="str">
        <f>IF(ISNUMBER(BK33),IF(COUNTIFS(BL$1:BL32,_xlfn.RANK.EQ(BK33,BK$2:BK$111,0))&gt;0,_xlfn.MAXIFS(BL$1:BL32,BK$1:BK32,BK33)+1,_xlfn.RANK.EQ(BK33,BK$2:BK$111,0)),"")</f>
        <v/>
      </c>
      <c r="BM33" s="1" t="str">
        <f>IF(ISNUMBER(BK33)=TRUE,IF(_xlfn.RANK.EQ(BK33,$BK$2:$BK$111)&lt;='Tournament Setup'!$B$33,_xlfn.RANK.EQ(BK33,$BK$2:$BK$111),""),"")</f>
        <v/>
      </c>
      <c r="BN33" s="31" t="str">
        <f>IF(AND($F33='Tournament Setup'!$A$33,SUM($O33,$Q33)=0,$E33="M",$BM33&gt;'Tournament Setup'!$B$33),$H33,"")</f>
        <v/>
      </c>
      <c r="BO33" s="1" t="str">
        <f>IF(ISNUMBER(BN33)=TRUE,IF(_xlfn.RANK.EQ(BN33,$BN$2:$BN$111)&lt;='Tournament Setup'!$C$33,_xlfn.RANK.EQ(BN33,$BN$2:$BN$111),""),"")</f>
        <v/>
      </c>
      <c r="BP33" s="31" t="str">
        <f>IF(AND($F33='Tournament Setup'!$A$33,SUM($O33,$S33)=0,$E33="F",$BM33&gt;'Tournament Setup'!$B$33),$H33,"")</f>
        <v/>
      </c>
      <c r="BQ33" s="12" t="str">
        <f>IF(ISNUMBER(BP33)=TRUE,IF(_xlfn.RANK.EQ(BP33,$BP$2:$BP$111)&lt;='Tournament Setup'!$D$33,_xlfn.RANK.EQ(BP33,$BP$2:$BP$111),""),"")</f>
        <v/>
      </c>
      <c r="BR33" s="30" t="str">
        <f>IF($G33='Tournament Setup'!$A$38,$H33,"")</f>
        <v/>
      </c>
      <c r="BS33" s="47" t="str">
        <f>IF(ISNUMBER(BR33),IF(COUNTIFS(BS$1:BS32,_xlfn.RANK.EQ(BR33,BR$2:BR$111,0))&gt;0,_xlfn.MAXIFS(BS$1:BS32,BR$1:BR32,BR33)+1,_xlfn.RANK.EQ(BR33,BR$2:BR$111,0)),"")</f>
        <v/>
      </c>
      <c r="BT33" s="1" t="str">
        <f>IF(ISNUMBER(BR33)=TRUE,IF(_xlfn.RANK.EQ(BR33,$BR$2:$BR$111)&lt;='Tournament Setup'!$B$38,_xlfn.RANK.EQ(BR33,$BR$2:$BR$111),""),"")</f>
        <v/>
      </c>
      <c r="BU33" s="31" t="str">
        <f>IF(AND($G33='Tournament Setup'!$A$38,$E33="M",$BT33&gt;'Tournament Setup'!$B$38),$H33,"")</f>
        <v/>
      </c>
      <c r="BV33" s="1" t="str">
        <f>IF(ISNUMBER(BU33)=TRUE,IF(_xlfn.RANK.EQ(BU33,$BU$2:$BU$111)&lt;='Tournament Setup'!$C$38,_xlfn.RANK.EQ(BU33,$BU$2:$BU$111),""),"")</f>
        <v/>
      </c>
      <c r="BW33" s="31" t="str">
        <f>IF(AND($G33='Tournament Setup'!$A$38,$E33="F",$BT33&gt;'Tournament Setup'!$B$38),$H33,"")</f>
        <v/>
      </c>
      <c r="BX33" s="12" t="str">
        <f>IF(ISNUMBER(BW33)=TRUE,IF(_xlfn.RANK.EQ(BW33,$BW$2:$BW$111)&lt;='Tournament Setup'!$D$38,_xlfn.RANK.EQ(BW33,$BW$2:$BW$111),""),"")</f>
        <v/>
      </c>
      <c r="BY33" s="30" t="str">
        <f>IF($G33='Tournament Setup'!$A$39,$H33,"")</f>
        <v/>
      </c>
      <c r="BZ33" s="47" t="str">
        <f>IF(ISNUMBER(BY33),IF(COUNTIFS(BZ$1:BZ32,_xlfn.RANK.EQ(BY33,BY$2:BY$111,0))&gt;0,_xlfn.MAXIFS(BZ$1:BZ32,BY$1:BY32,BY33)+1,_xlfn.RANK.EQ(BY33,BY$2:BY$111,0)),"")</f>
        <v/>
      </c>
      <c r="CA33" s="1" t="str">
        <f>IF(ISNUMBER(BY33)=TRUE,IF(_xlfn.RANK.EQ(BY33,$BY$2:$BY$111)&lt;='Tournament Setup'!$B$39,_xlfn.RANK.EQ(BY33,$BY$2:$BY$111),""),"")</f>
        <v/>
      </c>
      <c r="CB33" s="31" t="str">
        <f>IF(AND($G33='Tournament Setup'!$A$39,$E33="M",$CA33&gt;'Tournament Setup'!$B$39),$H33,"")</f>
        <v/>
      </c>
      <c r="CC33" s="1" t="str">
        <f>IF(ISNUMBER(CB33)=TRUE,IF(_xlfn.RANK.EQ(CB33,$CB$2:$CB$111)&lt;='Tournament Setup'!$C$39,_xlfn.RANK.EQ(CB33,$CB$2:$CB$111),""),"")</f>
        <v/>
      </c>
      <c r="CD33" s="31" t="str">
        <f>IF(AND($G33='Tournament Setup'!$A$39,$E33="F",$CA33&gt;'Tournament Setup'!$B$39),$H33,"")</f>
        <v/>
      </c>
      <c r="CE33" s="12" t="str">
        <f>IF(ISNUMBER(CD33)=TRUE,IF(_xlfn.RANK.EQ(CD33,$CD$2:$CD$111)&lt;='Tournament Setup'!$D$39,_xlfn.RANK.EQ(CD33,$CD$2:$CD$111),""),"")</f>
        <v/>
      </c>
      <c r="CF33" s="30">
        <f>IF($G33='Tournament Setup'!$A$40,$H33,"")</f>
        <v>29</v>
      </c>
      <c r="CG33" s="47">
        <f>IF(ISNUMBER(CF33),IF(COUNTIFS(CG$1:CG32,_xlfn.RANK.EQ(CF33,CF$2:CF$111,0))&gt;0,_xlfn.MAXIFS(CG$1:CG32,CF$1:CF32,CF33)+1,_xlfn.RANK.EQ(CF33,CF$2:CF$111,0)),"")</f>
        <v>16</v>
      </c>
      <c r="CH33" s="1" t="str">
        <f>IF(ISNUMBER(CF33)=TRUE,IF(_xlfn.RANK.EQ(CF33,$CF$2:$CF$111)&lt;='Tournament Setup'!$B$40,_xlfn.RANK.EQ(CF33,$CF$2:$CF$111),""),"")</f>
        <v/>
      </c>
      <c r="CI33" s="31" t="str">
        <f>IF(AND($G33='Tournament Setup'!$A$40,$E33="M",$CH33&gt;'Tournament Setup'!$B$40),$H33,"")</f>
        <v/>
      </c>
      <c r="CJ33" s="1" t="str">
        <f>IF(ISNUMBER(CI33)=TRUE,IF(_xlfn.RANK.EQ(CI33,$CI$2:$CI$111)&lt;='Tournament Setup'!$C$40,_xlfn.RANK.EQ(CI33,$CI$2:$CI$111),""),"")</f>
        <v/>
      </c>
      <c r="CK33" s="31">
        <f>IF(AND($G33='Tournament Setup'!$A$40,$E33="F",$CH33&gt;'Tournament Setup'!$B$40),$H33,"")</f>
        <v>29</v>
      </c>
      <c r="CL33" s="12" t="str">
        <f>IF(ISNUMBER(CK33)=TRUE,IF(_xlfn.RANK.EQ(CK33,$CK$2:$CK$111)&lt;='Tournament Setup'!$D$40,_xlfn.RANK.EQ(CK33,$CK$2:$CK$111),""),"")</f>
        <v/>
      </c>
      <c r="CM33" s="30" t="str">
        <f>IF($G33='Tournament Setup'!$A$41,$H33,"")</f>
        <v/>
      </c>
      <c r="CN33" s="47" t="str">
        <f>IF(ISNUMBER(CM33),IF(COUNTIFS(CN$1:CN32,_xlfn.RANK.EQ(CM33,CM$2:CM$111,0))&gt;0,_xlfn.MAXIFS(CN$1:CN32,CM$1:CM32,CM33)+1,_xlfn.RANK.EQ(CM33,CM$2:CM$111,0)),"")</f>
        <v/>
      </c>
      <c r="CO33" s="1" t="str">
        <f>IF(ISNUMBER(CM33)=TRUE,IF(_xlfn.RANK.EQ(CM33,$CM$2:$CM$111)&lt;='Tournament Setup'!$B$41,_xlfn.RANK.EQ(CM33,$CM$2:$CM$111),""),"")</f>
        <v/>
      </c>
      <c r="CP33" s="31" t="str">
        <f>IF(AND($G33='Tournament Setup'!$A$41,$E33="M",$CO33&gt;'Tournament Setup'!$B$41),$H33,"")</f>
        <v/>
      </c>
      <c r="CQ33" s="1" t="str">
        <f>IF(ISNUMBER(CP33)=TRUE,IF(_xlfn.RANK.EQ(CP33,$CP$2:$CP$111)&lt;='Tournament Setup'!$C$41,_xlfn.RANK.EQ(CP33,$CP$2:$CP$111),""),"")</f>
        <v/>
      </c>
      <c r="CR33" s="31" t="str">
        <f>IF(AND($G33='Tournament Setup'!$A$41,$E33="F",$CO33&gt;'Tournament Setup'!$B$41),$H33,"")</f>
        <v/>
      </c>
      <c r="CS33" s="12" t="str">
        <f>IF(ISNUMBER(CR33)=TRUE,IF(_xlfn.RANK.EQ(CR33,$CR$2:$CR$111)&lt;='Tournament Setup'!$D$41,_xlfn.RANK.EQ(CR33,$CR$2:$CR$111),""),"")</f>
        <v/>
      </c>
    </row>
    <row r="34" spans="1:97" x14ac:dyDescent="0.3">
      <c r="A34" t="s">
        <v>189</v>
      </c>
      <c r="B34" t="str">
        <f>IFERROR(INDEX('Tournament List'!$B:$B,MATCH($A34,'Tournament List'!$A:$A,0)),"")</f>
        <v>Missy</v>
      </c>
      <c r="C34" t="str">
        <f>IFERROR(INDEX('Tournament List'!$C:$C,MATCH($A34,'Tournament List'!$A:$A,0)),"")</f>
        <v>Last Name33</v>
      </c>
      <c r="D34" t="str">
        <f t="shared" ref="D34:D113" si="5">B34&amp;" "&amp;C34</f>
        <v>Missy Last Name33</v>
      </c>
      <c r="E34" s="1" t="str">
        <f>IFERROR(INDEX('Tournament List'!F:F,MATCH($A34,'Tournament List'!$A:$A,0)),"")</f>
        <v>F</v>
      </c>
      <c r="F34" t="str">
        <f>IFERROR(INDEX('Tournament List'!M:M,MATCH($A34,'Tournament List'!$A:$A,0)),"")</f>
        <v>Novice</v>
      </c>
      <c r="G34" s="1" t="str">
        <f>IFERROR(INDEX('Tournament List'!W:W,MATCH($A34,'Tournament List'!$A:$A,0)),"")</f>
        <v>B</v>
      </c>
      <c r="H34" s="129">
        <f>IFERROR(INDEX('Tournament List'!Z:Z,MATCH($A34,'Tournament List'!$A:$A,0)),"")</f>
        <v>73</v>
      </c>
      <c r="I34" s="152" t="str">
        <f>IFERROR(INDEX('Tournament List'!T:T,MATCH($A34,'Tournament List'!$A:$A,0)),"")</f>
        <v/>
      </c>
      <c r="J34" s="56" t="str">
        <f>IF(ISNUMBER(I34),IF(COUNTIFS(J$1:J33,_xlfn.RANK.EQ(I34,I$2:I$111,0))&gt;0,_xlfn.MAXIFS(J$1:J33,I$1:I33,I34)+1,_xlfn.RANK.EQ(I34,I$2:I$111,0)),"")</f>
        <v/>
      </c>
      <c r="K34" s="11">
        <f t="shared" ref="K34:K111" si="6">IF(ISNUMBER(H34)=TRUE,IF(H34&gt;0,_xlfn.RANK.EQ(H34,$H$2:$H$111,0),""),"")</f>
        <v>21</v>
      </c>
      <c r="L34" s="56">
        <f>IF(ISNUMBER(H34),IF(COUNTIFS(L$1:L33,_xlfn.RANK.EQ(H34,H$2:H$111,0))&gt;0,_xlfn.MAXIFS(L$1:L33,H$1:H33,H34)+1,_xlfn.RANK.EQ(H34,H$2:H$111,0)),"")</f>
        <v>21</v>
      </c>
      <c r="M34" s="151">
        <f t="shared" ref="M34:M111" si="7">IF(F34&lt;&gt;"Collegiate"=TRUE,$H34,"")</f>
        <v>73</v>
      </c>
      <c r="N34" s="47">
        <f>IF(ISNUMBER(M34),IF(COUNTIFS(N$1:N33,_xlfn.RANK.EQ(M34,M$2:M$111,0))&gt;0,_xlfn.MAXIFS(N$1:N33,M$1:M33,M34)+1,_xlfn.RANK.EQ(M34,M$2:M$111,0)),"")</f>
        <v>19</v>
      </c>
      <c r="O34" s="1" t="str">
        <f>IF(ISNUMBER(M34)=TRUE,IF(_xlfn.RANK.EQ(M34,$M$2:$M$111)&lt;='Tournament Setup'!$B$23,_xlfn.RANK.EQ(M34,$M$2:$M$111),""),"")</f>
        <v/>
      </c>
      <c r="P34" s="150" t="str">
        <f t="shared" ref="P34:P111" si="8">IF(AND($E34="M",SUM($O34)=0,F34&lt;&gt;"Collegiate")=TRUE,$H34,"")</f>
        <v/>
      </c>
      <c r="Q34" s="1" t="str">
        <f>IF(ISNUMBER(P34)=TRUE,IF(_xlfn.RANK.EQ(P34,$P$2:$P$111)&lt;='Tournament Setup'!$B$24,_xlfn.RANK.EQ(P34,$P$2:$P$111),""),"")</f>
        <v/>
      </c>
      <c r="R34" s="150">
        <f t="shared" ref="R34:R111" si="9">IF(AND($E34="F",SUM($O34)=0,F34&lt;&gt;"Collegiate")=TRUE,$H34,"")</f>
        <v>73</v>
      </c>
      <c r="S34" s="12" t="str">
        <f>IF(ISNUMBER(R34)=TRUE,IF(_xlfn.RANK.EQ(R34,$R$2:$R$111)&lt;='Tournament Setup'!$B$25,_xlfn.RANK.EQ(R34,$R$2:$R$111),""),"")</f>
        <v/>
      </c>
      <c r="T34" s="152" t="str">
        <f>IF(AND($F34='Tournament Setup'!$A$29,$I34&lt;&gt;0),$I34,"")</f>
        <v/>
      </c>
      <c r="U34" s="47" t="str">
        <f>IF(ISNUMBER(T34),IF(COUNTIFS(U$1:U33,_xlfn.RANK.EQ(T34,T$2:T$111,0))&gt;0,_xlfn.MAXIFS(U$1:U33,T$1:T33,T34)+1,_xlfn.RANK.EQ(T34,T$2:T$111,0)),"")</f>
        <v/>
      </c>
      <c r="V34" s="1" t="str">
        <f>IF(ISNUMBER(T34)=TRUE,IF(_xlfn.RANK.EQ(T34,$T$3:$T$112)&lt;='Tournament Setup'!$B$46,_xlfn.RANK.EQ(T34,$T$2:$T$111),""),"")</f>
        <v/>
      </c>
      <c r="W34" s="30">
        <f>IF(AND($F34='Tournament Setup'!$A$29,SUM($O34,$Q34,$S34)=0),$H34,"")</f>
        <v>73</v>
      </c>
      <c r="X34" s="47">
        <f>IF(ISNUMBER(W34),IF(COUNTIFS(X$1:X33,_xlfn.RANK.EQ(W34,W$2:W$111,0))&gt;0,_xlfn.MAXIFS(X$1:X33,W$1:W33,W34)+1,_xlfn.RANK.EQ(W34,W$2:W$111,0)),"")</f>
        <v>3</v>
      </c>
      <c r="Y34" s="1" t="str">
        <f>IF(ISNUMBER(W34)=TRUE,IF(_xlfn.RANK.EQ(W34,$W$2:$W$111)&lt;='Tournament Setup'!$B$29,_xlfn.RANK.EQ(W34,$W$2:$W$111),""),"")</f>
        <v/>
      </c>
      <c r="Z34" s="31" t="str">
        <f>IF(AND($F34='Tournament Setup'!$A$29,SUM($O34,$Q34)=0,$E34="M",$Y34&gt;'Tournament Setup'!$B$29),$H34,"")</f>
        <v/>
      </c>
      <c r="AA34" s="1" t="str">
        <f>IF(ISNUMBER(Z34)=TRUE,IF(_xlfn.RANK.EQ(Z34,$Z$2:$Z$111)&lt;='Tournament Setup'!$C$29,_xlfn.RANK.EQ(Z34,$Z$2:$Z$111),""),"")</f>
        <v/>
      </c>
      <c r="AB34" s="31">
        <f>IF(AND($F34='Tournament Setup'!$A$29,SUM($O34,$S34)=0,$E34="F",$Y34&gt;'Tournament Setup'!$B$29),$H34,"")</f>
        <v>73</v>
      </c>
      <c r="AC34" s="12">
        <f>IF(ISNUMBER(AB34)=TRUE,IF(_xlfn.RANK.EQ(AB34,$AB$2:$AB$111)&lt;='Tournament Setup'!$D$29,_xlfn.RANK.EQ(AB34,$AB$2:$AB$111),""),"")</f>
        <v>2</v>
      </c>
      <c r="AD34" s="30" t="str">
        <f>IF(AND($F34='Tournament Setup'!$A$30,$I34&lt;&gt;0),$I34,"")</f>
        <v/>
      </c>
      <c r="AE34" s="47" t="str">
        <f>IF(ISNUMBER(AD34),IF(COUNTIFS(AE$1:AE33,_xlfn.RANK.EQ(AD34,AD$2:AD$111,0))&gt;0,_xlfn.MAXIFS(AE$1:AE33,AD$1:AD33,AD34)+1,_xlfn.RANK.EQ(AD34,AD$2:AD$111,0)),"")</f>
        <v/>
      </c>
      <c r="AF34" s="1" t="str">
        <f>IF(ISNUMBER(AD34)=TRUE,IF(_xlfn.RANK.EQ(AD34,$AD$2:$AD$111)&lt;='Tournament Setup'!$B$46,_xlfn.RANK.EQ(AD34,$AD$2:$AD$111),""),"")</f>
        <v/>
      </c>
      <c r="AG34" s="30" t="str">
        <f>IF(AND($F34='Tournament Setup'!$A$30,SUM($O34,$Q34,$S34)=0),$H34,"")</f>
        <v/>
      </c>
      <c r="AH34" s="47" t="str">
        <f>IF(ISNUMBER(AG34),IF(COUNTIFS(AH$1:AH33,_xlfn.RANK.EQ(AG34,AG$2:AG$111,0))&gt;0,_xlfn.MAXIFS(AH$1:AH33,AG$1:AG33,AG34)+1,_xlfn.RANK.EQ(AG34,AG$2:AG$111,0)),"")</f>
        <v/>
      </c>
      <c r="AI34" s="1" t="str">
        <f>IF(ISNUMBER(AG34)=TRUE,IF(_xlfn.RANK.EQ(AG34,$AG$2:$AG$111)&lt;='Tournament Setup'!$B$30,_xlfn.RANK.EQ(AG34,$AG$2:$AG$111),""),"")</f>
        <v/>
      </c>
      <c r="AJ34" s="31" t="str">
        <f>IF(AND($F34='Tournament Setup'!$A$30,SUM($O34,$Q34)=0,$E34="M",$AI34&gt;'Tournament Setup'!$B$30),$H34,"")</f>
        <v/>
      </c>
      <c r="AK34" s="1" t="str">
        <f>IF(ISNUMBER(AJ34)=TRUE,IF(_xlfn.RANK.EQ(AJ34,$AJ$2:$AJ$111)&lt;='Tournament Setup'!$C$30,_xlfn.RANK.EQ(AJ34,$AJ$2:$AJ$111),""),"")</f>
        <v/>
      </c>
      <c r="AL34" s="31" t="str">
        <f>IF(AND($F34='Tournament Setup'!$A$30,SUM($O34,$S34)=0,$E34="F",$AI34&gt;'Tournament Setup'!$B$30),$H34,"")</f>
        <v/>
      </c>
      <c r="AM34" s="12" t="str">
        <f>IF(ISNUMBER(AL34)=TRUE,IF(_xlfn.RANK.EQ(AL34,$AL$2:$AL$111)&lt;='Tournament Setup'!$D$30,_xlfn.RANK.EQ(AL34,$AL$2:$AL$111),""),"")</f>
        <v/>
      </c>
      <c r="AN34" s="30" t="str">
        <f>IF(AND($F34='Tournament Setup'!$A$31,$I34&lt;&gt;0),$I34,"")</f>
        <v/>
      </c>
      <c r="AO34" s="47" t="str">
        <f>IF(ISNUMBER(AN34),IF(COUNTIFS(AO$1:AO33,_xlfn.RANK.EQ(AN34,AN$2:AN$111,0))&gt;0,_xlfn.MAXIFS(AO$1:AO33,AN$1:AN33,AN34)+1,_xlfn.RANK.EQ(AN34,AN$2:AN$111,0)),"")</f>
        <v/>
      </c>
      <c r="AP34" s="1" t="str">
        <f>IF(ISNUMBER(AN34)=TRUE,IF(_xlfn.RANK.EQ(AN34,$AN$2:$AN$111)&lt;='Tournament Setup'!$B$46,_xlfn.RANK.EQ(AN34,$AN$2:$AN$111),""),"")</f>
        <v/>
      </c>
      <c r="AQ34" s="30" t="str">
        <f>IF(AND($F34='Tournament Setup'!$A$31,SUM($O34,$Q34,$S34)=0),$H34,"")</f>
        <v/>
      </c>
      <c r="AR34" s="47" t="str">
        <f>IF(ISNUMBER(AQ34),IF(COUNTIFS(AR$1:AR33,_xlfn.RANK.EQ(AQ34,AQ$2:AQ$111,0))&gt;0,_xlfn.MAXIFS(AR$1:AR33,AQ$1:AQ33,AQ34)+1,_xlfn.RANK.EQ(AQ34,AQ$2:AQ$111,0)),"")</f>
        <v/>
      </c>
      <c r="AS34" s="1" t="str">
        <f>IF(ISNUMBER(AQ34)=TRUE,IF(_xlfn.RANK.EQ(AQ34,$AQ$2:$AQ$111)&lt;='Tournament Setup'!$B$31,_xlfn.RANK.EQ(AQ34,$AQ$2:$AQ$111),""),"")</f>
        <v/>
      </c>
      <c r="AT34" s="31" t="str">
        <f>IF(AND($F34='Tournament Setup'!$A$31,SUM($O34,$Q34)=0,$E34="M",$AS34&gt;'Tournament Setup'!$B$31),$H34,"")</f>
        <v/>
      </c>
      <c r="AU34" s="1" t="str">
        <f>IF(ISNUMBER(AT34)=TRUE,IF(_xlfn.RANK.EQ(AT34,$AT$2:$AT$111)&lt;='Tournament Setup'!$C$31,_xlfn.RANK.EQ(AT34,$AT$2:$AT$111),""),"")</f>
        <v/>
      </c>
      <c r="AV34" s="31" t="str">
        <f>IF(AND($F34='Tournament Setup'!$A$31,SUM($O34,$S34)=0,$E34="F",$AS34&gt;'Tournament Setup'!$B$31),$H34,"")</f>
        <v/>
      </c>
      <c r="AW34" s="12" t="str">
        <f>IF(ISNUMBER(AV34)=TRUE,IF(_xlfn.RANK.EQ(AV34,$AV$2:$AV$111)&lt;='Tournament Setup'!$D$31,_xlfn.RANK.EQ(AV34,$AV$2:$AV$111),""),"")</f>
        <v/>
      </c>
      <c r="AX34" s="30" t="str">
        <f>IF(AND($F34='Tournament Setup'!$A$32,$I34&lt;&gt;0),$I34,"")</f>
        <v/>
      </c>
      <c r="AY34" s="47" t="str">
        <f>IF(ISNUMBER(AX34),IF(COUNTIFS(AY$1:AY33,_xlfn.RANK.EQ(AX34,AX$2:AX$111,0))&gt;0,_xlfn.MAXIFS(AY$1:AY33,AX$1:AX33,AX34)+1,_xlfn.RANK.EQ(AX34,AX$2:AX$111,0)),"")</f>
        <v/>
      </c>
      <c r="AZ34" s="1" t="str">
        <f>IF(ISNUMBER(AX34)=TRUE,IF(_xlfn.RANK.EQ(AX34,$AX$2:$AX$111)&lt;='Tournament Setup'!$B$46,_xlfn.RANK.EQ(AX34,$AX$2:$AX$111),""),"")</f>
        <v/>
      </c>
      <c r="BA34" s="30" t="str">
        <f>IF(AND($F34='Tournament Setup'!$A$32,SUM($O34,$Q34,$S34)=0),$H34,"")</f>
        <v/>
      </c>
      <c r="BB34" s="47" t="str">
        <f>IF(ISNUMBER(BA34),IF(COUNTIFS(BB$1:BB33,_xlfn.RANK.EQ(BA34,BA$2:BA$111,0))&gt;0,_xlfn.MAXIFS(BB$1:BB33,BA$1:BA33,BA34)+1,_xlfn.RANK.EQ(BA34,BA$2:BA$111,0)),"")</f>
        <v/>
      </c>
      <c r="BC34" s="1" t="str">
        <f>IF(ISNUMBER(BA34)=TRUE,IF(_xlfn.RANK.EQ(BA34,$BA$2:$BA$111)&lt;='Tournament Setup'!$B$32,_xlfn.RANK.EQ(BA34,$BA$2:$BA$111),""),"")</f>
        <v/>
      </c>
      <c r="BD34" s="31" t="str">
        <f>IF(AND($F34='Tournament Setup'!$A$32,SUM($O34,$Q34)=0,$E34="M",$BC34&gt;'Tournament Setup'!$B$32),$H34,"")</f>
        <v/>
      </c>
      <c r="BE34" s="1" t="str">
        <f>IF(ISNUMBER(BD34)=TRUE,IF(_xlfn.RANK.EQ(BD34,$BD$2:$BD$111)&lt;='Tournament Setup'!$C$32,_xlfn.RANK.EQ(BD34,$BD$2:$BD$111),""),"")</f>
        <v/>
      </c>
      <c r="BF34" s="31" t="str">
        <f>IF(AND($F34='Tournament Setup'!$A$32,SUM($O34,$S34)=0,$E34="F",$BC34&gt;'Tournament Setup'!$B$32),$H34,"")</f>
        <v/>
      </c>
      <c r="BG34" s="12" t="str">
        <f>IF(ISNUMBER(BF34)=TRUE,IF(_xlfn.RANK.EQ(BF34,$BF$2:$BF$111)&lt;='Tournament Setup'!$D$32,_xlfn.RANK.EQ(BF34,$BF$2:$BF$111),""),"")</f>
        <v/>
      </c>
      <c r="BH34" s="30" t="str">
        <f>IF(AND($F34='Tournament Setup'!$A$33,$I34&lt;&gt;0),$I34,"")</f>
        <v/>
      </c>
      <c r="BI34" s="47" t="str">
        <f>IF(ISNUMBER(BH34),IF(COUNTIFS(BI$1:BI33,_xlfn.RANK.EQ(BH34,BH$2:BH$111,0))&gt;0,_xlfn.MAXIFS(BI$1:BI33,BH$1:BH33,BH34)+1,_xlfn.RANK.EQ(BH34,BH$2:BH$111,0)),"")</f>
        <v/>
      </c>
      <c r="BJ34" s="1" t="str">
        <f>IF(ISNUMBER(BH34)=TRUE,IF(_xlfn.RANK.EQ(BH34,$BH$2:$BH$111)&lt;='Tournament Setup'!$B$46,_xlfn.RANK.EQ(BH34,$BH$2:$BH$111),""),"")</f>
        <v/>
      </c>
      <c r="BK34" s="30" t="str">
        <f>IF(AND($F34='Tournament Setup'!$A$33,SUM($O34,$Q34,$S34)=0),$H34,"")</f>
        <v/>
      </c>
      <c r="BL34" s="47" t="str">
        <f>IF(ISNUMBER(BK34),IF(COUNTIFS(BL$1:BL33,_xlfn.RANK.EQ(BK34,BK$2:BK$111,0))&gt;0,_xlfn.MAXIFS(BL$1:BL33,BK$1:BK33,BK34)+1,_xlfn.RANK.EQ(BK34,BK$2:BK$111,0)),"")</f>
        <v/>
      </c>
      <c r="BM34" s="1" t="str">
        <f>IF(ISNUMBER(BK34)=TRUE,IF(_xlfn.RANK.EQ(BK34,$BK$2:$BK$111)&lt;='Tournament Setup'!$B$33,_xlfn.RANK.EQ(BK34,$BK$2:$BK$111),""),"")</f>
        <v/>
      </c>
      <c r="BN34" s="31" t="str">
        <f>IF(AND($F34='Tournament Setup'!$A$33,SUM($O34,$Q34)=0,$E34="M",$BM34&gt;'Tournament Setup'!$B$33),$H34,"")</f>
        <v/>
      </c>
      <c r="BO34" s="1" t="str">
        <f>IF(ISNUMBER(BN34)=TRUE,IF(_xlfn.RANK.EQ(BN34,$BN$2:$BN$111)&lt;='Tournament Setup'!$C$33,_xlfn.RANK.EQ(BN34,$BN$2:$BN$111),""),"")</f>
        <v/>
      </c>
      <c r="BP34" s="31" t="str">
        <f>IF(AND($F34='Tournament Setup'!$A$33,SUM($O34,$S34)=0,$E34="F",$BM34&gt;'Tournament Setup'!$B$33),$H34,"")</f>
        <v/>
      </c>
      <c r="BQ34" s="12" t="str">
        <f>IF(ISNUMBER(BP34)=TRUE,IF(_xlfn.RANK.EQ(BP34,$BP$2:$BP$111)&lt;='Tournament Setup'!$D$33,_xlfn.RANK.EQ(BP34,$BP$2:$BP$111),""),"")</f>
        <v/>
      </c>
      <c r="BR34" s="30" t="str">
        <f>IF($G34='Tournament Setup'!$A$38,$H34,"")</f>
        <v/>
      </c>
      <c r="BS34" s="47" t="str">
        <f>IF(ISNUMBER(BR34),IF(COUNTIFS(BS$1:BS33,_xlfn.RANK.EQ(BR34,BR$2:BR$111,0))&gt;0,_xlfn.MAXIFS(BS$1:BS33,BR$1:BR33,BR34)+1,_xlfn.RANK.EQ(BR34,BR$2:BR$111,0)),"")</f>
        <v/>
      </c>
      <c r="BT34" s="1" t="str">
        <f>IF(ISNUMBER(BR34)=TRUE,IF(_xlfn.RANK.EQ(BR34,$BR$2:$BR$111)&lt;='Tournament Setup'!$B$38,_xlfn.RANK.EQ(BR34,$BR$2:$BR$111),""),"")</f>
        <v/>
      </c>
      <c r="BU34" s="31" t="str">
        <f>IF(AND($G34='Tournament Setup'!$A$38,$E34="M",$BT34&gt;'Tournament Setup'!$B$38),$H34,"")</f>
        <v/>
      </c>
      <c r="BV34" s="1" t="str">
        <f>IF(ISNUMBER(BU34)=TRUE,IF(_xlfn.RANK.EQ(BU34,$BU$2:$BU$111)&lt;='Tournament Setup'!$C$38,_xlfn.RANK.EQ(BU34,$BU$2:$BU$111),""),"")</f>
        <v/>
      </c>
      <c r="BW34" s="31" t="str">
        <f>IF(AND($G34='Tournament Setup'!$A$38,$E34="F",$BT34&gt;'Tournament Setup'!$B$38),$H34,"")</f>
        <v/>
      </c>
      <c r="BX34" s="12" t="str">
        <f>IF(ISNUMBER(BW34)=TRUE,IF(_xlfn.RANK.EQ(BW34,$BW$2:$BW$111)&lt;='Tournament Setup'!$D$38,_xlfn.RANK.EQ(BW34,$BW$2:$BW$111),""),"")</f>
        <v/>
      </c>
      <c r="BY34" s="30">
        <f>IF($G34='Tournament Setup'!$A$39,$H34,"")</f>
        <v>73</v>
      </c>
      <c r="BZ34" s="47">
        <f>IF(ISNUMBER(BY34),IF(COUNTIFS(BZ$1:BZ33,_xlfn.RANK.EQ(BY34,BY$2:BY$111,0))&gt;0,_xlfn.MAXIFS(BZ$1:BZ33,BY$1:BY33,BY34)+1,_xlfn.RANK.EQ(BY34,BY$2:BY$111,0)),"")</f>
        <v>11</v>
      </c>
      <c r="CA34" s="1" t="str">
        <f>IF(ISNUMBER(BY34)=TRUE,IF(_xlfn.RANK.EQ(BY34,$BY$2:$BY$111)&lt;='Tournament Setup'!$B$39,_xlfn.RANK.EQ(BY34,$BY$2:$BY$111),""),"")</f>
        <v/>
      </c>
      <c r="CB34" s="31" t="str">
        <f>IF(AND($G34='Tournament Setup'!$A$39,$E34="M",$CA34&gt;'Tournament Setup'!$B$39),$H34,"")</f>
        <v/>
      </c>
      <c r="CC34" s="1" t="str">
        <f>IF(ISNUMBER(CB34)=TRUE,IF(_xlfn.RANK.EQ(CB34,$CB$2:$CB$111)&lt;='Tournament Setup'!$C$39,_xlfn.RANK.EQ(CB34,$CB$2:$CB$111),""),"")</f>
        <v/>
      </c>
      <c r="CD34" s="31">
        <f>IF(AND($G34='Tournament Setup'!$A$39,$E34="F",$CA34&gt;'Tournament Setup'!$B$39),$H34,"")</f>
        <v>73</v>
      </c>
      <c r="CE34" s="12" t="str">
        <f>IF(ISNUMBER(CD34)=TRUE,IF(_xlfn.RANK.EQ(CD34,$CD$2:$CD$111)&lt;='Tournament Setup'!$D$39,_xlfn.RANK.EQ(CD34,$CD$2:$CD$111),""),"")</f>
        <v/>
      </c>
      <c r="CF34" s="30" t="str">
        <f>IF($G34='Tournament Setup'!$A$40,$H34,"")</f>
        <v/>
      </c>
      <c r="CG34" s="47" t="str">
        <f>IF(ISNUMBER(CF34),IF(COUNTIFS(CG$1:CG33,_xlfn.RANK.EQ(CF34,CF$2:CF$111,0))&gt;0,_xlfn.MAXIFS(CG$1:CG33,CF$1:CF33,CF34)+1,_xlfn.RANK.EQ(CF34,CF$2:CF$111,0)),"")</f>
        <v/>
      </c>
      <c r="CH34" s="1" t="str">
        <f>IF(ISNUMBER(CF34)=TRUE,IF(_xlfn.RANK.EQ(CF34,$CF$2:$CF$111)&lt;='Tournament Setup'!$B$40,_xlfn.RANK.EQ(CF34,$CF$2:$CF$111),""),"")</f>
        <v/>
      </c>
      <c r="CI34" s="31" t="str">
        <f>IF(AND($G34='Tournament Setup'!$A$40,$E34="M",$CH34&gt;'Tournament Setup'!$B$40),$H34,"")</f>
        <v/>
      </c>
      <c r="CJ34" s="1" t="str">
        <f>IF(ISNUMBER(CI34)=TRUE,IF(_xlfn.RANK.EQ(CI34,$CI$2:$CI$111)&lt;='Tournament Setup'!$C$40,_xlfn.RANK.EQ(CI34,$CI$2:$CI$111),""),"")</f>
        <v/>
      </c>
      <c r="CK34" s="31" t="str">
        <f>IF(AND($G34='Tournament Setup'!$A$40,$E34="F",$CH34&gt;'Tournament Setup'!$B$40),$H34,"")</f>
        <v/>
      </c>
      <c r="CL34" s="12" t="str">
        <f>IF(ISNUMBER(CK34)=TRUE,IF(_xlfn.RANK.EQ(CK34,$CK$2:$CK$111)&lt;='Tournament Setup'!$D$40,_xlfn.RANK.EQ(CK34,$CK$2:$CK$111),""),"")</f>
        <v/>
      </c>
      <c r="CM34" s="30" t="str">
        <f>IF($G34='Tournament Setup'!$A$41,$H34,"")</f>
        <v/>
      </c>
      <c r="CN34" s="47" t="str">
        <f>IF(ISNUMBER(CM34),IF(COUNTIFS(CN$1:CN33,_xlfn.RANK.EQ(CM34,CM$2:CM$111,0))&gt;0,_xlfn.MAXIFS(CN$1:CN33,CM$1:CM33,CM34)+1,_xlfn.RANK.EQ(CM34,CM$2:CM$111,0)),"")</f>
        <v/>
      </c>
      <c r="CO34" s="1" t="str">
        <f>IF(ISNUMBER(CM34)=TRUE,IF(_xlfn.RANK.EQ(CM34,$CM$2:$CM$111)&lt;='Tournament Setup'!$B$41,_xlfn.RANK.EQ(CM34,$CM$2:$CM$111),""),"")</f>
        <v/>
      </c>
      <c r="CP34" s="31" t="str">
        <f>IF(AND($G34='Tournament Setup'!$A$41,$E34="M",$CO34&gt;'Tournament Setup'!$B$41),$H34,"")</f>
        <v/>
      </c>
      <c r="CQ34" s="1" t="str">
        <f>IF(ISNUMBER(CP34)=TRUE,IF(_xlfn.RANK.EQ(CP34,$CP$2:$CP$111)&lt;='Tournament Setup'!$C$41,_xlfn.RANK.EQ(CP34,$CP$2:$CP$111),""),"")</f>
        <v/>
      </c>
      <c r="CR34" s="31" t="str">
        <f>IF(AND($G34='Tournament Setup'!$A$41,$E34="F",$CO34&gt;'Tournament Setup'!$B$41),$H34,"")</f>
        <v/>
      </c>
      <c r="CS34" s="12" t="str">
        <f>IF(ISNUMBER(CR34)=TRUE,IF(_xlfn.RANK.EQ(CR34,$CR$2:$CR$111)&lt;='Tournament Setup'!$D$41,_xlfn.RANK.EQ(CR34,$CR$2:$CR$111),""),"")</f>
        <v/>
      </c>
    </row>
    <row r="35" spans="1:97" x14ac:dyDescent="0.3">
      <c r="A35" t="s">
        <v>190</v>
      </c>
      <c r="B35" t="str">
        <f>IFERROR(INDEX('Tournament List'!$B:$B,MATCH($A35,'Tournament List'!$A:$A,0)),"")</f>
        <v>Marty</v>
      </c>
      <c r="C35" t="str">
        <f>IFERROR(INDEX('Tournament List'!$C:$C,MATCH($A35,'Tournament List'!$A:$A,0)),"")</f>
        <v>Last Name34</v>
      </c>
      <c r="D35" t="str">
        <f t="shared" si="5"/>
        <v>Marty Last Name34</v>
      </c>
      <c r="E35" s="1" t="str">
        <f>IFERROR(INDEX('Tournament List'!F:F,MATCH($A35,'Tournament List'!$A:$A,0)),"")</f>
        <v>M</v>
      </c>
      <c r="F35" t="str">
        <f>IFERROR(INDEX('Tournament List'!M:M,MATCH($A35,'Tournament List'!$A:$A,0)),"")</f>
        <v>Intermediate</v>
      </c>
      <c r="G35" s="1" t="str">
        <f>IFERROR(INDEX('Tournament List'!W:W,MATCH($A35,'Tournament List'!$A:$A,0)),"")</f>
        <v>A</v>
      </c>
      <c r="H35" s="129">
        <f>IFERROR(INDEX('Tournament List'!Z:Z,MATCH($A35,'Tournament List'!$A:$A,0)),"")</f>
        <v>68</v>
      </c>
      <c r="I35" s="152" t="str">
        <f>IFERROR(INDEX('Tournament List'!T:T,MATCH($A35,'Tournament List'!$A:$A,0)),"")</f>
        <v/>
      </c>
      <c r="J35" s="56" t="str">
        <f>IF(ISNUMBER(I35),IF(COUNTIFS(J$1:J34,_xlfn.RANK.EQ(I35,I$2:I$111,0))&gt;0,_xlfn.MAXIFS(J$1:J34,I$1:I34,I35)+1,_xlfn.RANK.EQ(I35,I$2:I$111,0)),"")</f>
        <v/>
      </c>
      <c r="K35" s="11">
        <f t="shared" si="6"/>
        <v>28</v>
      </c>
      <c r="L35" s="56">
        <f>IF(ISNUMBER(H35),IF(COUNTIFS(L$1:L34,_xlfn.RANK.EQ(H35,H$2:H$111,0))&gt;0,_xlfn.MAXIFS(L$1:L34,H$1:H34,H35)+1,_xlfn.RANK.EQ(H35,H$2:H$111,0)),"")</f>
        <v>28</v>
      </c>
      <c r="M35" s="151">
        <f t="shared" si="7"/>
        <v>68</v>
      </c>
      <c r="N35" s="47">
        <f>IF(ISNUMBER(M35),IF(COUNTIFS(N$1:N34,_xlfn.RANK.EQ(M35,M$2:M$111,0))&gt;0,_xlfn.MAXIFS(N$1:N34,M$1:M34,M35)+1,_xlfn.RANK.EQ(M35,M$2:M$111,0)),"")</f>
        <v>26</v>
      </c>
      <c r="O35" s="1" t="str">
        <f>IF(ISNUMBER(M35)=TRUE,IF(_xlfn.RANK.EQ(M35,$M$2:$M$111)&lt;='Tournament Setup'!$B$23,_xlfn.RANK.EQ(M35,$M$2:$M$111),""),"")</f>
        <v/>
      </c>
      <c r="P35" s="150">
        <f t="shared" si="8"/>
        <v>68</v>
      </c>
      <c r="Q35" s="1" t="str">
        <f>IF(ISNUMBER(P35)=TRUE,IF(_xlfn.RANK.EQ(P35,$P$2:$P$111)&lt;='Tournament Setup'!$B$24,_xlfn.RANK.EQ(P35,$P$2:$P$111),""),"")</f>
        <v/>
      </c>
      <c r="R35" s="150" t="str">
        <f t="shared" si="9"/>
        <v/>
      </c>
      <c r="S35" s="12" t="str">
        <f>IF(ISNUMBER(R35)=TRUE,IF(_xlfn.RANK.EQ(R35,$R$2:$R$111)&lt;='Tournament Setup'!$B$25,_xlfn.RANK.EQ(R35,$R$2:$R$111),""),"")</f>
        <v/>
      </c>
      <c r="T35" s="152" t="str">
        <f>IF(AND($F35='Tournament Setup'!$A$29,$I35&lt;&gt;0),$I35,"")</f>
        <v/>
      </c>
      <c r="U35" s="47" t="str">
        <f>IF(ISNUMBER(T35),IF(COUNTIFS(U$1:U34,_xlfn.RANK.EQ(T35,T$2:T$111,0))&gt;0,_xlfn.MAXIFS(U$1:U34,T$1:T34,T35)+1,_xlfn.RANK.EQ(T35,T$2:T$111,0)),"")</f>
        <v/>
      </c>
      <c r="V35" s="1" t="str">
        <f>IF(ISNUMBER(T35)=TRUE,IF(_xlfn.RANK.EQ(T35,$T$3:$T$112)&lt;='Tournament Setup'!$B$46,_xlfn.RANK.EQ(T35,$T$2:$T$111),""),"")</f>
        <v/>
      </c>
      <c r="W35" s="30" t="str">
        <f>IF(AND($F35='Tournament Setup'!$A$29,SUM($O35,$Q35,$S35)=0),$H35,"")</f>
        <v/>
      </c>
      <c r="X35" s="47" t="str">
        <f>IF(ISNUMBER(W35),IF(COUNTIFS(X$1:X34,_xlfn.RANK.EQ(W35,W$2:W$111,0))&gt;0,_xlfn.MAXIFS(X$1:X34,W$1:W34,W35)+1,_xlfn.RANK.EQ(W35,W$2:W$111,0)),"")</f>
        <v/>
      </c>
      <c r="Y35" s="1" t="str">
        <f>IF(ISNUMBER(W35)=TRUE,IF(_xlfn.RANK.EQ(W35,$W$2:$W$111)&lt;='Tournament Setup'!$B$29,_xlfn.RANK.EQ(W35,$W$2:$W$111),""),"")</f>
        <v/>
      </c>
      <c r="Z35" s="31" t="str">
        <f>IF(AND($F35='Tournament Setup'!$A$29,SUM($O35,$Q35)=0,$E35="M",$Y35&gt;'Tournament Setup'!$B$29),$H35,"")</f>
        <v/>
      </c>
      <c r="AA35" s="1" t="str">
        <f>IF(ISNUMBER(Z35)=TRUE,IF(_xlfn.RANK.EQ(Z35,$Z$2:$Z$111)&lt;='Tournament Setup'!$C$29,_xlfn.RANK.EQ(Z35,$Z$2:$Z$111),""),"")</f>
        <v/>
      </c>
      <c r="AB35" s="31" t="str">
        <f>IF(AND($F35='Tournament Setup'!$A$29,SUM($O35,$S35)=0,$E35="F",$Y35&gt;'Tournament Setup'!$B$29),$H35,"")</f>
        <v/>
      </c>
      <c r="AC35" s="12" t="str">
        <f>IF(ISNUMBER(AB35)=TRUE,IF(_xlfn.RANK.EQ(AB35,$AB$2:$AB$111)&lt;='Tournament Setup'!$D$29,_xlfn.RANK.EQ(AB35,$AB$2:$AB$111),""),"")</f>
        <v/>
      </c>
      <c r="AD35" s="30" t="str">
        <f>IF(AND($F35='Tournament Setup'!$A$30,$I35&lt;&gt;0),$I35,"")</f>
        <v/>
      </c>
      <c r="AE35" s="47" t="str">
        <f>IF(ISNUMBER(AD35),IF(COUNTIFS(AE$1:AE34,_xlfn.RANK.EQ(AD35,AD$2:AD$111,0))&gt;0,_xlfn.MAXIFS(AE$1:AE34,AD$1:AD34,AD35)+1,_xlfn.RANK.EQ(AD35,AD$2:AD$111,0)),"")</f>
        <v/>
      </c>
      <c r="AF35" s="1" t="str">
        <f>IF(ISNUMBER(AD35)=TRUE,IF(_xlfn.RANK.EQ(AD35,$AD$2:$AD$111)&lt;='Tournament Setup'!$B$46,_xlfn.RANK.EQ(AD35,$AD$2:$AD$111),""),"")</f>
        <v/>
      </c>
      <c r="AG35" s="30">
        <f>IF(AND($F35='Tournament Setup'!$A$30,SUM($O35,$Q35,$S35)=0),$H35,"")</f>
        <v>68</v>
      </c>
      <c r="AH35" s="47">
        <f>IF(ISNUMBER(AG35),IF(COUNTIFS(AH$1:AH34,_xlfn.RANK.EQ(AG35,AG$2:AG$111,0))&gt;0,_xlfn.MAXIFS(AH$1:AH34,AG$1:AG34,AG35)+1,_xlfn.RANK.EQ(AG35,AG$2:AG$111,0)),"")</f>
        <v>7</v>
      </c>
      <c r="AI35" s="1" t="str">
        <f>IF(ISNUMBER(AG35)=TRUE,IF(_xlfn.RANK.EQ(AG35,$AG$2:$AG$111)&lt;='Tournament Setup'!$B$30,_xlfn.RANK.EQ(AG35,$AG$2:$AG$111),""),"")</f>
        <v/>
      </c>
      <c r="AJ35" s="31">
        <f>IF(AND($F35='Tournament Setup'!$A$30,SUM($O35,$Q35)=0,$E35="M",$AI35&gt;'Tournament Setup'!$B$30),$H35,"")</f>
        <v>68</v>
      </c>
      <c r="AK35" s="1">
        <f>IF(ISNUMBER(AJ35)=TRUE,IF(_xlfn.RANK.EQ(AJ35,$AJ$2:$AJ$111)&lt;='Tournament Setup'!$C$30,_xlfn.RANK.EQ(AJ35,$AJ$2:$AJ$111),""),"")</f>
        <v>3</v>
      </c>
      <c r="AL35" s="31" t="str">
        <f>IF(AND($F35='Tournament Setup'!$A$30,SUM($O35,$S35)=0,$E35="F",$AI35&gt;'Tournament Setup'!$B$30),$H35,"")</f>
        <v/>
      </c>
      <c r="AM35" s="12" t="str">
        <f>IF(ISNUMBER(AL35)=TRUE,IF(_xlfn.RANK.EQ(AL35,$AL$2:$AL$111)&lt;='Tournament Setup'!$D$30,_xlfn.RANK.EQ(AL35,$AL$2:$AL$111),""),"")</f>
        <v/>
      </c>
      <c r="AN35" s="30" t="str">
        <f>IF(AND($F35='Tournament Setup'!$A$31,$I35&lt;&gt;0),$I35,"")</f>
        <v/>
      </c>
      <c r="AO35" s="47" t="str">
        <f>IF(ISNUMBER(AN35),IF(COUNTIFS(AO$1:AO34,_xlfn.RANK.EQ(AN35,AN$2:AN$111,0))&gt;0,_xlfn.MAXIFS(AO$1:AO34,AN$1:AN34,AN35)+1,_xlfn.RANK.EQ(AN35,AN$2:AN$111,0)),"")</f>
        <v/>
      </c>
      <c r="AP35" s="1" t="str">
        <f>IF(ISNUMBER(AN35)=TRUE,IF(_xlfn.RANK.EQ(AN35,$AN$2:$AN$111)&lt;='Tournament Setup'!$B$46,_xlfn.RANK.EQ(AN35,$AN$2:$AN$111),""),"")</f>
        <v/>
      </c>
      <c r="AQ35" s="30" t="str">
        <f>IF(AND($F35='Tournament Setup'!$A$31,SUM($O35,$Q35,$S35)=0),$H35,"")</f>
        <v/>
      </c>
      <c r="AR35" s="47" t="str">
        <f>IF(ISNUMBER(AQ35),IF(COUNTIFS(AR$1:AR34,_xlfn.RANK.EQ(AQ35,AQ$2:AQ$111,0))&gt;0,_xlfn.MAXIFS(AR$1:AR34,AQ$1:AQ34,AQ35)+1,_xlfn.RANK.EQ(AQ35,AQ$2:AQ$111,0)),"")</f>
        <v/>
      </c>
      <c r="AS35" s="1" t="str">
        <f>IF(ISNUMBER(AQ35)=TRUE,IF(_xlfn.RANK.EQ(AQ35,$AQ$2:$AQ$111)&lt;='Tournament Setup'!$B$31,_xlfn.RANK.EQ(AQ35,$AQ$2:$AQ$111),""),"")</f>
        <v/>
      </c>
      <c r="AT35" s="31" t="str">
        <f>IF(AND($F35='Tournament Setup'!$A$31,SUM($O35,$Q35)=0,$E35="M",$AS35&gt;'Tournament Setup'!$B$31),$H35,"")</f>
        <v/>
      </c>
      <c r="AU35" s="1" t="str">
        <f>IF(ISNUMBER(AT35)=TRUE,IF(_xlfn.RANK.EQ(AT35,$AT$2:$AT$111)&lt;='Tournament Setup'!$C$31,_xlfn.RANK.EQ(AT35,$AT$2:$AT$111),""),"")</f>
        <v/>
      </c>
      <c r="AV35" s="31" t="str">
        <f>IF(AND($F35='Tournament Setup'!$A$31,SUM($O35,$S35)=0,$E35="F",$AS35&gt;'Tournament Setup'!$B$31),$H35,"")</f>
        <v/>
      </c>
      <c r="AW35" s="12" t="str">
        <f>IF(ISNUMBER(AV35)=TRUE,IF(_xlfn.RANK.EQ(AV35,$AV$2:$AV$111)&lt;='Tournament Setup'!$D$31,_xlfn.RANK.EQ(AV35,$AV$2:$AV$111),""),"")</f>
        <v/>
      </c>
      <c r="AX35" s="30" t="str">
        <f>IF(AND($F35='Tournament Setup'!$A$32,$I35&lt;&gt;0),$I35,"")</f>
        <v/>
      </c>
      <c r="AY35" s="47" t="str">
        <f>IF(ISNUMBER(AX35),IF(COUNTIFS(AY$1:AY34,_xlfn.RANK.EQ(AX35,AX$2:AX$111,0))&gt;0,_xlfn.MAXIFS(AY$1:AY34,AX$1:AX34,AX35)+1,_xlfn.RANK.EQ(AX35,AX$2:AX$111,0)),"")</f>
        <v/>
      </c>
      <c r="AZ35" s="1" t="str">
        <f>IF(ISNUMBER(AX35)=TRUE,IF(_xlfn.RANK.EQ(AX35,$AX$2:$AX$111)&lt;='Tournament Setup'!$B$46,_xlfn.RANK.EQ(AX35,$AX$2:$AX$111),""),"")</f>
        <v/>
      </c>
      <c r="BA35" s="30" t="str">
        <f>IF(AND($F35='Tournament Setup'!$A$32,SUM($O35,$Q35,$S35)=0),$H35,"")</f>
        <v/>
      </c>
      <c r="BB35" s="47" t="str">
        <f>IF(ISNUMBER(BA35),IF(COUNTIFS(BB$1:BB34,_xlfn.RANK.EQ(BA35,BA$2:BA$111,0))&gt;0,_xlfn.MAXIFS(BB$1:BB34,BA$1:BA34,BA35)+1,_xlfn.RANK.EQ(BA35,BA$2:BA$111,0)),"")</f>
        <v/>
      </c>
      <c r="BC35" s="1" t="str">
        <f>IF(ISNUMBER(BA35)=TRUE,IF(_xlfn.RANK.EQ(BA35,$BA$2:$BA$111)&lt;='Tournament Setup'!$B$32,_xlfn.RANK.EQ(BA35,$BA$2:$BA$111),""),"")</f>
        <v/>
      </c>
      <c r="BD35" s="31" t="str">
        <f>IF(AND($F35='Tournament Setup'!$A$32,SUM($O35,$Q35)=0,$E35="M",$BC35&gt;'Tournament Setup'!$B$32),$H35,"")</f>
        <v/>
      </c>
      <c r="BE35" s="1" t="str">
        <f>IF(ISNUMBER(BD35)=TRUE,IF(_xlfn.RANK.EQ(BD35,$BD$2:$BD$111)&lt;='Tournament Setup'!$C$32,_xlfn.RANK.EQ(BD35,$BD$2:$BD$111),""),"")</f>
        <v/>
      </c>
      <c r="BF35" s="31" t="str">
        <f>IF(AND($F35='Tournament Setup'!$A$32,SUM($O35,$S35)=0,$E35="F",$BC35&gt;'Tournament Setup'!$B$32),$H35,"")</f>
        <v/>
      </c>
      <c r="BG35" s="12" t="str">
        <f>IF(ISNUMBER(BF35)=TRUE,IF(_xlfn.RANK.EQ(BF35,$BF$2:$BF$111)&lt;='Tournament Setup'!$D$32,_xlfn.RANK.EQ(BF35,$BF$2:$BF$111),""),"")</f>
        <v/>
      </c>
      <c r="BH35" s="30" t="str">
        <f>IF(AND($F35='Tournament Setup'!$A$33,$I35&lt;&gt;0),$I35,"")</f>
        <v/>
      </c>
      <c r="BI35" s="47" t="str">
        <f>IF(ISNUMBER(BH35),IF(COUNTIFS(BI$1:BI34,_xlfn.RANK.EQ(BH35,BH$2:BH$111,0))&gt;0,_xlfn.MAXIFS(BI$1:BI34,BH$1:BH34,BH35)+1,_xlfn.RANK.EQ(BH35,BH$2:BH$111,0)),"")</f>
        <v/>
      </c>
      <c r="BJ35" s="1" t="str">
        <f>IF(ISNUMBER(BH35)=TRUE,IF(_xlfn.RANK.EQ(BH35,$BH$2:$BH$111)&lt;='Tournament Setup'!$B$46,_xlfn.RANK.EQ(BH35,$BH$2:$BH$111),""),"")</f>
        <v/>
      </c>
      <c r="BK35" s="30" t="str">
        <f>IF(AND($F35='Tournament Setup'!$A$33,SUM($O35,$Q35,$S35)=0),$H35,"")</f>
        <v/>
      </c>
      <c r="BL35" s="47" t="str">
        <f>IF(ISNUMBER(BK35),IF(COUNTIFS(BL$1:BL34,_xlfn.RANK.EQ(BK35,BK$2:BK$111,0))&gt;0,_xlfn.MAXIFS(BL$1:BL34,BK$1:BK34,BK35)+1,_xlfn.RANK.EQ(BK35,BK$2:BK$111,0)),"")</f>
        <v/>
      </c>
      <c r="BM35" s="1" t="str">
        <f>IF(ISNUMBER(BK35)=TRUE,IF(_xlfn.RANK.EQ(BK35,$BK$2:$BK$111)&lt;='Tournament Setup'!$B$33,_xlfn.RANK.EQ(BK35,$BK$2:$BK$111),""),"")</f>
        <v/>
      </c>
      <c r="BN35" s="31" t="str">
        <f>IF(AND($F35='Tournament Setup'!$A$33,SUM($O35,$Q35)=0,$E35="M",$BM35&gt;'Tournament Setup'!$B$33),$H35,"")</f>
        <v/>
      </c>
      <c r="BO35" s="1" t="str">
        <f>IF(ISNUMBER(BN35)=TRUE,IF(_xlfn.RANK.EQ(BN35,$BN$2:$BN$111)&lt;='Tournament Setup'!$C$33,_xlfn.RANK.EQ(BN35,$BN$2:$BN$111),""),"")</f>
        <v/>
      </c>
      <c r="BP35" s="31" t="str">
        <f>IF(AND($F35='Tournament Setup'!$A$33,SUM($O35,$S35)=0,$E35="F",$BM35&gt;'Tournament Setup'!$B$33),$H35,"")</f>
        <v/>
      </c>
      <c r="BQ35" s="12" t="str">
        <f>IF(ISNUMBER(BP35)=TRUE,IF(_xlfn.RANK.EQ(BP35,$BP$2:$BP$111)&lt;='Tournament Setup'!$D$33,_xlfn.RANK.EQ(BP35,$BP$2:$BP$111),""),"")</f>
        <v/>
      </c>
      <c r="BR35" s="30">
        <f>IF($G35='Tournament Setup'!$A$38,$H35,"")</f>
        <v>68</v>
      </c>
      <c r="BS35" s="47">
        <f>IF(ISNUMBER(BR35),IF(COUNTIFS(BS$1:BS34,_xlfn.RANK.EQ(BR35,BR$2:BR$111,0))&gt;0,_xlfn.MAXIFS(BS$1:BS34,BR$1:BR34,BR35)+1,_xlfn.RANK.EQ(BR35,BR$2:BR$111,0)),"")</f>
        <v>6</v>
      </c>
      <c r="BT35" s="1" t="str">
        <f>IF(ISNUMBER(BR35)=TRUE,IF(_xlfn.RANK.EQ(BR35,$BR$2:$BR$111)&lt;='Tournament Setup'!$B$38,_xlfn.RANK.EQ(BR35,$BR$2:$BR$111),""),"")</f>
        <v/>
      </c>
      <c r="BU35" s="31">
        <f>IF(AND($G35='Tournament Setup'!$A$38,$E35="M",$BT35&gt;'Tournament Setup'!$B$38),$H35,"")</f>
        <v>68</v>
      </c>
      <c r="BV35" s="1" t="str">
        <f>IF(ISNUMBER(BU35)=TRUE,IF(_xlfn.RANK.EQ(BU35,$BU$2:$BU$111)&lt;='Tournament Setup'!$C$38,_xlfn.RANK.EQ(BU35,$BU$2:$BU$111),""),"")</f>
        <v/>
      </c>
      <c r="BW35" s="31" t="str">
        <f>IF(AND($G35='Tournament Setup'!$A$38,$E35="F",$BT35&gt;'Tournament Setup'!$B$38),$H35,"")</f>
        <v/>
      </c>
      <c r="BX35" s="12" t="str">
        <f>IF(ISNUMBER(BW35)=TRUE,IF(_xlfn.RANK.EQ(BW35,$BW$2:$BW$111)&lt;='Tournament Setup'!$D$38,_xlfn.RANK.EQ(BW35,$BW$2:$BW$111),""),"")</f>
        <v/>
      </c>
      <c r="BY35" s="30" t="str">
        <f>IF($G35='Tournament Setup'!$A$39,$H35,"")</f>
        <v/>
      </c>
      <c r="BZ35" s="47" t="str">
        <f>IF(ISNUMBER(BY35),IF(COUNTIFS(BZ$1:BZ34,_xlfn.RANK.EQ(BY35,BY$2:BY$111,0))&gt;0,_xlfn.MAXIFS(BZ$1:BZ34,BY$1:BY34,BY35)+1,_xlfn.RANK.EQ(BY35,BY$2:BY$111,0)),"")</f>
        <v/>
      </c>
      <c r="CA35" s="1" t="str">
        <f>IF(ISNUMBER(BY35)=TRUE,IF(_xlfn.RANK.EQ(BY35,$BY$2:$BY$111)&lt;='Tournament Setup'!$B$39,_xlfn.RANK.EQ(BY35,$BY$2:$BY$111),""),"")</f>
        <v/>
      </c>
      <c r="CB35" s="31" t="str">
        <f>IF(AND($G35='Tournament Setup'!$A$39,$E35="M",$CA35&gt;'Tournament Setup'!$B$39),$H35,"")</f>
        <v/>
      </c>
      <c r="CC35" s="1" t="str">
        <f>IF(ISNUMBER(CB35)=TRUE,IF(_xlfn.RANK.EQ(CB35,$CB$2:$CB$111)&lt;='Tournament Setup'!$C$39,_xlfn.RANK.EQ(CB35,$CB$2:$CB$111),""),"")</f>
        <v/>
      </c>
      <c r="CD35" s="31" t="str">
        <f>IF(AND($G35='Tournament Setup'!$A$39,$E35="F",$CA35&gt;'Tournament Setup'!$B$39),$H35,"")</f>
        <v/>
      </c>
      <c r="CE35" s="12" t="str">
        <f>IF(ISNUMBER(CD35)=TRUE,IF(_xlfn.RANK.EQ(CD35,$CD$2:$CD$111)&lt;='Tournament Setup'!$D$39,_xlfn.RANK.EQ(CD35,$CD$2:$CD$111),""),"")</f>
        <v/>
      </c>
      <c r="CF35" s="30" t="str">
        <f>IF($G35='Tournament Setup'!$A$40,$H35,"")</f>
        <v/>
      </c>
      <c r="CG35" s="47" t="str">
        <f>IF(ISNUMBER(CF35),IF(COUNTIFS(CG$1:CG34,_xlfn.RANK.EQ(CF35,CF$2:CF$111,0))&gt;0,_xlfn.MAXIFS(CG$1:CG34,CF$1:CF34,CF35)+1,_xlfn.RANK.EQ(CF35,CF$2:CF$111,0)),"")</f>
        <v/>
      </c>
      <c r="CH35" s="1" t="str">
        <f>IF(ISNUMBER(CF35)=TRUE,IF(_xlfn.RANK.EQ(CF35,$CF$2:$CF$111)&lt;='Tournament Setup'!$B$40,_xlfn.RANK.EQ(CF35,$CF$2:$CF$111),""),"")</f>
        <v/>
      </c>
      <c r="CI35" s="31" t="str">
        <f>IF(AND($G35='Tournament Setup'!$A$40,$E35="M",$CH35&gt;'Tournament Setup'!$B$40),$H35,"")</f>
        <v/>
      </c>
      <c r="CJ35" s="1" t="str">
        <f>IF(ISNUMBER(CI35)=TRUE,IF(_xlfn.RANK.EQ(CI35,$CI$2:$CI$111)&lt;='Tournament Setup'!$C$40,_xlfn.RANK.EQ(CI35,$CI$2:$CI$111),""),"")</f>
        <v/>
      </c>
      <c r="CK35" s="31" t="str">
        <f>IF(AND($G35='Tournament Setup'!$A$40,$E35="F",$CH35&gt;'Tournament Setup'!$B$40),$H35,"")</f>
        <v/>
      </c>
      <c r="CL35" s="12" t="str">
        <f>IF(ISNUMBER(CK35)=TRUE,IF(_xlfn.RANK.EQ(CK35,$CK$2:$CK$111)&lt;='Tournament Setup'!$D$40,_xlfn.RANK.EQ(CK35,$CK$2:$CK$111),""),"")</f>
        <v/>
      </c>
      <c r="CM35" s="30" t="str">
        <f>IF($G35='Tournament Setup'!$A$41,$H35,"")</f>
        <v/>
      </c>
      <c r="CN35" s="47" t="str">
        <f>IF(ISNUMBER(CM35),IF(COUNTIFS(CN$1:CN34,_xlfn.RANK.EQ(CM35,CM$2:CM$111,0))&gt;0,_xlfn.MAXIFS(CN$1:CN34,CM$1:CM34,CM35)+1,_xlfn.RANK.EQ(CM35,CM$2:CM$111,0)),"")</f>
        <v/>
      </c>
      <c r="CO35" s="1" t="str">
        <f>IF(ISNUMBER(CM35)=TRUE,IF(_xlfn.RANK.EQ(CM35,$CM$2:$CM$111)&lt;='Tournament Setup'!$B$41,_xlfn.RANK.EQ(CM35,$CM$2:$CM$111),""),"")</f>
        <v/>
      </c>
      <c r="CP35" s="31" t="str">
        <f>IF(AND($G35='Tournament Setup'!$A$41,$E35="M",$CO35&gt;'Tournament Setup'!$B$41),$H35,"")</f>
        <v/>
      </c>
      <c r="CQ35" s="1" t="str">
        <f>IF(ISNUMBER(CP35)=TRUE,IF(_xlfn.RANK.EQ(CP35,$CP$2:$CP$111)&lt;='Tournament Setup'!$C$41,_xlfn.RANK.EQ(CP35,$CP$2:$CP$111),""),"")</f>
        <v/>
      </c>
      <c r="CR35" s="31" t="str">
        <f>IF(AND($G35='Tournament Setup'!$A$41,$E35="F",$CO35&gt;'Tournament Setup'!$B$41),$H35,"")</f>
        <v/>
      </c>
      <c r="CS35" s="12" t="str">
        <f>IF(ISNUMBER(CR35)=TRUE,IF(_xlfn.RANK.EQ(CR35,$CR$2:$CR$111)&lt;='Tournament Setup'!$D$41,_xlfn.RANK.EQ(CR35,$CR$2:$CR$111),""),"")</f>
        <v/>
      </c>
    </row>
    <row r="36" spans="1:97" x14ac:dyDescent="0.3">
      <c r="A36" t="s">
        <v>191</v>
      </c>
      <c r="B36" t="str">
        <f>IFERROR(INDEX('Tournament List'!$B:$B,MATCH($A36,'Tournament List'!$A:$A,0)),"")</f>
        <v>Patricia</v>
      </c>
      <c r="C36" t="str">
        <f>IFERROR(INDEX('Tournament List'!$C:$C,MATCH($A36,'Tournament List'!$A:$A,0)),"")</f>
        <v>Last Name35</v>
      </c>
      <c r="D36" t="str">
        <f t="shared" si="5"/>
        <v>Patricia Last Name35</v>
      </c>
      <c r="E36" s="1" t="str">
        <f>IFERROR(INDEX('Tournament List'!F:F,MATCH($A36,'Tournament List'!$A:$A,0)),"")</f>
        <v>F</v>
      </c>
      <c r="F36" t="str">
        <f>IFERROR(INDEX('Tournament List'!M:M,MATCH($A36,'Tournament List'!$A:$A,0)),"")</f>
        <v>Novice</v>
      </c>
      <c r="G36" s="1" t="str">
        <f>IFERROR(INDEX('Tournament List'!W:W,MATCH($A36,'Tournament List'!$A:$A,0)),"")</f>
        <v>A</v>
      </c>
      <c r="H36" s="129">
        <f>IFERROR(INDEX('Tournament List'!Z:Z,MATCH($A36,'Tournament List'!$A:$A,0)),"")</f>
        <v>95</v>
      </c>
      <c r="I36" s="152" t="str">
        <f>IFERROR(INDEX('Tournament List'!T:T,MATCH($A36,'Tournament List'!$A:$A,0)),"")</f>
        <v/>
      </c>
      <c r="J36" s="56" t="str">
        <f>IF(ISNUMBER(I36),IF(COUNTIFS(J$1:J35,_xlfn.RANK.EQ(I36,I$2:I$111,0))&gt;0,_xlfn.MAXIFS(J$1:J35,I$1:I35,I36)+1,_xlfn.RANK.EQ(I36,I$2:I$111,0)),"")</f>
        <v/>
      </c>
      <c r="K36" s="11">
        <f t="shared" si="6"/>
        <v>4</v>
      </c>
      <c r="L36" s="56">
        <f>IF(ISNUMBER(H36),IF(COUNTIFS(L$1:L35,_xlfn.RANK.EQ(H36,H$2:H$111,0))&gt;0,_xlfn.MAXIFS(L$1:L35,H$1:H35,H36)+1,_xlfn.RANK.EQ(H36,H$2:H$111,0)),"")</f>
        <v>4</v>
      </c>
      <c r="M36" s="151">
        <f t="shared" si="7"/>
        <v>95</v>
      </c>
      <c r="N36" s="47">
        <f>IF(ISNUMBER(M36),IF(COUNTIFS(N$1:N35,_xlfn.RANK.EQ(M36,M$2:M$111,0))&gt;0,_xlfn.MAXIFS(N$1:N35,M$1:M35,M36)+1,_xlfn.RANK.EQ(M36,M$2:M$111,0)),"")</f>
        <v>4</v>
      </c>
      <c r="O36" s="1" t="str">
        <f>IF(ISNUMBER(M36)=TRUE,IF(_xlfn.RANK.EQ(M36,$M$2:$M$111)&lt;='Tournament Setup'!$B$23,_xlfn.RANK.EQ(M36,$M$2:$M$111),""),"")</f>
        <v/>
      </c>
      <c r="P36" s="150" t="str">
        <f t="shared" si="8"/>
        <v/>
      </c>
      <c r="Q36" s="1" t="str">
        <f>IF(ISNUMBER(P36)=TRUE,IF(_xlfn.RANK.EQ(P36,$P$2:$P$111)&lt;='Tournament Setup'!$B$24,_xlfn.RANK.EQ(P36,$P$2:$P$111),""),"")</f>
        <v/>
      </c>
      <c r="R36" s="150">
        <f t="shared" si="9"/>
        <v>95</v>
      </c>
      <c r="S36" s="12">
        <f>IF(ISNUMBER(R36)=TRUE,IF(_xlfn.RANK.EQ(R36,$R$2:$R$111)&lt;='Tournament Setup'!$B$25,_xlfn.RANK.EQ(R36,$R$2:$R$111),""),"")</f>
        <v>2</v>
      </c>
      <c r="T36" s="152" t="str">
        <f>IF(AND($F36='Tournament Setup'!$A$29,$I36&lt;&gt;0),$I36,"")</f>
        <v/>
      </c>
      <c r="U36" s="47" t="str">
        <f>IF(ISNUMBER(T36),IF(COUNTIFS(U$1:U35,_xlfn.RANK.EQ(T36,T$2:T$111,0))&gt;0,_xlfn.MAXIFS(U$1:U35,T$1:T35,T36)+1,_xlfn.RANK.EQ(T36,T$2:T$111,0)),"")</f>
        <v/>
      </c>
      <c r="V36" s="1" t="str">
        <f>IF(ISNUMBER(T36)=TRUE,IF(_xlfn.RANK.EQ(T36,$T$3:$T$112)&lt;='Tournament Setup'!$B$46,_xlfn.RANK.EQ(T36,$T$2:$T$111),""),"")</f>
        <v/>
      </c>
      <c r="W36" s="30" t="str">
        <f>IF(AND($F36='Tournament Setup'!$A$29,SUM($O36,$Q36,$S36)=0),$H36,"")</f>
        <v/>
      </c>
      <c r="X36" s="47" t="str">
        <f>IF(ISNUMBER(W36),IF(COUNTIFS(X$1:X35,_xlfn.RANK.EQ(W36,W$2:W$111,0))&gt;0,_xlfn.MAXIFS(X$1:X35,W$1:W35,W36)+1,_xlfn.RANK.EQ(W36,W$2:W$111,0)),"")</f>
        <v/>
      </c>
      <c r="Y36" s="1" t="str">
        <f>IF(ISNUMBER(W36)=TRUE,IF(_xlfn.RANK.EQ(W36,$W$2:$W$111)&lt;='Tournament Setup'!$B$29,_xlfn.RANK.EQ(W36,$W$2:$W$111),""),"")</f>
        <v/>
      </c>
      <c r="Z36" s="31" t="str">
        <f>IF(AND($F36='Tournament Setup'!$A$29,SUM($O36,$Q36)=0,$E36="M",$Y36&gt;'Tournament Setup'!$B$29),$H36,"")</f>
        <v/>
      </c>
      <c r="AA36" s="1" t="str">
        <f>IF(ISNUMBER(Z36)=TRUE,IF(_xlfn.RANK.EQ(Z36,$Z$2:$Z$111)&lt;='Tournament Setup'!$C$29,_xlfn.RANK.EQ(Z36,$Z$2:$Z$111),""),"")</f>
        <v/>
      </c>
      <c r="AB36" s="31" t="str">
        <f>IF(AND($F36='Tournament Setup'!$A$29,SUM($O36,$S36)=0,$E36="F",$Y36&gt;'Tournament Setup'!$B$29),$H36,"")</f>
        <v/>
      </c>
      <c r="AC36" s="12" t="str">
        <f>IF(ISNUMBER(AB36)=TRUE,IF(_xlfn.RANK.EQ(AB36,$AB$2:$AB$111)&lt;='Tournament Setup'!$D$29,_xlfn.RANK.EQ(AB36,$AB$2:$AB$111),""),"")</f>
        <v/>
      </c>
      <c r="AD36" s="30" t="str">
        <f>IF(AND($F36='Tournament Setup'!$A$30,$I36&lt;&gt;0),$I36,"")</f>
        <v/>
      </c>
      <c r="AE36" s="47" t="str">
        <f>IF(ISNUMBER(AD36),IF(COUNTIFS(AE$1:AE35,_xlfn.RANK.EQ(AD36,AD$2:AD$111,0))&gt;0,_xlfn.MAXIFS(AE$1:AE35,AD$1:AD35,AD36)+1,_xlfn.RANK.EQ(AD36,AD$2:AD$111,0)),"")</f>
        <v/>
      </c>
      <c r="AF36" s="1" t="str">
        <f>IF(ISNUMBER(AD36)=TRUE,IF(_xlfn.RANK.EQ(AD36,$AD$2:$AD$111)&lt;='Tournament Setup'!$B$46,_xlfn.RANK.EQ(AD36,$AD$2:$AD$111),""),"")</f>
        <v/>
      </c>
      <c r="AG36" s="30" t="str">
        <f>IF(AND($F36='Tournament Setup'!$A$30,SUM($O36,$Q36,$S36)=0),$H36,"")</f>
        <v/>
      </c>
      <c r="AH36" s="47" t="str">
        <f>IF(ISNUMBER(AG36),IF(COUNTIFS(AH$1:AH35,_xlfn.RANK.EQ(AG36,AG$2:AG$111,0))&gt;0,_xlfn.MAXIFS(AH$1:AH35,AG$1:AG35,AG36)+1,_xlfn.RANK.EQ(AG36,AG$2:AG$111,0)),"")</f>
        <v/>
      </c>
      <c r="AI36" s="1" t="str">
        <f>IF(ISNUMBER(AG36)=TRUE,IF(_xlfn.RANK.EQ(AG36,$AG$2:$AG$111)&lt;='Tournament Setup'!$B$30,_xlfn.RANK.EQ(AG36,$AG$2:$AG$111),""),"")</f>
        <v/>
      </c>
      <c r="AJ36" s="31" t="str">
        <f>IF(AND($F36='Tournament Setup'!$A$30,SUM($O36,$Q36)=0,$E36="M",$AI36&gt;'Tournament Setup'!$B$30),$H36,"")</f>
        <v/>
      </c>
      <c r="AK36" s="1" t="str">
        <f>IF(ISNUMBER(AJ36)=TRUE,IF(_xlfn.RANK.EQ(AJ36,$AJ$2:$AJ$111)&lt;='Tournament Setup'!$C$30,_xlfn.RANK.EQ(AJ36,$AJ$2:$AJ$111),""),"")</f>
        <v/>
      </c>
      <c r="AL36" s="31" t="str">
        <f>IF(AND($F36='Tournament Setup'!$A$30,SUM($O36,$S36)=0,$E36="F",$AI36&gt;'Tournament Setup'!$B$30),$H36,"")</f>
        <v/>
      </c>
      <c r="AM36" s="12" t="str">
        <f>IF(ISNUMBER(AL36)=TRUE,IF(_xlfn.RANK.EQ(AL36,$AL$2:$AL$111)&lt;='Tournament Setup'!$D$30,_xlfn.RANK.EQ(AL36,$AL$2:$AL$111),""),"")</f>
        <v/>
      </c>
      <c r="AN36" s="30" t="str">
        <f>IF(AND($F36='Tournament Setup'!$A$31,$I36&lt;&gt;0),$I36,"")</f>
        <v/>
      </c>
      <c r="AO36" s="47" t="str">
        <f>IF(ISNUMBER(AN36),IF(COUNTIFS(AO$1:AO35,_xlfn.RANK.EQ(AN36,AN$2:AN$111,0))&gt;0,_xlfn.MAXIFS(AO$1:AO35,AN$1:AN35,AN36)+1,_xlfn.RANK.EQ(AN36,AN$2:AN$111,0)),"")</f>
        <v/>
      </c>
      <c r="AP36" s="1" t="str">
        <f>IF(ISNUMBER(AN36)=TRUE,IF(_xlfn.RANK.EQ(AN36,$AN$2:$AN$111)&lt;='Tournament Setup'!$B$46,_xlfn.RANK.EQ(AN36,$AN$2:$AN$111),""),"")</f>
        <v/>
      </c>
      <c r="AQ36" s="30" t="str">
        <f>IF(AND($F36='Tournament Setup'!$A$31,SUM($O36,$Q36,$S36)=0),$H36,"")</f>
        <v/>
      </c>
      <c r="AR36" s="47" t="str">
        <f>IF(ISNUMBER(AQ36),IF(COUNTIFS(AR$1:AR35,_xlfn.RANK.EQ(AQ36,AQ$2:AQ$111,0))&gt;0,_xlfn.MAXIFS(AR$1:AR35,AQ$1:AQ35,AQ36)+1,_xlfn.RANK.EQ(AQ36,AQ$2:AQ$111,0)),"")</f>
        <v/>
      </c>
      <c r="AS36" s="1" t="str">
        <f>IF(ISNUMBER(AQ36)=TRUE,IF(_xlfn.RANK.EQ(AQ36,$AQ$2:$AQ$111)&lt;='Tournament Setup'!$B$31,_xlfn.RANK.EQ(AQ36,$AQ$2:$AQ$111),""),"")</f>
        <v/>
      </c>
      <c r="AT36" s="31" t="str">
        <f>IF(AND($F36='Tournament Setup'!$A$31,SUM($O36,$Q36)=0,$E36="M",$AS36&gt;'Tournament Setup'!$B$31),$H36,"")</f>
        <v/>
      </c>
      <c r="AU36" s="1" t="str">
        <f>IF(ISNUMBER(AT36)=TRUE,IF(_xlfn.RANK.EQ(AT36,$AT$2:$AT$111)&lt;='Tournament Setup'!$C$31,_xlfn.RANK.EQ(AT36,$AT$2:$AT$111),""),"")</f>
        <v/>
      </c>
      <c r="AV36" s="31" t="str">
        <f>IF(AND($F36='Tournament Setup'!$A$31,SUM($O36,$S36)=0,$E36="F",$AS36&gt;'Tournament Setup'!$B$31),$H36,"")</f>
        <v/>
      </c>
      <c r="AW36" s="12" t="str">
        <f>IF(ISNUMBER(AV36)=TRUE,IF(_xlfn.RANK.EQ(AV36,$AV$2:$AV$111)&lt;='Tournament Setup'!$D$31,_xlfn.RANK.EQ(AV36,$AV$2:$AV$111),""),"")</f>
        <v/>
      </c>
      <c r="AX36" s="30" t="str">
        <f>IF(AND($F36='Tournament Setup'!$A$32,$I36&lt;&gt;0),$I36,"")</f>
        <v/>
      </c>
      <c r="AY36" s="47" t="str">
        <f>IF(ISNUMBER(AX36),IF(COUNTIFS(AY$1:AY35,_xlfn.RANK.EQ(AX36,AX$2:AX$111,0))&gt;0,_xlfn.MAXIFS(AY$1:AY35,AX$1:AX35,AX36)+1,_xlfn.RANK.EQ(AX36,AX$2:AX$111,0)),"")</f>
        <v/>
      </c>
      <c r="AZ36" s="1" t="str">
        <f>IF(ISNUMBER(AX36)=TRUE,IF(_xlfn.RANK.EQ(AX36,$AX$2:$AX$111)&lt;='Tournament Setup'!$B$46,_xlfn.RANK.EQ(AX36,$AX$2:$AX$111),""),"")</f>
        <v/>
      </c>
      <c r="BA36" s="30" t="str">
        <f>IF(AND($F36='Tournament Setup'!$A$32,SUM($O36,$Q36,$S36)=0),$H36,"")</f>
        <v/>
      </c>
      <c r="BB36" s="47" t="str">
        <f>IF(ISNUMBER(BA36),IF(COUNTIFS(BB$1:BB35,_xlfn.RANK.EQ(BA36,BA$2:BA$111,0))&gt;0,_xlfn.MAXIFS(BB$1:BB35,BA$1:BA35,BA36)+1,_xlfn.RANK.EQ(BA36,BA$2:BA$111,0)),"")</f>
        <v/>
      </c>
      <c r="BC36" s="1" t="str">
        <f>IF(ISNUMBER(BA36)=TRUE,IF(_xlfn.RANK.EQ(BA36,$BA$2:$BA$111)&lt;='Tournament Setup'!$B$32,_xlfn.RANK.EQ(BA36,$BA$2:$BA$111),""),"")</f>
        <v/>
      </c>
      <c r="BD36" s="31" t="str">
        <f>IF(AND($F36='Tournament Setup'!$A$32,SUM($O36,$Q36)=0,$E36="M",$BC36&gt;'Tournament Setup'!$B$32),$H36,"")</f>
        <v/>
      </c>
      <c r="BE36" s="1" t="str">
        <f>IF(ISNUMBER(BD36)=TRUE,IF(_xlfn.RANK.EQ(BD36,$BD$2:$BD$111)&lt;='Tournament Setup'!$C$32,_xlfn.RANK.EQ(BD36,$BD$2:$BD$111),""),"")</f>
        <v/>
      </c>
      <c r="BF36" s="31" t="str">
        <f>IF(AND($F36='Tournament Setup'!$A$32,SUM($O36,$S36)=0,$E36="F",$BC36&gt;'Tournament Setup'!$B$32),$H36,"")</f>
        <v/>
      </c>
      <c r="BG36" s="12" t="str">
        <f>IF(ISNUMBER(BF36)=TRUE,IF(_xlfn.RANK.EQ(BF36,$BF$2:$BF$111)&lt;='Tournament Setup'!$D$32,_xlfn.RANK.EQ(BF36,$BF$2:$BF$111),""),"")</f>
        <v/>
      </c>
      <c r="BH36" s="30" t="str">
        <f>IF(AND($F36='Tournament Setup'!$A$33,$I36&lt;&gt;0),$I36,"")</f>
        <v/>
      </c>
      <c r="BI36" s="47" t="str">
        <f>IF(ISNUMBER(BH36),IF(COUNTIFS(BI$1:BI35,_xlfn.RANK.EQ(BH36,BH$2:BH$111,0))&gt;0,_xlfn.MAXIFS(BI$1:BI35,BH$1:BH35,BH36)+1,_xlfn.RANK.EQ(BH36,BH$2:BH$111,0)),"")</f>
        <v/>
      </c>
      <c r="BJ36" s="1" t="str">
        <f>IF(ISNUMBER(BH36)=TRUE,IF(_xlfn.RANK.EQ(BH36,$BH$2:$BH$111)&lt;='Tournament Setup'!$B$46,_xlfn.RANK.EQ(BH36,$BH$2:$BH$111),""),"")</f>
        <v/>
      </c>
      <c r="BK36" s="30" t="str">
        <f>IF(AND($F36='Tournament Setup'!$A$33,SUM($O36,$Q36,$S36)=0),$H36,"")</f>
        <v/>
      </c>
      <c r="BL36" s="47" t="str">
        <f>IF(ISNUMBER(BK36),IF(COUNTIFS(BL$1:BL35,_xlfn.RANK.EQ(BK36,BK$2:BK$111,0))&gt;0,_xlfn.MAXIFS(BL$1:BL35,BK$1:BK35,BK36)+1,_xlfn.RANK.EQ(BK36,BK$2:BK$111,0)),"")</f>
        <v/>
      </c>
      <c r="BM36" s="1" t="str">
        <f>IF(ISNUMBER(BK36)=TRUE,IF(_xlfn.RANK.EQ(BK36,$BK$2:$BK$111)&lt;='Tournament Setup'!$B$33,_xlfn.RANK.EQ(BK36,$BK$2:$BK$111),""),"")</f>
        <v/>
      </c>
      <c r="BN36" s="31" t="str">
        <f>IF(AND($F36='Tournament Setup'!$A$33,SUM($O36,$Q36)=0,$E36="M",$BM36&gt;'Tournament Setup'!$B$33),$H36,"")</f>
        <v/>
      </c>
      <c r="BO36" s="1" t="str">
        <f>IF(ISNUMBER(BN36)=TRUE,IF(_xlfn.RANK.EQ(BN36,$BN$2:$BN$111)&lt;='Tournament Setup'!$C$33,_xlfn.RANK.EQ(BN36,$BN$2:$BN$111),""),"")</f>
        <v/>
      </c>
      <c r="BP36" s="31" t="str">
        <f>IF(AND($F36='Tournament Setup'!$A$33,SUM($O36,$S36)=0,$E36="F",$BM36&gt;'Tournament Setup'!$B$33),$H36,"")</f>
        <v/>
      </c>
      <c r="BQ36" s="12" t="str">
        <f>IF(ISNUMBER(BP36)=TRUE,IF(_xlfn.RANK.EQ(BP36,$BP$2:$BP$111)&lt;='Tournament Setup'!$D$33,_xlfn.RANK.EQ(BP36,$BP$2:$BP$111),""),"")</f>
        <v/>
      </c>
      <c r="BR36" s="30">
        <f>IF($G36='Tournament Setup'!$A$38,$H36,"")</f>
        <v>95</v>
      </c>
      <c r="BS36" s="47">
        <f>IF(ISNUMBER(BR36),IF(COUNTIFS(BS$1:BS35,_xlfn.RANK.EQ(BR36,BR$2:BR$111,0))&gt;0,_xlfn.MAXIFS(BS$1:BS35,BR$1:BR35,BR36)+1,_xlfn.RANK.EQ(BR36,BR$2:BR$111,0)),"")</f>
        <v>1</v>
      </c>
      <c r="BT36" s="1" t="str">
        <f>IF(ISNUMBER(BR36)=TRUE,IF(_xlfn.RANK.EQ(BR36,$BR$2:$BR$111)&lt;='Tournament Setup'!$B$38,_xlfn.RANK.EQ(BR36,$BR$2:$BR$111),""),"")</f>
        <v/>
      </c>
      <c r="BU36" s="31" t="str">
        <f>IF(AND($G36='Tournament Setup'!$A$38,$E36="M",$BT36&gt;'Tournament Setup'!$B$38),$H36,"")</f>
        <v/>
      </c>
      <c r="BV36" s="1" t="str">
        <f>IF(ISNUMBER(BU36)=TRUE,IF(_xlfn.RANK.EQ(BU36,$BU$2:$BU$111)&lt;='Tournament Setup'!$C$38,_xlfn.RANK.EQ(BU36,$BU$2:$BU$111),""),"")</f>
        <v/>
      </c>
      <c r="BW36" s="31">
        <f>IF(AND($G36='Tournament Setup'!$A$38,$E36="F",$BT36&gt;'Tournament Setup'!$B$38),$H36,"")</f>
        <v>95</v>
      </c>
      <c r="BX36" s="12">
        <f>IF(ISNUMBER(BW36)=TRUE,IF(_xlfn.RANK.EQ(BW36,$BW$2:$BW$111)&lt;='Tournament Setup'!$D$38,_xlfn.RANK.EQ(BW36,$BW$2:$BW$111),""),"")</f>
        <v>1</v>
      </c>
      <c r="BY36" s="30" t="str">
        <f>IF($G36='Tournament Setup'!$A$39,$H36,"")</f>
        <v/>
      </c>
      <c r="BZ36" s="47" t="str">
        <f>IF(ISNUMBER(BY36),IF(COUNTIFS(BZ$1:BZ35,_xlfn.RANK.EQ(BY36,BY$2:BY$111,0))&gt;0,_xlfn.MAXIFS(BZ$1:BZ35,BY$1:BY35,BY36)+1,_xlfn.RANK.EQ(BY36,BY$2:BY$111,0)),"")</f>
        <v/>
      </c>
      <c r="CA36" s="1" t="str">
        <f>IF(ISNUMBER(BY36)=TRUE,IF(_xlfn.RANK.EQ(BY36,$BY$2:$BY$111)&lt;='Tournament Setup'!$B$39,_xlfn.RANK.EQ(BY36,$BY$2:$BY$111),""),"")</f>
        <v/>
      </c>
      <c r="CB36" s="31" t="str">
        <f>IF(AND($G36='Tournament Setup'!$A$39,$E36="M",$CA36&gt;'Tournament Setup'!$B$39),$H36,"")</f>
        <v/>
      </c>
      <c r="CC36" s="1" t="str">
        <f>IF(ISNUMBER(CB36)=TRUE,IF(_xlfn.RANK.EQ(CB36,$CB$2:$CB$111)&lt;='Tournament Setup'!$C$39,_xlfn.RANK.EQ(CB36,$CB$2:$CB$111),""),"")</f>
        <v/>
      </c>
      <c r="CD36" s="31" t="str">
        <f>IF(AND($G36='Tournament Setup'!$A$39,$E36="F",$CA36&gt;'Tournament Setup'!$B$39),$H36,"")</f>
        <v/>
      </c>
      <c r="CE36" s="12" t="str">
        <f>IF(ISNUMBER(CD36)=TRUE,IF(_xlfn.RANK.EQ(CD36,$CD$2:$CD$111)&lt;='Tournament Setup'!$D$39,_xlfn.RANK.EQ(CD36,$CD$2:$CD$111),""),"")</f>
        <v/>
      </c>
      <c r="CF36" s="30" t="str">
        <f>IF($G36='Tournament Setup'!$A$40,$H36,"")</f>
        <v/>
      </c>
      <c r="CG36" s="47" t="str">
        <f>IF(ISNUMBER(CF36),IF(COUNTIFS(CG$1:CG35,_xlfn.RANK.EQ(CF36,CF$2:CF$111,0))&gt;0,_xlfn.MAXIFS(CG$1:CG35,CF$1:CF35,CF36)+1,_xlfn.RANK.EQ(CF36,CF$2:CF$111,0)),"")</f>
        <v/>
      </c>
      <c r="CH36" s="1" t="str">
        <f>IF(ISNUMBER(CF36)=TRUE,IF(_xlfn.RANK.EQ(CF36,$CF$2:$CF$111)&lt;='Tournament Setup'!$B$40,_xlfn.RANK.EQ(CF36,$CF$2:$CF$111),""),"")</f>
        <v/>
      </c>
      <c r="CI36" s="31" t="str">
        <f>IF(AND($G36='Tournament Setup'!$A$40,$E36="M",$CH36&gt;'Tournament Setup'!$B$40),$H36,"")</f>
        <v/>
      </c>
      <c r="CJ36" s="1" t="str">
        <f>IF(ISNUMBER(CI36)=TRUE,IF(_xlfn.RANK.EQ(CI36,$CI$2:$CI$111)&lt;='Tournament Setup'!$C$40,_xlfn.RANK.EQ(CI36,$CI$2:$CI$111),""),"")</f>
        <v/>
      </c>
      <c r="CK36" s="31" t="str">
        <f>IF(AND($G36='Tournament Setup'!$A$40,$E36="F",$CH36&gt;'Tournament Setup'!$B$40),$H36,"")</f>
        <v/>
      </c>
      <c r="CL36" s="12" t="str">
        <f>IF(ISNUMBER(CK36)=TRUE,IF(_xlfn.RANK.EQ(CK36,$CK$2:$CK$111)&lt;='Tournament Setup'!$D$40,_xlfn.RANK.EQ(CK36,$CK$2:$CK$111),""),"")</f>
        <v/>
      </c>
      <c r="CM36" s="30" t="str">
        <f>IF($G36='Tournament Setup'!$A$41,$H36,"")</f>
        <v/>
      </c>
      <c r="CN36" s="47" t="str">
        <f>IF(ISNUMBER(CM36),IF(COUNTIFS(CN$1:CN35,_xlfn.RANK.EQ(CM36,CM$2:CM$111,0))&gt;0,_xlfn.MAXIFS(CN$1:CN35,CM$1:CM35,CM36)+1,_xlfn.RANK.EQ(CM36,CM$2:CM$111,0)),"")</f>
        <v/>
      </c>
      <c r="CO36" s="1" t="str">
        <f>IF(ISNUMBER(CM36)=TRUE,IF(_xlfn.RANK.EQ(CM36,$CM$2:$CM$111)&lt;='Tournament Setup'!$B$41,_xlfn.RANK.EQ(CM36,$CM$2:$CM$111),""),"")</f>
        <v/>
      </c>
      <c r="CP36" s="31" t="str">
        <f>IF(AND($G36='Tournament Setup'!$A$41,$E36="M",$CO36&gt;'Tournament Setup'!$B$41),$H36,"")</f>
        <v/>
      </c>
      <c r="CQ36" s="1" t="str">
        <f>IF(ISNUMBER(CP36)=TRUE,IF(_xlfn.RANK.EQ(CP36,$CP$2:$CP$111)&lt;='Tournament Setup'!$C$41,_xlfn.RANK.EQ(CP36,$CP$2:$CP$111),""),"")</f>
        <v/>
      </c>
      <c r="CR36" s="31" t="str">
        <f>IF(AND($G36='Tournament Setup'!$A$41,$E36="F",$CO36&gt;'Tournament Setup'!$B$41),$H36,"")</f>
        <v/>
      </c>
      <c r="CS36" s="12" t="str">
        <f>IF(ISNUMBER(CR36)=TRUE,IF(_xlfn.RANK.EQ(CR36,$CR$2:$CR$111)&lt;='Tournament Setup'!$D$41,_xlfn.RANK.EQ(CR36,$CR$2:$CR$111),""),"")</f>
        <v/>
      </c>
    </row>
    <row r="37" spans="1:97" x14ac:dyDescent="0.3">
      <c r="A37" t="s">
        <v>192</v>
      </c>
      <c r="B37" t="str">
        <f>IFERROR(INDEX('Tournament List'!$B:$B,MATCH($A37,'Tournament List'!$A:$A,0)),"")</f>
        <v>Randy</v>
      </c>
      <c r="C37" t="str">
        <f>IFERROR(INDEX('Tournament List'!$C:$C,MATCH($A37,'Tournament List'!$A:$A,0)),"")</f>
        <v>Last Name36</v>
      </c>
      <c r="D37" t="str">
        <f t="shared" si="5"/>
        <v>Randy Last Name36</v>
      </c>
      <c r="E37" s="1" t="str">
        <f>IFERROR(INDEX('Tournament List'!F:F,MATCH($A37,'Tournament List'!$A:$A,0)),"")</f>
        <v>M</v>
      </c>
      <c r="F37" t="str">
        <f>IFERROR(INDEX('Tournament List'!M:M,MATCH($A37,'Tournament List'!$A:$A,0)),"")</f>
        <v>Novice</v>
      </c>
      <c r="G37" s="1" t="str">
        <f>IFERROR(INDEX('Tournament List'!W:W,MATCH($A37,'Tournament List'!$A:$A,0)),"")</f>
        <v>C</v>
      </c>
      <c r="H37" s="129">
        <f>IFERROR(INDEX('Tournament List'!Z:Z,MATCH($A37,'Tournament List'!$A:$A,0)),"")</f>
        <v>63.1</v>
      </c>
      <c r="I37" s="152">
        <f>IFERROR(INDEX('Tournament List'!T:T,MATCH($A37,'Tournament List'!$A:$A,0)),"")</f>
        <v>174</v>
      </c>
      <c r="J37" s="56">
        <f>IF(ISNUMBER(I37),IF(COUNTIFS(J$1:J36,_xlfn.RANK.EQ(I37,I$2:I$111,0))&gt;0,_xlfn.MAXIFS(J$1:J36,I$1:I36,I37)+1,_xlfn.RANK.EQ(I37,I$2:I$111,0)),"")</f>
        <v>11</v>
      </c>
      <c r="K37" s="11">
        <f t="shared" si="6"/>
        <v>31</v>
      </c>
      <c r="L37" s="56">
        <f>IF(ISNUMBER(H37),IF(COUNTIFS(L$1:L36,_xlfn.RANK.EQ(H37,H$2:H$111,0))&gt;0,_xlfn.MAXIFS(L$1:L36,H$1:H36,H37)+1,_xlfn.RANK.EQ(H37,H$2:H$111,0)),"")</f>
        <v>31</v>
      </c>
      <c r="M37" s="151">
        <f t="shared" si="7"/>
        <v>63.1</v>
      </c>
      <c r="N37" s="47">
        <f>IF(ISNUMBER(M37),IF(COUNTIFS(N$1:N36,_xlfn.RANK.EQ(M37,M$2:M$111,0))&gt;0,_xlfn.MAXIFS(N$1:N36,M$1:M36,M37)+1,_xlfn.RANK.EQ(M37,M$2:M$111,0)),"")</f>
        <v>29</v>
      </c>
      <c r="O37" s="1" t="str">
        <f>IF(ISNUMBER(M37)=TRUE,IF(_xlfn.RANK.EQ(M37,$M$2:$M$111)&lt;='Tournament Setup'!$B$23,_xlfn.RANK.EQ(M37,$M$2:$M$111),""),"")</f>
        <v/>
      </c>
      <c r="P37" s="150">
        <f t="shared" si="8"/>
        <v>63.1</v>
      </c>
      <c r="Q37" s="1" t="str">
        <f>IF(ISNUMBER(P37)=TRUE,IF(_xlfn.RANK.EQ(P37,$P$2:$P$111)&lt;='Tournament Setup'!$B$24,_xlfn.RANK.EQ(P37,$P$2:$P$111),""),"")</f>
        <v/>
      </c>
      <c r="R37" s="150" t="str">
        <f t="shared" si="9"/>
        <v/>
      </c>
      <c r="S37" s="12" t="str">
        <f>IF(ISNUMBER(R37)=TRUE,IF(_xlfn.RANK.EQ(R37,$R$2:$R$111)&lt;='Tournament Setup'!$B$25,_xlfn.RANK.EQ(R37,$R$2:$R$111),""),"")</f>
        <v/>
      </c>
      <c r="T37" s="152">
        <f>IF(AND($F37='Tournament Setup'!$A$29,$I37&lt;&gt;0),$I37,"")</f>
        <v>174</v>
      </c>
      <c r="U37" s="47">
        <f>IF(ISNUMBER(T37),IF(COUNTIFS(U$1:U36,_xlfn.RANK.EQ(T37,T$2:T$111,0))&gt;0,_xlfn.MAXIFS(U$1:U36,T$1:T36,T37)+1,_xlfn.RANK.EQ(T37,T$2:T$111,0)),"")</f>
        <v>3</v>
      </c>
      <c r="V37" s="1" t="str">
        <f>IF(ISNUMBER(T37)=TRUE,IF(_xlfn.RANK.EQ(T37,$T$3:$T$112)&lt;='Tournament Setup'!$B$46,_xlfn.RANK.EQ(T37,$T$2:$T$111),""),"")</f>
        <v/>
      </c>
      <c r="W37" s="30">
        <f>IF(AND($F37='Tournament Setup'!$A$29,SUM($O37,$Q37,$S37)=0),$H37,"")</f>
        <v>63.1</v>
      </c>
      <c r="X37" s="47">
        <f>IF(ISNUMBER(W37),IF(COUNTIFS(X$1:X36,_xlfn.RANK.EQ(W37,W$2:W$111,0))&gt;0,_xlfn.MAXIFS(X$1:X36,W$1:W36,W37)+1,_xlfn.RANK.EQ(W37,W$2:W$111,0)),"")</f>
        <v>7</v>
      </c>
      <c r="Y37" s="1" t="str">
        <f>IF(ISNUMBER(W37)=TRUE,IF(_xlfn.RANK.EQ(W37,$W$2:$W$111)&lt;='Tournament Setup'!$B$29,_xlfn.RANK.EQ(W37,$W$2:$W$111),""),"")</f>
        <v/>
      </c>
      <c r="Z37" s="31">
        <f>IF(AND($F37='Tournament Setup'!$A$29,SUM($O37,$Q37)=0,$E37="M",$Y37&gt;'Tournament Setup'!$B$29),$H37,"")</f>
        <v>63.1</v>
      </c>
      <c r="AA37" s="1" t="str">
        <f>IF(ISNUMBER(Z37)=TRUE,IF(_xlfn.RANK.EQ(Z37,$Z$2:$Z$111)&lt;='Tournament Setup'!$C$29,_xlfn.RANK.EQ(Z37,$Z$2:$Z$111),""),"")</f>
        <v/>
      </c>
      <c r="AB37" s="31" t="str">
        <f>IF(AND($F37='Tournament Setup'!$A$29,SUM($O37,$S37)=0,$E37="F",$Y37&gt;'Tournament Setup'!$B$29),$H37,"")</f>
        <v/>
      </c>
      <c r="AC37" s="12" t="str">
        <f>IF(ISNUMBER(AB37)=TRUE,IF(_xlfn.RANK.EQ(AB37,$AB$2:$AB$111)&lt;='Tournament Setup'!$D$29,_xlfn.RANK.EQ(AB37,$AB$2:$AB$111),""),"")</f>
        <v/>
      </c>
      <c r="AD37" s="30" t="str">
        <f>IF(AND($F37='Tournament Setup'!$A$30,$I37&lt;&gt;0),$I37,"")</f>
        <v/>
      </c>
      <c r="AE37" s="47" t="str">
        <f>IF(ISNUMBER(AD37),IF(COUNTIFS(AE$1:AE36,_xlfn.RANK.EQ(AD37,AD$2:AD$111,0))&gt;0,_xlfn.MAXIFS(AE$1:AE36,AD$1:AD36,AD37)+1,_xlfn.RANK.EQ(AD37,AD$2:AD$111,0)),"")</f>
        <v/>
      </c>
      <c r="AF37" s="1" t="str">
        <f>IF(ISNUMBER(AD37)=TRUE,IF(_xlfn.RANK.EQ(AD37,$AD$2:$AD$111)&lt;='Tournament Setup'!$B$46,_xlfn.RANK.EQ(AD37,$AD$2:$AD$111),""),"")</f>
        <v/>
      </c>
      <c r="AG37" s="30" t="str">
        <f>IF(AND($F37='Tournament Setup'!$A$30,SUM($O37,$Q37,$S37)=0),$H37,"")</f>
        <v/>
      </c>
      <c r="AH37" s="47" t="str">
        <f>IF(ISNUMBER(AG37),IF(COUNTIFS(AH$1:AH36,_xlfn.RANK.EQ(AG37,AG$2:AG$111,0))&gt;0,_xlfn.MAXIFS(AH$1:AH36,AG$1:AG36,AG37)+1,_xlfn.RANK.EQ(AG37,AG$2:AG$111,0)),"")</f>
        <v/>
      </c>
      <c r="AI37" s="1" t="str">
        <f>IF(ISNUMBER(AG37)=TRUE,IF(_xlfn.RANK.EQ(AG37,$AG$2:$AG$111)&lt;='Tournament Setup'!$B$30,_xlfn.RANK.EQ(AG37,$AG$2:$AG$111),""),"")</f>
        <v/>
      </c>
      <c r="AJ37" s="31" t="str">
        <f>IF(AND($F37='Tournament Setup'!$A$30,SUM($O37,$Q37)=0,$E37="M",$AI37&gt;'Tournament Setup'!$B$30),$H37,"")</f>
        <v/>
      </c>
      <c r="AK37" s="1" t="str">
        <f>IF(ISNUMBER(AJ37)=TRUE,IF(_xlfn.RANK.EQ(AJ37,$AJ$2:$AJ$111)&lt;='Tournament Setup'!$C$30,_xlfn.RANK.EQ(AJ37,$AJ$2:$AJ$111),""),"")</f>
        <v/>
      </c>
      <c r="AL37" s="31" t="str">
        <f>IF(AND($F37='Tournament Setup'!$A$30,SUM($O37,$S37)=0,$E37="F",$AI37&gt;'Tournament Setup'!$B$30),$H37,"")</f>
        <v/>
      </c>
      <c r="AM37" s="12" t="str">
        <f>IF(ISNUMBER(AL37)=TRUE,IF(_xlfn.RANK.EQ(AL37,$AL$2:$AL$111)&lt;='Tournament Setup'!$D$30,_xlfn.RANK.EQ(AL37,$AL$2:$AL$111),""),"")</f>
        <v/>
      </c>
      <c r="AN37" s="30" t="str">
        <f>IF(AND($F37='Tournament Setup'!$A$31,$I37&lt;&gt;0),$I37,"")</f>
        <v/>
      </c>
      <c r="AO37" s="47" t="str">
        <f>IF(ISNUMBER(AN37),IF(COUNTIFS(AO$1:AO36,_xlfn.RANK.EQ(AN37,AN$2:AN$111,0))&gt;0,_xlfn.MAXIFS(AO$1:AO36,AN$1:AN36,AN37)+1,_xlfn.RANK.EQ(AN37,AN$2:AN$111,0)),"")</f>
        <v/>
      </c>
      <c r="AP37" s="1" t="str">
        <f>IF(ISNUMBER(AN37)=TRUE,IF(_xlfn.RANK.EQ(AN37,$AN$2:$AN$111)&lt;='Tournament Setup'!$B$46,_xlfn.RANK.EQ(AN37,$AN$2:$AN$111),""),"")</f>
        <v/>
      </c>
      <c r="AQ37" s="30" t="str">
        <f>IF(AND($F37='Tournament Setup'!$A$31,SUM($O37,$Q37,$S37)=0),$H37,"")</f>
        <v/>
      </c>
      <c r="AR37" s="47" t="str">
        <f>IF(ISNUMBER(AQ37),IF(COUNTIFS(AR$1:AR36,_xlfn.RANK.EQ(AQ37,AQ$2:AQ$111,0))&gt;0,_xlfn.MAXIFS(AR$1:AR36,AQ$1:AQ36,AQ37)+1,_xlfn.RANK.EQ(AQ37,AQ$2:AQ$111,0)),"")</f>
        <v/>
      </c>
      <c r="AS37" s="1" t="str">
        <f>IF(ISNUMBER(AQ37)=TRUE,IF(_xlfn.RANK.EQ(AQ37,$AQ$2:$AQ$111)&lt;='Tournament Setup'!$B$31,_xlfn.RANK.EQ(AQ37,$AQ$2:$AQ$111),""),"")</f>
        <v/>
      </c>
      <c r="AT37" s="31" t="str">
        <f>IF(AND($F37='Tournament Setup'!$A$31,SUM($O37,$Q37)=0,$E37="M",$AS37&gt;'Tournament Setup'!$B$31),$H37,"")</f>
        <v/>
      </c>
      <c r="AU37" s="1" t="str">
        <f>IF(ISNUMBER(AT37)=TRUE,IF(_xlfn.RANK.EQ(AT37,$AT$2:$AT$111)&lt;='Tournament Setup'!$C$31,_xlfn.RANK.EQ(AT37,$AT$2:$AT$111),""),"")</f>
        <v/>
      </c>
      <c r="AV37" s="31" t="str">
        <f>IF(AND($F37='Tournament Setup'!$A$31,SUM($O37,$S37)=0,$E37="F",$AS37&gt;'Tournament Setup'!$B$31),$H37,"")</f>
        <v/>
      </c>
      <c r="AW37" s="12" t="str">
        <f>IF(ISNUMBER(AV37)=TRUE,IF(_xlfn.RANK.EQ(AV37,$AV$2:$AV$111)&lt;='Tournament Setup'!$D$31,_xlfn.RANK.EQ(AV37,$AV$2:$AV$111),""),"")</f>
        <v/>
      </c>
      <c r="AX37" s="30" t="str">
        <f>IF(AND($F37='Tournament Setup'!$A$32,$I37&lt;&gt;0),$I37,"")</f>
        <v/>
      </c>
      <c r="AY37" s="47" t="str">
        <f>IF(ISNUMBER(AX37),IF(COUNTIFS(AY$1:AY36,_xlfn.RANK.EQ(AX37,AX$2:AX$111,0))&gt;0,_xlfn.MAXIFS(AY$1:AY36,AX$1:AX36,AX37)+1,_xlfn.RANK.EQ(AX37,AX$2:AX$111,0)),"")</f>
        <v/>
      </c>
      <c r="AZ37" s="1" t="str">
        <f>IF(ISNUMBER(AX37)=TRUE,IF(_xlfn.RANK.EQ(AX37,$AX$2:$AX$111)&lt;='Tournament Setup'!$B$46,_xlfn.RANK.EQ(AX37,$AX$2:$AX$111),""),"")</f>
        <v/>
      </c>
      <c r="BA37" s="30" t="str">
        <f>IF(AND($F37='Tournament Setup'!$A$32,SUM($O37,$Q37,$S37)=0),$H37,"")</f>
        <v/>
      </c>
      <c r="BB37" s="47" t="str">
        <f>IF(ISNUMBER(BA37),IF(COUNTIFS(BB$1:BB36,_xlfn.RANK.EQ(BA37,BA$2:BA$111,0))&gt;0,_xlfn.MAXIFS(BB$1:BB36,BA$1:BA36,BA37)+1,_xlfn.RANK.EQ(BA37,BA$2:BA$111,0)),"")</f>
        <v/>
      </c>
      <c r="BC37" s="1" t="str">
        <f>IF(ISNUMBER(BA37)=TRUE,IF(_xlfn.RANK.EQ(BA37,$BA$2:$BA$111)&lt;='Tournament Setup'!$B$32,_xlfn.RANK.EQ(BA37,$BA$2:$BA$111),""),"")</f>
        <v/>
      </c>
      <c r="BD37" s="31" t="str">
        <f>IF(AND($F37='Tournament Setup'!$A$32,SUM($O37,$Q37)=0,$E37="M",$BC37&gt;'Tournament Setup'!$B$32),$H37,"")</f>
        <v/>
      </c>
      <c r="BE37" s="1" t="str">
        <f>IF(ISNUMBER(BD37)=TRUE,IF(_xlfn.RANK.EQ(BD37,$BD$2:$BD$111)&lt;='Tournament Setup'!$C$32,_xlfn.RANK.EQ(BD37,$BD$2:$BD$111),""),"")</f>
        <v/>
      </c>
      <c r="BF37" s="31" t="str">
        <f>IF(AND($F37='Tournament Setup'!$A$32,SUM($O37,$S37)=0,$E37="F",$BC37&gt;'Tournament Setup'!$B$32),$H37,"")</f>
        <v/>
      </c>
      <c r="BG37" s="12" t="str">
        <f>IF(ISNUMBER(BF37)=TRUE,IF(_xlfn.RANK.EQ(BF37,$BF$2:$BF$111)&lt;='Tournament Setup'!$D$32,_xlfn.RANK.EQ(BF37,$BF$2:$BF$111),""),"")</f>
        <v/>
      </c>
      <c r="BH37" s="30" t="str">
        <f>IF(AND($F37='Tournament Setup'!$A$33,$I37&lt;&gt;0),$I37,"")</f>
        <v/>
      </c>
      <c r="BI37" s="47" t="str">
        <f>IF(ISNUMBER(BH37),IF(COUNTIFS(BI$1:BI36,_xlfn.RANK.EQ(BH37,BH$2:BH$111,0))&gt;0,_xlfn.MAXIFS(BI$1:BI36,BH$1:BH36,BH37)+1,_xlfn.RANK.EQ(BH37,BH$2:BH$111,0)),"")</f>
        <v/>
      </c>
      <c r="BJ37" s="1" t="str">
        <f>IF(ISNUMBER(BH37)=TRUE,IF(_xlfn.RANK.EQ(BH37,$BH$2:$BH$111)&lt;='Tournament Setup'!$B$46,_xlfn.RANK.EQ(BH37,$BH$2:$BH$111),""),"")</f>
        <v/>
      </c>
      <c r="BK37" s="30" t="str">
        <f>IF(AND($F37='Tournament Setup'!$A$33,SUM($O37,$Q37,$S37)=0),$H37,"")</f>
        <v/>
      </c>
      <c r="BL37" s="47" t="str">
        <f>IF(ISNUMBER(BK37),IF(COUNTIFS(BL$1:BL36,_xlfn.RANK.EQ(BK37,BK$2:BK$111,0))&gt;0,_xlfn.MAXIFS(BL$1:BL36,BK$1:BK36,BK37)+1,_xlfn.RANK.EQ(BK37,BK$2:BK$111,0)),"")</f>
        <v/>
      </c>
      <c r="BM37" s="1" t="str">
        <f>IF(ISNUMBER(BK37)=TRUE,IF(_xlfn.RANK.EQ(BK37,$BK$2:$BK$111)&lt;='Tournament Setup'!$B$33,_xlfn.RANK.EQ(BK37,$BK$2:$BK$111),""),"")</f>
        <v/>
      </c>
      <c r="BN37" s="31" t="str">
        <f>IF(AND($F37='Tournament Setup'!$A$33,SUM($O37,$Q37)=0,$E37="M",$BM37&gt;'Tournament Setup'!$B$33),$H37,"")</f>
        <v/>
      </c>
      <c r="BO37" s="1" t="str">
        <f>IF(ISNUMBER(BN37)=TRUE,IF(_xlfn.RANK.EQ(BN37,$BN$2:$BN$111)&lt;='Tournament Setup'!$C$33,_xlfn.RANK.EQ(BN37,$BN$2:$BN$111),""),"")</f>
        <v/>
      </c>
      <c r="BP37" s="31" t="str">
        <f>IF(AND($F37='Tournament Setup'!$A$33,SUM($O37,$S37)=0,$E37="F",$BM37&gt;'Tournament Setup'!$B$33),$H37,"")</f>
        <v/>
      </c>
      <c r="BQ37" s="12" t="str">
        <f>IF(ISNUMBER(BP37)=TRUE,IF(_xlfn.RANK.EQ(BP37,$BP$2:$BP$111)&lt;='Tournament Setup'!$D$33,_xlfn.RANK.EQ(BP37,$BP$2:$BP$111),""),"")</f>
        <v/>
      </c>
      <c r="BR37" s="30" t="str">
        <f>IF($G37='Tournament Setup'!$A$38,$H37,"")</f>
        <v/>
      </c>
      <c r="BS37" s="47" t="str">
        <f>IF(ISNUMBER(BR37),IF(COUNTIFS(BS$1:BS36,_xlfn.RANK.EQ(BR37,BR$2:BR$111,0))&gt;0,_xlfn.MAXIFS(BS$1:BS36,BR$1:BR36,BR37)+1,_xlfn.RANK.EQ(BR37,BR$2:BR$111,0)),"")</f>
        <v/>
      </c>
      <c r="BT37" s="1" t="str">
        <f>IF(ISNUMBER(BR37)=TRUE,IF(_xlfn.RANK.EQ(BR37,$BR$2:$BR$111)&lt;='Tournament Setup'!$B$38,_xlfn.RANK.EQ(BR37,$BR$2:$BR$111),""),"")</f>
        <v/>
      </c>
      <c r="BU37" s="31" t="str">
        <f>IF(AND($G37='Tournament Setup'!$A$38,$E37="M",$BT37&gt;'Tournament Setup'!$B$38),$H37,"")</f>
        <v/>
      </c>
      <c r="BV37" s="1" t="str">
        <f>IF(ISNUMBER(BU37)=TRUE,IF(_xlfn.RANK.EQ(BU37,$BU$2:$BU$111)&lt;='Tournament Setup'!$C$38,_xlfn.RANK.EQ(BU37,$BU$2:$BU$111),""),"")</f>
        <v/>
      </c>
      <c r="BW37" s="31" t="str">
        <f>IF(AND($G37='Tournament Setup'!$A$38,$E37="F",$BT37&gt;'Tournament Setup'!$B$38),$H37,"")</f>
        <v/>
      </c>
      <c r="BX37" s="12" t="str">
        <f>IF(ISNUMBER(BW37)=TRUE,IF(_xlfn.RANK.EQ(BW37,$BW$2:$BW$111)&lt;='Tournament Setup'!$D$38,_xlfn.RANK.EQ(BW37,$BW$2:$BW$111),""),"")</f>
        <v/>
      </c>
      <c r="BY37" s="30" t="str">
        <f>IF($G37='Tournament Setup'!$A$39,$H37,"")</f>
        <v/>
      </c>
      <c r="BZ37" s="47" t="str">
        <f>IF(ISNUMBER(BY37),IF(COUNTIFS(BZ$1:BZ36,_xlfn.RANK.EQ(BY37,BY$2:BY$111,0))&gt;0,_xlfn.MAXIFS(BZ$1:BZ36,BY$1:BY36,BY37)+1,_xlfn.RANK.EQ(BY37,BY$2:BY$111,0)),"")</f>
        <v/>
      </c>
      <c r="CA37" s="1" t="str">
        <f>IF(ISNUMBER(BY37)=TRUE,IF(_xlfn.RANK.EQ(BY37,$BY$2:$BY$111)&lt;='Tournament Setup'!$B$39,_xlfn.RANK.EQ(BY37,$BY$2:$BY$111),""),"")</f>
        <v/>
      </c>
      <c r="CB37" s="31" t="str">
        <f>IF(AND($G37='Tournament Setup'!$A$39,$E37="M",$CA37&gt;'Tournament Setup'!$B$39),$H37,"")</f>
        <v/>
      </c>
      <c r="CC37" s="1" t="str">
        <f>IF(ISNUMBER(CB37)=TRUE,IF(_xlfn.RANK.EQ(CB37,$CB$2:$CB$111)&lt;='Tournament Setup'!$C$39,_xlfn.RANK.EQ(CB37,$CB$2:$CB$111),""),"")</f>
        <v/>
      </c>
      <c r="CD37" s="31" t="str">
        <f>IF(AND($G37='Tournament Setup'!$A$39,$E37="F",$CA37&gt;'Tournament Setup'!$B$39),$H37,"")</f>
        <v/>
      </c>
      <c r="CE37" s="12" t="str">
        <f>IF(ISNUMBER(CD37)=TRUE,IF(_xlfn.RANK.EQ(CD37,$CD$2:$CD$111)&lt;='Tournament Setup'!$D$39,_xlfn.RANK.EQ(CD37,$CD$2:$CD$111),""),"")</f>
        <v/>
      </c>
      <c r="CF37" s="30">
        <f>IF($G37='Tournament Setup'!$A$40,$H37,"")</f>
        <v>63.1</v>
      </c>
      <c r="CG37" s="47">
        <f>IF(ISNUMBER(CF37),IF(COUNTIFS(CG$1:CG36,_xlfn.RANK.EQ(CF37,CF$2:CF$111,0))&gt;0,_xlfn.MAXIFS(CG$1:CG36,CF$1:CF36,CF37)+1,_xlfn.RANK.EQ(CF37,CF$2:CF$111,0)),"")</f>
        <v>9</v>
      </c>
      <c r="CH37" s="1" t="str">
        <f>IF(ISNUMBER(CF37)=TRUE,IF(_xlfn.RANK.EQ(CF37,$CF$2:$CF$111)&lt;='Tournament Setup'!$B$40,_xlfn.RANK.EQ(CF37,$CF$2:$CF$111),""),"")</f>
        <v/>
      </c>
      <c r="CI37" s="31">
        <f>IF(AND($G37='Tournament Setup'!$A$40,$E37="M",$CH37&gt;'Tournament Setup'!$B$40),$H37,"")</f>
        <v>63.1</v>
      </c>
      <c r="CJ37" s="1" t="str">
        <f>IF(ISNUMBER(CI37)=TRUE,IF(_xlfn.RANK.EQ(CI37,$CI$2:$CI$111)&lt;='Tournament Setup'!$C$40,_xlfn.RANK.EQ(CI37,$CI$2:$CI$111),""),"")</f>
        <v/>
      </c>
      <c r="CK37" s="31" t="str">
        <f>IF(AND($G37='Tournament Setup'!$A$40,$E37="F",$CH37&gt;'Tournament Setup'!$B$40),$H37,"")</f>
        <v/>
      </c>
      <c r="CL37" s="12" t="str">
        <f>IF(ISNUMBER(CK37)=TRUE,IF(_xlfn.RANK.EQ(CK37,$CK$2:$CK$111)&lt;='Tournament Setup'!$D$40,_xlfn.RANK.EQ(CK37,$CK$2:$CK$111),""),"")</f>
        <v/>
      </c>
      <c r="CM37" s="30" t="str">
        <f>IF($G37='Tournament Setup'!$A$41,$H37,"")</f>
        <v/>
      </c>
      <c r="CN37" s="47" t="str">
        <f>IF(ISNUMBER(CM37),IF(COUNTIFS(CN$1:CN36,_xlfn.RANK.EQ(CM37,CM$2:CM$111,0))&gt;0,_xlfn.MAXIFS(CN$1:CN36,CM$1:CM36,CM37)+1,_xlfn.RANK.EQ(CM37,CM$2:CM$111,0)),"")</f>
        <v/>
      </c>
      <c r="CO37" s="1" t="str">
        <f>IF(ISNUMBER(CM37)=TRUE,IF(_xlfn.RANK.EQ(CM37,$CM$2:$CM$111)&lt;='Tournament Setup'!$B$41,_xlfn.RANK.EQ(CM37,$CM$2:$CM$111),""),"")</f>
        <v/>
      </c>
      <c r="CP37" s="31" t="str">
        <f>IF(AND($G37='Tournament Setup'!$A$41,$E37="M",$CO37&gt;'Tournament Setup'!$B$41),$H37,"")</f>
        <v/>
      </c>
      <c r="CQ37" s="1" t="str">
        <f>IF(ISNUMBER(CP37)=TRUE,IF(_xlfn.RANK.EQ(CP37,$CP$2:$CP$111)&lt;='Tournament Setup'!$C$41,_xlfn.RANK.EQ(CP37,$CP$2:$CP$111),""),"")</f>
        <v/>
      </c>
      <c r="CR37" s="31" t="str">
        <f>IF(AND($G37='Tournament Setup'!$A$41,$E37="F",$CO37&gt;'Tournament Setup'!$B$41),$H37,"")</f>
        <v/>
      </c>
      <c r="CS37" s="12" t="str">
        <f>IF(ISNUMBER(CR37)=TRUE,IF(_xlfn.RANK.EQ(CR37,$CR$2:$CR$111)&lt;='Tournament Setup'!$D$41,_xlfn.RANK.EQ(CR37,$CR$2:$CR$111),""),"")</f>
        <v/>
      </c>
    </row>
    <row r="38" spans="1:97" x14ac:dyDescent="0.3">
      <c r="A38" t="s">
        <v>193</v>
      </c>
      <c r="B38" t="str">
        <f>IFERROR(INDEX('Tournament List'!$B:$B,MATCH($A38,'Tournament List'!$A:$A,0)),"")</f>
        <v>Will</v>
      </c>
      <c r="C38" t="str">
        <f>IFERROR(INDEX('Tournament List'!$C:$C,MATCH($A38,'Tournament List'!$A:$A,0)),"")</f>
        <v>Last Name37</v>
      </c>
      <c r="D38" t="str">
        <f t="shared" si="5"/>
        <v>Will Last Name37</v>
      </c>
      <c r="E38" s="1" t="str">
        <f>IFERROR(INDEX('Tournament List'!F:F,MATCH($A38,'Tournament List'!$A:$A,0)),"")</f>
        <v>M</v>
      </c>
      <c r="F38" t="str">
        <f>IFERROR(INDEX('Tournament List'!M:M,MATCH($A38,'Tournament List'!$A:$A,0)),"")</f>
        <v>Varsity</v>
      </c>
      <c r="G38" s="1" t="str">
        <f>IFERROR(INDEX('Tournament List'!W:W,MATCH($A38,'Tournament List'!$A:$A,0)),"")</f>
        <v>B</v>
      </c>
      <c r="H38" s="129">
        <f>IFERROR(INDEX('Tournament List'!Z:Z,MATCH($A38,'Tournament List'!$A:$A,0)),"")</f>
        <v>85</v>
      </c>
      <c r="I38" s="152" t="str">
        <f>IFERROR(INDEX('Tournament List'!T:T,MATCH($A38,'Tournament List'!$A:$A,0)),"")</f>
        <v/>
      </c>
      <c r="J38" s="56" t="str">
        <f>IF(ISNUMBER(I38),IF(COUNTIFS(J$1:J37,_xlfn.RANK.EQ(I38,I$2:I$111,0))&gt;0,_xlfn.MAXIFS(J$1:J37,I$1:I37,I38)+1,_xlfn.RANK.EQ(I38,I$2:I$111,0)),"")</f>
        <v/>
      </c>
      <c r="K38" s="11">
        <f t="shared" si="6"/>
        <v>13</v>
      </c>
      <c r="L38" s="56">
        <f>IF(ISNUMBER(H38),IF(COUNTIFS(L$1:L37,_xlfn.RANK.EQ(H38,H$2:H$111,0))&gt;0,_xlfn.MAXIFS(L$1:L37,H$1:H37,H38)+1,_xlfn.RANK.EQ(H38,H$2:H$111,0)),"")</f>
        <v>14</v>
      </c>
      <c r="M38" s="151">
        <f t="shared" si="7"/>
        <v>85</v>
      </c>
      <c r="N38" s="47">
        <f>IF(ISNUMBER(M38),IF(COUNTIFS(N$1:N37,_xlfn.RANK.EQ(M38,M$2:M$111,0))&gt;0,_xlfn.MAXIFS(N$1:N37,M$1:M37,M38)+1,_xlfn.RANK.EQ(M38,M$2:M$111,0)),"")</f>
        <v>12</v>
      </c>
      <c r="O38" s="1" t="str">
        <f>IF(ISNUMBER(M38)=TRUE,IF(_xlfn.RANK.EQ(M38,$M$2:$M$111)&lt;='Tournament Setup'!$B$23,_xlfn.RANK.EQ(M38,$M$2:$M$111),""),"")</f>
        <v/>
      </c>
      <c r="P38" s="150">
        <f t="shared" si="8"/>
        <v>85</v>
      </c>
      <c r="Q38" s="1" t="str">
        <f>IF(ISNUMBER(P38)=TRUE,IF(_xlfn.RANK.EQ(P38,$P$2:$P$111)&lt;='Tournament Setup'!$B$24,_xlfn.RANK.EQ(P38,$P$2:$P$111),""),"")</f>
        <v/>
      </c>
      <c r="R38" s="150" t="str">
        <f t="shared" si="9"/>
        <v/>
      </c>
      <c r="S38" s="12" t="str">
        <f>IF(ISNUMBER(R38)=TRUE,IF(_xlfn.RANK.EQ(R38,$R$2:$R$111)&lt;='Tournament Setup'!$B$25,_xlfn.RANK.EQ(R38,$R$2:$R$111),""),"")</f>
        <v/>
      </c>
      <c r="T38" s="152" t="str">
        <f>IF(AND($F38='Tournament Setup'!$A$29,$I38&lt;&gt;0),$I38,"")</f>
        <v/>
      </c>
      <c r="U38" s="47" t="str">
        <f>IF(ISNUMBER(T38),IF(COUNTIFS(U$1:U37,_xlfn.RANK.EQ(T38,T$2:T$111,0))&gt;0,_xlfn.MAXIFS(U$1:U37,T$1:T37,T38)+1,_xlfn.RANK.EQ(T38,T$2:T$111,0)),"")</f>
        <v/>
      </c>
      <c r="V38" s="1" t="str">
        <f>IF(ISNUMBER(T38)=TRUE,IF(_xlfn.RANK.EQ(T38,$T$3:$T$112)&lt;='Tournament Setup'!$B$46,_xlfn.RANK.EQ(T38,$T$2:$T$111),""),"")</f>
        <v/>
      </c>
      <c r="W38" s="30" t="str">
        <f>IF(AND($F38='Tournament Setup'!$A$29,SUM($O38,$Q38,$S38)=0),$H38,"")</f>
        <v/>
      </c>
      <c r="X38" s="47" t="str">
        <f>IF(ISNUMBER(W38),IF(COUNTIFS(X$1:X37,_xlfn.RANK.EQ(W38,W$2:W$111,0))&gt;0,_xlfn.MAXIFS(X$1:X37,W$1:W37,W38)+1,_xlfn.RANK.EQ(W38,W$2:W$111,0)),"")</f>
        <v/>
      </c>
      <c r="Y38" s="1" t="str">
        <f>IF(ISNUMBER(W38)=TRUE,IF(_xlfn.RANK.EQ(W38,$W$2:$W$111)&lt;='Tournament Setup'!$B$29,_xlfn.RANK.EQ(W38,$W$2:$W$111),""),"")</f>
        <v/>
      </c>
      <c r="Z38" s="31" t="str">
        <f>IF(AND($F38='Tournament Setup'!$A$29,SUM($O38,$Q38)=0,$E38="M",$Y38&gt;'Tournament Setup'!$B$29),$H38,"")</f>
        <v/>
      </c>
      <c r="AA38" s="1" t="str">
        <f>IF(ISNUMBER(Z38)=TRUE,IF(_xlfn.RANK.EQ(Z38,$Z$2:$Z$111)&lt;='Tournament Setup'!$C$29,_xlfn.RANK.EQ(Z38,$Z$2:$Z$111),""),"")</f>
        <v/>
      </c>
      <c r="AB38" s="31" t="str">
        <f>IF(AND($F38='Tournament Setup'!$A$29,SUM($O38,$S38)=0,$E38="F",$Y38&gt;'Tournament Setup'!$B$29),$H38,"")</f>
        <v/>
      </c>
      <c r="AC38" s="12" t="str">
        <f>IF(ISNUMBER(AB38)=TRUE,IF(_xlfn.RANK.EQ(AB38,$AB$2:$AB$111)&lt;='Tournament Setup'!$D$29,_xlfn.RANK.EQ(AB38,$AB$2:$AB$111),""),"")</f>
        <v/>
      </c>
      <c r="AD38" s="30" t="str">
        <f>IF(AND($F38='Tournament Setup'!$A$30,$I38&lt;&gt;0),$I38,"")</f>
        <v/>
      </c>
      <c r="AE38" s="47" t="str">
        <f>IF(ISNUMBER(AD38),IF(COUNTIFS(AE$1:AE37,_xlfn.RANK.EQ(AD38,AD$2:AD$111,0))&gt;0,_xlfn.MAXIFS(AE$1:AE37,AD$1:AD37,AD38)+1,_xlfn.RANK.EQ(AD38,AD$2:AD$111,0)),"")</f>
        <v/>
      </c>
      <c r="AF38" s="1" t="str">
        <f>IF(ISNUMBER(AD38)=TRUE,IF(_xlfn.RANK.EQ(AD38,$AD$2:$AD$111)&lt;='Tournament Setup'!$B$46,_xlfn.RANK.EQ(AD38,$AD$2:$AD$111),""),"")</f>
        <v/>
      </c>
      <c r="AG38" s="30" t="str">
        <f>IF(AND($F38='Tournament Setup'!$A$30,SUM($O38,$Q38,$S38)=0),$H38,"")</f>
        <v/>
      </c>
      <c r="AH38" s="47" t="str">
        <f>IF(ISNUMBER(AG38),IF(COUNTIFS(AH$1:AH37,_xlfn.RANK.EQ(AG38,AG$2:AG$111,0))&gt;0,_xlfn.MAXIFS(AH$1:AH37,AG$1:AG37,AG38)+1,_xlfn.RANK.EQ(AG38,AG$2:AG$111,0)),"")</f>
        <v/>
      </c>
      <c r="AI38" s="1" t="str">
        <f>IF(ISNUMBER(AG38)=TRUE,IF(_xlfn.RANK.EQ(AG38,$AG$2:$AG$111)&lt;='Tournament Setup'!$B$30,_xlfn.RANK.EQ(AG38,$AG$2:$AG$111),""),"")</f>
        <v/>
      </c>
      <c r="AJ38" s="31" t="str">
        <f>IF(AND($F38='Tournament Setup'!$A$30,SUM($O38,$Q38)=0,$E38="M",$AI38&gt;'Tournament Setup'!$B$30),$H38,"")</f>
        <v/>
      </c>
      <c r="AK38" s="1" t="str">
        <f>IF(ISNUMBER(AJ38)=TRUE,IF(_xlfn.RANK.EQ(AJ38,$AJ$2:$AJ$111)&lt;='Tournament Setup'!$C$30,_xlfn.RANK.EQ(AJ38,$AJ$2:$AJ$111),""),"")</f>
        <v/>
      </c>
      <c r="AL38" s="31" t="str">
        <f>IF(AND($F38='Tournament Setup'!$A$30,SUM($O38,$S38)=0,$E38="F",$AI38&gt;'Tournament Setup'!$B$30),$H38,"")</f>
        <v/>
      </c>
      <c r="AM38" s="12" t="str">
        <f>IF(ISNUMBER(AL38)=TRUE,IF(_xlfn.RANK.EQ(AL38,$AL$2:$AL$111)&lt;='Tournament Setup'!$D$30,_xlfn.RANK.EQ(AL38,$AL$2:$AL$111),""),"")</f>
        <v/>
      </c>
      <c r="AN38" s="30" t="str">
        <f>IF(AND($F38='Tournament Setup'!$A$31,$I38&lt;&gt;0),$I38,"")</f>
        <v/>
      </c>
      <c r="AO38" s="47" t="str">
        <f>IF(ISNUMBER(AN38),IF(COUNTIFS(AO$1:AO37,_xlfn.RANK.EQ(AN38,AN$2:AN$111,0))&gt;0,_xlfn.MAXIFS(AO$1:AO37,AN$1:AN37,AN38)+1,_xlfn.RANK.EQ(AN38,AN$2:AN$111,0)),"")</f>
        <v/>
      </c>
      <c r="AP38" s="1" t="str">
        <f>IF(ISNUMBER(AN38)=TRUE,IF(_xlfn.RANK.EQ(AN38,$AN$2:$AN$111)&lt;='Tournament Setup'!$B$46,_xlfn.RANK.EQ(AN38,$AN$2:$AN$111),""),"")</f>
        <v/>
      </c>
      <c r="AQ38" s="30" t="str">
        <f>IF(AND($F38='Tournament Setup'!$A$31,SUM($O38,$Q38,$S38)=0),$H38,"")</f>
        <v/>
      </c>
      <c r="AR38" s="47" t="str">
        <f>IF(ISNUMBER(AQ38),IF(COUNTIFS(AR$1:AR37,_xlfn.RANK.EQ(AQ38,AQ$2:AQ$111,0))&gt;0,_xlfn.MAXIFS(AR$1:AR37,AQ$1:AQ37,AQ38)+1,_xlfn.RANK.EQ(AQ38,AQ$2:AQ$111,0)),"")</f>
        <v/>
      </c>
      <c r="AS38" s="1" t="str">
        <f>IF(ISNUMBER(AQ38)=TRUE,IF(_xlfn.RANK.EQ(AQ38,$AQ$2:$AQ$111)&lt;='Tournament Setup'!$B$31,_xlfn.RANK.EQ(AQ38,$AQ$2:$AQ$111),""),"")</f>
        <v/>
      </c>
      <c r="AT38" s="31" t="str">
        <f>IF(AND($F38='Tournament Setup'!$A$31,SUM($O38,$Q38)=0,$E38="M",$AS38&gt;'Tournament Setup'!$B$31),$H38,"")</f>
        <v/>
      </c>
      <c r="AU38" s="1" t="str">
        <f>IF(ISNUMBER(AT38)=TRUE,IF(_xlfn.RANK.EQ(AT38,$AT$2:$AT$111)&lt;='Tournament Setup'!$C$31,_xlfn.RANK.EQ(AT38,$AT$2:$AT$111),""),"")</f>
        <v/>
      </c>
      <c r="AV38" s="31" t="str">
        <f>IF(AND($F38='Tournament Setup'!$A$31,SUM($O38,$S38)=0,$E38="F",$AS38&gt;'Tournament Setup'!$B$31),$H38,"")</f>
        <v/>
      </c>
      <c r="AW38" s="12" t="str">
        <f>IF(ISNUMBER(AV38)=TRUE,IF(_xlfn.RANK.EQ(AV38,$AV$2:$AV$111)&lt;='Tournament Setup'!$D$31,_xlfn.RANK.EQ(AV38,$AV$2:$AV$111),""),"")</f>
        <v/>
      </c>
      <c r="AX38" s="30" t="str">
        <f>IF(AND($F38='Tournament Setup'!$A$32,$I38&lt;&gt;0),$I38,"")</f>
        <v/>
      </c>
      <c r="AY38" s="47" t="str">
        <f>IF(ISNUMBER(AX38),IF(COUNTIFS(AY$1:AY37,_xlfn.RANK.EQ(AX38,AX$2:AX$111,0))&gt;0,_xlfn.MAXIFS(AY$1:AY37,AX$1:AX37,AX38)+1,_xlfn.RANK.EQ(AX38,AX$2:AX$111,0)),"")</f>
        <v/>
      </c>
      <c r="AZ38" s="1" t="str">
        <f>IF(ISNUMBER(AX38)=TRUE,IF(_xlfn.RANK.EQ(AX38,$AX$2:$AX$111)&lt;='Tournament Setup'!$B$46,_xlfn.RANK.EQ(AX38,$AX$2:$AX$111),""),"")</f>
        <v/>
      </c>
      <c r="BA38" s="30">
        <f>IF(AND($F38='Tournament Setup'!$A$32,SUM($O38,$Q38,$S38)=0),$H38,"")</f>
        <v>85</v>
      </c>
      <c r="BB38" s="47">
        <f>IF(ISNUMBER(BA38),IF(COUNTIFS(BB$1:BB37,_xlfn.RANK.EQ(BA38,BA$2:BA$111,0))&gt;0,_xlfn.MAXIFS(BB$1:BB37,BA$1:BA37,BA38)+1,_xlfn.RANK.EQ(BA38,BA$2:BA$111,0)),"")</f>
        <v>2</v>
      </c>
      <c r="BC38" s="1" t="str">
        <f>IF(ISNUMBER(BA38)=TRUE,IF(_xlfn.RANK.EQ(BA38,$BA$2:$BA$111)&lt;='Tournament Setup'!$B$32,_xlfn.RANK.EQ(BA38,$BA$2:$BA$111),""),"")</f>
        <v/>
      </c>
      <c r="BD38" s="31">
        <f>IF(AND($F38='Tournament Setup'!$A$32,SUM($O38,$Q38)=0,$E38="M",$BC38&gt;'Tournament Setup'!$B$32),$H38,"")</f>
        <v>85</v>
      </c>
      <c r="BE38" s="1">
        <f>IF(ISNUMBER(BD38)=TRUE,IF(_xlfn.RANK.EQ(BD38,$BD$2:$BD$111)&lt;='Tournament Setup'!$C$32,_xlfn.RANK.EQ(BD38,$BD$2:$BD$111),""),"")</f>
        <v>2</v>
      </c>
      <c r="BF38" s="31" t="str">
        <f>IF(AND($F38='Tournament Setup'!$A$32,SUM($O38,$S38)=0,$E38="F",$BC38&gt;'Tournament Setup'!$B$32),$H38,"")</f>
        <v/>
      </c>
      <c r="BG38" s="12" t="str">
        <f>IF(ISNUMBER(BF38)=TRUE,IF(_xlfn.RANK.EQ(BF38,$BF$2:$BF$111)&lt;='Tournament Setup'!$D$32,_xlfn.RANK.EQ(BF38,$BF$2:$BF$111),""),"")</f>
        <v/>
      </c>
      <c r="BH38" s="30" t="str">
        <f>IF(AND($F38='Tournament Setup'!$A$33,$I38&lt;&gt;0),$I38,"")</f>
        <v/>
      </c>
      <c r="BI38" s="47" t="str">
        <f>IF(ISNUMBER(BH38),IF(COUNTIFS(BI$1:BI37,_xlfn.RANK.EQ(BH38,BH$2:BH$111,0))&gt;0,_xlfn.MAXIFS(BI$1:BI37,BH$1:BH37,BH38)+1,_xlfn.RANK.EQ(BH38,BH$2:BH$111,0)),"")</f>
        <v/>
      </c>
      <c r="BJ38" s="1" t="str">
        <f>IF(ISNUMBER(BH38)=TRUE,IF(_xlfn.RANK.EQ(BH38,$BH$2:$BH$111)&lt;='Tournament Setup'!$B$46,_xlfn.RANK.EQ(BH38,$BH$2:$BH$111),""),"")</f>
        <v/>
      </c>
      <c r="BK38" s="30" t="str">
        <f>IF(AND($F38='Tournament Setup'!$A$33,SUM($O38,$Q38,$S38)=0),$H38,"")</f>
        <v/>
      </c>
      <c r="BL38" s="47" t="str">
        <f>IF(ISNUMBER(BK38),IF(COUNTIFS(BL$1:BL37,_xlfn.RANK.EQ(BK38,BK$2:BK$111,0))&gt;0,_xlfn.MAXIFS(BL$1:BL37,BK$1:BK37,BK38)+1,_xlfn.RANK.EQ(BK38,BK$2:BK$111,0)),"")</f>
        <v/>
      </c>
      <c r="BM38" s="1" t="str">
        <f>IF(ISNUMBER(BK38)=TRUE,IF(_xlfn.RANK.EQ(BK38,$BK$2:$BK$111)&lt;='Tournament Setup'!$B$33,_xlfn.RANK.EQ(BK38,$BK$2:$BK$111),""),"")</f>
        <v/>
      </c>
      <c r="BN38" s="31" t="str">
        <f>IF(AND($F38='Tournament Setup'!$A$33,SUM($O38,$Q38)=0,$E38="M",$BM38&gt;'Tournament Setup'!$B$33),$H38,"")</f>
        <v/>
      </c>
      <c r="BO38" s="1" t="str">
        <f>IF(ISNUMBER(BN38)=TRUE,IF(_xlfn.RANK.EQ(BN38,$BN$2:$BN$111)&lt;='Tournament Setup'!$C$33,_xlfn.RANK.EQ(BN38,$BN$2:$BN$111),""),"")</f>
        <v/>
      </c>
      <c r="BP38" s="31" t="str">
        <f>IF(AND($F38='Tournament Setup'!$A$33,SUM($O38,$S38)=0,$E38="F",$BM38&gt;'Tournament Setup'!$B$33),$H38,"")</f>
        <v/>
      </c>
      <c r="BQ38" s="12" t="str">
        <f>IF(ISNUMBER(BP38)=TRUE,IF(_xlfn.RANK.EQ(BP38,$BP$2:$BP$111)&lt;='Tournament Setup'!$D$33,_xlfn.RANK.EQ(BP38,$BP$2:$BP$111),""),"")</f>
        <v/>
      </c>
      <c r="BR38" s="30" t="str">
        <f>IF($G38='Tournament Setup'!$A$38,$H38,"")</f>
        <v/>
      </c>
      <c r="BS38" s="47" t="str">
        <f>IF(ISNUMBER(BR38),IF(COUNTIFS(BS$1:BS37,_xlfn.RANK.EQ(BR38,BR$2:BR$111,0))&gt;0,_xlfn.MAXIFS(BS$1:BS37,BR$1:BR37,BR38)+1,_xlfn.RANK.EQ(BR38,BR$2:BR$111,0)),"")</f>
        <v/>
      </c>
      <c r="BT38" s="1" t="str">
        <f>IF(ISNUMBER(BR38)=TRUE,IF(_xlfn.RANK.EQ(BR38,$BR$2:$BR$111)&lt;='Tournament Setup'!$B$38,_xlfn.RANK.EQ(BR38,$BR$2:$BR$111),""),"")</f>
        <v/>
      </c>
      <c r="BU38" s="31" t="str">
        <f>IF(AND($G38='Tournament Setup'!$A$38,$E38="M",$BT38&gt;'Tournament Setup'!$B$38),$H38,"")</f>
        <v/>
      </c>
      <c r="BV38" s="1" t="str">
        <f>IF(ISNUMBER(BU38)=TRUE,IF(_xlfn.RANK.EQ(BU38,$BU$2:$BU$111)&lt;='Tournament Setup'!$C$38,_xlfn.RANK.EQ(BU38,$BU$2:$BU$111),""),"")</f>
        <v/>
      </c>
      <c r="BW38" s="31" t="str">
        <f>IF(AND($G38='Tournament Setup'!$A$38,$E38="F",$BT38&gt;'Tournament Setup'!$B$38),$H38,"")</f>
        <v/>
      </c>
      <c r="BX38" s="12" t="str">
        <f>IF(ISNUMBER(BW38)=TRUE,IF(_xlfn.RANK.EQ(BW38,$BW$2:$BW$111)&lt;='Tournament Setup'!$D$38,_xlfn.RANK.EQ(BW38,$BW$2:$BW$111),""),"")</f>
        <v/>
      </c>
      <c r="BY38" s="30">
        <f>IF($G38='Tournament Setup'!$A$39,$H38,"")</f>
        <v>85</v>
      </c>
      <c r="BZ38" s="47">
        <f>IF(ISNUMBER(BY38),IF(COUNTIFS(BZ$1:BZ37,_xlfn.RANK.EQ(BY38,BY$2:BY$111,0))&gt;0,_xlfn.MAXIFS(BZ$1:BZ37,BY$1:BY37,BY38)+1,_xlfn.RANK.EQ(BY38,BY$2:BY$111,0)),"")</f>
        <v>8</v>
      </c>
      <c r="CA38" s="1" t="str">
        <f>IF(ISNUMBER(BY38)=TRUE,IF(_xlfn.RANK.EQ(BY38,$BY$2:$BY$111)&lt;='Tournament Setup'!$B$39,_xlfn.RANK.EQ(BY38,$BY$2:$BY$111),""),"")</f>
        <v/>
      </c>
      <c r="CB38" s="31">
        <f>IF(AND($G38='Tournament Setup'!$A$39,$E38="M",$CA38&gt;'Tournament Setup'!$B$39),$H38,"")</f>
        <v>85</v>
      </c>
      <c r="CC38" s="1" t="str">
        <f>IF(ISNUMBER(CB38)=TRUE,IF(_xlfn.RANK.EQ(CB38,$CB$2:$CB$111)&lt;='Tournament Setup'!$C$39,_xlfn.RANK.EQ(CB38,$CB$2:$CB$111),""),"")</f>
        <v/>
      </c>
      <c r="CD38" s="31" t="str">
        <f>IF(AND($G38='Tournament Setup'!$A$39,$E38="F",$CA38&gt;'Tournament Setup'!$B$39),$H38,"")</f>
        <v/>
      </c>
      <c r="CE38" s="12" t="str">
        <f>IF(ISNUMBER(CD38)=TRUE,IF(_xlfn.RANK.EQ(CD38,$CD$2:$CD$111)&lt;='Tournament Setup'!$D$39,_xlfn.RANK.EQ(CD38,$CD$2:$CD$111),""),"")</f>
        <v/>
      </c>
      <c r="CF38" s="30" t="str">
        <f>IF($G38='Tournament Setup'!$A$40,$H38,"")</f>
        <v/>
      </c>
      <c r="CG38" s="47" t="str">
        <f>IF(ISNUMBER(CF38),IF(COUNTIFS(CG$1:CG37,_xlfn.RANK.EQ(CF38,CF$2:CF$111,0))&gt;0,_xlfn.MAXIFS(CG$1:CG37,CF$1:CF37,CF38)+1,_xlfn.RANK.EQ(CF38,CF$2:CF$111,0)),"")</f>
        <v/>
      </c>
      <c r="CH38" s="1" t="str">
        <f>IF(ISNUMBER(CF38)=TRUE,IF(_xlfn.RANK.EQ(CF38,$CF$2:$CF$111)&lt;='Tournament Setup'!$B$40,_xlfn.RANK.EQ(CF38,$CF$2:$CF$111),""),"")</f>
        <v/>
      </c>
      <c r="CI38" s="31" t="str">
        <f>IF(AND($G38='Tournament Setup'!$A$40,$E38="M",$CH38&gt;'Tournament Setup'!$B$40),$H38,"")</f>
        <v/>
      </c>
      <c r="CJ38" s="1" t="str">
        <f>IF(ISNUMBER(CI38)=TRUE,IF(_xlfn.RANK.EQ(CI38,$CI$2:$CI$111)&lt;='Tournament Setup'!$C$40,_xlfn.RANK.EQ(CI38,$CI$2:$CI$111),""),"")</f>
        <v/>
      </c>
      <c r="CK38" s="31" t="str">
        <f>IF(AND($G38='Tournament Setup'!$A$40,$E38="F",$CH38&gt;'Tournament Setup'!$B$40),$H38,"")</f>
        <v/>
      </c>
      <c r="CL38" s="12" t="str">
        <f>IF(ISNUMBER(CK38)=TRUE,IF(_xlfn.RANK.EQ(CK38,$CK$2:$CK$111)&lt;='Tournament Setup'!$D$40,_xlfn.RANK.EQ(CK38,$CK$2:$CK$111),""),"")</f>
        <v/>
      </c>
      <c r="CM38" s="30" t="str">
        <f>IF($G38='Tournament Setup'!$A$41,$H38,"")</f>
        <v/>
      </c>
      <c r="CN38" s="47" t="str">
        <f>IF(ISNUMBER(CM38),IF(COUNTIFS(CN$1:CN37,_xlfn.RANK.EQ(CM38,CM$2:CM$111,0))&gt;0,_xlfn.MAXIFS(CN$1:CN37,CM$1:CM37,CM38)+1,_xlfn.RANK.EQ(CM38,CM$2:CM$111,0)),"")</f>
        <v/>
      </c>
      <c r="CO38" s="1" t="str">
        <f>IF(ISNUMBER(CM38)=TRUE,IF(_xlfn.RANK.EQ(CM38,$CM$2:$CM$111)&lt;='Tournament Setup'!$B$41,_xlfn.RANK.EQ(CM38,$CM$2:$CM$111),""),"")</f>
        <v/>
      </c>
      <c r="CP38" s="31" t="str">
        <f>IF(AND($G38='Tournament Setup'!$A$41,$E38="M",$CO38&gt;'Tournament Setup'!$B$41),$H38,"")</f>
        <v/>
      </c>
      <c r="CQ38" s="1" t="str">
        <f>IF(ISNUMBER(CP38)=TRUE,IF(_xlfn.RANK.EQ(CP38,$CP$2:$CP$111)&lt;='Tournament Setup'!$C$41,_xlfn.RANK.EQ(CP38,$CP$2:$CP$111),""),"")</f>
        <v/>
      </c>
      <c r="CR38" s="31" t="str">
        <f>IF(AND($G38='Tournament Setup'!$A$41,$E38="F",$CO38&gt;'Tournament Setup'!$B$41),$H38,"")</f>
        <v/>
      </c>
      <c r="CS38" s="12" t="str">
        <f>IF(ISNUMBER(CR38)=TRUE,IF(_xlfn.RANK.EQ(CR38,$CR$2:$CR$111)&lt;='Tournament Setup'!$D$41,_xlfn.RANK.EQ(CR38,$CR$2:$CR$111),""),"")</f>
        <v/>
      </c>
    </row>
    <row r="39" spans="1:97" x14ac:dyDescent="0.3">
      <c r="A39" t="s">
        <v>194</v>
      </c>
      <c r="B39" t="str">
        <f>IFERROR(INDEX('Tournament List'!$B:$B,MATCH($A39,'Tournament List'!$A:$A,0)),"")</f>
        <v>Stuart</v>
      </c>
      <c r="C39" t="str">
        <f>IFERROR(INDEX('Tournament List'!$C:$C,MATCH($A39,'Tournament List'!$A:$A,0)),"")</f>
        <v>Last Name38</v>
      </c>
      <c r="D39" t="str">
        <f t="shared" si="5"/>
        <v>Stuart Last Name38</v>
      </c>
      <c r="E39" s="1" t="str">
        <f>IFERROR(INDEX('Tournament List'!F:F,MATCH($A39,'Tournament List'!$A:$A,0)),"")</f>
        <v>M</v>
      </c>
      <c r="F39" t="str">
        <f>IFERROR(INDEX('Tournament List'!M:M,MATCH($A39,'Tournament List'!$A:$A,0)),"")</f>
        <v>Junior Varsity</v>
      </c>
      <c r="G39" s="1" t="str">
        <f>IFERROR(INDEX('Tournament List'!W:W,MATCH($A39,'Tournament List'!$A:$A,0)),"")</f>
        <v>B</v>
      </c>
      <c r="H39" s="129">
        <f>IFERROR(INDEX('Tournament List'!Z:Z,MATCH($A39,'Tournament List'!$A:$A,0)),"")</f>
        <v>89</v>
      </c>
      <c r="I39" s="152" t="str">
        <f>IFERROR(INDEX('Tournament List'!T:T,MATCH($A39,'Tournament List'!$A:$A,0)),"")</f>
        <v/>
      </c>
      <c r="J39" s="56" t="str">
        <f>IF(ISNUMBER(I39),IF(COUNTIFS(J$1:J38,_xlfn.RANK.EQ(I39,I$2:I$111,0))&gt;0,_xlfn.MAXIFS(J$1:J38,I$1:I38,I39)+1,_xlfn.RANK.EQ(I39,I$2:I$111,0)),"")</f>
        <v/>
      </c>
      <c r="K39" s="11">
        <f t="shared" si="6"/>
        <v>9</v>
      </c>
      <c r="L39" s="56">
        <f>IF(ISNUMBER(H39),IF(COUNTIFS(L$1:L38,_xlfn.RANK.EQ(H39,H$2:H$111,0))&gt;0,_xlfn.MAXIFS(L$1:L38,H$1:H38,H39)+1,_xlfn.RANK.EQ(H39,H$2:H$111,0)),"")</f>
        <v>10</v>
      </c>
      <c r="M39" s="151">
        <f t="shared" si="7"/>
        <v>89</v>
      </c>
      <c r="N39" s="47">
        <f>IF(ISNUMBER(M39),IF(COUNTIFS(N$1:N38,_xlfn.RANK.EQ(M39,M$2:M$111,0))&gt;0,_xlfn.MAXIFS(N$1:N38,M$1:M38,M39)+1,_xlfn.RANK.EQ(M39,M$2:M$111,0)),"")</f>
        <v>8</v>
      </c>
      <c r="O39" s="1" t="str">
        <f>IF(ISNUMBER(M39)=TRUE,IF(_xlfn.RANK.EQ(M39,$M$2:$M$111)&lt;='Tournament Setup'!$B$23,_xlfn.RANK.EQ(M39,$M$2:$M$111),""),"")</f>
        <v/>
      </c>
      <c r="P39" s="150">
        <f t="shared" si="8"/>
        <v>89</v>
      </c>
      <c r="Q39" s="1" t="str">
        <f>IF(ISNUMBER(P39)=TRUE,IF(_xlfn.RANK.EQ(P39,$P$2:$P$111)&lt;='Tournament Setup'!$B$24,_xlfn.RANK.EQ(P39,$P$2:$P$111),""),"")</f>
        <v/>
      </c>
      <c r="R39" s="150" t="str">
        <f t="shared" si="9"/>
        <v/>
      </c>
      <c r="S39" s="12" t="str">
        <f>IF(ISNUMBER(R39)=TRUE,IF(_xlfn.RANK.EQ(R39,$R$2:$R$111)&lt;='Tournament Setup'!$B$25,_xlfn.RANK.EQ(R39,$R$2:$R$111),""),"")</f>
        <v/>
      </c>
      <c r="T39" s="152" t="str">
        <f>IF(AND($F39='Tournament Setup'!$A$29,$I39&lt;&gt;0),$I39,"")</f>
        <v/>
      </c>
      <c r="U39" s="47" t="str">
        <f>IF(ISNUMBER(T39),IF(COUNTIFS(U$1:U38,_xlfn.RANK.EQ(T39,T$2:T$111,0))&gt;0,_xlfn.MAXIFS(U$1:U38,T$1:T38,T39)+1,_xlfn.RANK.EQ(T39,T$2:T$111,0)),"")</f>
        <v/>
      </c>
      <c r="V39" s="1" t="str">
        <f>IF(ISNUMBER(T39)=TRUE,IF(_xlfn.RANK.EQ(T39,$T$3:$T$112)&lt;='Tournament Setup'!$B$46,_xlfn.RANK.EQ(T39,$T$2:$T$111),""),"")</f>
        <v/>
      </c>
      <c r="W39" s="30" t="str">
        <f>IF(AND($F39='Tournament Setup'!$A$29,SUM($O39,$Q39,$S39)=0),$H39,"")</f>
        <v/>
      </c>
      <c r="X39" s="47" t="str">
        <f>IF(ISNUMBER(W39),IF(COUNTIFS(X$1:X38,_xlfn.RANK.EQ(W39,W$2:W$111,0))&gt;0,_xlfn.MAXIFS(X$1:X38,W$1:W38,W39)+1,_xlfn.RANK.EQ(W39,W$2:W$111,0)),"")</f>
        <v/>
      </c>
      <c r="Y39" s="1" t="str">
        <f>IF(ISNUMBER(W39)=TRUE,IF(_xlfn.RANK.EQ(W39,$W$2:$W$111)&lt;='Tournament Setup'!$B$29,_xlfn.RANK.EQ(W39,$W$2:$W$111),""),"")</f>
        <v/>
      </c>
      <c r="Z39" s="31" t="str">
        <f>IF(AND($F39='Tournament Setup'!$A$29,SUM($O39,$Q39)=0,$E39="M",$Y39&gt;'Tournament Setup'!$B$29),$H39,"")</f>
        <v/>
      </c>
      <c r="AA39" s="1" t="str">
        <f>IF(ISNUMBER(Z39)=TRUE,IF(_xlfn.RANK.EQ(Z39,$Z$2:$Z$111)&lt;='Tournament Setup'!$C$29,_xlfn.RANK.EQ(Z39,$Z$2:$Z$111),""),"")</f>
        <v/>
      </c>
      <c r="AB39" s="31" t="str">
        <f>IF(AND($F39='Tournament Setup'!$A$29,SUM($O39,$S39)=0,$E39="F",$Y39&gt;'Tournament Setup'!$B$29),$H39,"")</f>
        <v/>
      </c>
      <c r="AC39" s="12" t="str">
        <f>IF(ISNUMBER(AB39)=TRUE,IF(_xlfn.RANK.EQ(AB39,$AB$2:$AB$111)&lt;='Tournament Setup'!$D$29,_xlfn.RANK.EQ(AB39,$AB$2:$AB$111),""),"")</f>
        <v/>
      </c>
      <c r="AD39" s="30" t="str">
        <f>IF(AND($F39='Tournament Setup'!$A$30,$I39&lt;&gt;0),$I39,"")</f>
        <v/>
      </c>
      <c r="AE39" s="47" t="str">
        <f>IF(ISNUMBER(AD39),IF(COUNTIFS(AE$1:AE38,_xlfn.RANK.EQ(AD39,AD$2:AD$111,0))&gt;0,_xlfn.MAXIFS(AE$1:AE38,AD$1:AD38,AD39)+1,_xlfn.RANK.EQ(AD39,AD$2:AD$111,0)),"")</f>
        <v/>
      </c>
      <c r="AF39" s="1" t="str">
        <f>IF(ISNUMBER(AD39)=TRUE,IF(_xlfn.RANK.EQ(AD39,$AD$2:$AD$111)&lt;='Tournament Setup'!$B$46,_xlfn.RANK.EQ(AD39,$AD$2:$AD$111),""),"")</f>
        <v/>
      </c>
      <c r="AG39" s="30" t="str">
        <f>IF(AND($F39='Tournament Setup'!$A$30,SUM($O39,$Q39,$S39)=0),$H39,"")</f>
        <v/>
      </c>
      <c r="AH39" s="47" t="str">
        <f>IF(ISNUMBER(AG39),IF(COUNTIFS(AH$1:AH38,_xlfn.RANK.EQ(AG39,AG$2:AG$111,0))&gt;0,_xlfn.MAXIFS(AH$1:AH38,AG$1:AG38,AG39)+1,_xlfn.RANK.EQ(AG39,AG$2:AG$111,0)),"")</f>
        <v/>
      </c>
      <c r="AI39" s="1" t="str">
        <f>IF(ISNUMBER(AG39)=TRUE,IF(_xlfn.RANK.EQ(AG39,$AG$2:$AG$111)&lt;='Tournament Setup'!$B$30,_xlfn.RANK.EQ(AG39,$AG$2:$AG$111),""),"")</f>
        <v/>
      </c>
      <c r="AJ39" s="31" t="str">
        <f>IF(AND($F39='Tournament Setup'!$A$30,SUM($O39,$Q39)=0,$E39="M",$AI39&gt;'Tournament Setup'!$B$30),$H39,"")</f>
        <v/>
      </c>
      <c r="AK39" s="1" t="str">
        <f>IF(ISNUMBER(AJ39)=TRUE,IF(_xlfn.RANK.EQ(AJ39,$AJ$2:$AJ$111)&lt;='Tournament Setup'!$C$30,_xlfn.RANK.EQ(AJ39,$AJ$2:$AJ$111),""),"")</f>
        <v/>
      </c>
      <c r="AL39" s="31" t="str">
        <f>IF(AND($F39='Tournament Setup'!$A$30,SUM($O39,$S39)=0,$E39="F",$AI39&gt;'Tournament Setup'!$B$30),$H39,"")</f>
        <v/>
      </c>
      <c r="AM39" s="12" t="str">
        <f>IF(ISNUMBER(AL39)=TRUE,IF(_xlfn.RANK.EQ(AL39,$AL$2:$AL$111)&lt;='Tournament Setup'!$D$30,_xlfn.RANK.EQ(AL39,$AL$2:$AL$111),""),"")</f>
        <v/>
      </c>
      <c r="AN39" s="30" t="str">
        <f>IF(AND($F39='Tournament Setup'!$A$31,$I39&lt;&gt;0),$I39,"")</f>
        <v/>
      </c>
      <c r="AO39" s="47" t="str">
        <f>IF(ISNUMBER(AN39),IF(COUNTIFS(AO$1:AO38,_xlfn.RANK.EQ(AN39,AN$2:AN$111,0))&gt;0,_xlfn.MAXIFS(AO$1:AO38,AN$1:AN38,AN39)+1,_xlfn.RANK.EQ(AN39,AN$2:AN$111,0)),"")</f>
        <v/>
      </c>
      <c r="AP39" s="1" t="str">
        <f>IF(ISNUMBER(AN39)=TRUE,IF(_xlfn.RANK.EQ(AN39,$AN$2:$AN$111)&lt;='Tournament Setup'!$B$46,_xlfn.RANK.EQ(AN39,$AN$2:$AN$111),""),"")</f>
        <v/>
      </c>
      <c r="AQ39" s="30">
        <f>IF(AND($F39='Tournament Setup'!$A$31,SUM($O39,$Q39,$S39)=0),$H39,"")</f>
        <v>89</v>
      </c>
      <c r="AR39" s="47">
        <f>IF(ISNUMBER(AQ39),IF(COUNTIFS(AR$1:AR38,_xlfn.RANK.EQ(AQ39,AQ$2:AQ$111,0))&gt;0,_xlfn.MAXIFS(AR$1:AR38,AQ$1:AQ38,AQ39)+1,_xlfn.RANK.EQ(AQ39,AQ$2:AQ$111,0)),"")</f>
        <v>1</v>
      </c>
      <c r="AS39" s="1" t="str">
        <f>IF(ISNUMBER(AQ39)=TRUE,IF(_xlfn.RANK.EQ(AQ39,$AQ$2:$AQ$111)&lt;='Tournament Setup'!$B$31,_xlfn.RANK.EQ(AQ39,$AQ$2:$AQ$111),""),"")</f>
        <v/>
      </c>
      <c r="AT39" s="31">
        <f>IF(AND($F39='Tournament Setup'!$A$31,SUM($O39,$Q39)=0,$E39="M",$AS39&gt;'Tournament Setup'!$B$31),$H39,"")</f>
        <v>89</v>
      </c>
      <c r="AU39" s="1">
        <f>IF(ISNUMBER(AT39)=TRUE,IF(_xlfn.RANK.EQ(AT39,$AT$2:$AT$111)&lt;='Tournament Setup'!$C$31,_xlfn.RANK.EQ(AT39,$AT$2:$AT$111),""),"")</f>
        <v>1</v>
      </c>
      <c r="AV39" s="31" t="str">
        <f>IF(AND($F39='Tournament Setup'!$A$31,SUM($O39,$S39)=0,$E39="F",$AS39&gt;'Tournament Setup'!$B$31),$H39,"")</f>
        <v/>
      </c>
      <c r="AW39" s="12" t="str">
        <f>IF(ISNUMBER(AV39)=TRUE,IF(_xlfn.RANK.EQ(AV39,$AV$2:$AV$111)&lt;='Tournament Setup'!$D$31,_xlfn.RANK.EQ(AV39,$AV$2:$AV$111),""),"")</f>
        <v/>
      </c>
      <c r="AX39" s="30" t="str">
        <f>IF(AND($F39='Tournament Setup'!$A$32,$I39&lt;&gt;0),$I39,"")</f>
        <v/>
      </c>
      <c r="AY39" s="47" t="str">
        <f>IF(ISNUMBER(AX39),IF(COUNTIFS(AY$1:AY38,_xlfn.RANK.EQ(AX39,AX$2:AX$111,0))&gt;0,_xlfn.MAXIFS(AY$1:AY38,AX$1:AX38,AX39)+1,_xlfn.RANK.EQ(AX39,AX$2:AX$111,0)),"")</f>
        <v/>
      </c>
      <c r="AZ39" s="1" t="str">
        <f>IF(ISNUMBER(AX39)=TRUE,IF(_xlfn.RANK.EQ(AX39,$AX$2:$AX$111)&lt;='Tournament Setup'!$B$46,_xlfn.RANK.EQ(AX39,$AX$2:$AX$111),""),"")</f>
        <v/>
      </c>
      <c r="BA39" s="30" t="str">
        <f>IF(AND($F39='Tournament Setup'!$A$32,SUM($O39,$Q39,$S39)=0),$H39,"")</f>
        <v/>
      </c>
      <c r="BB39" s="47" t="str">
        <f>IF(ISNUMBER(BA39),IF(COUNTIFS(BB$1:BB38,_xlfn.RANK.EQ(BA39,BA$2:BA$111,0))&gt;0,_xlfn.MAXIFS(BB$1:BB38,BA$1:BA38,BA39)+1,_xlfn.RANK.EQ(BA39,BA$2:BA$111,0)),"")</f>
        <v/>
      </c>
      <c r="BC39" s="1" t="str">
        <f>IF(ISNUMBER(BA39)=TRUE,IF(_xlfn.RANK.EQ(BA39,$BA$2:$BA$111)&lt;='Tournament Setup'!$B$32,_xlfn.RANK.EQ(BA39,$BA$2:$BA$111),""),"")</f>
        <v/>
      </c>
      <c r="BD39" s="31" t="str">
        <f>IF(AND($F39='Tournament Setup'!$A$32,SUM($O39,$Q39)=0,$E39="M",$BC39&gt;'Tournament Setup'!$B$32),$H39,"")</f>
        <v/>
      </c>
      <c r="BE39" s="1" t="str">
        <f>IF(ISNUMBER(BD39)=TRUE,IF(_xlfn.RANK.EQ(BD39,$BD$2:$BD$111)&lt;='Tournament Setup'!$C$32,_xlfn.RANK.EQ(BD39,$BD$2:$BD$111),""),"")</f>
        <v/>
      </c>
      <c r="BF39" s="31" t="str">
        <f>IF(AND($F39='Tournament Setup'!$A$32,SUM($O39,$S39)=0,$E39="F",$BC39&gt;'Tournament Setup'!$B$32),$H39,"")</f>
        <v/>
      </c>
      <c r="BG39" s="12" t="str">
        <f>IF(ISNUMBER(BF39)=TRUE,IF(_xlfn.RANK.EQ(BF39,$BF$2:$BF$111)&lt;='Tournament Setup'!$D$32,_xlfn.RANK.EQ(BF39,$BF$2:$BF$111),""),"")</f>
        <v/>
      </c>
      <c r="BH39" s="30" t="str">
        <f>IF(AND($F39='Tournament Setup'!$A$33,$I39&lt;&gt;0),$I39,"")</f>
        <v/>
      </c>
      <c r="BI39" s="47" t="str">
        <f>IF(ISNUMBER(BH39),IF(COUNTIFS(BI$1:BI38,_xlfn.RANK.EQ(BH39,BH$2:BH$111,0))&gt;0,_xlfn.MAXIFS(BI$1:BI38,BH$1:BH38,BH39)+1,_xlfn.RANK.EQ(BH39,BH$2:BH$111,0)),"")</f>
        <v/>
      </c>
      <c r="BJ39" s="1" t="str">
        <f>IF(ISNUMBER(BH39)=TRUE,IF(_xlfn.RANK.EQ(BH39,$BH$2:$BH$111)&lt;='Tournament Setup'!$B$46,_xlfn.RANK.EQ(BH39,$BH$2:$BH$111),""),"")</f>
        <v/>
      </c>
      <c r="BK39" s="30" t="str">
        <f>IF(AND($F39='Tournament Setup'!$A$33,SUM($O39,$Q39,$S39)=0),$H39,"")</f>
        <v/>
      </c>
      <c r="BL39" s="47" t="str">
        <f>IF(ISNUMBER(BK39),IF(COUNTIFS(BL$1:BL38,_xlfn.RANK.EQ(BK39,BK$2:BK$111,0))&gt;0,_xlfn.MAXIFS(BL$1:BL38,BK$1:BK38,BK39)+1,_xlfn.RANK.EQ(BK39,BK$2:BK$111,0)),"")</f>
        <v/>
      </c>
      <c r="BM39" s="1" t="str">
        <f>IF(ISNUMBER(BK39)=TRUE,IF(_xlfn.RANK.EQ(BK39,$BK$2:$BK$111)&lt;='Tournament Setup'!$B$33,_xlfn.RANK.EQ(BK39,$BK$2:$BK$111),""),"")</f>
        <v/>
      </c>
      <c r="BN39" s="31" t="str">
        <f>IF(AND($F39='Tournament Setup'!$A$33,SUM($O39,$Q39)=0,$E39="M",$BM39&gt;'Tournament Setup'!$B$33),$H39,"")</f>
        <v/>
      </c>
      <c r="BO39" s="1" t="str">
        <f>IF(ISNUMBER(BN39)=TRUE,IF(_xlfn.RANK.EQ(BN39,$BN$2:$BN$111)&lt;='Tournament Setup'!$C$33,_xlfn.RANK.EQ(BN39,$BN$2:$BN$111),""),"")</f>
        <v/>
      </c>
      <c r="BP39" s="31" t="str">
        <f>IF(AND($F39='Tournament Setup'!$A$33,SUM($O39,$S39)=0,$E39="F",$BM39&gt;'Tournament Setup'!$B$33),$H39,"")</f>
        <v/>
      </c>
      <c r="BQ39" s="12" t="str">
        <f>IF(ISNUMBER(BP39)=TRUE,IF(_xlfn.RANK.EQ(BP39,$BP$2:$BP$111)&lt;='Tournament Setup'!$D$33,_xlfn.RANK.EQ(BP39,$BP$2:$BP$111),""),"")</f>
        <v/>
      </c>
      <c r="BR39" s="30" t="str">
        <f>IF($G39='Tournament Setup'!$A$38,$H39,"")</f>
        <v/>
      </c>
      <c r="BS39" s="47" t="str">
        <f>IF(ISNUMBER(BR39),IF(COUNTIFS(BS$1:BS38,_xlfn.RANK.EQ(BR39,BR$2:BR$111,0))&gt;0,_xlfn.MAXIFS(BS$1:BS38,BR$1:BR38,BR39)+1,_xlfn.RANK.EQ(BR39,BR$2:BR$111,0)),"")</f>
        <v/>
      </c>
      <c r="BT39" s="1" t="str">
        <f>IF(ISNUMBER(BR39)=TRUE,IF(_xlfn.RANK.EQ(BR39,$BR$2:$BR$111)&lt;='Tournament Setup'!$B$38,_xlfn.RANK.EQ(BR39,$BR$2:$BR$111),""),"")</f>
        <v/>
      </c>
      <c r="BU39" s="31" t="str">
        <f>IF(AND($G39='Tournament Setup'!$A$38,$E39="M",$BT39&gt;'Tournament Setup'!$B$38),$H39,"")</f>
        <v/>
      </c>
      <c r="BV39" s="1" t="str">
        <f>IF(ISNUMBER(BU39)=TRUE,IF(_xlfn.RANK.EQ(BU39,$BU$2:$BU$111)&lt;='Tournament Setup'!$C$38,_xlfn.RANK.EQ(BU39,$BU$2:$BU$111),""),"")</f>
        <v/>
      </c>
      <c r="BW39" s="31" t="str">
        <f>IF(AND($G39='Tournament Setup'!$A$38,$E39="F",$BT39&gt;'Tournament Setup'!$B$38),$H39,"")</f>
        <v/>
      </c>
      <c r="BX39" s="12" t="str">
        <f>IF(ISNUMBER(BW39)=TRUE,IF(_xlfn.RANK.EQ(BW39,$BW$2:$BW$111)&lt;='Tournament Setup'!$D$38,_xlfn.RANK.EQ(BW39,$BW$2:$BW$111),""),"")</f>
        <v/>
      </c>
      <c r="BY39" s="30">
        <f>IF($G39='Tournament Setup'!$A$39,$H39,"")</f>
        <v>89</v>
      </c>
      <c r="BZ39" s="47">
        <f>IF(ISNUMBER(BY39),IF(COUNTIFS(BZ$1:BZ38,_xlfn.RANK.EQ(BY39,BY$2:BY$111,0))&gt;0,_xlfn.MAXIFS(BZ$1:BZ38,BY$1:BY38,BY39)+1,_xlfn.RANK.EQ(BY39,BY$2:BY$111,0)),"")</f>
        <v>6</v>
      </c>
      <c r="CA39" s="1" t="str">
        <f>IF(ISNUMBER(BY39)=TRUE,IF(_xlfn.RANK.EQ(BY39,$BY$2:$BY$111)&lt;='Tournament Setup'!$B$39,_xlfn.RANK.EQ(BY39,$BY$2:$BY$111),""),"")</f>
        <v/>
      </c>
      <c r="CB39" s="31">
        <f>IF(AND($G39='Tournament Setup'!$A$39,$E39="M",$CA39&gt;'Tournament Setup'!$B$39),$H39,"")</f>
        <v>89</v>
      </c>
      <c r="CC39" s="1" t="str">
        <f>IF(ISNUMBER(CB39)=TRUE,IF(_xlfn.RANK.EQ(CB39,$CB$2:$CB$111)&lt;='Tournament Setup'!$C$39,_xlfn.RANK.EQ(CB39,$CB$2:$CB$111),""),"")</f>
        <v/>
      </c>
      <c r="CD39" s="31" t="str">
        <f>IF(AND($G39='Tournament Setup'!$A$39,$E39="F",$CA39&gt;'Tournament Setup'!$B$39),$H39,"")</f>
        <v/>
      </c>
      <c r="CE39" s="12" t="str">
        <f>IF(ISNUMBER(CD39)=TRUE,IF(_xlfn.RANK.EQ(CD39,$CD$2:$CD$111)&lt;='Tournament Setup'!$D$39,_xlfn.RANK.EQ(CD39,$CD$2:$CD$111),""),"")</f>
        <v/>
      </c>
      <c r="CF39" s="30" t="str">
        <f>IF($G39='Tournament Setup'!$A$40,$H39,"")</f>
        <v/>
      </c>
      <c r="CG39" s="47" t="str">
        <f>IF(ISNUMBER(CF39),IF(COUNTIFS(CG$1:CG38,_xlfn.RANK.EQ(CF39,CF$2:CF$111,0))&gt;0,_xlfn.MAXIFS(CG$1:CG38,CF$1:CF38,CF39)+1,_xlfn.RANK.EQ(CF39,CF$2:CF$111,0)),"")</f>
        <v/>
      </c>
      <c r="CH39" s="1" t="str">
        <f>IF(ISNUMBER(CF39)=TRUE,IF(_xlfn.RANK.EQ(CF39,$CF$2:$CF$111)&lt;='Tournament Setup'!$B$40,_xlfn.RANK.EQ(CF39,$CF$2:$CF$111),""),"")</f>
        <v/>
      </c>
      <c r="CI39" s="31" t="str">
        <f>IF(AND($G39='Tournament Setup'!$A$40,$E39="M",$CH39&gt;'Tournament Setup'!$B$40),$H39,"")</f>
        <v/>
      </c>
      <c r="CJ39" s="1" t="str">
        <f>IF(ISNUMBER(CI39)=TRUE,IF(_xlfn.RANK.EQ(CI39,$CI$2:$CI$111)&lt;='Tournament Setup'!$C$40,_xlfn.RANK.EQ(CI39,$CI$2:$CI$111),""),"")</f>
        <v/>
      </c>
      <c r="CK39" s="31" t="str">
        <f>IF(AND($G39='Tournament Setup'!$A$40,$E39="F",$CH39&gt;'Tournament Setup'!$B$40),$H39,"")</f>
        <v/>
      </c>
      <c r="CL39" s="12" t="str">
        <f>IF(ISNUMBER(CK39)=TRUE,IF(_xlfn.RANK.EQ(CK39,$CK$2:$CK$111)&lt;='Tournament Setup'!$D$40,_xlfn.RANK.EQ(CK39,$CK$2:$CK$111),""),"")</f>
        <v/>
      </c>
      <c r="CM39" s="30" t="str">
        <f>IF($G39='Tournament Setup'!$A$41,$H39,"")</f>
        <v/>
      </c>
      <c r="CN39" s="47" t="str">
        <f>IF(ISNUMBER(CM39),IF(COUNTIFS(CN$1:CN38,_xlfn.RANK.EQ(CM39,CM$2:CM$111,0))&gt;0,_xlfn.MAXIFS(CN$1:CN38,CM$1:CM38,CM39)+1,_xlfn.RANK.EQ(CM39,CM$2:CM$111,0)),"")</f>
        <v/>
      </c>
      <c r="CO39" s="1" t="str">
        <f>IF(ISNUMBER(CM39)=TRUE,IF(_xlfn.RANK.EQ(CM39,$CM$2:$CM$111)&lt;='Tournament Setup'!$B$41,_xlfn.RANK.EQ(CM39,$CM$2:$CM$111),""),"")</f>
        <v/>
      </c>
      <c r="CP39" s="31" t="str">
        <f>IF(AND($G39='Tournament Setup'!$A$41,$E39="M",$CO39&gt;'Tournament Setup'!$B$41),$H39,"")</f>
        <v/>
      </c>
      <c r="CQ39" s="1" t="str">
        <f>IF(ISNUMBER(CP39)=TRUE,IF(_xlfn.RANK.EQ(CP39,$CP$2:$CP$111)&lt;='Tournament Setup'!$C$41,_xlfn.RANK.EQ(CP39,$CP$2:$CP$111),""),"")</f>
        <v/>
      </c>
      <c r="CR39" s="31" t="str">
        <f>IF(AND($G39='Tournament Setup'!$A$41,$E39="F",$CO39&gt;'Tournament Setup'!$B$41),$H39,"")</f>
        <v/>
      </c>
      <c r="CS39" s="12" t="str">
        <f>IF(ISNUMBER(CR39)=TRUE,IF(_xlfn.RANK.EQ(CR39,$CR$2:$CR$111)&lt;='Tournament Setup'!$D$41,_xlfn.RANK.EQ(CR39,$CR$2:$CR$111),""),"")</f>
        <v/>
      </c>
    </row>
    <row r="40" spans="1:97" x14ac:dyDescent="0.3">
      <c r="A40" t="s">
        <v>195</v>
      </c>
      <c r="B40" t="str">
        <f>IFERROR(INDEX('Tournament List'!$B:$B,MATCH($A40,'Tournament List'!$A:$A,0)),"")</f>
        <v>Chad</v>
      </c>
      <c r="C40" t="str">
        <f>IFERROR(INDEX('Tournament List'!$C:$C,MATCH($A40,'Tournament List'!$A:$A,0)),"")</f>
        <v>Last Name39</v>
      </c>
      <c r="D40" t="str">
        <f t="shared" si="5"/>
        <v>Chad Last Name39</v>
      </c>
      <c r="E40" s="1" t="str">
        <f>IFERROR(INDEX('Tournament List'!F:F,MATCH($A40,'Tournament List'!$A:$A,0)),"")</f>
        <v>M</v>
      </c>
      <c r="F40" t="str">
        <f>IFERROR(INDEX('Tournament List'!M:M,MATCH($A40,'Tournament List'!$A:$A,0)),"")</f>
        <v>Collegiate</v>
      </c>
      <c r="G40" s="1" t="str">
        <f>IFERROR(INDEX('Tournament List'!W:W,MATCH($A40,'Tournament List'!$A:$A,0)),"")</f>
        <v>C</v>
      </c>
      <c r="H40" s="129">
        <f>IFERROR(INDEX('Tournament List'!Z:Z,MATCH($A40,'Tournament List'!$A:$A,0)),"")</f>
        <v>43</v>
      </c>
      <c r="I40" s="152">
        <f>IFERROR(INDEX('Tournament List'!T:T,MATCH($A40,'Tournament List'!$A:$A,0)),"")</f>
        <v>177</v>
      </c>
      <c r="J40" s="56">
        <f>IF(ISNUMBER(I40),IF(COUNTIFS(J$1:J39,_xlfn.RANK.EQ(I40,I$2:I$111,0))&gt;0,_xlfn.MAXIFS(J$1:J39,I$1:I39,I40)+1,_xlfn.RANK.EQ(I40,I$2:I$111,0)),"")</f>
        <v>9</v>
      </c>
      <c r="K40" s="11">
        <f t="shared" si="6"/>
        <v>44</v>
      </c>
      <c r="L40" s="56">
        <f>IF(ISNUMBER(H40),IF(COUNTIFS(L$1:L39,_xlfn.RANK.EQ(H40,H$2:H$111,0))&gt;0,_xlfn.MAXIFS(L$1:L39,H$1:H39,H40)+1,_xlfn.RANK.EQ(H40,H$2:H$111,0)),"")</f>
        <v>44</v>
      </c>
      <c r="M40" s="151" t="str">
        <f t="shared" si="7"/>
        <v/>
      </c>
      <c r="N40" s="47" t="str">
        <f>IF(ISNUMBER(M40),IF(COUNTIFS(N$1:N39,_xlfn.RANK.EQ(M40,M$2:M$111,0))&gt;0,_xlfn.MAXIFS(N$1:N39,M$1:M39,M40)+1,_xlfn.RANK.EQ(M40,M$2:M$111,0)),"")</f>
        <v/>
      </c>
      <c r="O40" s="1" t="str">
        <f>IF(ISNUMBER(M40)=TRUE,IF(_xlfn.RANK.EQ(M40,$M$2:$M$111)&lt;='Tournament Setup'!$B$23,_xlfn.RANK.EQ(M40,$M$2:$M$111),""),"")</f>
        <v/>
      </c>
      <c r="P40" s="150" t="str">
        <f t="shared" si="8"/>
        <v/>
      </c>
      <c r="Q40" s="1" t="str">
        <f>IF(ISNUMBER(P40)=TRUE,IF(_xlfn.RANK.EQ(P40,$P$2:$P$111)&lt;='Tournament Setup'!$B$24,_xlfn.RANK.EQ(P40,$P$2:$P$111),""),"")</f>
        <v/>
      </c>
      <c r="R40" s="150" t="str">
        <f t="shared" si="9"/>
        <v/>
      </c>
      <c r="S40" s="12" t="str">
        <f>IF(ISNUMBER(R40)=TRUE,IF(_xlfn.RANK.EQ(R40,$R$2:$R$111)&lt;='Tournament Setup'!$B$25,_xlfn.RANK.EQ(R40,$R$2:$R$111),""),"")</f>
        <v/>
      </c>
      <c r="T40" s="152" t="str">
        <f>IF(AND($F40='Tournament Setup'!$A$29,$I40&lt;&gt;0),$I40,"")</f>
        <v/>
      </c>
      <c r="U40" s="47" t="str">
        <f>IF(ISNUMBER(T40),IF(COUNTIFS(U$1:U39,_xlfn.RANK.EQ(T40,T$2:T$111,0))&gt;0,_xlfn.MAXIFS(U$1:U39,T$1:T39,T40)+1,_xlfn.RANK.EQ(T40,T$2:T$111,0)),"")</f>
        <v/>
      </c>
      <c r="V40" s="1" t="str">
        <f>IF(ISNUMBER(T40)=TRUE,IF(_xlfn.RANK.EQ(T40,$T$3:$T$112)&lt;='Tournament Setup'!$B$46,_xlfn.RANK.EQ(T40,$T$2:$T$111),""),"")</f>
        <v/>
      </c>
      <c r="W40" s="30" t="str">
        <f>IF(AND($F40='Tournament Setup'!$A$29,SUM($O40,$Q40,$S40)=0),$H40,"")</f>
        <v/>
      </c>
      <c r="X40" s="47" t="str">
        <f>IF(ISNUMBER(W40),IF(COUNTIFS(X$1:X39,_xlfn.RANK.EQ(W40,W$2:W$111,0))&gt;0,_xlfn.MAXIFS(X$1:X39,W$1:W39,W40)+1,_xlfn.RANK.EQ(W40,W$2:W$111,0)),"")</f>
        <v/>
      </c>
      <c r="Y40" s="1" t="str">
        <f>IF(ISNUMBER(W40)=TRUE,IF(_xlfn.RANK.EQ(W40,$W$2:$W$111)&lt;='Tournament Setup'!$B$29,_xlfn.RANK.EQ(W40,$W$2:$W$111),""),"")</f>
        <v/>
      </c>
      <c r="Z40" s="31" t="str">
        <f>IF(AND($F40='Tournament Setup'!$A$29,SUM($O40,$Q40)=0,$E40="M",$Y40&gt;'Tournament Setup'!$B$29),$H40,"")</f>
        <v/>
      </c>
      <c r="AA40" s="1" t="str">
        <f>IF(ISNUMBER(Z40)=TRUE,IF(_xlfn.RANK.EQ(Z40,$Z$2:$Z$111)&lt;='Tournament Setup'!$C$29,_xlfn.RANK.EQ(Z40,$Z$2:$Z$111),""),"")</f>
        <v/>
      </c>
      <c r="AB40" s="31" t="str">
        <f>IF(AND($F40='Tournament Setup'!$A$29,SUM($O40,$S40)=0,$E40="F",$Y40&gt;'Tournament Setup'!$B$29),$H40,"")</f>
        <v/>
      </c>
      <c r="AC40" s="12" t="str">
        <f>IF(ISNUMBER(AB40)=TRUE,IF(_xlfn.RANK.EQ(AB40,$AB$2:$AB$111)&lt;='Tournament Setup'!$D$29,_xlfn.RANK.EQ(AB40,$AB$2:$AB$111),""),"")</f>
        <v/>
      </c>
      <c r="AD40" s="30" t="str">
        <f>IF(AND($F40='Tournament Setup'!$A$30,$I40&lt;&gt;0),$I40,"")</f>
        <v/>
      </c>
      <c r="AE40" s="47" t="str">
        <f>IF(ISNUMBER(AD40),IF(COUNTIFS(AE$1:AE39,_xlfn.RANK.EQ(AD40,AD$2:AD$111,0))&gt;0,_xlfn.MAXIFS(AE$1:AE39,AD$1:AD39,AD40)+1,_xlfn.RANK.EQ(AD40,AD$2:AD$111,0)),"")</f>
        <v/>
      </c>
      <c r="AF40" s="1" t="str">
        <f>IF(ISNUMBER(AD40)=TRUE,IF(_xlfn.RANK.EQ(AD40,$AD$2:$AD$111)&lt;='Tournament Setup'!$B$46,_xlfn.RANK.EQ(AD40,$AD$2:$AD$111),""),"")</f>
        <v/>
      </c>
      <c r="AG40" s="30" t="str">
        <f>IF(AND($F40='Tournament Setup'!$A$30,SUM($O40,$Q40,$S40)=0),$H40,"")</f>
        <v/>
      </c>
      <c r="AH40" s="47" t="str">
        <f>IF(ISNUMBER(AG40),IF(COUNTIFS(AH$1:AH39,_xlfn.RANK.EQ(AG40,AG$2:AG$111,0))&gt;0,_xlfn.MAXIFS(AH$1:AH39,AG$1:AG39,AG40)+1,_xlfn.RANK.EQ(AG40,AG$2:AG$111,0)),"")</f>
        <v/>
      </c>
      <c r="AI40" s="1" t="str">
        <f>IF(ISNUMBER(AG40)=TRUE,IF(_xlfn.RANK.EQ(AG40,$AG$2:$AG$111)&lt;='Tournament Setup'!$B$30,_xlfn.RANK.EQ(AG40,$AG$2:$AG$111),""),"")</f>
        <v/>
      </c>
      <c r="AJ40" s="31" t="str">
        <f>IF(AND($F40='Tournament Setup'!$A$30,SUM($O40,$Q40)=0,$E40="M",$AI40&gt;'Tournament Setup'!$B$30),$H40,"")</f>
        <v/>
      </c>
      <c r="AK40" s="1" t="str">
        <f>IF(ISNUMBER(AJ40)=TRUE,IF(_xlfn.RANK.EQ(AJ40,$AJ$2:$AJ$111)&lt;='Tournament Setup'!$C$30,_xlfn.RANK.EQ(AJ40,$AJ$2:$AJ$111),""),"")</f>
        <v/>
      </c>
      <c r="AL40" s="31" t="str">
        <f>IF(AND($F40='Tournament Setup'!$A$30,SUM($O40,$S40)=0,$E40="F",$AI40&gt;'Tournament Setup'!$B$30),$H40,"")</f>
        <v/>
      </c>
      <c r="AM40" s="12" t="str">
        <f>IF(ISNUMBER(AL40)=TRUE,IF(_xlfn.RANK.EQ(AL40,$AL$2:$AL$111)&lt;='Tournament Setup'!$D$30,_xlfn.RANK.EQ(AL40,$AL$2:$AL$111),""),"")</f>
        <v/>
      </c>
      <c r="AN40" s="30" t="str">
        <f>IF(AND($F40='Tournament Setup'!$A$31,$I40&lt;&gt;0),$I40,"")</f>
        <v/>
      </c>
      <c r="AO40" s="47" t="str">
        <f>IF(ISNUMBER(AN40),IF(COUNTIFS(AO$1:AO39,_xlfn.RANK.EQ(AN40,AN$2:AN$111,0))&gt;0,_xlfn.MAXIFS(AO$1:AO39,AN$1:AN39,AN40)+1,_xlfn.RANK.EQ(AN40,AN$2:AN$111,0)),"")</f>
        <v/>
      </c>
      <c r="AP40" s="1" t="str">
        <f>IF(ISNUMBER(AN40)=TRUE,IF(_xlfn.RANK.EQ(AN40,$AN$2:$AN$111)&lt;='Tournament Setup'!$B$46,_xlfn.RANK.EQ(AN40,$AN$2:$AN$111),""),"")</f>
        <v/>
      </c>
      <c r="AQ40" s="30" t="str">
        <f>IF(AND($F40='Tournament Setup'!$A$31,SUM($O40,$Q40,$S40)=0),$H40,"")</f>
        <v/>
      </c>
      <c r="AR40" s="47" t="str">
        <f>IF(ISNUMBER(AQ40),IF(COUNTIFS(AR$1:AR39,_xlfn.RANK.EQ(AQ40,AQ$2:AQ$111,0))&gt;0,_xlfn.MAXIFS(AR$1:AR39,AQ$1:AQ39,AQ40)+1,_xlfn.RANK.EQ(AQ40,AQ$2:AQ$111,0)),"")</f>
        <v/>
      </c>
      <c r="AS40" s="1" t="str">
        <f>IF(ISNUMBER(AQ40)=TRUE,IF(_xlfn.RANK.EQ(AQ40,$AQ$2:$AQ$111)&lt;='Tournament Setup'!$B$31,_xlfn.RANK.EQ(AQ40,$AQ$2:$AQ$111),""),"")</f>
        <v/>
      </c>
      <c r="AT40" s="31" t="str">
        <f>IF(AND($F40='Tournament Setup'!$A$31,SUM($O40,$Q40)=0,$E40="M",$AS40&gt;'Tournament Setup'!$B$31),$H40,"")</f>
        <v/>
      </c>
      <c r="AU40" s="1" t="str">
        <f>IF(ISNUMBER(AT40)=TRUE,IF(_xlfn.RANK.EQ(AT40,$AT$2:$AT$111)&lt;='Tournament Setup'!$C$31,_xlfn.RANK.EQ(AT40,$AT$2:$AT$111),""),"")</f>
        <v/>
      </c>
      <c r="AV40" s="31" t="str">
        <f>IF(AND($F40='Tournament Setup'!$A$31,SUM($O40,$S40)=0,$E40="F",$AS40&gt;'Tournament Setup'!$B$31),$H40,"")</f>
        <v/>
      </c>
      <c r="AW40" s="12" t="str">
        <f>IF(ISNUMBER(AV40)=TRUE,IF(_xlfn.RANK.EQ(AV40,$AV$2:$AV$111)&lt;='Tournament Setup'!$D$31,_xlfn.RANK.EQ(AV40,$AV$2:$AV$111),""),"")</f>
        <v/>
      </c>
      <c r="AX40" s="30" t="str">
        <f>IF(AND($F40='Tournament Setup'!$A$32,$I40&lt;&gt;0),$I40,"")</f>
        <v/>
      </c>
      <c r="AY40" s="47" t="str">
        <f>IF(ISNUMBER(AX40),IF(COUNTIFS(AY$1:AY39,_xlfn.RANK.EQ(AX40,AX$2:AX$111,0))&gt;0,_xlfn.MAXIFS(AY$1:AY39,AX$1:AX39,AX40)+1,_xlfn.RANK.EQ(AX40,AX$2:AX$111,0)),"")</f>
        <v/>
      </c>
      <c r="AZ40" s="1" t="str">
        <f>IF(ISNUMBER(AX40)=TRUE,IF(_xlfn.RANK.EQ(AX40,$AX$2:$AX$111)&lt;='Tournament Setup'!$B$46,_xlfn.RANK.EQ(AX40,$AX$2:$AX$111),""),"")</f>
        <v/>
      </c>
      <c r="BA40" s="30" t="str">
        <f>IF(AND($F40='Tournament Setup'!$A$32,SUM($O40,$Q40,$S40)=0),$H40,"")</f>
        <v/>
      </c>
      <c r="BB40" s="47" t="str">
        <f>IF(ISNUMBER(BA40),IF(COUNTIFS(BB$1:BB39,_xlfn.RANK.EQ(BA40,BA$2:BA$111,0))&gt;0,_xlfn.MAXIFS(BB$1:BB39,BA$1:BA39,BA40)+1,_xlfn.RANK.EQ(BA40,BA$2:BA$111,0)),"")</f>
        <v/>
      </c>
      <c r="BC40" s="1" t="str">
        <f>IF(ISNUMBER(BA40)=TRUE,IF(_xlfn.RANK.EQ(BA40,$BA$2:$BA$111)&lt;='Tournament Setup'!$B$32,_xlfn.RANK.EQ(BA40,$BA$2:$BA$111),""),"")</f>
        <v/>
      </c>
      <c r="BD40" s="31" t="str">
        <f>IF(AND($F40='Tournament Setup'!$A$32,SUM($O40,$Q40)=0,$E40="M",$BC40&gt;'Tournament Setup'!$B$32),$H40,"")</f>
        <v/>
      </c>
      <c r="BE40" s="1" t="str">
        <f>IF(ISNUMBER(BD40)=TRUE,IF(_xlfn.RANK.EQ(BD40,$BD$2:$BD$111)&lt;='Tournament Setup'!$C$32,_xlfn.RANK.EQ(BD40,$BD$2:$BD$111),""),"")</f>
        <v/>
      </c>
      <c r="BF40" s="31" t="str">
        <f>IF(AND($F40='Tournament Setup'!$A$32,SUM($O40,$S40)=0,$E40="F",$BC40&gt;'Tournament Setup'!$B$32),$H40,"")</f>
        <v/>
      </c>
      <c r="BG40" s="12" t="str">
        <f>IF(ISNUMBER(BF40)=TRUE,IF(_xlfn.RANK.EQ(BF40,$BF$2:$BF$111)&lt;='Tournament Setup'!$D$32,_xlfn.RANK.EQ(BF40,$BF$2:$BF$111),""),"")</f>
        <v/>
      </c>
      <c r="BH40" s="30">
        <f>IF(AND($F40='Tournament Setup'!$A$33,$I40&lt;&gt;0),$I40,"")</f>
        <v>177</v>
      </c>
      <c r="BI40" s="47">
        <f>IF(ISNUMBER(BH40),IF(COUNTIFS(BI$1:BI39,_xlfn.RANK.EQ(BH40,BH$2:BH$111,0))&gt;0,_xlfn.MAXIFS(BI$1:BI39,BH$1:BH39,BH40)+1,_xlfn.RANK.EQ(BH40,BH$2:BH$111,0)),"")</f>
        <v>2</v>
      </c>
      <c r="BJ40" s="1">
        <f>IF(ISNUMBER(BH40)=TRUE,IF(_xlfn.RANK.EQ(BH40,$BH$2:$BH$111)&lt;='Tournament Setup'!$B$46,_xlfn.RANK.EQ(BH40,$BH$2:$BH$111),""),"")</f>
        <v>2</v>
      </c>
      <c r="BK40" s="30">
        <f>IF(AND($F40='Tournament Setup'!$A$33,SUM($O40,$Q40,$S40)=0),$H40,"")</f>
        <v>43</v>
      </c>
      <c r="BL40" s="47">
        <f>IF(ISNUMBER(BK40),IF(COUNTIFS(BL$1:BL39,_xlfn.RANK.EQ(BK40,BK$2:BK$111,0))&gt;0,_xlfn.MAXIFS(BL$1:BL39,BK$1:BK39,BK40)+1,_xlfn.RANK.EQ(BK40,BK$2:BK$111,0)),"")</f>
        <v>6</v>
      </c>
      <c r="BM40" s="1" t="str">
        <f>IF(ISNUMBER(BK40)=TRUE,IF(_xlfn.RANK.EQ(BK40,$BK$2:$BK$111)&lt;='Tournament Setup'!$B$33,_xlfn.RANK.EQ(BK40,$BK$2:$BK$111),""),"")</f>
        <v/>
      </c>
      <c r="BN40" s="31">
        <f>IF(AND($F40='Tournament Setup'!$A$33,SUM($O40,$Q40)=0,$E40="M",$BM40&gt;'Tournament Setup'!$B$33),$H40,"")</f>
        <v>43</v>
      </c>
      <c r="BO40" s="1" t="str">
        <f>IF(ISNUMBER(BN40)=TRUE,IF(_xlfn.RANK.EQ(BN40,$BN$2:$BN$111)&lt;='Tournament Setup'!$C$33,_xlfn.RANK.EQ(BN40,$BN$2:$BN$111),""),"")</f>
        <v/>
      </c>
      <c r="BP40" s="31" t="str">
        <f>IF(AND($F40='Tournament Setup'!$A$33,SUM($O40,$S40)=0,$E40="F",$BM40&gt;'Tournament Setup'!$B$33),$H40,"")</f>
        <v/>
      </c>
      <c r="BQ40" s="12" t="str">
        <f>IF(ISNUMBER(BP40)=TRUE,IF(_xlfn.RANK.EQ(BP40,$BP$2:$BP$111)&lt;='Tournament Setup'!$D$33,_xlfn.RANK.EQ(BP40,$BP$2:$BP$111),""),"")</f>
        <v/>
      </c>
      <c r="BR40" s="30" t="str">
        <f>IF($G40='Tournament Setup'!$A$38,$H40,"")</f>
        <v/>
      </c>
      <c r="BS40" s="47" t="str">
        <f>IF(ISNUMBER(BR40),IF(COUNTIFS(BS$1:BS39,_xlfn.RANK.EQ(BR40,BR$2:BR$111,0))&gt;0,_xlfn.MAXIFS(BS$1:BS39,BR$1:BR39,BR40)+1,_xlfn.RANK.EQ(BR40,BR$2:BR$111,0)),"")</f>
        <v/>
      </c>
      <c r="BT40" s="1" t="str">
        <f>IF(ISNUMBER(BR40)=TRUE,IF(_xlfn.RANK.EQ(BR40,$BR$2:$BR$111)&lt;='Tournament Setup'!$B$38,_xlfn.RANK.EQ(BR40,$BR$2:$BR$111),""),"")</f>
        <v/>
      </c>
      <c r="BU40" s="31" t="str">
        <f>IF(AND($G40='Tournament Setup'!$A$38,$E40="M",$BT40&gt;'Tournament Setup'!$B$38),$H40,"")</f>
        <v/>
      </c>
      <c r="BV40" s="1" t="str">
        <f>IF(ISNUMBER(BU40)=TRUE,IF(_xlfn.RANK.EQ(BU40,$BU$2:$BU$111)&lt;='Tournament Setup'!$C$38,_xlfn.RANK.EQ(BU40,$BU$2:$BU$111),""),"")</f>
        <v/>
      </c>
      <c r="BW40" s="31" t="str">
        <f>IF(AND($G40='Tournament Setup'!$A$38,$E40="F",$BT40&gt;'Tournament Setup'!$B$38),$H40,"")</f>
        <v/>
      </c>
      <c r="BX40" s="12" t="str">
        <f>IF(ISNUMBER(BW40)=TRUE,IF(_xlfn.RANK.EQ(BW40,$BW$2:$BW$111)&lt;='Tournament Setup'!$D$38,_xlfn.RANK.EQ(BW40,$BW$2:$BW$111),""),"")</f>
        <v/>
      </c>
      <c r="BY40" s="30" t="str">
        <f>IF($G40='Tournament Setup'!$A$39,$H40,"")</f>
        <v/>
      </c>
      <c r="BZ40" s="47" t="str">
        <f>IF(ISNUMBER(BY40),IF(COUNTIFS(BZ$1:BZ39,_xlfn.RANK.EQ(BY40,BY$2:BY$111,0))&gt;0,_xlfn.MAXIFS(BZ$1:BZ39,BY$1:BY39,BY40)+1,_xlfn.RANK.EQ(BY40,BY$2:BY$111,0)),"")</f>
        <v/>
      </c>
      <c r="CA40" s="1" t="str">
        <f>IF(ISNUMBER(BY40)=TRUE,IF(_xlfn.RANK.EQ(BY40,$BY$2:$BY$111)&lt;='Tournament Setup'!$B$39,_xlfn.RANK.EQ(BY40,$BY$2:$BY$111),""),"")</f>
        <v/>
      </c>
      <c r="CB40" s="31" t="str">
        <f>IF(AND($G40='Tournament Setup'!$A$39,$E40="M",$CA40&gt;'Tournament Setup'!$B$39),$H40,"")</f>
        <v/>
      </c>
      <c r="CC40" s="1" t="str">
        <f>IF(ISNUMBER(CB40)=TRUE,IF(_xlfn.RANK.EQ(CB40,$CB$2:$CB$111)&lt;='Tournament Setup'!$C$39,_xlfn.RANK.EQ(CB40,$CB$2:$CB$111),""),"")</f>
        <v/>
      </c>
      <c r="CD40" s="31" t="str">
        <f>IF(AND($G40='Tournament Setup'!$A$39,$E40="F",$CA40&gt;'Tournament Setup'!$B$39),$H40,"")</f>
        <v/>
      </c>
      <c r="CE40" s="12" t="str">
        <f>IF(ISNUMBER(CD40)=TRUE,IF(_xlfn.RANK.EQ(CD40,$CD$2:$CD$111)&lt;='Tournament Setup'!$D$39,_xlfn.RANK.EQ(CD40,$CD$2:$CD$111),""),"")</f>
        <v/>
      </c>
      <c r="CF40" s="30">
        <f>IF($G40='Tournament Setup'!$A$40,$H40,"")</f>
        <v>43</v>
      </c>
      <c r="CG40" s="47">
        <f>IF(ISNUMBER(CF40),IF(COUNTIFS(CG$1:CG39,_xlfn.RANK.EQ(CF40,CF$2:CF$111,0))&gt;0,_xlfn.MAXIFS(CG$1:CG39,CF$1:CF39,CF40)+1,_xlfn.RANK.EQ(CF40,CF$2:CF$111,0)),"")</f>
        <v>15</v>
      </c>
      <c r="CH40" s="1" t="str">
        <f>IF(ISNUMBER(CF40)=TRUE,IF(_xlfn.RANK.EQ(CF40,$CF$2:$CF$111)&lt;='Tournament Setup'!$B$40,_xlfn.RANK.EQ(CF40,$CF$2:$CF$111),""),"")</f>
        <v/>
      </c>
      <c r="CI40" s="31">
        <f>IF(AND($G40='Tournament Setup'!$A$40,$E40="M",$CH40&gt;'Tournament Setup'!$B$40),$H40,"")</f>
        <v>43</v>
      </c>
      <c r="CJ40" s="1" t="str">
        <f>IF(ISNUMBER(CI40)=TRUE,IF(_xlfn.RANK.EQ(CI40,$CI$2:$CI$111)&lt;='Tournament Setup'!$C$40,_xlfn.RANK.EQ(CI40,$CI$2:$CI$111),""),"")</f>
        <v/>
      </c>
      <c r="CK40" s="31" t="str">
        <f>IF(AND($G40='Tournament Setup'!$A$40,$E40="F",$CH40&gt;'Tournament Setup'!$B$40),$H40,"")</f>
        <v/>
      </c>
      <c r="CL40" s="12" t="str">
        <f>IF(ISNUMBER(CK40)=TRUE,IF(_xlfn.RANK.EQ(CK40,$CK$2:$CK$111)&lt;='Tournament Setup'!$D$40,_xlfn.RANK.EQ(CK40,$CK$2:$CK$111),""),"")</f>
        <v/>
      </c>
      <c r="CM40" s="30" t="str">
        <f>IF($G40='Tournament Setup'!$A$41,$H40,"")</f>
        <v/>
      </c>
      <c r="CN40" s="47" t="str">
        <f>IF(ISNUMBER(CM40),IF(COUNTIFS(CN$1:CN39,_xlfn.RANK.EQ(CM40,CM$2:CM$111,0))&gt;0,_xlfn.MAXIFS(CN$1:CN39,CM$1:CM39,CM40)+1,_xlfn.RANK.EQ(CM40,CM$2:CM$111,0)),"")</f>
        <v/>
      </c>
      <c r="CO40" s="1" t="str">
        <f>IF(ISNUMBER(CM40)=TRUE,IF(_xlfn.RANK.EQ(CM40,$CM$2:$CM$111)&lt;='Tournament Setup'!$B$41,_xlfn.RANK.EQ(CM40,$CM$2:$CM$111),""),"")</f>
        <v/>
      </c>
      <c r="CP40" s="31" t="str">
        <f>IF(AND($G40='Tournament Setup'!$A$41,$E40="M",$CO40&gt;'Tournament Setup'!$B$41),$H40,"")</f>
        <v/>
      </c>
      <c r="CQ40" s="1" t="str">
        <f>IF(ISNUMBER(CP40)=TRUE,IF(_xlfn.RANK.EQ(CP40,$CP$2:$CP$111)&lt;='Tournament Setup'!$C$41,_xlfn.RANK.EQ(CP40,$CP$2:$CP$111),""),"")</f>
        <v/>
      </c>
      <c r="CR40" s="31" t="str">
        <f>IF(AND($G40='Tournament Setup'!$A$41,$E40="F",$CO40&gt;'Tournament Setup'!$B$41),$H40,"")</f>
        <v/>
      </c>
      <c r="CS40" s="12" t="str">
        <f>IF(ISNUMBER(CR40)=TRUE,IF(_xlfn.RANK.EQ(CR40,$CR$2:$CR$111)&lt;='Tournament Setup'!$D$41,_xlfn.RANK.EQ(CR40,$CR$2:$CR$111),""),"")</f>
        <v/>
      </c>
    </row>
    <row r="41" spans="1:97" x14ac:dyDescent="0.3">
      <c r="A41" t="s">
        <v>196</v>
      </c>
      <c r="B41" t="str">
        <f>IFERROR(INDEX('Tournament List'!$B:$B,MATCH($A41,'Tournament List'!$A:$A,0)),"")</f>
        <v>Troy</v>
      </c>
      <c r="C41" t="str">
        <f>IFERROR(INDEX('Tournament List'!$C:$C,MATCH($A41,'Tournament List'!$A:$A,0)),"")</f>
        <v>Last Name40</v>
      </c>
      <c r="D41" t="str">
        <f t="shared" si="5"/>
        <v>Troy Last Name40</v>
      </c>
      <c r="E41" s="1" t="str">
        <f>IFERROR(INDEX('Tournament List'!F:F,MATCH($A41,'Tournament List'!$A:$A,0)),"")</f>
        <v>M</v>
      </c>
      <c r="F41" t="str">
        <f>IFERROR(INDEX('Tournament List'!M:M,MATCH($A41,'Tournament List'!$A:$A,0)),"")</f>
        <v>Varsity</v>
      </c>
      <c r="G41" s="1" t="str">
        <f>IFERROR(INDEX('Tournament List'!W:W,MATCH($A41,'Tournament List'!$A:$A,0)),"")</f>
        <v>D</v>
      </c>
      <c r="H41" s="129">
        <f>IFERROR(INDEX('Tournament List'!Z:Z,MATCH($A41,'Tournament List'!$A:$A,0)),"")</f>
        <v>59</v>
      </c>
      <c r="I41" s="152" t="str">
        <f>IFERROR(INDEX('Tournament List'!T:T,MATCH($A41,'Tournament List'!$A:$A,0)),"")</f>
        <v/>
      </c>
      <c r="J41" s="56" t="str">
        <f>IF(ISNUMBER(I41),IF(COUNTIFS(J$1:J40,_xlfn.RANK.EQ(I41,I$2:I$111,0))&gt;0,_xlfn.MAXIFS(J$1:J40,I$1:I40,I41)+1,_xlfn.RANK.EQ(I41,I$2:I$111,0)),"")</f>
        <v/>
      </c>
      <c r="K41" s="11">
        <f t="shared" si="6"/>
        <v>37</v>
      </c>
      <c r="L41" s="56">
        <f>IF(ISNUMBER(H41),IF(COUNTIFS(L$1:L40,_xlfn.RANK.EQ(H41,H$2:H$111,0))&gt;0,_xlfn.MAXIFS(L$1:L40,H$1:H40,H41)+1,_xlfn.RANK.EQ(H41,H$2:H$111,0)),"")</f>
        <v>37</v>
      </c>
      <c r="M41" s="151">
        <f t="shared" si="7"/>
        <v>59</v>
      </c>
      <c r="N41" s="47">
        <f>IF(ISNUMBER(M41),IF(COUNTIFS(N$1:N40,_xlfn.RANK.EQ(M41,M$2:M$111,0))&gt;0,_xlfn.MAXIFS(N$1:N40,M$1:M40,M41)+1,_xlfn.RANK.EQ(M41,M$2:M$111,0)),"")</f>
        <v>35</v>
      </c>
      <c r="O41" s="1" t="str">
        <f>IF(ISNUMBER(M41)=TRUE,IF(_xlfn.RANK.EQ(M41,$M$2:$M$111)&lt;='Tournament Setup'!$B$23,_xlfn.RANK.EQ(M41,$M$2:$M$111),""),"")</f>
        <v/>
      </c>
      <c r="P41" s="150">
        <f t="shared" si="8"/>
        <v>59</v>
      </c>
      <c r="Q41" s="1" t="str">
        <f>IF(ISNUMBER(P41)=TRUE,IF(_xlfn.RANK.EQ(P41,$P$2:$P$111)&lt;='Tournament Setup'!$B$24,_xlfn.RANK.EQ(P41,$P$2:$P$111),""),"")</f>
        <v/>
      </c>
      <c r="R41" s="150" t="str">
        <f t="shared" si="9"/>
        <v/>
      </c>
      <c r="S41" s="12" t="str">
        <f>IF(ISNUMBER(R41)=TRUE,IF(_xlfn.RANK.EQ(R41,$R$2:$R$111)&lt;='Tournament Setup'!$B$25,_xlfn.RANK.EQ(R41,$R$2:$R$111),""),"")</f>
        <v/>
      </c>
      <c r="T41" s="152" t="str">
        <f>IF(AND($F41='Tournament Setup'!$A$29,$I41&lt;&gt;0),$I41,"")</f>
        <v/>
      </c>
      <c r="U41" s="47" t="str">
        <f>IF(ISNUMBER(T41),IF(COUNTIFS(U$1:U40,_xlfn.RANK.EQ(T41,T$2:T$111,0))&gt;0,_xlfn.MAXIFS(U$1:U40,T$1:T40,T41)+1,_xlfn.RANK.EQ(T41,T$2:T$111,0)),"")</f>
        <v/>
      </c>
      <c r="V41" s="1" t="str">
        <f>IF(ISNUMBER(T41)=TRUE,IF(_xlfn.RANK.EQ(T41,$T$3:$T$112)&lt;='Tournament Setup'!$B$46,_xlfn.RANK.EQ(T41,$T$2:$T$111),""),"")</f>
        <v/>
      </c>
      <c r="W41" s="30" t="str">
        <f>IF(AND($F41='Tournament Setup'!$A$29,SUM($O41,$Q41,$S41)=0),$H41,"")</f>
        <v/>
      </c>
      <c r="X41" s="47" t="str">
        <f>IF(ISNUMBER(W41),IF(COUNTIFS(X$1:X40,_xlfn.RANK.EQ(W41,W$2:W$111,0))&gt;0,_xlfn.MAXIFS(X$1:X40,W$1:W40,W41)+1,_xlfn.RANK.EQ(W41,W$2:W$111,0)),"")</f>
        <v/>
      </c>
      <c r="Y41" s="1" t="str">
        <f>IF(ISNUMBER(W41)=TRUE,IF(_xlfn.RANK.EQ(W41,$W$2:$W$111)&lt;='Tournament Setup'!$B$29,_xlfn.RANK.EQ(W41,$W$2:$W$111),""),"")</f>
        <v/>
      </c>
      <c r="Z41" s="31" t="str">
        <f>IF(AND($F41='Tournament Setup'!$A$29,SUM($O41,$Q41)=0,$E41="M",$Y41&gt;'Tournament Setup'!$B$29),$H41,"")</f>
        <v/>
      </c>
      <c r="AA41" s="1" t="str">
        <f>IF(ISNUMBER(Z41)=TRUE,IF(_xlfn.RANK.EQ(Z41,$Z$2:$Z$111)&lt;='Tournament Setup'!$C$29,_xlfn.RANK.EQ(Z41,$Z$2:$Z$111),""),"")</f>
        <v/>
      </c>
      <c r="AB41" s="31" t="str">
        <f>IF(AND($F41='Tournament Setup'!$A$29,SUM($O41,$S41)=0,$E41="F",$Y41&gt;'Tournament Setup'!$B$29),$H41,"")</f>
        <v/>
      </c>
      <c r="AC41" s="12" t="str">
        <f>IF(ISNUMBER(AB41)=TRUE,IF(_xlfn.RANK.EQ(AB41,$AB$2:$AB$111)&lt;='Tournament Setup'!$D$29,_xlfn.RANK.EQ(AB41,$AB$2:$AB$111),""),"")</f>
        <v/>
      </c>
      <c r="AD41" s="30" t="str">
        <f>IF(AND($F41='Tournament Setup'!$A$30,$I41&lt;&gt;0),$I41,"")</f>
        <v/>
      </c>
      <c r="AE41" s="47" t="str">
        <f>IF(ISNUMBER(AD41),IF(COUNTIFS(AE$1:AE40,_xlfn.RANK.EQ(AD41,AD$2:AD$111,0))&gt;0,_xlfn.MAXIFS(AE$1:AE40,AD$1:AD40,AD41)+1,_xlfn.RANK.EQ(AD41,AD$2:AD$111,0)),"")</f>
        <v/>
      </c>
      <c r="AF41" s="1" t="str">
        <f>IF(ISNUMBER(AD41)=TRUE,IF(_xlfn.RANK.EQ(AD41,$AD$2:$AD$111)&lt;='Tournament Setup'!$B$46,_xlfn.RANK.EQ(AD41,$AD$2:$AD$111),""),"")</f>
        <v/>
      </c>
      <c r="AG41" s="30" t="str">
        <f>IF(AND($F41='Tournament Setup'!$A$30,SUM($O41,$Q41,$S41)=0),$H41,"")</f>
        <v/>
      </c>
      <c r="AH41" s="47" t="str">
        <f>IF(ISNUMBER(AG41),IF(COUNTIFS(AH$1:AH40,_xlfn.RANK.EQ(AG41,AG$2:AG$111,0))&gt;0,_xlfn.MAXIFS(AH$1:AH40,AG$1:AG40,AG41)+1,_xlfn.RANK.EQ(AG41,AG$2:AG$111,0)),"")</f>
        <v/>
      </c>
      <c r="AI41" s="1" t="str">
        <f>IF(ISNUMBER(AG41)=TRUE,IF(_xlfn.RANK.EQ(AG41,$AG$2:$AG$111)&lt;='Tournament Setup'!$B$30,_xlfn.RANK.EQ(AG41,$AG$2:$AG$111),""),"")</f>
        <v/>
      </c>
      <c r="AJ41" s="31" t="str">
        <f>IF(AND($F41='Tournament Setup'!$A$30,SUM($O41,$Q41)=0,$E41="M",$AI41&gt;'Tournament Setup'!$B$30),$H41,"")</f>
        <v/>
      </c>
      <c r="AK41" s="1" t="str">
        <f>IF(ISNUMBER(AJ41)=TRUE,IF(_xlfn.RANK.EQ(AJ41,$AJ$2:$AJ$111)&lt;='Tournament Setup'!$C$30,_xlfn.RANK.EQ(AJ41,$AJ$2:$AJ$111),""),"")</f>
        <v/>
      </c>
      <c r="AL41" s="31" t="str">
        <f>IF(AND($F41='Tournament Setup'!$A$30,SUM($O41,$S41)=0,$E41="F",$AI41&gt;'Tournament Setup'!$B$30),$H41,"")</f>
        <v/>
      </c>
      <c r="AM41" s="12" t="str">
        <f>IF(ISNUMBER(AL41)=TRUE,IF(_xlfn.RANK.EQ(AL41,$AL$2:$AL$111)&lt;='Tournament Setup'!$D$30,_xlfn.RANK.EQ(AL41,$AL$2:$AL$111),""),"")</f>
        <v/>
      </c>
      <c r="AN41" s="30" t="str">
        <f>IF(AND($F41='Tournament Setup'!$A$31,$I41&lt;&gt;0),$I41,"")</f>
        <v/>
      </c>
      <c r="AO41" s="47" t="str">
        <f>IF(ISNUMBER(AN41),IF(COUNTIFS(AO$1:AO40,_xlfn.RANK.EQ(AN41,AN$2:AN$111,0))&gt;0,_xlfn.MAXIFS(AO$1:AO40,AN$1:AN40,AN41)+1,_xlfn.RANK.EQ(AN41,AN$2:AN$111,0)),"")</f>
        <v/>
      </c>
      <c r="AP41" s="1" t="str">
        <f>IF(ISNUMBER(AN41)=TRUE,IF(_xlfn.RANK.EQ(AN41,$AN$2:$AN$111)&lt;='Tournament Setup'!$B$46,_xlfn.RANK.EQ(AN41,$AN$2:$AN$111),""),"")</f>
        <v/>
      </c>
      <c r="AQ41" s="30" t="str">
        <f>IF(AND($F41='Tournament Setup'!$A$31,SUM($O41,$Q41,$S41)=0),$H41,"")</f>
        <v/>
      </c>
      <c r="AR41" s="47" t="str">
        <f>IF(ISNUMBER(AQ41),IF(COUNTIFS(AR$1:AR40,_xlfn.RANK.EQ(AQ41,AQ$2:AQ$111,0))&gt;0,_xlfn.MAXIFS(AR$1:AR40,AQ$1:AQ40,AQ41)+1,_xlfn.RANK.EQ(AQ41,AQ$2:AQ$111,0)),"")</f>
        <v/>
      </c>
      <c r="AS41" s="1" t="str">
        <f>IF(ISNUMBER(AQ41)=TRUE,IF(_xlfn.RANK.EQ(AQ41,$AQ$2:$AQ$111)&lt;='Tournament Setup'!$B$31,_xlfn.RANK.EQ(AQ41,$AQ$2:$AQ$111),""),"")</f>
        <v/>
      </c>
      <c r="AT41" s="31" t="str">
        <f>IF(AND($F41='Tournament Setup'!$A$31,SUM($O41,$Q41)=0,$E41="M",$AS41&gt;'Tournament Setup'!$B$31),$H41,"")</f>
        <v/>
      </c>
      <c r="AU41" s="1" t="str">
        <f>IF(ISNUMBER(AT41)=TRUE,IF(_xlfn.RANK.EQ(AT41,$AT$2:$AT$111)&lt;='Tournament Setup'!$C$31,_xlfn.RANK.EQ(AT41,$AT$2:$AT$111),""),"")</f>
        <v/>
      </c>
      <c r="AV41" s="31" t="str">
        <f>IF(AND($F41='Tournament Setup'!$A$31,SUM($O41,$S41)=0,$E41="F",$AS41&gt;'Tournament Setup'!$B$31),$H41,"")</f>
        <v/>
      </c>
      <c r="AW41" s="12" t="str">
        <f>IF(ISNUMBER(AV41)=TRUE,IF(_xlfn.RANK.EQ(AV41,$AV$2:$AV$111)&lt;='Tournament Setup'!$D$31,_xlfn.RANK.EQ(AV41,$AV$2:$AV$111),""),"")</f>
        <v/>
      </c>
      <c r="AX41" s="30" t="str">
        <f>IF(AND($F41='Tournament Setup'!$A$32,$I41&lt;&gt;0),$I41,"")</f>
        <v/>
      </c>
      <c r="AY41" s="47" t="str">
        <f>IF(ISNUMBER(AX41),IF(COUNTIFS(AY$1:AY40,_xlfn.RANK.EQ(AX41,AX$2:AX$111,0))&gt;0,_xlfn.MAXIFS(AY$1:AY40,AX$1:AX40,AX41)+1,_xlfn.RANK.EQ(AX41,AX$2:AX$111,0)),"")</f>
        <v/>
      </c>
      <c r="AZ41" s="1" t="str">
        <f>IF(ISNUMBER(AX41)=TRUE,IF(_xlfn.RANK.EQ(AX41,$AX$2:$AX$111)&lt;='Tournament Setup'!$B$46,_xlfn.RANK.EQ(AX41,$AX$2:$AX$111),""),"")</f>
        <v/>
      </c>
      <c r="BA41" s="30">
        <f>IF(AND($F41='Tournament Setup'!$A$32,SUM($O41,$Q41,$S41)=0),$H41,"")</f>
        <v>59</v>
      </c>
      <c r="BB41" s="47">
        <f>IF(ISNUMBER(BA41),IF(COUNTIFS(BB$1:BB40,_xlfn.RANK.EQ(BA41,BA$2:BA$111,0))&gt;0,_xlfn.MAXIFS(BB$1:BB40,BA$1:BA40,BA41)+1,_xlfn.RANK.EQ(BA41,BA$2:BA$111,0)),"")</f>
        <v>8</v>
      </c>
      <c r="BC41" s="1" t="str">
        <f>IF(ISNUMBER(BA41)=TRUE,IF(_xlfn.RANK.EQ(BA41,$BA$2:$BA$111)&lt;='Tournament Setup'!$B$32,_xlfn.RANK.EQ(BA41,$BA$2:$BA$111),""),"")</f>
        <v/>
      </c>
      <c r="BD41" s="31">
        <f>IF(AND($F41='Tournament Setup'!$A$32,SUM($O41,$Q41)=0,$E41="M",$BC41&gt;'Tournament Setup'!$B$32),$H41,"")</f>
        <v>59</v>
      </c>
      <c r="BE41" s="1" t="str">
        <f>IF(ISNUMBER(BD41)=TRUE,IF(_xlfn.RANK.EQ(BD41,$BD$2:$BD$111)&lt;='Tournament Setup'!$C$32,_xlfn.RANK.EQ(BD41,$BD$2:$BD$111),""),"")</f>
        <v/>
      </c>
      <c r="BF41" s="31" t="str">
        <f>IF(AND($F41='Tournament Setup'!$A$32,SUM($O41,$S41)=0,$E41="F",$BC41&gt;'Tournament Setup'!$B$32),$H41,"")</f>
        <v/>
      </c>
      <c r="BG41" s="12" t="str">
        <f>IF(ISNUMBER(BF41)=TRUE,IF(_xlfn.RANK.EQ(BF41,$BF$2:$BF$111)&lt;='Tournament Setup'!$D$32,_xlfn.RANK.EQ(BF41,$BF$2:$BF$111),""),"")</f>
        <v/>
      </c>
      <c r="BH41" s="30" t="str">
        <f>IF(AND($F41='Tournament Setup'!$A$33,$I41&lt;&gt;0),$I41,"")</f>
        <v/>
      </c>
      <c r="BI41" s="47" t="str">
        <f>IF(ISNUMBER(BH41),IF(COUNTIFS(BI$1:BI40,_xlfn.RANK.EQ(BH41,BH$2:BH$111,0))&gt;0,_xlfn.MAXIFS(BI$1:BI40,BH$1:BH40,BH41)+1,_xlfn.RANK.EQ(BH41,BH$2:BH$111,0)),"")</f>
        <v/>
      </c>
      <c r="BJ41" s="1" t="str">
        <f>IF(ISNUMBER(BH41)=TRUE,IF(_xlfn.RANK.EQ(BH41,$BH$2:$BH$111)&lt;='Tournament Setup'!$B$46,_xlfn.RANK.EQ(BH41,$BH$2:$BH$111),""),"")</f>
        <v/>
      </c>
      <c r="BK41" s="30" t="str">
        <f>IF(AND($F41='Tournament Setup'!$A$33,SUM($O41,$Q41,$S41)=0),$H41,"")</f>
        <v/>
      </c>
      <c r="BL41" s="47" t="str">
        <f>IF(ISNUMBER(BK41),IF(COUNTIFS(BL$1:BL40,_xlfn.RANK.EQ(BK41,BK$2:BK$111,0))&gt;0,_xlfn.MAXIFS(BL$1:BL40,BK$1:BK40,BK41)+1,_xlfn.RANK.EQ(BK41,BK$2:BK$111,0)),"")</f>
        <v/>
      </c>
      <c r="BM41" s="1" t="str">
        <f>IF(ISNUMBER(BK41)=TRUE,IF(_xlfn.RANK.EQ(BK41,$BK$2:$BK$111)&lt;='Tournament Setup'!$B$33,_xlfn.RANK.EQ(BK41,$BK$2:$BK$111),""),"")</f>
        <v/>
      </c>
      <c r="BN41" s="31" t="str">
        <f>IF(AND($F41='Tournament Setup'!$A$33,SUM($O41,$Q41)=0,$E41="M",$BM41&gt;'Tournament Setup'!$B$33),$H41,"")</f>
        <v/>
      </c>
      <c r="BO41" s="1" t="str">
        <f>IF(ISNUMBER(BN41)=TRUE,IF(_xlfn.RANK.EQ(BN41,$BN$2:$BN$111)&lt;='Tournament Setup'!$C$33,_xlfn.RANK.EQ(BN41,$BN$2:$BN$111),""),"")</f>
        <v/>
      </c>
      <c r="BP41" s="31" t="str">
        <f>IF(AND($F41='Tournament Setup'!$A$33,SUM($O41,$S41)=0,$E41="F",$BM41&gt;'Tournament Setup'!$B$33),$H41,"")</f>
        <v/>
      </c>
      <c r="BQ41" s="12" t="str">
        <f>IF(ISNUMBER(BP41)=TRUE,IF(_xlfn.RANK.EQ(BP41,$BP$2:$BP$111)&lt;='Tournament Setup'!$D$33,_xlfn.RANK.EQ(BP41,$BP$2:$BP$111),""),"")</f>
        <v/>
      </c>
      <c r="BR41" s="30" t="str">
        <f>IF($G41='Tournament Setup'!$A$38,$H41,"")</f>
        <v/>
      </c>
      <c r="BS41" s="47" t="str">
        <f>IF(ISNUMBER(BR41),IF(COUNTIFS(BS$1:BS40,_xlfn.RANK.EQ(BR41,BR$2:BR$111,0))&gt;0,_xlfn.MAXIFS(BS$1:BS40,BR$1:BR40,BR41)+1,_xlfn.RANK.EQ(BR41,BR$2:BR$111,0)),"")</f>
        <v/>
      </c>
      <c r="BT41" s="1" t="str">
        <f>IF(ISNUMBER(BR41)=TRUE,IF(_xlfn.RANK.EQ(BR41,$BR$2:$BR$111)&lt;='Tournament Setup'!$B$38,_xlfn.RANK.EQ(BR41,$BR$2:$BR$111),""),"")</f>
        <v/>
      </c>
      <c r="BU41" s="31" t="str">
        <f>IF(AND($G41='Tournament Setup'!$A$38,$E41="M",$BT41&gt;'Tournament Setup'!$B$38),$H41,"")</f>
        <v/>
      </c>
      <c r="BV41" s="1" t="str">
        <f>IF(ISNUMBER(BU41)=TRUE,IF(_xlfn.RANK.EQ(BU41,$BU$2:$BU$111)&lt;='Tournament Setup'!$C$38,_xlfn.RANK.EQ(BU41,$BU$2:$BU$111),""),"")</f>
        <v/>
      </c>
      <c r="BW41" s="31" t="str">
        <f>IF(AND($G41='Tournament Setup'!$A$38,$E41="F",$BT41&gt;'Tournament Setup'!$B$38),$H41,"")</f>
        <v/>
      </c>
      <c r="BX41" s="12" t="str">
        <f>IF(ISNUMBER(BW41)=TRUE,IF(_xlfn.RANK.EQ(BW41,$BW$2:$BW$111)&lt;='Tournament Setup'!$D$38,_xlfn.RANK.EQ(BW41,$BW$2:$BW$111),""),"")</f>
        <v/>
      </c>
      <c r="BY41" s="30" t="str">
        <f>IF($G41='Tournament Setup'!$A$39,$H41,"")</f>
        <v/>
      </c>
      <c r="BZ41" s="47" t="str">
        <f>IF(ISNUMBER(BY41),IF(COUNTIFS(BZ$1:BZ40,_xlfn.RANK.EQ(BY41,BY$2:BY$111,0))&gt;0,_xlfn.MAXIFS(BZ$1:BZ40,BY$1:BY40,BY41)+1,_xlfn.RANK.EQ(BY41,BY$2:BY$111,0)),"")</f>
        <v/>
      </c>
      <c r="CA41" s="1" t="str">
        <f>IF(ISNUMBER(BY41)=TRUE,IF(_xlfn.RANK.EQ(BY41,$BY$2:$BY$111)&lt;='Tournament Setup'!$B$39,_xlfn.RANK.EQ(BY41,$BY$2:$BY$111),""),"")</f>
        <v/>
      </c>
      <c r="CB41" s="31" t="str">
        <f>IF(AND($G41='Tournament Setup'!$A$39,$E41="M",$CA41&gt;'Tournament Setup'!$B$39),$H41,"")</f>
        <v/>
      </c>
      <c r="CC41" s="1" t="str">
        <f>IF(ISNUMBER(CB41)=TRUE,IF(_xlfn.RANK.EQ(CB41,$CB$2:$CB$111)&lt;='Tournament Setup'!$C$39,_xlfn.RANK.EQ(CB41,$CB$2:$CB$111),""),"")</f>
        <v/>
      </c>
      <c r="CD41" s="31" t="str">
        <f>IF(AND($G41='Tournament Setup'!$A$39,$E41="F",$CA41&gt;'Tournament Setup'!$B$39),$H41,"")</f>
        <v/>
      </c>
      <c r="CE41" s="12" t="str">
        <f>IF(ISNUMBER(CD41)=TRUE,IF(_xlfn.RANK.EQ(CD41,$CD$2:$CD$111)&lt;='Tournament Setup'!$D$39,_xlfn.RANK.EQ(CD41,$CD$2:$CD$111),""),"")</f>
        <v/>
      </c>
      <c r="CF41" s="30" t="str">
        <f>IF($G41='Tournament Setup'!$A$40,$H41,"")</f>
        <v/>
      </c>
      <c r="CG41" s="47" t="str">
        <f>IF(ISNUMBER(CF41),IF(COUNTIFS(CG$1:CG40,_xlfn.RANK.EQ(CF41,CF$2:CF$111,0))&gt;0,_xlfn.MAXIFS(CG$1:CG40,CF$1:CF40,CF41)+1,_xlfn.RANK.EQ(CF41,CF$2:CF$111,0)),"")</f>
        <v/>
      </c>
      <c r="CH41" s="1" t="str">
        <f>IF(ISNUMBER(CF41)=TRUE,IF(_xlfn.RANK.EQ(CF41,$CF$2:$CF$111)&lt;='Tournament Setup'!$B$40,_xlfn.RANK.EQ(CF41,$CF$2:$CF$111),""),"")</f>
        <v/>
      </c>
      <c r="CI41" s="31" t="str">
        <f>IF(AND($G41='Tournament Setup'!$A$40,$E41="M",$CH41&gt;'Tournament Setup'!$B$40),$H41,"")</f>
        <v/>
      </c>
      <c r="CJ41" s="1" t="str">
        <f>IF(ISNUMBER(CI41)=TRUE,IF(_xlfn.RANK.EQ(CI41,$CI$2:$CI$111)&lt;='Tournament Setup'!$C$40,_xlfn.RANK.EQ(CI41,$CI$2:$CI$111),""),"")</f>
        <v/>
      </c>
      <c r="CK41" s="31" t="str">
        <f>IF(AND($G41='Tournament Setup'!$A$40,$E41="F",$CH41&gt;'Tournament Setup'!$B$40),$H41,"")</f>
        <v/>
      </c>
      <c r="CL41" s="12" t="str">
        <f>IF(ISNUMBER(CK41)=TRUE,IF(_xlfn.RANK.EQ(CK41,$CK$2:$CK$111)&lt;='Tournament Setup'!$D$40,_xlfn.RANK.EQ(CK41,$CK$2:$CK$111),""),"")</f>
        <v/>
      </c>
      <c r="CM41" s="30">
        <f>IF($G41='Tournament Setup'!$A$41,$H41,"")</f>
        <v>59</v>
      </c>
      <c r="CN41" s="47">
        <f>IF(ISNUMBER(CM41),IF(COUNTIFS(CN$1:CN40,_xlfn.RANK.EQ(CM41,CM$2:CM$111,0))&gt;0,_xlfn.MAXIFS(CN$1:CN40,CM$1:CM40,CM41)+1,_xlfn.RANK.EQ(CM41,CM$2:CM$111,0)),"")</f>
        <v>5</v>
      </c>
      <c r="CO41" s="1" t="str">
        <f>IF(ISNUMBER(CM41)=TRUE,IF(_xlfn.RANK.EQ(CM41,$CM$2:$CM$111)&lt;='Tournament Setup'!$B$41,_xlfn.RANK.EQ(CM41,$CM$2:$CM$111),""),"")</f>
        <v/>
      </c>
      <c r="CP41" s="31">
        <f>IF(AND($G41='Tournament Setup'!$A$41,$E41="M",$CO41&gt;'Tournament Setup'!$B$41),$H41,"")</f>
        <v>59</v>
      </c>
      <c r="CQ41" s="1" t="str">
        <f>IF(ISNUMBER(CP41)=TRUE,IF(_xlfn.RANK.EQ(CP41,$CP$2:$CP$111)&lt;='Tournament Setup'!$C$41,_xlfn.RANK.EQ(CP41,$CP$2:$CP$111),""),"")</f>
        <v/>
      </c>
      <c r="CR41" s="31" t="str">
        <f>IF(AND($G41='Tournament Setup'!$A$41,$E41="F",$CO41&gt;'Tournament Setup'!$B$41),$H41,"")</f>
        <v/>
      </c>
      <c r="CS41" s="12" t="str">
        <f>IF(ISNUMBER(CR41)=TRUE,IF(_xlfn.RANK.EQ(CR41,$CR$2:$CR$111)&lt;='Tournament Setup'!$D$41,_xlfn.RANK.EQ(CR41,$CR$2:$CR$111),""),"")</f>
        <v/>
      </c>
    </row>
    <row r="42" spans="1:97" x14ac:dyDescent="0.3">
      <c r="A42" t="s">
        <v>197</v>
      </c>
      <c r="B42" t="str">
        <f>IFERROR(INDEX('Tournament List'!$B:$B,MATCH($A42,'Tournament List'!$A:$A,0)),"")</f>
        <v>Trey</v>
      </c>
      <c r="C42" t="str">
        <f>IFERROR(INDEX('Tournament List'!$C:$C,MATCH($A42,'Tournament List'!$A:$A,0)),"")</f>
        <v>Last Name41</v>
      </c>
      <c r="D42" t="str">
        <f t="shared" si="5"/>
        <v>Trey Last Name41</v>
      </c>
      <c r="E42" s="1" t="str">
        <f>IFERROR(INDEX('Tournament List'!F:F,MATCH($A42,'Tournament List'!$A:$A,0)),"")</f>
        <v>M</v>
      </c>
      <c r="F42" t="str">
        <f>IFERROR(INDEX('Tournament List'!M:M,MATCH($A42,'Tournament List'!$A:$A,0)),"")</f>
        <v>Varsity</v>
      </c>
      <c r="G42" s="1" t="str">
        <f>IFERROR(INDEX('Tournament List'!W:W,MATCH($A42,'Tournament List'!$A:$A,0)),"")</f>
        <v>C</v>
      </c>
      <c r="H42" s="129">
        <f>IFERROR(INDEX('Tournament List'!Z:Z,MATCH($A42,'Tournament List'!$A:$A,0)),"")</f>
        <v>84</v>
      </c>
      <c r="I42" s="152" t="str">
        <f>IFERROR(INDEX('Tournament List'!T:T,MATCH($A42,'Tournament List'!$A:$A,0)),"")</f>
        <v/>
      </c>
      <c r="J42" s="56" t="str">
        <f>IF(ISNUMBER(I42),IF(COUNTIFS(J$1:J41,_xlfn.RANK.EQ(I42,I$2:I$111,0))&gt;0,_xlfn.MAXIFS(J$1:J41,I$1:I41,I42)+1,_xlfn.RANK.EQ(I42,I$2:I$111,0)),"")</f>
        <v/>
      </c>
      <c r="K42" s="11">
        <f t="shared" si="6"/>
        <v>15</v>
      </c>
      <c r="L42" s="56">
        <f>IF(ISNUMBER(H42),IF(COUNTIFS(L$1:L41,_xlfn.RANK.EQ(H42,H$2:H$111,0))&gt;0,_xlfn.MAXIFS(L$1:L41,H$1:H41,H42)+1,_xlfn.RANK.EQ(H42,H$2:H$111,0)),"")</f>
        <v>15</v>
      </c>
      <c r="M42" s="151">
        <f t="shared" si="7"/>
        <v>84</v>
      </c>
      <c r="N42" s="47">
        <f>IF(ISNUMBER(M42),IF(COUNTIFS(N$1:N41,_xlfn.RANK.EQ(M42,M$2:M$111,0))&gt;0,_xlfn.MAXIFS(N$1:N41,M$1:M41,M42)+1,_xlfn.RANK.EQ(M42,M$2:M$111,0)),"")</f>
        <v>13</v>
      </c>
      <c r="O42" s="1" t="str">
        <f>IF(ISNUMBER(M42)=TRUE,IF(_xlfn.RANK.EQ(M42,$M$2:$M$111)&lt;='Tournament Setup'!$B$23,_xlfn.RANK.EQ(M42,$M$2:$M$111),""),"")</f>
        <v/>
      </c>
      <c r="P42" s="150">
        <f t="shared" si="8"/>
        <v>84</v>
      </c>
      <c r="Q42" s="1" t="str">
        <f>IF(ISNUMBER(P42)=TRUE,IF(_xlfn.RANK.EQ(P42,$P$2:$P$111)&lt;='Tournament Setup'!$B$24,_xlfn.RANK.EQ(P42,$P$2:$P$111),""),"")</f>
        <v/>
      </c>
      <c r="R42" s="150" t="str">
        <f t="shared" si="9"/>
        <v/>
      </c>
      <c r="S42" s="12" t="str">
        <f>IF(ISNUMBER(R42)=TRUE,IF(_xlfn.RANK.EQ(R42,$R$2:$R$111)&lt;='Tournament Setup'!$B$25,_xlfn.RANK.EQ(R42,$R$2:$R$111),""),"")</f>
        <v/>
      </c>
      <c r="T42" s="152" t="str">
        <f>IF(AND($F42='Tournament Setup'!$A$29,$I42&lt;&gt;0),$I42,"")</f>
        <v/>
      </c>
      <c r="U42" s="47" t="str">
        <f>IF(ISNUMBER(T42),IF(COUNTIFS(U$1:U41,_xlfn.RANK.EQ(T42,T$2:T$111,0))&gt;0,_xlfn.MAXIFS(U$1:U41,T$1:T41,T42)+1,_xlfn.RANK.EQ(T42,T$2:T$111,0)),"")</f>
        <v/>
      </c>
      <c r="V42" s="1" t="str">
        <f>IF(ISNUMBER(T42)=TRUE,IF(_xlfn.RANK.EQ(T42,$T$3:$T$112)&lt;='Tournament Setup'!$B$46,_xlfn.RANK.EQ(T42,$T$2:$T$111),""),"")</f>
        <v/>
      </c>
      <c r="W42" s="30" t="str">
        <f>IF(AND($F42='Tournament Setup'!$A$29,SUM($O42,$Q42,$S42)=0),$H42,"")</f>
        <v/>
      </c>
      <c r="X42" s="47" t="str">
        <f>IF(ISNUMBER(W42),IF(COUNTIFS(X$1:X41,_xlfn.RANK.EQ(W42,W$2:W$111,0))&gt;0,_xlfn.MAXIFS(X$1:X41,W$1:W41,W42)+1,_xlfn.RANK.EQ(W42,W$2:W$111,0)),"")</f>
        <v/>
      </c>
      <c r="Y42" s="1" t="str">
        <f>IF(ISNUMBER(W42)=TRUE,IF(_xlfn.RANK.EQ(W42,$W$2:$W$111)&lt;='Tournament Setup'!$B$29,_xlfn.RANK.EQ(W42,$W$2:$W$111),""),"")</f>
        <v/>
      </c>
      <c r="Z42" s="31" t="str">
        <f>IF(AND($F42='Tournament Setup'!$A$29,SUM($O42,$Q42)=0,$E42="M",$Y42&gt;'Tournament Setup'!$B$29),$H42,"")</f>
        <v/>
      </c>
      <c r="AA42" s="1" t="str">
        <f>IF(ISNUMBER(Z42)=TRUE,IF(_xlfn.RANK.EQ(Z42,$Z$2:$Z$111)&lt;='Tournament Setup'!$C$29,_xlfn.RANK.EQ(Z42,$Z$2:$Z$111),""),"")</f>
        <v/>
      </c>
      <c r="AB42" s="31" t="str">
        <f>IF(AND($F42='Tournament Setup'!$A$29,SUM($O42,$S42)=0,$E42="F",$Y42&gt;'Tournament Setup'!$B$29),$H42,"")</f>
        <v/>
      </c>
      <c r="AC42" s="12" t="str">
        <f>IF(ISNUMBER(AB42)=TRUE,IF(_xlfn.RANK.EQ(AB42,$AB$2:$AB$111)&lt;='Tournament Setup'!$D$29,_xlfn.RANK.EQ(AB42,$AB$2:$AB$111),""),"")</f>
        <v/>
      </c>
      <c r="AD42" s="30" t="str">
        <f>IF(AND($F42='Tournament Setup'!$A$30,$I42&lt;&gt;0),$I42,"")</f>
        <v/>
      </c>
      <c r="AE42" s="47" t="str">
        <f>IF(ISNUMBER(AD42),IF(COUNTIFS(AE$1:AE41,_xlfn.RANK.EQ(AD42,AD$2:AD$111,0))&gt;0,_xlfn.MAXIFS(AE$1:AE41,AD$1:AD41,AD42)+1,_xlfn.RANK.EQ(AD42,AD$2:AD$111,0)),"")</f>
        <v/>
      </c>
      <c r="AF42" s="1" t="str">
        <f>IF(ISNUMBER(AD42)=TRUE,IF(_xlfn.RANK.EQ(AD42,$AD$2:$AD$111)&lt;='Tournament Setup'!$B$46,_xlfn.RANK.EQ(AD42,$AD$2:$AD$111),""),"")</f>
        <v/>
      </c>
      <c r="AG42" s="30" t="str">
        <f>IF(AND($F42='Tournament Setup'!$A$30,SUM($O42,$Q42,$S42)=0),$H42,"")</f>
        <v/>
      </c>
      <c r="AH42" s="47" t="str">
        <f>IF(ISNUMBER(AG42),IF(COUNTIFS(AH$1:AH41,_xlfn.RANK.EQ(AG42,AG$2:AG$111,0))&gt;0,_xlfn.MAXIFS(AH$1:AH41,AG$1:AG41,AG42)+1,_xlfn.RANK.EQ(AG42,AG$2:AG$111,0)),"")</f>
        <v/>
      </c>
      <c r="AI42" s="1" t="str">
        <f>IF(ISNUMBER(AG42)=TRUE,IF(_xlfn.RANK.EQ(AG42,$AG$2:$AG$111)&lt;='Tournament Setup'!$B$30,_xlfn.RANK.EQ(AG42,$AG$2:$AG$111),""),"")</f>
        <v/>
      </c>
      <c r="AJ42" s="31" t="str">
        <f>IF(AND($F42='Tournament Setup'!$A$30,SUM($O42,$Q42)=0,$E42="M",$AI42&gt;'Tournament Setup'!$B$30),$H42,"")</f>
        <v/>
      </c>
      <c r="AK42" s="1" t="str">
        <f>IF(ISNUMBER(AJ42)=TRUE,IF(_xlfn.RANK.EQ(AJ42,$AJ$2:$AJ$111)&lt;='Tournament Setup'!$C$30,_xlfn.RANK.EQ(AJ42,$AJ$2:$AJ$111),""),"")</f>
        <v/>
      </c>
      <c r="AL42" s="31" t="str">
        <f>IF(AND($F42='Tournament Setup'!$A$30,SUM($O42,$S42)=0,$E42="F",$AI42&gt;'Tournament Setup'!$B$30),$H42,"")</f>
        <v/>
      </c>
      <c r="AM42" s="12" t="str">
        <f>IF(ISNUMBER(AL42)=TRUE,IF(_xlfn.RANK.EQ(AL42,$AL$2:$AL$111)&lt;='Tournament Setup'!$D$30,_xlfn.RANK.EQ(AL42,$AL$2:$AL$111),""),"")</f>
        <v/>
      </c>
      <c r="AN42" s="30" t="str">
        <f>IF(AND($F42='Tournament Setup'!$A$31,$I42&lt;&gt;0),$I42,"")</f>
        <v/>
      </c>
      <c r="AO42" s="47" t="str">
        <f>IF(ISNUMBER(AN42),IF(COUNTIFS(AO$1:AO41,_xlfn.RANK.EQ(AN42,AN$2:AN$111,0))&gt;0,_xlfn.MAXIFS(AO$1:AO41,AN$1:AN41,AN42)+1,_xlfn.RANK.EQ(AN42,AN$2:AN$111,0)),"")</f>
        <v/>
      </c>
      <c r="AP42" s="1" t="str">
        <f>IF(ISNUMBER(AN42)=TRUE,IF(_xlfn.RANK.EQ(AN42,$AN$2:$AN$111)&lt;='Tournament Setup'!$B$46,_xlfn.RANK.EQ(AN42,$AN$2:$AN$111),""),"")</f>
        <v/>
      </c>
      <c r="AQ42" s="30" t="str">
        <f>IF(AND($F42='Tournament Setup'!$A$31,SUM($O42,$Q42,$S42)=0),$H42,"")</f>
        <v/>
      </c>
      <c r="AR42" s="47" t="str">
        <f>IF(ISNUMBER(AQ42),IF(COUNTIFS(AR$1:AR41,_xlfn.RANK.EQ(AQ42,AQ$2:AQ$111,0))&gt;0,_xlfn.MAXIFS(AR$1:AR41,AQ$1:AQ41,AQ42)+1,_xlfn.RANK.EQ(AQ42,AQ$2:AQ$111,0)),"")</f>
        <v/>
      </c>
      <c r="AS42" s="1" t="str">
        <f>IF(ISNUMBER(AQ42)=TRUE,IF(_xlfn.RANK.EQ(AQ42,$AQ$2:$AQ$111)&lt;='Tournament Setup'!$B$31,_xlfn.RANK.EQ(AQ42,$AQ$2:$AQ$111),""),"")</f>
        <v/>
      </c>
      <c r="AT42" s="31" t="str">
        <f>IF(AND($F42='Tournament Setup'!$A$31,SUM($O42,$Q42)=0,$E42="M",$AS42&gt;'Tournament Setup'!$B$31),$H42,"")</f>
        <v/>
      </c>
      <c r="AU42" s="1" t="str">
        <f>IF(ISNUMBER(AT42)=TRUE,IF(_xlfn.RANK.EQ(AT42,$AT$2:$AT$111)&lt;='Tournament Setup'!$C$31,_xlfn.RANK.EQ(AT42,$AT$2:$AT$111),""),"")</f>
        <v/>
      </c>
      <c r="AV42" s="31" t="str">
        <f>IF(AND($F42='Tournament Setup'!$A$31,SUM($O42,$S42)=0,$E42="F",$AS42&gt;'Tournament Setup'!$B$31),$H42,"")</f>
        <v/>
      </c>
      <c r="AW42" s="12" t="str">
        <f>IF(ISNUMBER(AV42)=TRUE,IF(_xlfn.RANK.EQ(AV42,$AV$2:$AV$111)&lt;='Tournament Setup'!$D$31,_xlfn.RANK.EQ(AV42,$AV$2:$AV$111),""),"")</f>
        <v/>
      </c>
      <c r="AX42" s="30" t="str">
        <f>IF(AND($F42='Tournament Setup'!$A$32,$I42&lt;&gt;0),$I42,"")</f>
        <v/>
      </c>
      <c r="AY42" s="47" t="str">
        <f>IF(ISNUMBER(AX42),IF(COUNTIFS(AY$1:AY41,_xlfn.RANK.EQ(AX42,AX$2:AX$111,0))&gt;0,_xlfn.MAXIFS(AY$1:AY41,AX$1:AX41,AX42)+1,_xlfn.RANK.EQ(AX42,AX$2:AX$111,0)),"")</f>
        <v/>
      </c>
      <c r="AZ42" s="1" t="str">
        <f>IF(ISNUMBER(AX42)=TRUE,IF(_xlfn.RANK.EQ(AX42,$AX$2:$AX$111)&lt;='Tournament Setup'!$B$46,_xlfn.RANK.EQ(AX42,$AX$2:$AX$111),""),"")</f>
        <v/>
      </c>
      <c r="BA42" s="30">
        <f>IF(AND($F42='Tournament Setup'!$A$32,SUM($O42,$Q42,$S42)=0),$H42,"")</f>
        <v>84</v>
      </c>
      <c r="BB42" s="47">
        <f>IF(ISNUMBER(BA42),IF(COUNTIFS(BB$1:BB41,_xlfn.RANK.EQ(BA42,BA$2:BA$111,0))&gt;0,_xlfn.MAXIFS(BB$1:BB41,BA$1:BA41,BA42)+1,_xlfn.RANK.EQ(BA42,BA$2:BA$111,0)),"")</f>
        <v>3</v>
      </c>
      <c r="BC42" s="1" t="str">
        <f>IF(ISNUMBER(BA42)=TRUE,IF(_xlfn.RANK.EQ(BA42,$BA$2:$BA$111)&lt;='Tournament Setup'!$B$32,_xlfn.RANK.EQ(BA42,$BA$2:$BA$111),""),"")</f>
        <v/>
      </c>
      <c r="BD42" s="31">
        <f>IF(AND($F42='Tournament Setup'!$A$32,SUM($O42,$Q42)=0,$E42="M",$BC42&gt;'Tournament Setup'!$B$32),$H42,"")</f>
        <v>84</v>
      </c>
      <c r="BE42" s="1">
        <f>IF(ISNUMBER(BD42)=TRUE,IF(_xlfn.RANK.EQ(BD42,$BD$2:$BD$111)&lt;='Tournament Setup'!$C$32,_xlfn.RANK.EQ(BD42,$BD$2:$BD$111),""),"")</f>
        <v>3</v>
      </c>
      <c r="BF42" s="31" t="str">
        <f>IF(AND($F42='Tournament Setup'!$A$32,SUM($O42,$S42)=0,$E42="F",$BC42&gt;'Tournament Setup'!$B$32),$H42,"")</f>
        <v/>
      </c>
      <c r="BG42" s="12" t="str">
        <f>IF(ISNUMBER(BF42)=TRUE,IF(_xlfn.RANK.EQ(BF42,$BF$2:$BF$111)&lt;='Tournament Setup'!$D$32,_xlfn.RANK.EQ(BF42,$BF$2:$BF$111),""),"")</f>
        <v/>
      </c>
      <c r="BH42" s="30" t="str">
        <f>IF(AND($F42='Tournament Setup'!$A$33,$I42&lt;&gt;0),$I42,"")</f>
        <v/>
      </c>
      <c r="BI42" s="47" t="str">
        <f>IF(ISNUMBER(BH42),IF(COUNTIFS(BI$1:BI41,_xlfn.RANK.EQ(BH42,BH$2:BH$111,0))&gt;0,_xlfn.MAXIFS(BI$1:BI41,BH$1:BH41,BH42)+1,_xlfn.RANK.EQ(BH42,BH$2:BH$111,0)),"")</f>
        <v/>
      </c>
      <c r="BJ42" s="1" t="str">
        <f>IF(ISNUMBER(BH42)=TRUE,IF(_xlfn.RANK.EQ(BH42,$BH$2:$BH$111)&lt;='Tournament Setup'!$B$46,_xlfn.RANK.EQ(BH42,$BH$2:$BH$111),""),"")</f>
        <v/>
      </c>
      <c r="BK42" s="30" t="str">
        <f>IF(AND($F42='Tournament Setup'!$A$33,SUM($O42,$Q42,$S42)=0),$H42,"")</f>
        <v/>
      </c>
      <c r="BL42" s="47" t="str">
        <f>IF(ISNUMBER(BK42),IF(COUNTIFS(BL$1:BL41,_xlfn.RANK.EQ(BK42,BK$2:BK$111,0))&gt;0,_xlfn.MAXIFS(BL$1:BL41,BK$1:BK41,BK42)+1,_xlfn.RANK.EQ(BK42,BK$2:BK$111,0)),"")</f>
        <v/>
      </c>
      <c r="BM42" s="1" t="str">
        <f>IF(ISNUMBER(BK42)=TRUE,IF(_xlfn.RANK.EQ(BK42,$BK$2:$BK$111)&lt;='Tournament Setup'!$B$33,_xlfn.RANK.EQ(BK42,$BK$2:$BK$111),""),"")</f>
        <v/>
      </c>
      <c r="BN42" s="31" t="str">
        <f>IF(AND($F42='Tournament Setup'!$A$33,SUM($O42,$Q42)=0,$E42="M",$BM42&gt;'Tournament Setup'!$B$33),$H42,"")</f>
        <v/>
      </c>
      <c r="BO42" s="1" t="str">
        <f>IF(ISNUMBER(BN42)=TRUE,IF(_xlfn.RANK.EQ(BN42,$BN$2:$BN$111)&lt;='Tournament Setup'!$C$33,_xlfn.RANK.EQ(BN42,$BN$2:$BN$111),""),"")</f>
        <v/>
      </c>
      <c r="BP42" s="31" t="str">
        <f>IF(AND($F42='Tournament Setup'!$A$33,SUM($O42,$S42)=0,$E42="F",$BM42&gt;'Tournament Setup'!$B$33),$H42,"")</f>
        <v/>
      </c>
      <c r="BQ42" s="12" t="str">
        <f>IF(ISNUMBER(BP42)=TRUE,IF(_xlfn.RANK.EQ(BP42,$BP$2:$BP$111)&lt;='Tournament Setup'!$D$33,_xlfn.RANK.EQ(BP42,$BP$2:$BP$111),""),"")</f>
        <v/>
      </c>
      <c r="BR42" s="30" t="str">
        <f>IF($G42='Tournament Setup'!$A$38,$H42,"")</f>
        <v/>
      </c>
      <c r="BS42" s="47" t="str">
        <f>IF(ISNUMBER(BR42),IF(COUNTIFS(BS$1:BS41,_xlfn.RANK.EQ(BR42,BR$2:BR$111,0))&gt;0,_xlfn.MAXIFS(BS$1:BS41,BR$1:BR41,BR42)+1,_xlfn.RANK.EQ(BR42,BR$2:BR$111,0)),"")</f>
        <v/>
      </c>
      <c r="BT42" s="1" t="str">
        <f>IF(ISNUMBER(BR42)=TRUE,IF(_xlfn.RANK.EQ(BR42,$BR$2:$BR$111)&lt;='Tournament Setup'!$B$38,_xlfn.RANK.EQ(BR42,$BR$2:$BR$111),""),"")</f>
        <v/>
      </c>
      <c r="BU42" s="31" t="str">
        <f>IF(AND($G42='Tournament Setup'!$A$38,$E42="M",$BT42&gt;'Tournament Setup'!$B$38),$H42,"")</f>
        <v/>
      </c>
      <c r="BV42" s="1" t="str">
        <f>IF(ISNUMBER(BU42)=TRUE,IF(_xlfn.RANK.EQ(BU42,$BU$2:$BU$111)&lt;='Tournament Setup'!$C$38,_xlfn.RANK.EQ(BU42,$BU$2:$BU$111),""),"")</f>
        <v/>
      </c>
      <c r="BW42" s="31" t="str">
        <f>IF(AND($G42='Tournament Setup'!$A$38,$E42="F",$BT42&gt;'Tournament Setup'!$B$38),$H42,"")</f>
        <v/>
      </c>
      <c r="BX42" s="12" t="str">
        <f>IF(ISNUMBER(BW42)=TRUE,IF(_xlfn.RANK.EQ(BW42,$BW$2:$BW$111)&lt;='Tournament Setup'!$D$38,_xlfn.RANK.EQ(BW42,$BW$2:$BW$111),""),"")</f>
        <v/>
      </c>
      <c r="BY42" s="30" t="str">
        <f>IF($G42='Tournament Setup'!$A$39,$H42,"")</f>
        <v/>
      </c>
      <c r="BZ42" s="47" t="str">
        <f>IF(ISNUMBER(BY42),IF(COUNTIFS(BZ$1:BZ41,_xlfn.RANK.EQ(BY42,BY$2:BY$111,0))&gt;0,_xlfn.MAXIFS(BZ$1:BZ41,BY$1:BY41,BY42)+1,_xlfn.RANK.EQ(BY42,BY$2:BY$111,0)),"")</f>
        <v/>
      </c>
      <c r="CA42" s="1" t="str">
        <f>IF(ISNUMBER(BY42)=TRUE,IF(_xlfn.RANK.EQ(BY42,$BY$2:$BY$111)&lt;='Tournament Setup'!$B$39,_xlfn.RANK.EQ(BY42,$BY$2:$BY$111),""),"")</f>
        <v/>
      </c>
      <c r="CB42" s="31" t="str">
        <f>IF(AND($G42='Tournament Setup'!$A$39,$E42="M",$CA42&gt;'Tournament Setup'!$B$39),$H42,"")</f>
        <v/>
      </c>
      <c r="CC42" s="1" t="str">
        <f>IF(ISNUMBER(CB42)=TRUE,IF(_xlfn.RANK.EQ(CB42,$CB$2:$CB$111)&lt;='Tournament Setup'!$C$39,_xlfn.RANK.EQ(CB42,$CB$2:$CB$111),""),"")</f>
        <v/>
      </c>
      <c r="CD42" s="31" t="str">
        <f>IF(AND($G42='Tournament Setup'!$A$39,$E42="F",$CA42&gt;'Tournament Setup'!$B$39),$H42,"")</f>
        <v/>
      </c>
      <c r="CE42" s="12" t="str">
        <f>IF(ISNUMBER(CD42)=TRUE,IF(_xlfn.RANK.EQ(CD42,$CD$2:$CD$111)&lt;='Tournament Setup'!$D$39,_xlfn.RANK.EQ(CD42,$CD$2:$CD$111),""),"")</f>
        <v/>
      </c>
      <c r="CF42" s="30">
        <f>IF($G42='Tournament Setup'!$A$40,$H42,"")</f>
        <v>84</v>
      </c>
      <c r="CG42" s="47">
        <f>IF(ISNUMBER(CF42),IF(COUNTIFS(CG$1:CG41,_xlfn.RANK.EQ(CF42,CF$2:CF$111,0))&gt;0,_xlfn.MAXIFS(CG$1:CG41,CF$1:CF41,CF42)+1,_xlfn.RANK.EQ(CF42,CF$2:CF$111,0)),"")</f>
        <v>4</v>
      </c>
      <c r="CH42" s="1" t="str">
        <f>IF(ISNUMBER(CF42)=TRUE,IF(_xlfn.RANK.EQ(CF42,$CF$2:$CF$111)&lt;='Tournament Setup'!$B$40,_xlfn.RANK.EQ(CF42,$CF$2:$CF$111),""),"")</f>
        <v/>
      </c>
      <c r="CI42" s="31">
        <f>IF(AND($G42='Tournament Setup'!$A$40,$E42="M",$CH42&gt;'Tournament Setup'!$B$40),$H42,"")</f>
        <v>84</v>
      </c>
      <c r="CJ42" s="1">
        <f>IF(ISNUMBER(CI42)=TRUE,IF(_xlfn.RANK.EQ(CI42,$CI$2:$CI$111)&lt;='Tournament Setup'!$C$40,_xlfn.RANK.EQ(CI42,$CI$2:$CI$111),""),"")</f>
        <v>2</v>
      </c>
      <c r="CK42" s="31" t="str">
        <f>IF(AND($G42='Tournament Setup'!$A$40,$E42="F",$CH42&gt;'Tournament Setup'!$B$40),$H42,"")</f>
        <v/>
      </c>
      <c r="CL42" s="12" t="str">
        <f>IF(ISNUMBER(CK42)=TRUE,IF(_xlfn.RANK.EQ(CK42,$CK$2:$CK$111)&lt;='Tournament Setup'!$D$40,_xlfn.RANK.EQ(CK42,$CK$2:$CK$111),""),"")</f>
        <v/>
      </c>
      <c r="CM42" s="30" t="str">
        <f>IF($G42='Tournament Setup'!$A$41,$H42,"")</f>
        <v/>
      </c>
      <c r="CN42" s="47" t="str">
        <f>IF(ISNUMBER(CM42),IF(COUNTIFS(CN$1:CN41,_xlfn.RANK.EQ(CM42,CM$2:CM$111,0))&gt;0,_xlfn.MAXIFS(CN$1:CN41,CM$1:CM41,CM42)+1,_xlfn.RANK.EQ(CM42,CM$2:CM$111,0)),"")</f>
        <v/>
      </c>
      <c r="CO42" s="1" t="str">
        <f>IF(ISNUMBER(CM42)=TRUE,IF(_xlfn.RANK.EQ(CM42,$CM$2:$CM$111)&lt;='Tournament Setup'!$B$41,_xlfn.RANK.EQ(CM42,$CM$2:$CM$111),""),"")</f>
        <v/>
      </c>
      <c r="CP42" s="31" t="str">
        <f>IF(AND($G42='Tournament Setup'!$A$41,$E42="M",$CO42&gt;'Tournament Setup'!$B$41),$H42,"")</f>
        <v/>
      </c>
      <c r="CQ42" s="1" t="str">
        <f>IF(ISNUMBER(CP42)=TRUE,IF(_xlfn.RANK.EQ(CP42,$CP$2:$CP$111)&lt;='Tournament Setup'!$C$41,_xlfn.RANK.EQ(CP42,$CP$2:$CP$111),""),"")</f>
        <v/>
      </c>
      <c r="CR42" s="31" t="str">
        <f>IF(AND($G42='Tournament Setup'!$A$41,$E42="F",$CO42&gt;'Tournament Setup'!$B$41),$H42,"")</f>
        <v/>
      </c>
      <c r="CS42" s="12" t="str">
        <f>IF(ISNUMBER(CR42)=TRUE,IF(_xlfn.RANK.EQ(CR42,$CR$2:$CR$111)&lt;='Tournament Setup'!$D$41,_xlfn.RANK.EQ(CR42,$CR$2:$CR$111),""),"")</f>
        <v/>
      </c>
    </row>
    <row r="43" spans="1:97" x14ac:dyDescent="0.3">
      <c r="A43" t="s">
        <v>198</v>
      </c>
      <c r="B43" t="str">
        <f>IFERROR(INDEX('Tournament List'!$B:$B,MATCH($A43,'Tournament List'!$A:$A,0)),"")</f>
        <v>Owen</v>
      </c>
      <c r="C43" t="str">
        <f>IFERROR(INDEX('Tournament List'!$C:$C,MATCH($A43,'Tournament List'!$A:$A,0)),"")</f>
        <v>Last Name42</v>
      </c>
      <c r="D43" t="str">
        <f t="shared" si="5"/>
        <v>Owen Last Name42</v>
      </c>
      <c r="E43" s="1" t="str">
        <f>IFERROR(INDEX('Tournament List'!F:F,MATCH($A43,'Tournament List'!$A:$A,0)),"")</f>
        <v>M</v>
      </c>
      <c r="F43" t="str">
        <f>IFERROR(INDEX('Tournament List'!M:M,MATCH($A43,'Tournament List'!$A:$A,0)),"")</f>
        <v>Novice</v>
      </c>
      <c r="G43" s="1" t="str">
        <f>IFERROR(INDEX('Tournament List'!W:W,MATCH($A43,'Tournament List'!$A:$A,0)),"")</f>
        <v>C</v>
      </c>
      <c r="H43" s="129">
        <f>IFERROR(INDEX('Tournament List'!Z:Z,MATCH($A43,'Tournament List'!$A:$A,0)),"")</f>
        <v>60</v>
      </c>
      <c r="I43" s="152" t="str">
        <f>IFERROR(INDEX('Tournament List'!T:T,MATCH($A43,'Tournament List'!$A:$A,0)),"")</f>
        <v/>
      </c>
      <c r="J43" s="56" t="str">
        <f>IF(ISNUMBER(I43),IF(COUNTIFS(J$1:J42,_xlfn.RANK.EQ(I43,I$2:I$111,0))&gt;0,_xlfn.MAXIFS(J$1:J42,I$1:I42,I43)+1,_xlfn.RANK.EQ(I43,I$2:I$111,0)),"")</f>
        <v/>
      </c>
      <c r="K43" s="11">
        <f t="shared" si="6"/>
        <v>35</v>
      </c>
      <c r="L43" s="56">
        <f>IF(ISNUMBER(H43),IF(COUNTIFS(L$1:L42,_xlfn.RANK.EQ(H43,H$2:H$111,0))&gt;0,_xlfn.MAXIFS(L$1:L42,H$1:H42,H43)+1,_xlfn.RANK.EQ(H43,H$2:H$111,0)),"")</f>
        <v>36</v>
      </c>
      <c r="M43" s="151">
        <f t="shared" si="7"/>
        <v>60</v>
      </c>
      <c r="N43" s="47">
        <f>IF(ISNUMBER(M43),IF(COUNTIFS(N$1:N42,_xlfn.RANK.EQ(M43,M$2:M$111,0))&gt;0,_xlfn.MAXIFS(N$1:N42,M$1:M42,M43)+1,_xlfn.RANK.EQ(M43,M$2:M$111,0)),"")</f>
        <v>34</v>
      </c>
      <c r="O43" s="1" t="str">
        <f>IF(ISNUMBER(M43)=TRUE,IF(_xlfn.RANK.EQ(M43,$M$2:$M$111)&lt;='Tournament Setup'!$B$23,_xlfn.RANK.EQ(M43,$M$2:$M$111),""),"")</f>
        <v/>
      </c>
      <c r="P43" s="150">
        <f t="shared" si="8"/>
        <v>60</v>
      </c>
      <c r="Q43" s="1" t="str">
        <f>IF(ISNUMBER(P43)=TRUE,IF(_xlfn.RANK.EQ(P43,$P$2:$P$111)&lt;='Tournament Setup'!$B$24,_xlfn.RANK.EQ(P43,$P$2:$P$111),""),"")</f>
        <v/>
      </c>
      <c r="R43" s="150" t="str">
        <f t="shared" si="9"/>
        <v/>
      </c>
      <c r="S43" s="12" t="str">
        <f>IF(ISNUMBER(R43)=TRUE,IF(_xlfn.RANK.EQ(R43,$R$2:$R$111)&lt;='Tournament Setup'!$B$25,_xlfn.RANK.EQ(R43,$R$2:$R$111),""),"")</f>
        <v/>
      </c>
      <c r="T43" s="152" t="str">
        <f>IF(AND($F43='Tournament Setup'!$A$29,$I43&lt;&gt;0),$I43,"")</f>
        <v/>
      </c>
      <c r="U43" s="47" t="str">
        <f>IF(ISNUMBER(T43),IF(COUNTIFS(U$1:U42,_xlfn.RANK.EQ(T43,T$2:T$111,0))&gt;0,_xlfn.MAXIFS(U$1:U42,T$1:T42,T43)+1,_xlfn.RANK.EQ(T43,T$2:T$111,0)),"")</f>
        <v/>
      </c>
      <c r="V43" s="1" t="str">
        <f>IF(ISNUMBER(T43)=TRUE,IF(_xlfn.RANK.EQ(T43,$T$3:$T$112)&lt;='Tournament Setup'!$B$46,_xlfn.RANK.EQ(T43,$T$2:$T$111),""),"")</f>
        <v/>
      </c>
      <c r="W43" s="30">
        <f>IF(AND($F43='Tournament Setup'!$A$29,SUM($O43,$Q43,$S43)=0),$H43,"")</f>
        <v>60</v>
      </c>
      <c r="X43" s="47">
        <f>IF(ISNUMBER(W43),IF(COUNTIFS(X$1:X42,_xlfn.RANK.EQ(W43,W$2:W$111,0))&gt;0,_xlfn.MAXIFS(X$1:X42,W$1:W42,W43)+1,_xlfn.RANK.EQ(W43,W$2:W$111,0)),"")</f>
        <v>9</v>
      </c>
      <c r="Y43" s="1" t="str">
        <f>IF(ISNUMBER(W43)=TRUE,IF(_xlfn.RANK.EQ(W43,$W$2:$W$111)&lt;='Tournament Setup'!$B$29,_xlfn.RANK.EQ(W43,$W$2:$W$111),""),"")</f>
        <v/>
      </c>
      <c r="Z43" s="31">
        <f>IF(AND($F43='Tournament Setup'!$A$29,SUM($O43,$Q43)=0,$E43="M",$Y43&gt;'Tournament Setup'!$B$29),$H43,"")</f>
        <v>60</v>
      </c>
      <c r="AA43" s="1" t="str">
        <f>IF(ISNUMBER(Z43)=TRUE,IF(_xlfn.RANK.EQ(Z43,$Z$2:$Z$111)&lt;='Tournament Setup'!$C$29,_xlfn.RANK.EQ(Z43,$Z$2:$Z$111),""),"")</f>
        <v/>
      </c>
      <c r="AB43" s="31" t="str">
        <f>IF(AND($F43='Tournament Setup'!$A$29,SUM($O43,$S43)=0,$E43="F",$Y43&gt;'Tournament Setup'!$B$29),$H43,"")</f>
        <v/>
      </c>
      <c r="AC43" s="12" t="str">
        <f>IF(ISNUMBER(AB43)=TRUE,IF(_xlfn.RANK.EQ(AB43,$AB$2:$AB$111)&lt;='Tournament Setup'!$D$29,_xlfn.RANK.EQ(AB43,$AB$2:$AB$111),""),"")</f>
        <v/>
      </c>
      <c r="AD43" s="30" t="str">
        <f>IF(AND($F43='Tournament Setup'!$A$30,$I43&lt;&gt;0),$I43,"")</f>
        <v/>
      </c>
      <c r="AE43" s="47" t="str">
        <f>IF(ISNUMBER(AD43),IF(COUNTIFS(AE$1:AE42,_xlfn.RANK.EQ(AD43,AD$2:AD$111,0))&gt;0,_xlfn.MAXIFS(AE$1:AE42,AD$1:AD42,AD43)+1,_xlfn.RANK.EQ(AD43,AD$2:AD$111,0)),"")</f>
        <v/>
      </c>
      <c r="AF43" s="1" t="str">
        <f>IF(ISNUMBER(AD43)=TRUE,IF(_xlfn.RANK.EQ(AD43,$AD$2:$AD$111)&lt;='Tournament Setup'!$B$46,_xlfn.RANK.EQ(AD43,$AD$2:$AD$111),""),"")</f>
        <v/>
      </c>
      <c r="AG43" s="30" t="str">
        <f>IF(AND($F43='Tournament Setup'!$A$30,SUM($O43,$Q43,$S43)=0),$H43,"")</f>
        <v/>
      </c>
      <c r="AH43" s="47" t="str">
        <f>IF(ISNUMBER(AG43),IF(COUNTIFS(AH$1:AH42,_xlfn.RANK.EQ(AG43,AG$2:AG$111,0))&gt;0,_xlfn.MAXIFS(AH$1:AH42,AG$1:AG42,AG43)+1,_xlfn.RANK.EQ(AG43,AG$2:AG$111,0)),"")</f>
        <v/>
      </c>
      <c r="AI43" s="1" t="str">
        <f>IF(ISNUMBER(AG43)=TRUE,IF(_xlfn.RANK.EQ(AG43,$AG$2:$AG$111)&lt;='Tournament Setup'!$B$30,_xlfn.RANK.EQ(AG43,$AG$2:$AG$111),""),"")</f>
        <v/>
      </c>
      <c r="AJ43" s="31" t="str">
        <f>IF(AND($F43='Tournament Setup'!$A$30,SUM($O43,$Q43)=0,$E43="M",$AI43&gt;'Tournament Setup'!$B$30),$H43,"")</f>
        <v/>
      </c>
      <c r="AK43" s="1" t="str">
        <f>IF(ISNUMBER(AJ43)=TRUE,IF(_xlfn.RANK.EQ(AJ43,$AJ$2:$AJ$111)&lt;='Tournament Setup'!$C$30,_xlfn.RANK.EQ(AJ43,$AJ$2:$AJ$111),""),"")</f>
        <v/>
      </c>
      <c r="AL43" s="31" t="str">
        <f>IF(AND($F43='Tournament Setup'!$A$30,SUM($O43,$S43)=0,$E43="F",$AI43&gt;'Tournament Setup'!$B$30),$H43,"")</f>
        <v/>
      </c>
      <c r="AM43" s="12" t="str">
        <f>IF(ISNUMBER(AL43)=TRUE,IF(_xlfn.RANK.EQ(AL43,$AL$2:$AL$111)&lt;='Tournament Setup'!$D$30,_xlfn.RANK.EQ(AL43,$AL$2:$AL$111),""),"")</f>
        <v/>
      </c>
      <c r="AN43" s="30" t="str">
        <f>IF(AND($F43='Tournament Setup'!$A$31,$I43&lt;&gt;0),$I43,"")</f>
        <v/>
      </c>
      <c r="AO43" s="47" t="str">
        <f>IF(ISNUMBER(AN43),IF(COUNTIFS(AO$1:AO42,_xlfn.RANK.EQ(AN43,AN$2:AN$111,0))&gt;0,_xlfn.MAXIFS(AO$1:AO42,AN$1:AN42,AN43)+1,_xlfn.RANK.EQ(AN43,AN$2:AN$111,0)),"")</f>
        <v/>
      </c>
      <c r="AP43" s="1" t="str">
        <f>IF(ISNUMBER(AN43)=TRUE,IF(_xlfn.RANK.EQ(AN43,$AN$2:$AN$111)&lt;='Tournament Setup'!$B$46,_xlfn.RANK.EQ(AN43,$AN$2:$AN$111),""),"")</f>
        <v/>
      </c>
      <c r="AQ43" s="30" t="str">
        <f>IF(AND($F43='Tournament Setup'!$A$31,SUM($O43,$Q43,$S43)=0),$H43,"")</f>
        <v/>
      </c>
      <c r="AR43" s="47" t="str">
        <f>IF(ISNUMBER(AQ43),IF(COUNTIFS(AR$1:AR42,_xlfn.RANK.EQ(AQ43,AQ$2:AQ$111,0))&gt;0,_xlfn.MAXIFS(AR$1:AR42,AQ$1:AQ42,AQ43)+1,_xlfn.RANK.EQ(AQ43,AQ$2:AQ$111,0)),"")</f>
        <v/>
      </c>
      <c r="AS43" s="1" t="str">
        <f>IF(ISNUMBER(AQ43)=TRUE,IF(_xlfn.RANK.EQ(AQ43,$AQ$2:$AQ$111)&lt;='Tournament Setup'!$B$31,_xlfn.RANK.EQ(AQ43,$AQ$2:$AQ$111),""),"")</f>
        <v/>
      </c>
      <c r="AT43" s="31" t="str">
        <f>IF(AND($F43='Tournament Setup'!$A$31,SUM($O43,$Q43)=0,$E43="M",$AS43&gt;'Tournament Setup'!$B$31),$H43,"")</f>
        <v/>
      </c>
      <c r="AU43" s="1" t="str">
        <f>IF(ISNUMBER(AT43)=TRUE,IF(_xlfn.RANK.EQ(AT43,$AT$2:$AT$111)&lt;='Tournament Setup'!$C$31,_xlfn.RANK.EQ(AT43,$AT$2:$AT$111),""),"")</f>
        <v/>
      </c>
      <c r="AV43" s="31" t="str">
        <f>IF(AND($F43='Tournament Setup'!$A$31,SUM($O43,$S43)=0,$E43="F",$AS43&gt;'Tournament Setup'!$B$31),$H43,"")</f>
        <v/>
      </c>
      <c r="AW43" s="12" t="str">
        <f>IF(ISNUMBER(AV43)=TRUE,IF(_xlfn.RANK.EQ(AV43,$AV$2:$AV$111)&lt;='Tournament Setup'!$D$31,_xlfn.RANK.EQ(AV43,$AV$2:$AV$111),""),"")</f>
        <v/>
      </c>
      <c r="AX43" s="30" t="str">
        <f>IF(AND($F43='Tournament Setup'!$A$32,$I43&lt;&gt;0),$I43,"")</f>
        <v/>
      </c>
      <c r="AY43" s="47" t="str">
        <f>IF(ISNUMBER(AX43),IF(COUNTIFS(AY$1:AY42,_xlfn.RANK.EQ(AX43,AX$2:AX$111,0))&gt;0,_xlfn.MAXIFS(AY$1:AY42,AX$1:AX42,AX43)+1,_xlfn.RANK.EQ(AX43,AX$2:AX$111,0)),"")</f>
        <v/>
      </c>
      <c r="AZ43" s="1" t="str">
        <f>IF(ISNUMBER(AX43)=TRUE,IF(_xlfn.RANK.EQ(AX43,$AX$2:$AX$111)&lt;='Tournament Setup'!$B$46,_xlfn.RANK.EQ(AX43,$AX$2:$AX$111),""),"")</f>
        <v/>
      </c>
      <c r="BA43" s="30" t="str">
        <f>IF(AND($F43='Tournament Setup'!$A$32,SUM($O43,$Q43,$S43)=0),$H43,"")</f>
        <v/>
      </c>
      <c r="BB43" s="47" t="str">
        <f>IF(ISNUMBER(BA43),IF(COUNTIFS(BB$1:BB42,_xlfn.RANK.EQ(BA43,BA$2:BA$111,0))&gt;0,_xlfn.MAXIFS(BB$1:BB42,BA$1:BA42,BA43)+1,_xlfn.RANK.EQ(BA43,BA$2:BA$111,0)),"")</f>
        <v/>
      </c>
      <c r="BC43" s="1" t="str">
        <f>IF(ISNUMBER(BA43)=TRUE,IF(_xlfn.RANK.EQ(BA43,$BA$2:$BA$111)&lt;='Tournament Setup'!$B$32,_xlfn.RANK.EQ(BA43,$BA$2:$BA$111),""),"")</f>
        <v/>
      </c>
      <c r="BD43" s="31" t="str">
        <f>IF(AND($F43='Tournament Setup'!$A$32,SUM($O43,$Q43)=0,$E43="M",$BC43&gt;'Tournament Setup'!$B$32),$H43,"")</f>
        <v/>
      </c>
      <c r="BE43" s="1" t="str">
        <f>IF(ISNUMBER(BD43)=TRUE,IF(_xlfn.RANK.EQ(BD43,$BD$2:$BD$111)&lt;='Tournament Setup'!$C$32,_xlfn.RANK.EQ(BD43,$BD$2:$BD$111),""),"")</f>
        <v/>
      </c>
      <c r="BF43" s="31" t="str">
        <f>IF(AND($F43='Tournament Setup'!$A$32,SUM($O43,$S43)=0,$E43="F",$BC43&gt;'Tournament Setup'!$B$32),$H43,"")</f>
        <v/>
      </c>
      <c r="BG43" s="12" t="str">
        <f>IF(ISNUMBER(BF43)=TRUE,IF(_xlfn.RANK.EQ(BF43,$BF$2:$BF$111)&lt;='Tournament Setup'!$D$32,_xlfn.RANK.EQ(BF43,$BF$2:$BF$111),""),"")</f>
        <v/>
      </c>
      <c r="BH43" s="30" t="str">
        <f>IF(AND($F43='Tournament Setup'!$A$33,$I43&lt;&gt;0),$I43,"")</f>
        <v/>
      </c>
      <c r="BI43" s="47" t="str">
        <f>IF(ISNUMBER(BH43),IF(COUNTIFS(BI$1:BI42,_xlfn.RANK.EQ(BH43,BH$2:BH$111,0))&gt;0,_xlfn.MAXIFS(BI$1:BI42,BH$1:BH42,BH43)+1,_xlfn.RANK.EQ(BH43,BH$2:BH$111,0)),"")</f>
        <v/>
      </c>
      <c r="BJ43" s="1" t="str">
        <f>IF(ISNUMBER(BH43)=TRUE,IF(_xlfn.RANK.EQ(BH43,$BH$2:$BH$111)&lt;='Tournament Setup'!$B$46,_xlfn.RANK.EQ(BH43,$BH$2:$BH$111),""),"")</f>
        <v/>
      </c>
      <c r="BK43" s="30" t="str">
        <f>IF(AND($F43='Tournament Setup'!$A$33,SUM($O43,$Q43,$S43)=0),$H43,"")</f>
        <v/>
      </c>
      <c r="BL43" s="47" t="str">
        <f>IF(ISNUMBER(BK43),IF(COUNTIFS(BL$1:BL42,_xlfn.RANK.EQ(BK43,BK$2:BK$111,0))&gt;0,_xlfn.MAXIFS(BL$1:BL42,BK$1:BK42,BK43)+1,_xlfn.RANK.EQ(BK43,BK$2:BK$111,0)),"")</f>
        <v/>
      </c>
      <c r="BM43" s="1" t="str">
        <f>IF(ISNUMBER(BK43)=TRUE,IF(_xlfn.RANK.EQ(BK43,$BK$2:$BK$111)&lt;='Tournament Setup'!$B$33,_xlfn.RANK.EQ(BK43,$BK$2:$BK$111),""),"")</f>
        <v/>
      </c>
      <c r="BN43" s="31" t="str">
        <f>IF(AND($F43='Tournament Setup'!$A$33,SUM($O43,$Q43)=0,$E43="M",$BM43&gt;'Tournament Setup'!$B$33),$H43,"")</f>
        <v/>
      </c>
      <c r="BO43" s="1" t="str">
        <f>IF(ISNUMBER(BN43)=TRUE,IF(_xlfn.RANK.EQ(BN43,$BN$2:$BN$111)&lt;='Tournament Setup'!$C$33,_xlfn.RANK.EQ(BN43,$BN$2:$BN$111),""),"")</f>
        <v/>
      </c>
      <c r="BP43" s="31" t="str">
        <f>IF(AND($F43='Tournament Setup'!$A$33,SUM($O43,$S43)=0,$E43="F",$BM43&gt;'Tournament Setup'!$B$33),$H43,"")</f>
        <v/>
      </c>
      <c r="BQ43" s="12" t="str">
        <f>IF(ISNUMBER(BP43)=TRUE,IF(_xlfn.RANK.EQ(BP43,$BP$2:$BP$111)&lt;='Tournament Setup'!$D$33,_xlfn.RANK.EQ(BP43,$BP$2:$BP$111),""),"")</f>
        <v/>
      </c>
      <c r="BR43" s="30" t="str">
        <f>IF($G43='Tournament Setup'!$A$38,$H43,"")</f>
        <v/>
      </c>
      <c r="BS43" s="47" t="str">
        <f>IF(ISNUMBER(BR43),IF(COUNTIFS(BS$1:BS42,_xlfn.RANK.EQ(BR43,BR$2:BR$111,0))&gt;0,_xlfn.MAXIFS(BS$1:BS42,BR$1:BR42,BR43)+1,_xlfn.RANK.EQ(BR43,BR$2:BR$111,0)),"")</f>
        <v/>
      </c>
      <c r="BT43" s="1" t="str">
        <f>IF(ISNUMBER(BR43)=TRUE,IF(_xlfn.RANK.EQ(BR43,$BR$2:$BR$111)&lt;='Tournament Setup'!$B$38,_xlfn.RANK.EQ(BR43,$BR$2:$BR$111),""),"")</f>
        <v/>
      </c>
      <c r="BU43" s="31" t="str">
        <f>IF(AND($G43='Tournament Setup'!$A$38,$E43="M",$BT43&gt;'Tournament Setup'!$B$38),$H43,"")</f>
        <v/>
      </c>
      <c r="BV43" s="1" t="str">
        <f>IF(ISNUMBER(BU43)=TRUE,IF(_xlfn.RANK.EQ(BU43,$BU$2:$BU$111)&lt;='Tournament Setup'!$C$38,_xlfn.RANK.EQ(BU43,$BU$2:$BU$111),""),"")</f>
        <v/>
      </c>
      <c r="BW43" s="31" t="str">
        <f>IF(AND($G43='Tournament Setup'!$A$38,$E43="F",$BT43&gt;'Tournament Setup'!$B$38),$H43,"")</f>
        <v/>
      </c>
      <c r="BX43" s="12" t="str">
        <f>IF(ISNUMBER(BW43)=TRUE,IF(_xlfn.RANK.EQ(BW43,$BW$2:$BW$111)&lt;='Tournament Setup'!$D$38,_xlfn.RANK.EQ(BW43,$BW$2:$BW$111),""),"")</f>
        <v/>
      </c>
      <c r="BY43" s="30" t="str">
        <f>IF($G43='Tournament Setup'!$A$39,$H43,"")</f>
        <v/>
      </c>
      <c r="BZ43" s="47" t="str">
        <f>IF(ISNUMBER(BY43),IF(COUNTIFS(BZ$1:BZ42,_xlfn.RANK.EQ(BY43,BY$2:BY$111,0))&gt;0,_xlfn.MAXIFS(BZ$1:BZ42,BY$1:BY42,BY43)+1,_xlfn.RANK.EQ(BY43,BY$2:BY$111,0)),"")</f>
        <v/>
      </c>
      <c r="CA43" s="1" t="str">
        <f>IF(ISNUMBER(BY43)=TRUE,IF(_xlfn.RANK.EQ(BY43,$BY$2:$BY$111)&lt;='Tournament Setup'!$B$39,_xlfn.RANK.EQ(BY43,$BY$2:$BY$111),""),"")</f>
        <v/>
      </c>
      <c r="CB43" s="31" t="str">
        <f>IF(AND($G43='Tournament Setup'!$A$39,$E43="M",$CA43&gt;'Tournament Setup'!$B$39),$H43,"")</f>
        <v/>
      </c>
      <c r="CC43" s="1" t="str">
        <f>IF(ISNUMBER(CB43)=TRUE,IF(_xlfn.RANK.EQ(CB43,$CB$2:$CB$111)&lt;='Tournament Setup'!$C$39,_xlfn.RANK.EQ(CB43,$CB$2:$CB$111),""),"")</f>
        <v/>
      </c>
      <c r="CD43" s="31" t="str">
        <f>IF(AND($G43='Tournament Setup'!$A$39,$E43="F",$CA43&gt;'Tournament Setup'!$B$39),$H43,"")</f>
        <v/>
      </c>
      <c r="CE43" s="12" t="str">
        <f>IF(ISNUMBER(CD43)=TRUE,IF(_xlfn.RANK.EQ(CD43,$CD$2:$CD$111)&lt;='Tournament Setup'!$D$39,_xlfn.RANK.EQ(CD43,$CD$2:$CD$111),""),"")</f>
        <v/>
      </c>
      <c r="CF43" s="30">
        <f>IF($G43='Tournament Setup'!$A$40,$H43,"")</f>
        <v>60</v>
      </c>
      <c r="CG43" s="47">
        <f>IF(ISNUMBER(CF43),IF(COUNTIFS(CG$1:CG42,_xlfn.RANK.EQ(CF43,CF$2:CF$111,0))&gt;0,_xlfn.MAXIFS(CG$1:CG42,CF$1:CF42,CF43)+1,_xlfn.RANK.EQ(CF43,CF$2:CF$111,0)),"")</f>
        <v>11</v>
      </c>
      <c r="CH43" s="1" t="str">
        <f>IF(ISNUMBER(CF43)=TRUE,IF(_xlfn.RANK.EQ(CF43,$CF$2:$CF$111)&lt;='Tournament Setup'!$B$40,_xlfn.RANK.EQ(CF43,$CF$2:$CF$111),""),"")</f>
        <v/>
      </c>
      <c r="CI43" s="31">
        <f>IF(AND($G43='Tournament Setup'!$A$40,$E43="M",$CH43&gt;'Tournament Setup'!$B$40),$H43,"")</f>
        <v>60</v>
      </c>
      <c r="CJ43" s="1" t="str">
        <f>IF(ISNUMBER(CI43)=TRUE,IF(_xlfn.RANK.EQ(CI43,$CI$2:$CI$111)&lt;='Tournament Setup'!$C$40,_xlfn.RANK.EQ(CI43,$CI$2:$CI$111),""),"")</f>
        <v/>
      </c>
      <c r="CK43" s="31" t="str">
        <f>IF(AND($G43='Tournament Setup'!$A$40,$E43="F",$CH43&gt;'Tournament Setup'!$B$40),$H43,"")</f>
        <v/>
      </c>
      <c r="CL43" s="12" t="str">
        <f>IF(ISNUMBER(CK43)=TRUE,IF(_xlfn.RANK.EQ(CK43,$CK$2:$CK$111)&lt;='Tournament Setup'!$D$40,_xlfn.RANK.EQ(CK43,$CK$2:$CK$111),""),"")</f>
        <v/>
      </c>
      <c r="CM43" s="30" t="str">
        <f>IF($G43='Tournament Setup'!$A$41,$H43,"")</f>
        <v/>
      </c>
      <c r="CN43" s="47" t="str">
        <f>IF(ISNUMBER(CM43),IF(COUNTIFS(CN$1:CN42,_xlfn.RANK.EQ(CM43,CM$2:CM$111,0))&gt;0,_xlfn.MAXIFS(CN$1:CN42,CM$1:CM42,CM43)+1,_xlfn.RANK.EQ(CM43,CM$2:CM$111,0)),"")</f>
        <v/>
      </c>
      <c r="CO43" s="1" t="str">
        <f>IF(ISNUMBER(CM43)=TRUE,IF(_xlfn.RANK.EQ(CM43,$CM$2:$CM$111)&lt;='Tournament Setup'!$B$41,_xlfn.RANK.EQ(CM43,$CM$2:$CM$111),""),"")</f>
        <v/>
      </c>
      <c r="CP43" s="31" t="str">
        <f>IF(AND($G43='Tournament Setup'!$A$41,$E43="M",$CO43&gt;'Tournament Setup'!$B$41),$H43,"")</f>
        <v/>
      </c>
      <c r="CQ43" s="1" t="str">
        <f>IF(ISNUMBER(CP43)=TRUE,IF(_xlfn.RANK.EQ(CP43,$CP$2:$CP$111)&lt;='Tournament Setup'!$C$41,_xlfn.RANK.EQ(CP43,$CP$2:$CP$111),""),"")</f>
        <v/>
      </c>
      <c r="CR43" s="31" t="str">
        <f>IF(AND($G43='Tournament Setup'!$A$41,$E43="F",$CO43&gt;'Tournament Setup'!$B$41),$H43,"")</f>
        <v/>
      </c>
      <c r="CS43" s="12" t="str">
        <f>IF(ISNUMBER(CR43)=TRUE,IF(_xlfn.RANK.EQ(CR43,$CR$2:$CR$111)&lt;='Tournament Setup'!$D$41,_xlfn.RANK.EQ(CR43,$CR$2:$CR$111),""),"")</f>
        <v/>
      </c>
    </row>
    <row r="44" spans="1:97" x14ac:dyDescent="0.3">
      <c r="A44" t="s">
        <v>199</v>
      </c>
      <c r="B44" t="str">
        <f>IFERROR(INDEX('Tournament List'!$B:$B,MATCH($A44,'Tournament List'!$A:$A,0)),"")</f>
        <v>Terry</v>
      </c>
      <c r="C44" t="str">
        <f>IFERROR(INDEX('Tournament List'!$C:$C,MATCH($A44,'Tournament List'!$A:$A,0)),"")</f>
        <v>Last Name43</v>
      </c>
      <c r="D44" t="str">
        <f t="shared" si="5"/>
        <v>Terry Last Name43</v>
      </c>
      <c r="E44" s="1" t="str">
        <f>IFERROR(INDEX('Tournament List'!F:F,MATCH($A44,'Tournament List'!$A:$A,0)),"")</f>
        <v>F</v>
      </c>
      <c r="F44" t="str">
        <f>IFERROR(INDEX('Tournament List'!M:M,MATCH($A44,'Tournament List'!$A:$A,0)),"")</f>
        <v>Intermediate</v>
      </c>
      <c r="G44" s="1" t="str">
        <f>IFERROR(INDEX('Tournament List'!W:W,MATCH($A44,'Tournament List'!$A:$A,0)),"")</f>
        <v>C</v>
      </c>
      <c r="H44" s="129">
        <f>IFERROR(INDEX('Tournament List'!Z:Z,MATCH($A44,'Tournament List'!$A:$A,0)),"")</f>
        <v>88</v>
      </c>
      <c r="I44" s="152" t="str">
        <f>IFERROR(INDEX('Tournament List'!T:T,MATCH($A44,'Tournament List'!$A:$A,0)),"")</f>
        <v/>
      </c>
      <c r="J44" s="56" t="str">
        <f>IF(ISNUMBER(I44),IF(COUNTIFS(J$1:J43,_xlfn.RANK.EQ(I44,I$2:I$111,0))&gt;0,_xlfn.MAXIFS(J$1:J43,I$1:I43,I44)+1,_xlfn.RANK.EQ(I44,I$2:I$111,0)),"")</f>
        <v/>
      </c>
      <c r="K44" s="11">
        <f t="shared" si="6"/>
        <v>11</v>
      </c>
      <c r="L44" s="56">
        <f>IF(ISNUMBER(H44),IF(COUNTIFS(L$1:L43,_xlfn.RANK.EQ(H44,H$2:H$111,0))&gt;0,_xlfn.MAXIFS(L$1:L43,H$1:H43,H44)+1,_xlfn.RANK.EQ(H44,H$2:H$111,0)),"")</f>
        <v>11</v>
      </c>
      <c r="M44" s="151">
        <f t="shared" si="7"/>
        <v>88</v>
      </c>
      <c r="N44" s="47">
        <f>IF(ISNUMBER(M44),IF(COUNTIFS(N$1:N43,_xlfn.RANK.EQ(M44,M$2:M$111,0))&gt;0,_xlfn.MAXIFS(N$1:N43,M$1:M43,M44)+1,_xlfn.RANK.EQ(M44,M$2:M$111,0)),"")</f>
        <v>9</v>
      </c>
      <c r="O44" s="1" t="str">
        <f>IF(ISNUMBER(M44)=TRUE,IF(_xlfn.RANK.EQ(M44,$M$2:$M$111)&lt;='Tournament Setup'!$B$23,_xlfn.RANK.EQ(M44,$M$2:$M$111),""),"")</f>
        <v/>
      </c>
      <c r="P44" s="150" t="str">
        <f t="shared" si="8"/>
        <v/>
      </c>
      <c r="Q44" s="1" t="str">
        <f>IF(ISNUMBER(P44)=TRUE,IF(_xlfn.RANK.EQ(P44,$P$2:$P$111)&lt;='Tournament Setup'!$B$24,_xlfn.RANK.EQ(P44,$P$2:$P$111),""),"")</f>
        <v/>
      </c>
      <c r="R44" s="150">
        <f t="shared" si="9"/>
        <v>88</v>
      </c>
      <c r="S44" s="12" t="str">
        <f>IF(ISNUMBER(R44)=TRUE,IF(_xlfn.RANK.EQ(R44,$R$2:$R$111)&lt;='Tournament Setup'!$B$25,_xlfn.RANK.EQ(R44,$R$2:$R$111),""),"")</f>
        <v/>
      </c>
      <c r="T44" s="152" t="str">
        <f>IF(AND($F44='Tournament Setup'!$A$29,$I44&lt;&gt;0),$I44,"")</f>
        <v/>
      </c>
      <c r="U44" s="47" t="str">
        <f>IF(ISNUMBER(T44),IF(COUNTIFS(U$1:U43,_xlfn.RANK.EQ(T44,T$2:T$111,0))&gt;0,_xlfn.MAXIFS(U$1:U43,T$1:T43,T44)+1,_xlfn.RANK.EQ(T44,T$2:T$111,0)),"")</f>
        <v/>
      </c>
      <c r="V44" s="1" t="str">
        <f>IF(ISNUMBER(T44)=TRUE,IF(_xlfn.RANK.EQ(T44,$T$3:$T$112)&lt;='Tournament Setup'!$B$46,_xlfn.RANK.EQ(T44,$T$2:$T$111),""),"")</f>
        <v/>
      </c>
      <c r="W44" s="30" t="str">
        <f>IF(AND($F44='Tournament Setup'!$A$29,SUM($O44,$Q44,$S44)=0),$H44,"")</f>
        <v/>
      </c>
      <c r="X44" s="47" t="str">
        <f>IF(ISNUMBER(W44),IF(COUNTIFS(X$1:X43,_xlfn.RANK.EQ(W44,W$2:W$111,0))&gt;0,_xlfn.MAXIFS(X$1:X43,W$1:W43,W44)+1,_xlfn.RANK.EQ(W44,W$2:W$111,0)),"")</f>
        <v/>
      </c>
      <c r="Y44" s="1" t="str">
        <f>IF(ISNUMBER(W44)=TRUE,IF(_xlfn.RANK.EQ(W44,$W$2:$W$111)&lt;='Tournament Setup'!$B$29,_xlfn.RANK.EQ(W44,$W$2:$W$111),""),"")</f>
        <v/>
      </c>
      <c r="Z44" s="31" t="str">
        <f>IF(AND($F44='Tournament Setup'!$A$29,SUM($O44,$Q44)=0,$E44="M",$Y44&gt;'Tournament Setup'!$B$29),$H44,"")</f>
        <v/>
      </c>
      <c r="AA44" s="1" t="str">
        <f>IF(ISNUMBER(Z44)=TRUE,IF(_xlfn.RANK.EQ(Z44,$Z$2:$Z$111)&lt;='Tournament Setup'!$C$29,_xlfn.RANK.EQ(Z44,$Z$2:$Z$111),""),"")</f>
        <v/>
      </c>
      <c r="AB44" s="31" t="str">
        <f>IF(AND($F44='Tournament Setup'!$A$29,SUM($O44,$S44)=0,$E44="F",$Y44&gt;'Tournament Setup'!$B$29),$H44,"")</f>
        <v/>
      </c>
      <c r="AC44" s="12" t="str">
        <f>IF(ISNUMBER(AB44)=TRUE,IF(_xlfn.RANK.EQ(AB44,$AB$2:$AB$111)&lt;='Tournament Setup'!$D$29,_xlfn.RANK.EQ(AB44,$AB$2:$AB$111),""),"")</f>
        <v/>
      </c>
      <c r="AD44" s="30" t="str">
        <f>IF(AND($F44='Tournament Setup'!$A$30,$I44&lt;&gt;0),$I44,"")</f>
        <v/>
      </c>
      <c r="AE44" s="47" t="str">
        <f>IF(ISNUMBER(AD44),IF(COUNTIFS(AE$1:AE43,_xlfn.RANK.EQ(AD44,AD$2:AD$111,0))&gt;0,_xlfn.MAXIFS(AE$1:AE43,AD$1:AD43,AD44)+1,_xlfn.RANK.EQ(AD44,AD$2:AD$111,0)),"")</f>
        <v/>
      </c>
      <c r="AF44" s="1" t="str">
        <f>IF(ISNUMBER(AD44)=TRUE,IF(_xlfn.RANK.EQ(AD44,$AD$2:$AD$111)&lt;='Tournament Setup'!$B$46,_xlfn.RANK.EQ(AD44,$AD$2:$AD$111),""),"")</f>
        <v/>
      </c>
      <c r="AG44" s="30">
        <f>IF(AND($F44='Tournament Setup'!$A$30,SUM($O44,$Q44,$S44)=0),$H44,"")</f>
        <v>88</v>
      </c>
      <c r="AH44" s="47">
        <f>IF(ISNUMBER(AG44),IF(COUNTIFS(AH$1:AH43,_xlfn.RANK.EQ(AG44,AG$2:AG$111,0))&gt;0,_xlfn.MAXIFS(AH$1:AH43,AG$1:AG43,AG44)+1,_xlfn.RANK.EQ(AG44,AG$2:AG$111,0)),"")</f>
        <v>3</v>
      </c>
      <c r="AI44" s="1" t="str">
        <f>IF(ISNUMBER(AG44)=TRUE,IF(_xlfn.RANK.EQ(AG44,$AG$2:$AG$111)&lt;='Tournament Setup'!$B$30,_xlfn.RANK.EQ(AG44,$AG$2:$AG$111),""),"")</f>
        <v/>
      </c>
      <c r="AJ44" s="31" t="str">
        <f>IF(AND($F44='Tournament Setup'!$A$30,SUM($O44,$Q44)=0,$E44="M",$AI44&gt;'Tournament Setup'!$B$30),$H44,"")</f>
        <v/>
      </c>
      <c r="AK44" s="1" t="str">
        <f>IF(ISNUMBER(AJ44)=TRUE,IF(_xlfn.RANK.EQ(AJ44,$AJ$2:$AJ$111)&lt;='Tournament Setup'!$C$30,_xlfn.RANK.EQ(AJ44,$AJ$2:$AJ$111),""),"")</f>
        <v/>
      </c>
      <c r="AL44" s="31">
        <f>IF(AND($F44='Tournament Setup'!$A$30,SUM($O44,$S44)=0,$E44="F",$AI44&gt;'Tournament Setup'!$B$30),$H44,"")</f>
        <v>88</v>
      </c>
      <c r="AM44" s="12">
        <f>IF(ISNUMBER(AL44)=TRUE,IF(_xlfn.RANK.EQ(AL44,$AL$2:$AL$111)&lt;='Tournament Setup'!$D$30,_xlfn.RANK.EQ(AL44,$AL$2:$AL$111),""),"")</f>
        <v>3</v>
      </c>
      <c r="AN44" s="30" t="str">
        <f>IF(AND($F44='Tournament Setup'!$A$31,$I44&lt;&gt;0),$I44,"")</f>
        <v/>
      </c>
      <c r="AO44" s="47" t="str">
        <f>IF(ISNUMBER(AN44),IF(COUNTIFS(AO$1:AO43,_xlfn.RANK.EQ(AN44,AN$2:AN$111,0))&gt;0,_xlfn.MAXIFS(AO$1:AO43,AN$1:AN43,AN44)+1,_xlfn.RANK.EQ(AN44,AN$2:AN$111,0)),"")</f>
        <v/>
      </c>
      <c r="AP44" s="1" t="str">
        <f>IF(ISNUMBER(AN44)=TRUE,IF(_xlfn.RANK.EQ(AN44,$AN$2:$AN$111)&lt;='Tournament Setup'!$B$46,_xlfn.RANK.EQ(AN44,$AN$2:$AN$111),""),"")</f>
        <v/>
      </c>
      <c r="AQ44" s="30" t="str">
        <f>IF(AND($F44='Tournament Setup'!$A$31,SUM($O44,$Q44,$S44)=0),$H44,"")</f>
        <v/>
      </c>
      <c r="AR44" s="47" t="str">
        <f>IF(ISNUMBER(AQ44),IF(COUNTIFS(AR$1:AR43,_xlfn.RANK.EQ(AQ44,AQ$2:AQ$111,0))&gt;0,_xlfn.MAXIFS(AR$1:AR43,AQ$1:AQ43,AQ44)+1,_xlfn.RANK.EQ(AQ44,AQ$2:AQ$111,0)),"")</f>
        <v/>
      </c>
      <c r="AS44" s="1" t="str">
        <f>IF(ISNUMBER(AQ44)=TRUE,IF(_xlfn.RANK.EQ(AQ44,$AQ$2:$AQ$111)&lt;='Tournament Setup'!$B$31,_xlfn.RANK.EQ(AQ44,$AQ$2:$AQ$111),""),"")</f>
        <v/>
      </c>
      <c r="AT44" s="31" t="str">
        <f>IF(AND($F44='Tournament Setup'!$A$31,SUM($O44,$Q44)=0,$E44="M",$AS44&gt;'Tournament Setup'!$B$31),$H44,"")</f>
        <v/>
      </c>
      <c r="AU44" s="1" t="str">
        <f>IF(ISNUMBER(AT44)=TRUE,IF(_xlfn.RANK.EQ(AT44,$AT$2:$AT$111)&lt;='Tournament Setup'!$C$31,_xlfn.RANK.EQ(AT44,$AT$2:$AT$111),""),"")</f>
        <v/>
      </c>
      <c r="AV44" s="31" t="str">
        <f>IF(AND($F44='Tournament Setup'!$A$31,SUM($O44,$S44)=0,$E44="F",$AS44&gt;'Tournament Setup'!$B$31),$H44,"")</f>
        <v/>
      </c>
      <c r="AW44" s="12" t="str">
        <f>IF(ISNUMBER(AV44)=TRUE,IF(_xlfn.RANK.EQ(AV44,$AV$2:$AV$111)&lt;='Tournament Setup'!$D$31,_xlfn.RANK.EQ(AV44,$AV$2:$AV$111),""),"")</f>
        <v/>
      </c>
      <c r="AX44" s="30" t="str">
        <f>IF(AND($F44='Tournament Setup'!$A$32,$I44&lt;&gt;0),$I44,"")</f>
        <v/>
      </c>
      <c r="AY44" s="47" t="str">
        <f>IF(ISNUMBER(AX44),IF(COUNTIFS(AY$1:AY43,_xlfn.RANK.EQ(AX44,AX$2:AX$111,0))&gt;0,_xlfn.MAXIFS(AY$1:AY43,AX$1:AX43,AX44)+1,_xlfn.RANK.EQ(AX44,AX$2:AX$111,0)),"")</f>
        <v/>
      </c>
      <c r="AZ44" s="1" t="str">
        <f>IF(ISNUMBER(AX44)=TRUE,IF(_xlfn.RANK.EQ(AX44,$AX$2:$AX$111)&lt;='Tournament Setup'!$B$46,_xlfn.RANK.EQ(AX44,$AX$2:$AX$111),""),"")</f>
        <v/>
      </c>
      <c r="BA44" s="30" t="str">
        <f>IF(AND($F44='Tournament Setup'!$A$32,SUM($O44,$Q44,$S44)=0),$H44,"")</f>
        <v/>
      </c>
      <c r="BB44" s="47" t="str">
        <f>IF(ISNUMBER(BA44),IF(COUNTIFS(BB$1:BB43,_xlfn.RANK.EQ(BA44,BA$2:BA$111,0))&gt;0,_xlfn.MAXIFS(BB$1:BB43,BA$1:BA43,BA44)+1,_xlfn.RANK.EQ(BA44,BA$2:BA$111,0)),"")</f>
        <v/>
      </c>
      <c r="BC44" s="1" t="str">
        <f>IF(ISNUMBER(BA44)=TRUE,IF(_xlfn.RANK.EQ(BA44,$BA$2:$BA$111)&lt;='Tournament Setup'!$B$32,_xlfn.RANK.EQ(BA44,$BA$2:$BA$111),""),"")</f>
        <v/>
      </c>
      <c r="BD44" s="31" t="str">
        <f>IF(AND($F44='Tournament Setup'!$A$32,SUM($O44,$Q44)=0,$E44="M",$BC44&gt;'Tournament Setup'!$B$32),$H44,"")</f>
        <v/>
      </c>
      <c r="BE44" s="1" t="str">
        <f>IF(ISNUMBER(BD44)=TRUE,IF(_xlfn.RANK.EQ(BD44,$BD$2:$BD$111)&lt;='Tournament Setup'!$C$32,_xlfn.RANK.EQ(BD44,$BD$2:$BD$111),""),"")</f>
        <v/>
      </c>
      <c r="BF44" s="31" t="str">
        <f>IF(AND($F44='Tournament Setup'!$A$32,SUM($O44,$S44)=0,$E44="F",$BC44&gt;'Tournament Setup'!$B$32),$H44,"")</f>
        <v/>
      </c>
      <c r="BG44" s="12" t="str">
        <f>IF(ISNUMBER(BF44)=TRUE,IF(_xlfn.RANK.EQ(BF44,$BF$2:$BF$111)&lt;='Tournament Setup'!$D$32,_xlfn.RANK.EQ(BF44,$BF$2:$BF$111),""),"")</f>
        <v/>
      </c>
      <c r="BH44" s="30" t="str">
        <f>IF(AND($F44='Tournament Setup'!$A$33,$I44&lt;&gt;0),$I44,"")</f>
        <v/>
      </c>
      <c r="BI44" s="47" t="str">
        <f>IF(ISNUMBER(BH44),IF(COUNTIFS(BI$1:BI43,_xlfn.RANK.EQ(BH44,BH$2:BH$111,0))&gt;0,_xlfn.MAXIFS(BI$1:BI43,BH$1:BH43,BH44)+1,_xlfn.RANK.EQ(BH44,BH$2:BH$111,0)),"")</f>
        <v/>
      </c>
      <c r="BJ44" s="1" t="str">
        <f>IF(ISNUMBER(BH44)=TRUE,IF(_xlfn.RANK.EQ(BH44,$BH$2:$BH$111)&lt;='Tournament Setup'!$B$46,_xlfn.RANK.EQ(BH44,$BH$2:$BH$111),""),"")</f>
        <v/>
      </c>
      <c r="BK44" s="30" t="str">
        <f>IF(AND($F44='Tournament Setup'!$A$33,SUM($O44,$Q44,$S44)=0),$H44,"")</f>
        <v/>
      </c>
      <c r="BL44" s="47" t="str">
        <f>IF(ISNUMBER(BK44),IF(COUNTIFS(BL$1:BL43,_xlfn.RANK.EQ(BK44,BK$2:BK$111,0))&gt;0,_xlfn.MAXIFS(BL$1:BL43,BK$1:BK43,BK44)+1,_xlfn.RANK.EQ(BK44,BK$2:BK$111,0)),"")</f>
        <v/>
      </c>
      <c r="BM44" s="1" t="str">
        <f>IF(ISNUMBER(BK44)=TRUE,IF(_xlfn.RANK.EQ(BK44,$BK$2:$BK$111)&lt;='Tournament Setup'!$B$33,_xlfn.RANK.EQ(BK44,$BK$2:$BK$111),""),"")</f>
        <v/>
      </c>
      <c r="BN44" s="31" t="str">
        <f>IF(AND($F44='Tournament Setup'!$A$33,SUM($O44,$Q44)=0,$E44="M",$BM44&gt;'Tournament Setup'!$B$33),$H44,"")</f>
        <v/>
      </c>
      <c r="BO44" s="1" t="str">
        <f>IF(ISNUMBER(BN44)=TRUE,IF(_xlfn.RANK.EQ(BN44,$BN$2:$BN$111)&lt;='Tournament Setup'!$C$33,_xlfn.RANK.EQ(BN44,$BN$2:$BN$111),""),"")</f>
        <v/>
      </c>
      <c r="BP44" s="31" t="str">
        <f>IF(AND($F44='Tournament Setup'!$A$33,SUM($O44,$S44)=0,$E44="F",$BM44&gt;'Tournament Setup'!$B$33),$H44,"")</f>
        <v/>
      </c>
      <c r="BQ44" s="12" t="str">
        <f>IF(ISNUMBER(BP44)=TRUE,IF(_xlfn.RANK.EQ(BP44,$BP$2:$BP$111)&lt;='Tournament Setup'!$D$33,_xlfn.RANK.EQ(BP44,$BP$2:$BP$111),""),"")</f>
        <v/>
      </c>
      <c r="BR44" s="30" t="str">
        <f>IF($G44='Tournament Setup'!$A$38,$H44,"")</f>
        <v/>
      </c>
      <c r="BS44" s="47" t="str">
        <f>IF(ISNUMBER(BR44),IF(COUNTIFS(BS$1:BS43,_xlfn.RANK.EQ(BR44,BR$2:BR$111,0))&gt;0,_xlfn.MAXIFS(BS$1:BS43,BR$1:BR43,BR44)+1,_xlfn.RANK.EQ(BR44,BR$2:BR$111,0)),"")</f>
        <v/>
      </c>
      <c r="BT44" s="1" t="str">
        <f>IF(ISNUMBER(BR44)=TRUE,IF(_xlfn.RANK.EQ(BR44,$BR$2:$BR$111)&lt;='Tournament Setup'!$B$38,_xlfn.RANK.EQ(BR44,$BR$2:$BR$111),""),"")</f>
        <v/>
      </c>
      <c r="BU44" s="31" t="str">
        <f>IF(AND($G44='Tournament Setup'!$A$38,$E44="M",$BT44&gt;'Tournament Setup'!$B$38),$H44,"")</f>
        <v/>
      </c>
      <c r="BV44" s="1" t="str">
        <f>IF(ISNUMBER(BU44)=TRUE,IF(_xlfn.RANK.EQ(BU44,$BU$2:$BU$111)&lt;='Tournament Setup'!$C$38,_xlfn.RANK.EQ(BU44,$BU$2:$BU$111),""),"")</f>
        <v/>
      </c>
      <c r="BW44" s="31" t="str">
        <f>IF(AND($G44='Tournament Setup'!$A$38,$E44="F",$BT44&gt;'Tournament Setup'!$B$38),$H44,"")</f>
        <v/>
      </c>
      <c r="BX44" s="12" t="str">
        <f>IF(ISNUMBER(BW44)=TRUE,IF(_xlfn.RANK.EQ(BW44,$BW$2:$BW$111)&lt;='Tournament Setup'!$D$38,_xlfn.RANK.EQ(BW44,$BW$2:$BW$111),""),"")</f>
        <v/>
      </c>
      <c r="BY44" s="30" t="str">
        <f>IF($G44='Tournament Setup'!$A$39,$H44,"")</f>
        <v/>
      </c>
      <c r="BZ44" s="47" t="str">
        <f>IF(ISNUMBER(BY44),IF(COUNTIFS(BZ$1:BZ43,_xlfn.RANK.EQ(BY44,BY$2:BY$111,0))&gt;0,_xlfn.MAXIFS(BZ$1:BZ43,BY$1:BY43,BY44)+1,_xlfn.RANK.EQ(BY44,BY$2:BY$111,0)),"")</f>
        <v/>
      </c>
      <c r="CA44" s="1" t="str">
        <f>IF(ISNUMBER(BY44)=TRUE,IF(_xlfn.RANK.EQ(BY44,$BY$2:$BY$111)&lt;='Tournament Setup'!$B$39,_xlfn.RANK.EQ(BY44,$BY$2:$BY$111),""),"")</f>
        <v/>
      </c>
      <c r="CB44" s="31" t="str">
        <f>IF(AND($G44='Tournament Setup'!$A$39,$E44="M",$CA44&gt;'Tournament Setup'!$B$39),$H44,"")</f>
        <v/>
      </c>
      <c r="CC44" s="1" t="str">
        <f>IF(ISNUMBER(CB44)=TRUE,IF(_xlfn.RANK.EQ(CB44,$CB$2:$CB$111)&lt;='Tournament Setup'!$C$39,_xlfn.RANK.EQ(CB44,$CB$2:$CB$111),""),"")</f>
        <v/>
      </c>
      <c r="CD44" s="31" t="str">
        <f>IF(AND($G44='Tournament Setup'!$A$39,$E44="F",$CA44&gt;'Tournament Setup'!$B$39),$H44,"")</f>
        <v/>
      </c>
      <c r="CE44" s="12" t="str">
        <f>IF(ISNUMBER(CD44)=TRUE,IF(_xlfn.RANK.EQ(CD44,$CD$2:$CD$111)&lt;='Tournament Setup'!$D$39,_xlfn.RANK.EQ(CD44,$CD$2:$CD$111),""),"")</f>
        <v/>
      </c>
      <c r="CF44" s="30">
        <f>IF($G44='Tournament Setup'!$A$40,$H44,"")</f>
        <v>88</v>
      </c>
      <c r="CG44" s="47">
        <f>IF(ISNUMBER(CF44),IF(COUNTIFS(CG$1:CG43,_xlfn.RANK.EQ(CF44,CF$2:CF$111,0))&gt;0,_xlfn.MAXIFS(CG$1:CG43,CF$1:CF43,CF44)+1,_xlfn.RANK.EQ(CF44,CF$2:CF$111,0)),"")</f>
        <v>3</v>
      </c>
      <c r="CH44" s="1" t="str">
        <f>IF(ISNUMBER(CF44)=TRUE,IF(_xlfn.RANK.EQ(CF44,$CF$2:$CF$111)&lt;='Tournament Setup'!$B$40,_xlfn.RANK.EQ(CF44,$CF$2:$CF$111),""),"")</f>
        <v/>
      </c>
      <c r="CI44" s="31" t="str">
        <f>IF(AND($G44='Tournament Setup'!$A$40,$E44="M",$CH44&gt;'Tournament Setup'!$B$40),$H44,"")</f>
        <v/>
      </c>
      <c r="CJ44" s="1" t="str">
        <f>IF(ISNUMBER(CI44)=TRUE,IF(_xlfn.RANK.EQ(CI44,$CI$2:$CI$111)&lt;='Tournament Setup'!$C$40,_xlfn.RANK.EQ(CI44,$CI$2:$CI$111),""),"")</f>
        <v/>
      </c>
      <c r="CK44" s="31">
        <f>IF(AND($G44='Tournament Setup'!$A$40,$E44="F",$CH44&gt;'Tournament Setup'!$B$40),$H44,"")</f>
        <v>88</v>
      </c>
      <c r="CL44" s="12">
        <f>IF(ISNUMBER(CK44)=TRUE,IF(_xlfn.RANK.EQ(CK44,$CK$2:$CK$111)&lt;='Tournament Setup'!$D$40,_xlfn.RANK.EQ(CK44,$CK$2:$CK$111),""),"")</f>
        <v>2</v>
      </c>
      <c r="CM44" s="30" t="str">
        <f>IF($G44='Tournament Setup'!$A$41,$H44,"")</f>
        <v/>
      </c>
      <c r="CN44" s="47" t="str">
        <f>IF(ISNUMBER(CM44),IF(COUNTIFS(CN$1:CN43,_xlfn.RANK.EQ(CM44,CM$2:CM$111,0))&gt;0,_xlfn.MAXIFS(CN$1:CN43,CM$1:CM43,CM44)+1,_xlfn.RANK.EQ(CM44,CM$2:CM$111,0)),"")</f>
        <v/>
      </c>
      <c r="CO44" s="1" t="str">
        <f>IF(ISNUMBER(CM44)=TRUE,IF(_xlfn.RANK.EQ(CM44,$CM$2:$CM$111)&lt;='Tournament Setup'!$B$41,_xlfn.RANK.EQ(CM44,$CM$2:$CM$111),""),"")</f>
        <v/>
      </c>
      <c r="CP44" s="31" t="str">
        <f>IF(AND($G44='Tournament Setup'!$A$41,$E44="M",$CO44&gt;'Tournament Setup'!$B$41),$H44,"")</f>
        <v/>
      </c>
      <c r="CQ44" s="1" t="str">
        <f>IF(ISNUMBER(CP44)=TRUE,IF(_xlfn.RANK.EQ(CP44,$CP$2:$CP$111)&lt;='Tournament Setup'!$C$41,_xlfn.RANK.EQ(CP44,$CP$2:$CP$111),""),"")</f>
        <v/>
      </c>
      <c r="CR44" s="31" t="str">
        <f>IF(AND($G44='Tournament Setup'!$A$41,$E44="F",$CO44&gt;'Tournament Setup'!$B$41),$H44,"")</f>
        <v/>
      </c>
      <c r="CS44" s="12" t="str">
        <f>IF(ISNUMBER(CR44)=TRUE,IF(_xlfn.RANK.EQ(CR44,$CR$2:$CR$111)&lt;='Tournament Setup'!$D$41,_xlfn.RANK.EQ(CR44,$CR$2:$CR$111),""),"")</f>
        <v/>
      </c>
    </row>
    <row r="45" spans="1:97" x14ac:dyDescent="0.3">
      <c r="A45" t="s">
        <v>200</v>
      </c>
      <c r="B45" t="str">
        <f>IFERROR(INDEX('Tournament List'!$B:$B,MATCH($A45,'Tournament List'!$A:$A,0)),"")</f>
        <v>Trisha</v>
      </c>
      <c r="C45" t="str">
        <f>IFERROR(INDEX('Tournament List'!$C:$C,MATCH($A45,'Tournament List'!$A:$A,0)),"")</f>
        <v>Last Name44</v>
      </c>
      <c r="D45" t="str">
        <f t="shared" si="5"/>
        <v>Trisha Last Name44</v>
      </c>
      <c r="E45" s="1" t="str">
        <f>IFERROR(INDEX('Tournament List'!F:F,MATCH($A45,'Tournament List'!$A:$A,0)),"")</f>
        <v>F</v>
      </c>
      <c r="F45" t="str">
        <f>IFERROR(INDEX('Tournament List'!M:M,MATCH($A45,'Tournament List'!$A:$A,0)),"")</f>
        <v>Intermediate</v>
      </c>
      <c r="G45" s="1" t="str">
        <f>IFERROR(INDEX('Tournament List'!W:W,MATCH($A45,'Tournament List'!$A:$A,0)),"")</f>
        <v>D</v>
      </c>
      <c r="H45" s="129">
        <f>IFERROR(INDEX('Tournament List'!Z:Z,MATCH($A45,'Tournament List'!$A:$A,0)),"")</f>
        <v>72.099999999999994</v>
      </c>
      <c r="I45" s="152">
        <f>IFERROR(INDEX('Tournament List'!T:T,MATCH($A45,'Tournament List'!$A:$A,0)),"")</f>
        <v>177</v>
      </c>
      <c r="J45" s="56">
        <f>IF(ISNUMBER(I45),IF(COUNTIFS(J$1:J44,_xlfn.RANK.EQ(I45,I$2:I$111,0))&gt;0,_xlfn.MAXIFS(J$1:J44,I$1:I44,I45)+1,_xlfn.RANK.EQ(I45,I$2:I$111,0)),"")</f>
        <v>10</v>
      </c>
      <c r="K45" s="11">
        <f t="shared" si="6"/>
        <v>22</v>
      </c>
      <c r="L45" s="56">
        <f>IF(ISNUMBER(H45),IF(COUNTIFS(L$1:L44,_xlfn.RANK.EQ(H45,H$2:H$111,0))&gt;0,_xlfn.MAXIFS(L$1:L44,H$1:H44,H45)+1,_xlfn.RANK.EQ(H45,H$2:H$111,0)),"")</f>
        <v>22</v>
      </c>
      <c r="M45" s="151">
        <f t="shared" si="7"/>
        <v>72.099999999999994</v>
      </c>
      <c r="N45" s="47">
        <f>IF(ISNUMBER(M45),IF(COUNTIFS(N$1:N44,_xlfn.RANK.EQ(M45,M$2:M$111,0))&gt;0,_xlfn.MAXIFS(N$1:N44,M$1:M44,M45)+1,_xlfn.RANK.EQ(M45,M$2:M$111,0)),"")</f>
        <v>20</v>
      </c>
      <c r="O45" s="1" t="str">
        <f>IF(ISNUMBER(M45)=TRUE,IF(_xlfn.RANK.EQ(M45,$M$2:$M$111)&lt;='Tournament Setup'!$B$23,_xlfn.RANK.EQ(M45,$M$2:$M$111),""),"")</f>
        <v/>
      </c>
      <c r="P45" s="150" t="str">
        <f t="shared" si="8"/>
        <v/>
      </c>
      <c r="Q45" s="1" t="str">
        <f>IF(ISNUMBER(P45)=TRUE,IF(_xlfn.RANK.EQ(P45,$P$2:$P$111)&lt;='Tournament Setup'!$B$24,_xlfn.RANK.EQ(P45,$P$2:$P$111),""),"")</f>
        <v/>
      </c>
      <c r="R45" s="150">
        <f t="shared" si="9"/>
        <v>72.099999999999994</v>
      </c>
      <c r="S45" s="12" t="str">
        <f>IF(ISNUMBER(R45)=TRUE,IF(_xlfn.RANK.EQ(R45,$R$2:$R$111)&lt;='Tournament Setup'!$B$25,_xlfn.RANK.EQ(R45,$R$2:$R$111),""),"")</f>
        <v/>
      </c>
      <c r="T45" s="152" t="str">
        <f>IF(AND($F45='Tournament Setup'!$A$29,$I45&lt;&gt;0),$I45,"")</f>
        <v/>
      </c>
      <c r="U45" s="47" t="str">
        <f>IF(ISNUMBER(T45),IF(COUNTIFS(U$1:U44,_xlfn.RANK.EQ(T45,T$2:T$111,0))&gt;0,_xlfn.MAXIFS(U$1:U44,T$1:T44,T45)+1,_xlfn.RANK.EQ(T45,T$2:T$111,0)),"")</f>
        <v/>
      </c>
      <c r="V45" s="1" t="str">
        <f>IF(ISNUMBER(T45)=TRUE,IF(_xlfn.RANK.EQ(T45,$T$3:$T$112)&lt;='Tournament Setup'!$B$46,_xlfn.RANK.EQ(T45,$T$2:$T$111),""),"")</f>
        <v/>
      </c>
      <c r="W45" s="30" t="str">
        <f>IF(AND($F45='Tournament Setup'!$A$29,SUM($O45,$Q45,$S45)=0),$H45,"")</f>
        <v/>
      </c>
      <c r="X45" s="47" t="str">
        <f>IF(ISNUMBER(W45),IF(COUNTIFS(X$1:X44,_xlfn.RANK.EQ(W45,W$2:W$111,0))&gt;0,_xlfn.MAXIFS(X$1:X44,W$1:W44,W45)+1,_xlfn.RANK.EQ(W45,W$2:W$111,0)),"")</f>
        <v/>
      </c>
      <c r="Y45" s="1" t="str">
        <f>IF(ISNUMBER(W45)=TRUE,IF(_xlfn.RANK.EQ(W45,$W$2:$W$111)&lt;='Tournament Setup'!$B$29,_xlfn.RANK.EQ(W45,$W$2:$W$111),""),"")</f>
        <v/>
      </c>
      <c r="Z45" s="31" t="str">
        <f>IF(AND($F45='Tournament Setup'!$A$29,SUM($O45,$Q45)=0,$E45="M",$Y45&gt;'Tournament Setup'!$B$29),$H45,"")</f>
        <v/>
      </c>
      <c r="AA45" s="1" t="str">
        <f>IF(ISNUMBER(Z45)=TRUE,IF(_xlfn.RANK.EQ(Z45,$Z$2:$Z$111)&lt;='Tournament Setup'!$C$29,_xlfn.RANK.EQ(Z45,$Z$2:$Z$111),""),"")</f>
        <v/>
      </c>
      <c r="AB45" s="31" t="str">
        <f>IF(AND($F45='Tournament Setup'!$A$29,SUM($O45,$S45)=0,$E45="F",$Y45&gt;'Tournament Setup'!$B$29),$H45,"")</f>
        <v/>
      </c>
      <c r="AC45" s="12" t="str">
        <f>IF(ISNUMBER(AB45)=TRUE,IF(_xlfn.RANK.EQ(AB45,$AB$2:$AB$111)&lt;='Tournament Setup'!$D$29,_xlfn.RANK.EQ(AB45,$AB$2:$AB$111),""),"")</f>
        <v/>
      </c>
      <c r="AD45" s="30">
        <f>IF(AND($F45='Tournament Setup'!$A$30,$I45&lt;&gt;0),$I45,"")</f>
        <v>177</v>
      </c>
      <c r="AE45" s="47">
        <f>IF(ISNUMBER(AD45),IF(COUNTIFS(AE$1:AE44,_xlfn.RANK.EQ(AD45,AD$2:AD$111,0))&gt;0,_xlfn.MAXIFS(AE$1:AE44,AD$1:AD44,AD45)+1,_xlfn.RANK.EQ(AD45,AD$2:AD$111,0)),"")</f>
        <v>3</v>
      </c>
      <c r="AF45" s="1" t="str">
        <f>IF(ISNUMBER(AD45)=TRUE,IF(_xlfn.RANK.EQ(AD45,$AD$2:$AD$111)&lt;='Tournament Setup'!$B$46,_xlfn.RANK.EQ(AD45,$AD$2:$AD$111),""),"")</f>
        <v/>
      </c>
      <c r="AG45" s="30">
        <f>IF(AND($F45='Tournament Setup'!$A$30,SUM($O45,$Q45,$S45)=0),$H45,"")</f>
        <v>72.099999999999994</v>
      </c>
      <c r="AH45" s="47">
        <f>IF(ISNUMBER(AG45),IF(COUNTIFS(AH$1:AH44,_xlfn.RANK.EQ(AG45,AG$2:AG$111,0))&gt;0,_xlfn.MAXIFS(AH$1:AH44,AG$1:AG44,AG45)+1,_xlfn.RANK.EQ(AG45,AG$2:AG$111,0)),"")</f>
        <v>5</v>
      </c>
      <c r="AI45" s="1" t="str">
        <f>IF(ISNUMBER(AG45)=TRUE,IF(_xlfn.RANK.EQ(AG45,$AG$2:$AG$111)&lt;='Tournament Setup'!$B$30,_xlfn.RANK.EQ(AG45,$AG$2:$AG$111),""),"")</f>
        <v/>
      </c>
      <c r="AJ45" s="31" t="str">
        <f>IF(AND($F45='Tournament Setup'!$A$30,SUM($O45,$Q45)=0,$E45="M",$AI45&gt;'Tournament Setup'!$B$30),$H45,"")</f>
        <v/>
      </c>
      <c r="AK45" s="1" t="str">
        <f>IF(ISNUMBER(AJ45)=TRUE,IF(_xlfn.RANK.EQ(AJ45,$AJ$2:$AJ$111)&lt;='Tournament Setup'!$C$30,_xlfn.RANK.EQ(AJ45,$AJ$2:$AJ$111),""),"")</f>
        <v/>
      </c>
      <c r="AL45" s="31">
        <f>IF(AND($F45='Tournament Setup'!$A$30,SUM($O45,$S45)=0,$E45="F",$AI45&gt;'Tournament Setup'!$B$30),$H45,"")</f>
        <v>72.099999999999994</v>
      </c>
      <c r="AM45" s="12" t="str">
        <f>IF(ISNUMBER(AL45)=TRUE,IF(_xlfn.RANK.EQ(AL45,$AL$2:$AL$111)&lt;='Tournament Setup'!$D$30,_xlfn.RANK.EQ(AL45,$AL$2:$AL$111),""),"")</f>
        <v/>
      </c>
      <c r="AN45" s="30" t="str">
        <f>IF(AND($F45='Tournament Setup'!$A$31,$I45&lt;&gt;0),$I45,"")</f>
        <v/>
      </c>
      <c r="AO45" s="47" t="str">
        <f>IF(ISNUMBER(AN45),IF(COUNTIFS(AO$1:AO44,_xlfn.RANK.EQ(AN45,AN$2:AN$111,0))&gt;0,_xlfn.MAXIFS(AO$1:AO44,AN$1:AN44,AN45)+1,_xlfn.RANK.EQ(AN45,AN$2:AN$111,0)),"")</f>
        <v/>
      </c>
      <c r="AP45" s="1" t="str">
        <f>IF(ISNUMBER(AN45)=TRUE,IF(_xlfn.RANK.EQ(AN45,$AN$2:$AN$111)&lt;='Tournament Setup'!$B$46,_xlfn.RANK.EQ(AN45,$AN$2:$AN$111),""),"")</f>
        <v/>
      </c>
      <c r="AQ45" s="30" t="str">
        <f>IF(AND($F45='Tournament Setup'!$A$31,SUM($O45,$Q45,$S45)=0),$H45,"")</f>
        <v/>
      </c>
      <c r="AR45" s="47" t="str">
        <f>IF(ISNUMBER(AQ45),IF(COUNTIFS(AR$1:AR44,_xlfn.RANK.EQ(AQ45,AQ$2:AQ$111,0))&gt;0,_xlfn.MAXIFS(AR$1:AR44,AQ$1:AQ44,AQ45)+1,_xlfn.RANK.EQ(AQ45,AQ$2:AQ$111,0)),"")</f>
        <v/>
      </c>
      <c r="AS45" s="1" t="str">
        <f>IF(ISNUMBER(AQ45)=TRUE,IF(_xlfn.RANK.EQ(AQ45,$AQ$2:$AQ$111)&lt;='Tournament Setup'!$B$31,_xlfn.RANK.EQ(AQ45,$AQ$2:$AQ$111),""),"")</f>
        <v/>
      </c>
      <c r="AT45" s="31" t="str">
        <f>IF(AND($F45='Tournament Setup'!$A$31,SUM($O45,$Q45)=0,$E45="M",$AS45&gt;'Tournament Setup'!$B$31),$H45,"")</f>
        <v/>
      </c>
      <c r="AU45" s="1" t="str">
        <f>IF(ISNUMBER(AT45)=TRUE,IF(_xlfn.RANK.EQ(AT45,$AT$2:$AT$111)&lt;='Tournament Setup'!$C$31,_xlfn.RANK.EQ(AT45,$AT$2:$AT$111),""),"")</f>
        <v/>
      </c>
      <c r="AV45" s="31" t="str">
        <f>IF(AND($F45='Tournament Setup'!$A$31,SUM($O45,$S45)=0,$E45="F",$AS45&gt;'Tournament Setup'!$B$31),$H45,"")</f>
        <v/>
      </c>
      <c r="AW45" s="12" t="str">
        <f>IF(ISNUMBER(AV45)=TRUE,IF(_xlfn.RANK.EQ(AV45,$AV$2:$AV$111)&lt;='Tournament Setup'!$D$31,_xlfn.RANK.EQ(AV45,$AV$2:$AV$111),""),"")</f>
        <v/>
      </c>
      <c r="AX45" s="30" t="str">
        <f>IF(AND($F45='Tournament Setup'!$A$32,$I45&lt;&gt;0),$I45,"")</f>
        <v/>
      </c>
      <c r="AY45" s="47" t="str">
        <f>IF(ISNUMBER(AX45),IF(COUNTIFS(AY$1:AY44,_xlfn.RANK.EQ(AX45,AX$2:AX$111,0))&gt;0,_xlfn.MAXIFS(AY$1:AY44,AX$1:AX44,AX45)+1,_xlfn.RANK.EQ(AX45,AX$2:AX$111,0)),"")</f>
        <v/>
      </c>
      <c r="AZ45" s="1" t="str">
        <f>IF(ISNUMBER(AX45)=TRUE,IF(_xlfn.RANK.EQ(AX45,$AX$2:$AX$111)&lt;='Tournament Setup'!$B$46,_xlfn.RANK.EQ(AX45,$AX$2:$AX$111),""),"")</f>
        <v/>
      </c>
      <c r="BA45" s="30" t="str">
        <f>IF(AND($F45='Tournament Setup'!$A$32,SUM($O45,$Q45,$S45)=0),$H45,"")</f>
        <v/>
      </c>
      <c r="BB45" s="47" t="str">
        <f>IF(ISNUMBER(BA45),IF(COUNTIFS(BB$1:BB44,_xlfn.RANK.EQ(BA45,BA$2:BA$111,0))&gt;0,_xlfn.MAXIFS(BB$1:BB44,BA$1:BA44,BA45)+1,_xlfn.RANK.EQ(BA45,BA$2:BA$111,0)),"")</f>
        <v/>
      </c>
      <c r="BC45" s="1" t="str">
        <f>IF(ISNUMBER(BA45)=TRUE,IF(_xlfn.RANK.EQ(BA45,$BA$2:$BA$111)&lt;='Tournament Setup'!$B$32,_xlfn.RANK.EQ(BA45,$BA$2:$BA$111),""),"")</f>
        <v/>
      </c>
      <c r="BD45" s="31" t="str">
        <f>IF(AND($F45='Tournament Setup'!$A$32,SUM($O45,$Q45)=0,$E45="M",$BC45&gt;'Tournament Setup'!$B$32),$H45,"")</f>
        <v/>
      </c>
      <c r="BE45" s="1" t="str">
        <f>IF(ISNUMBER(BD45)=TRUE,IF(_xlfn.RANK.EQ(BD45,$BD$2:$BD$111)&lt;='Tournament Setup'!$C$32,_xlfn.RANK.EQ(BD45,$BD$2:$BD$111),""),"")</f>
        <v/>
      </c>
      <c r="BF45" s="31" t="str">
        <f>IF(AND($F45='Tournament Setup'!$A$32,SUM($O45,$S45)=0,$E45="F",$BC45&gt;'Tournament Setup'!$B$32),$H45,"")</f>
        <v/>
      </c>
      <c r="BG45" s="12" t="str">
        <f>IF(ISNUMBER(BF45)=TRUE,IF(_xlfn.RANK.EQ(BF45,$BF$2:$BF$111)&lt;='Tournament Setup'!$D$32,_xlfn.RANK.EQ(BF45,$BF$2:$BF$111),""),"")</f>
        <v/>
      </c>
      <c r="BH45" s="30" t="str">
        <f>IF(AND($F45='Tournament Setup'!$A$33,$I45&lt;&gt;0),$I45,"")</f>
        <v/>
      </c>
      <c r="BI45" s="47" t="str">
        <f>IF(ISNUMBER(BH45),IF(COUNTIFS(BI$1:BI44,_xlfn.RANK.EQ(BH45,BH$2:BH$111,0))&gt;0,_xlfn.MAXIFS(BI$1:BI44,BH$1:BH44,BH45)+1,_xlfn.RANK.EQ(BH45,BH$2:BH$111,0)),"")</f>
        <v/>
      </c>
      <c r="BJ45" s="1" t="str">
        <f>IF(ISNUMBER(BH45)=TRUE,IF(_xlfn.RANK.EQ(BH45,$BH$2:$BH$111)&lt;='Tournament Setup'!$B$46,_xlfn.RANK.EQ(BH45,$BH$2:$BH$111),""),"")</f>
        <v/>
      </c>
      <c r="BK45" s="30" t="str">
        <f>IF(AND($F45='Tournament Setup'!$A$33,SUM($O45,$Q45,$S45)=0),$H45,"")</f>
        <v/>
      </c>
      <c r="BL45" s="47" t="str">
        <f>IF(ISNUMBER(BK45),IF(COUNTIFS(BL$1:BL44,_xlfn.RANK.EQ(BK45,BK$2:BK$111,0))&gt;0,_xlfn.MAXIFS(BL$1:BL44,BK$1:BK44,BK45)+1,_xlfn.RANK.EQ(BK45,BK$2:BK$111,0)),"")</f>
        <v/>
      </c>
      <c r="BM45" s="1" t="str">
        <f>IF(ISNUMBER(BK45)=TRUE,IF(_xlfn.RANK.EQ(BK45,$BK$2:$BK$111)&lt;='Tournament Setup'!$B$33,_xlfn.RANK.EQ(BK45,$BK$2:$BK$111),""),"")</f>
        <v/>
      </c>
      <c r="BN45" s="31" t="str">
        <f>IF(AND($F45='Tournament Setup'!$A$33,SUM($O45,$Q45)=0,$E45="M",$BM45&gt;'Tournament Setup'!$B$33),$H45,"")</f>
        <v/>
      </c>
      <c r="BO45" s="1" t="str">
        <f>IF(ISNUMBER(BN45)=TRUE,IF(_xlfn.RANK.EQ(BN45,$BN$2:$BN$111)&lt;='Tournament Setup'!$C$33,_xlfn.RANK.EQ(BN45,$BN$2:$BN$111),""),"")</f>
        <v/>
      </c>
      <c r="BP45" s="31" t="str">
        <f>IF(AND($F45='Tournament Setup'!$A$33,SUM($O45,$S45)=0,$E45="F",$BM45&gt;'Tournament Setup'!$B$33),$H45,"")</f>
        <v/>
      </c>
      <c r="BQ45" s="12" t="str">
        <f>IF(ISNUMBER(BP45)=TRUE,IF(_xlfn.RANK.EQ(BP45,$BP$2:$BP$111)&lt;='Tournament Setup'!$D$33,_xlfn.RANK.EQ(BP45,$BP$2:$BP$111),""),"")</f>
        <v/>
      </c>
      <c r="BR45" s="30" t="str">
        <f>IF($G45='Tournament Setup'!$A$38,$H45,"")</f>
        <v/>
      </c>
      <c r="BS45" s="47" t="str">
        <f>IF(ISNUMBER(BR45),IF(COUNTIFS(BS$1:BS44,_xlfn.RANK.EQ(BR45,BR$2:BR$111,0))&gt;0,_xlfn.MAXIFS(BS$1:BS44,BR$1:BR44,BR45)+1,_xlfn.RANK.EQ(BR45,BR$2:BR$111,0)),"")</f>
        <v/>
      </c>
      <c r="BT45" s="1" t="str">
        <f>IF(ISNUMBER(BR45)=TRUE,IF(_xlfn.RANK.EQ(BR45,$BR$2:$BR$111)&lt;='Tournament Setup'!$B$38,_xlfn.RANK.EQ(BR45,$BR$2:$BR$111),""),"")</f>
        <v/>
      </c>
      <c r="BU45" s="31" t="str">
        <f>IF(AND($G45='Tournament Setup'!$A$38,$E45="M",$BT45&gt;'Tournament Setup'!$B$38),$H45,"")</f>
        <v/>
      </c>
      <c r="BV45" s="1" t="str">
        <f>IF(ISNUMBER(BU45)=TRUE,IF(_xlfn.RANK.EQ(BU45,$BU$2:$BU$111)&lt;='Tournament Setup'!$C$38,_xlfn.RANK.EQ(BU45,$BU$2:$BU$111),""),"")</f>
        <v/>
      </c>
      <c r="BW45" s="31" t="str">
        <f>IF(AND($G45='Tournament Setup'!$A$38,$E45="F",$BT45&gt;'Tournament Setup'!$B$38),$H45,"")</f>
        <v/>
      </c>
      <c r="BX45" s="12" t="str">
        <f>IF(ISNUMBER(BW45)=TRUE,IF(_xlfn.RANK.EQ(BW45,$BW$2:$BW$111)&lt;='Tournament Setup'!$D$38,_xlfn.RANK.EQ(BW45,$BW$2:$BW$111),""),"")</f>
        <v/>
      </c>
      <c r="BY45" s="30" t="str">
        <f>IF($G45='Tournament Setup'!$A$39,$H45,"")</f>
        <v/>
      </c>
      <c r="BZ45" s="47" t="str">
        <f>IF(ISNUMBER(BY45),IF(COUNTIFS(BZ$1:BZ44,_xlfn.RANK.EQ(BY45,BY$2:BY$111,0))&gt;0,_xlfn.MAXIFS(BZ$1:BZ44,BY$1:BY44,BY45)+1,_xlfn.RANK.EQ(BY45,BY$2:BY$111,0)),"")</f>
        <v/>
      </c>
      <c r="CA45" s="1" t="str">
        <f>IF(ISNUMBER(BY45)=TRUE,IF(_xlfn.RANK.EQ(BY45,$BY$2:$BY$111)&lt;='Tournament Setup'!$B$39,_xlfn.RANK.EQ(BY45,$BY$2:$BY$111),""),"")</f>
        <v/>
      </c>
      <c r="CB45" s="31" t="str">
        <f>IF(AND($G45='Tournament Setup'!$A$39,$E45="M",$CA45&gt;'Tournament Setup'!$B$39),$H45,"")</f>
        <v/>
      </c>
      <c r="CC45" s="1" t="str">
        <f>IF(ISNUMBER(CB45)=TRUE,IF(_xlfn.RANK.EQ(CB45,$CB$2:$CB$111)&lt;='Tournament Setup'!$C$39,_xlfn.RANK.EQ(CB45,$CB$2:$CB$111),""),"")</f>
        <v/>
      </c>
      <c r="CD45" s="31" t="str">
        <f>IF(AND($G45='Tournament Setup'!$A$39,$E45="F",$CA45&gt;'Tournament Setup'!$B$39),$H45,"")</f>
        <v/>
      </c>
      <c r="CE45" s="12" t="str">
        <f>IF(ISNUMBER(CD45)=TRUE,IF(_xlfn.RANK.EQ(CD45,$CD$2:$CD$111)&lt;='Tournament Setup'!$D$39,_xlfn.RANK.EQ(CD45,$CD$2:$CD$111),""),"")</f>
        <v/>
      </c>
      <c r="CF45" s="30" t="str">
        <f>IF($G45='Tournament Setup'!$A$40,$H45,"")</f>
        <v/>
      </c>
      <c r="CG45" s="47" t="str">
        <f>IF(ISNUMBER(CF45),IF(COUNTIFS(CG$1:CG44,_xlfn.RANK.EQ(CF45,CF$2:CF$111,0))&gt;0,_xlfn.MAXIFS(CG$1:CG44,CF$1:CF44,CF45)+1,_xlfn.RANK.EQ(CF45,CF$2:CF$111,0)),"")</f>
        <v/>
      </c>
      <c r="CH45" s="1" t="str">
        <f>IF(ISNUMBER(CF45)=TRUE,IF(_xlfn.RANK.EQ(CF45,$CF$2:$CF$111)&lt;='Tournament Setup'!$B$40,_xlfn.RANK.EQ(CF45,$CF$2:$CF$111),""),"")</f>
        <v/>
      </c>
      <c r="CI45" s="31" t="str">
        <f>IF(AND($G45='Tournament Setup'!$A$40,$E45="M",$CH45&gt;'Tournament Setup'!$B$40),$H45,"")</f>
        <v/>
      </c>
      <c r="CJ45" s="1" t="str">
        <f>IF(ISNUMBER(CI45)=TRUE,IF(_xlfn.RANK.EQ(CI45,$CI$2:$CI$111)&lt;='Tournament Setup'!$C$40,_xlfn.RANK.EQ(CI45,$CI$2:$CI$111),""),"")</f>
        <v/>
      </c>
      <c r="CK45" s="31" t="str">
        <f>IF(AND($G45='Tournament Setup'!$A$40,$E45="F",$CH45&gt;'Tournament Setup'!$B$40),$H45,"")</f>
        <v/>
      </c>
      <c r="CL45" s="12" t="str">
        <f>IF(ISNUMBER(CK45)=TRUE,IF(_xlfn.RANK.EQ(CK45,$CK$2:$CK$111)&lt;='Tournament Setup'!$D$40,_xlfn.RANK.EQ(CK45,$CK$2:$CK$111),""),"")</f>
        <v/>
      </c>
      <c r="CM45" s="30">
        <f>IF($G45='Tournament Setup'!$A$41,$H45,"")</f>
        <v>72.099999999999994</v>
      </c>
      <c r="CN45" s="47">
        <f>IF(ISNUMBER(CM45),IF(COUNTIFS(CN$1:CN44,_xlfn.RANK.EQ(CM45,CM$2:CM$111,0))&gt;0,_xlfn.MAXIFS(CN$1:CN44,CM$1:CM44,CM45)+1,_xlfn.RANK.EQ(CM45,CM$2:CM$111,0)),"")</f>
        <v>2</v>
      </c>
      <c r="CO45" s="1" t="str">
        <f>IF(ISNUMBER(CM45)=TRUE,IF(_xlfn.RANK.EQ(CM45,$CM$2:$CM$111)&lt;='Tournament Setup'!$B$41,_xlfn.RANK.EQ(CM45,$CM$2:$CM$111),""),"")</f>
        <v/>
      </c>
      <c r="CP45" s="31" t="str">
        <f>IF(AND($G45='Tournament Setup'!$A$41,$E45="M",$CO45&gt;'Tournament Setup'!$B$41),$H45,"")</f>
        <v/>
      </c>
      <c r="CQ45" s="1" t="str">
        <f>IF(ISNUMBER(CP45)=TRUE,IF(_xlfn.RANK.EQ(CP45,$CP$2:$CP$111)&lt;='Tournament Setup'!$C$41,_xlfn.RANK.EQ(CP45,$CP$2:$CP$111),""),"")</f>
        <v/>
      </c>
      <c r="CR45" s="31">
        <f>IF(AND($G45='Tournament Setup'!$A$41,$E45="F",$CO45&gt;'Tournament Setup'!$B$41),$H45,"")</f>
        <v>72.099999999999994</v>
      </c>
      <c r="CS45" s="12">
        <f>IF(ISNUMBER(CR45)=TRUE,IF(_xlfn.RANK.EQ(CR45,$CR$2:$CR$111)&lt;='Tournament Setup'!$D$41,_xlfn.RANK.EQ(CR45,$CR$2:$CR$111),""),"")</f>
        <v>1</v>
      </c>
    </row>
    <row r="46" spans="1:97" x14ac:dyDescent="0.3">
      <c r="A46" t="s">
        <v>201</v>
      </c>
      <c r="B46" t="str">
        <f>IFERROR(INDEX('Tournament List'!$B:$B,MATCH($A46,'Tournament List'!$A:$A,0)),"")</f>
        <v>Dee</v>
      </c>
      <c r="C46" t="str">
        <f>IFERROR(INDEX('Tournament List'!$C:$C,MATCH($A46,'Tournament List'!$A:$A,0)),"")</f>
        <v>Last Name45</v>
      </c>
      <c r="D46" t="str">
        <f t="shared" si="5"/>
        <v>Dee Last Name45</v>
      </c>
      <c r="E46" s="1" t="str">
        <f>IFERROR(INDEX('Tournament List'!F:F,MATCH($A46,'Tournament List'!$A:$A,0)),"")</f>
        <v>F</v>
      </c>
      <c r="F46" t="str">
        <f>IFERROR(INDEX('Tournament List'!M:M,MATCH($A46,'Tournament List'!$A:$A,0)),"")</f>
        <v>Novice</v>
      </c>
      <c r="G46" s="1" t="str">
        <f>IFERROR(INDEX('Tournament List'!W:W,MATCH($A46,'Tournament List'!$A:$A,0)),"")</f>
        <v>B</v>
      </c>
      <c r="H46" s="129">
        <f>IFERROR(INDEX('Tournament List'!Z:Z,MATCH($A46,'Tournament List'!$A:$A,0)),"")</f>
        <v>54</v>
      </c>
      <c r="I46" s="152">
        <f>IFERROR(INDEX('Tournament List'!T:T,MATCH($A46,'Tournament List'!$A:$A,0)),"")</f>
        <v>199</v>
      </c>
      <c r="J46" s="56">
        <f>IF(ISNUMBER(I46),IF(COUNTIFS(J$1:J45,_xlfn.RANK.EQ(I46,I$2:I$111,0))&gt;0,_xlfn.MAXIFS(J$1:J45,I$1:I45,I46)+1,_xlfn.RANK.EQ(I46,I$2:I$111,0)),"")</f>
        <v>7</v>
      </c>
      <c r="K46" s="11">
        <f t="shared" si="6"/>
        <v>38</v>
      </c>
      <c r="L46" s="56">
        <f>IF(ISNUMBER(H46),IF(COUNTIFS(L$1:L45,_xlfn.RANK.EQ(H46,H$2:H$111,0))&gt;0,_xlfn.MAXIFS(L$1:L45,H$1:H45,H46)+1,_xlfn.RANK.EQ(H46,H$2:H$111,0)),"")</f>
        <v>38</v>
      </c>
      <c r="M46" s="151">
        <f t="shared" si="7"/>
        <v>54</v>
      </c>
      <c r="N46" s="47">
        <f>IF(ISNUMBER(M46),IF(COUNTIFS(N$1:N45,_xlfn.RANK.EQ(M46,M$2:M$111,0))&gt;0,_xlfn.MAXIFS(N$1:N45,M$1:M45,M46)+1,_xlfn.RANK.EQ(M46,M$2:M$111,0)),"")</f>
        <v>36</v>
      </c>
      <c r="O46" s="1" t="str">
        <f>IF(ISNUMBER(M46)=TRUE,IF(_xlfn.RANK.EQ(M46,$M$2:$M$111)&lt;='Tournament Setup'!$B$23,_xlfn.RANK.EQ(M46,$M$2:$M$111),""),"")</f>
        <v/>
      </c>
      <c r="P46" s="150" t="str">
        <f t="shared" si="8"/>
        <v/>
      </c>
      <c r="Q46" s="1" t="str">
        <f>IF(ISNUMBER(P46)=TRUE,IF(_xlfn.RANK.EQ(P46,$P$2:$P$111)&lt;='Tournament Setup'!$B$24,_xlfn.RANK.EQ(P46,$P$2:$P$111),""),"")</f>
        <v/>
      </c>
      <c r="R46" s="150">
        <f t="shared" si="9"/>
        <v>54</v>
      </c>
      <c r="S46" s="12" t="str">
        <f>IF(ISNUMBER(R46)=TRUE,IF(_xlfn.RANK.EQ(R46,$R$2:$R$111)&lt;='Tournament Setup'!$B$25,_xlfn.RANK.EQ(R46,$R$2:$R$111),""),"")</f>
        <v/>
      </c>
      <c r="T46" s="152">
        <f>IF(AND($F46='Tournament Setup'!$A$29,$I46&lt;&gt;0),$I46,"")</f>
        <v>199</v>
      </c>
      <c r="U46" s="47">
        <f>IF(ISNUMBER(T46),IF(COUNTIFS(U$1:U45,_xlfn.RANK.EQ(T46,T$2:T$111,0))&gt;0,_xlfn.MAXIFS(U$1:U45,T$1:T45,T46)+1,_xlfn.RANK.EQ(T46,T$2:T$111,0)),"")</f>
        <v>2</v>
      </c>
      <c r="V46" s="1">
        <f>IF(ISNUMBER(T46)=TRUE,IF(_xlfn.RANK.EQ(T46,$T$3:$T$112)&lt;='Tournament Setup'!$B$46,_xlfn.RANK.EQ(T46,$T$2:$T$111),""),"")</f>
        <v>2</v>
      </c>
      <c r="W46" s="30">
        <f>IF(AND($F46='Tournament Setup'!$A$29,SUM($O46,$Q46,$S46)=0),$H46,"")</f>
        <v>54</v>
      </c>
      <c r="X46" s="47">
        <f>IF(ISNUMBER(W46),IF(COUNTIFS(X$1:X45,_xlfn.RANK.EQ(W46,W$2:W$111,0))&gt;0,_xlfn.MAXIFS(X$1:X45,W$1:W45,W46)+1,_xlfn.RANK.EQ(W46,W$2:W$111,0)),"")</f>
        <v>10</v>
      </c>
      <c r="Y46" s="1" t="str">
        <f>IF(ISNUMBER(W46)=TRUE,IF(_xlfn.RANK.EQ(W46,$W$2:$W$111)&lt;='Tournament Setup'!$B$29,_xlfn.RANK.EQ(W46,$W$2:$W$111),""),"")</f>
        <v/>
      </c>
      <c r="Z46" s="31" t="str">
        <f>IF(AND($F46='Tournament Setup'!$A$29,SUM($O46,$Q46)=0,$E46="M",$Y46&gt;'Tournament Setup'!$B$29),$H46,"")</f>
        <v/>
      </c>
      <c r="AA46" s="1" t="str">
        <f>IF(ISNUMBER(Z46)=TRUE,IF(_xlfn.RANK.EQ(Z46,$Z$2:$Z$111)&lt;='Tournament Setup'!$C$29,_xlfn.RANK.EQ(Z46,$Z$2:$Z$111),""),"")</f>
        <v/>
      </c>
      <c r="AB46" s="31">
        <f>IF(AND($F46='Tournament Setup'!$A$29,SUM($O46,$S46)=0,$E46="F",$Y46&gt;'Tournament Setup'!$B$29),$H46,"")</f>
        <v>54</v>
      </c>
      <c r="AC46" s="12" t="str">
        <f>IF(ISNUMBER(AB46)=TRUE,IF(_xlfn.RANK.EQ(AB46,$AB$2:$AB$111)&lt;='Tournament Setup'!$D$29,_xlfn.RANK.EQ(AB46,$AB$2:$AB$111),""),"")</f>
        <v/>
      </c>
      <c r="AD46" s="30" t="str">
        <f>IF(AND($F46='Tournament Setup'!$A$30,$I46&lt;&gt;0),$I46,"")</f>
        <v/>
      </c>
      <c r="AE46" s="47" t="str">
        <f>IF(ISNUMBER(AD46),IF(COUNTIFS(AE$1:AE45,_xlfn.RANK.EQ(AD46,AD$2:AD$111,0))&gt;0,_xlfn.MAXIFS(AE$1:AE45,AD$1:AD45,AD46)+1,_xlfn.RANK.EQ(AD46,AD$2:AD$111,0)),"")</f>
        <v/>
      </c>
      <c r="AF46" s="1" t="str">
        <f>IF(ISNUMBER(AD46)=TRUE,IF(_xlfn.RANK.EQ(AD46,$AD$2:$AD$111)&lt;='Tournament Setup'!$B$46,_xlfn.RANK.EQ(AD46,$AD$2:$AD$111),""),"")</f>
        <v/>
      </c>
      <c r="AG46" s="30" t="str">
        <f>IF(AND($F46='Tournament Setup'!$A$30,SUM($O46,$Q46,$S46)=0),$H46,"")</f>
        <v/>
      </c>
      <c r="AH46" s="47" t="str">
        <f>IF(ISNUMBER(AG46),IF(COUNTIFS(AH$1:AH45,_xlfn.RANK.EQ(AG46,AG$2:AG$111,0))&gt;0,_xlfn.MAXIFS(AH$1:AH45,AG$1:AG45,AG46)+1,_xlfn.RANK.EQ(AG46,AG$2:AG$111,0)),"")</f>
        <v/>
      </c>
      <c r="AI46" s="1" t="str">
        <f>IF(ISNUMBER(AG46)=TRUE,IF(_xlfn.RANK.EQ(AG46,$AG$2:$AG$111)&lt;='Tournament Setup'!$B$30,_xlfn.RANK.EQ(AG46,$AG$2:$AG$111),""),"")</f>
        <v/>
      </c>
      <c r="AJ46" s="31" t="str">
        <f>IF(AND($F46='Tournament Setup'!$A$30,SUM($O46,$Q46)=0,$E46="M",$AI46&gt;'Tournament Setup'!$B$30),$H46,"")</f>
        <v/>
      </c>
      <c r="AK46" s="1" t="str">
        <f>IF(ISNUMBER(AJ46)=TRUE,IF(_xlfn.RANK.EQ(AJ46,$AJ$2:$AJ$111)&lt;='Tournament Setup'!$C$30,_xlfn.RANK.EQ(AJ46,$AJ$2:$AJ$111),""),"")</f>
        <v/>
      </c>
      <c r="AL46" s="31" t="str">
        <f>IF(AND($F46='Tournament Setup'!$A$30,SUM($O46,$S46)=0,$E46="F",$AI46&gt;'Tournament Setup'!$B$30),$H46,"")</f>
        <v/>
      </c>
      <c r="AM46" s="12" t="str">
        <f>IF(ISNUMBER(AL46)=TRUE,IF(_xlfn.RANK.EQ(AL46,$AL$2:$AL$111)&lt;='Tournament Setup'!$D$30,_xlfn.RANK.EQ(AL46,$AL$2:$AL$111),""),"")</f>
        <v/>
      </c>
      <c r="AN46" s="30" t="str">
        <f>IF(AND($F46='Tournament Setup'!$A$31,$I46&lt;&gt;0),$I46,"")</f>
        <v/>
      </c>
      <c r="AO46" s="47" t="str">
        <f>IF(ISNUMBER(AN46),IF(COUNTIFS(AO$1:AO45,_xlfn.RANK.EQ(AN46,AN$2:AN$111,0))&gt;0,_xlfn.MAXIFS(AO$1:AO45,AN$1:AN45,AN46)+1,_xlfn.RANK.EQ(AN46,AN$2:AN$111,0)),"")</f>
        <v/>
      </c>
      <c r="AP46" s="1" t="str">
        <f>IF(ISNUMBER(AN46)=TRUE,IF(_xlfn.RANK.EQ(AN46,$AN$2:$AN$111)&lt;='Tournament Setup'!$B$46,_xlfn.RANK.EQ(AN46,$AN$2:$AN$111),""),"")</f>
        <v/>
      </c>
      <c r="AQ46" s="30" t="str">
        <f>IF(AND($F46='Tournament Setup'!$A$31,SUM($O46,$Q46,$S46)=0),$H46,"")</f>
        <v/>
      </c>
      <c r="AR46" s="47" t="str">
        <f>IF(ISNUMBER(AQ46),IF(COUNTIFS(AR$1:AR45,_xlfn.RANK.EQ(AQ46,AQ$2:AQ$111,0))&gt;0,_xlfn.MAXIFS(AR$1:AR45,AQ$1:AQ45,AQ46)+1,_xlfn.RANK.EQ(AQ46,AQ$2:AQ$111,0)),"")</f>
        <v/>
      </c>
      <c r="AS46" s="1" t="str">
        <f>IF(ISNUMBER(AQ46)=TRUE,IF(_xlfn.RANK.EQ(AQ46,$AQ$2:$AQ$111)&lt;='Tournament Setup'!$B$31,_xlfn.RANK.EQ(AQ46,$AQ$2:$AQ$111),""),"")</f>
        <v/>
      </c>
      <c r="AT46" s="31" t="str">
        <f>IF(AND($F46='Tournament Setup'!$A$31,SUM($O46,$Q46)=0,$E46="M",$AS46&gt;'Tournament Setup'!$B$31),$H46,"")</f>
        <v/>
      </c>
      <c r="AU46" s="1" t="str">
        <f>IF(ISNUMBER(AT46)=TRUE,IF(_xlfn.RANK.EQ(AT46,$AT$2:$AT$111)&lt;='Tournament Setup'!$C$31,_xlfn.RANK.EQ(AT46,$AT$2:$AT$111),""),"")</f>
        <v/>
      </c>
      <c r="AV46" s="31" t="str">
        <f>IF(AND($F46='Tournament Setup'!$A$31,SUM($O46,$S46)=0,$E46="F",$AS46&gt;'Tournament Setup'!$B$31),$H46,"")</f>
        <v/>
      </c>
      <c r="AW46" s="12" t="str">
        <f>IF(ISNUMBER(AV46)=TRUE,IF(_xlfn.RANK.EQ(AV46,$AV$2:$AV$111)&lt;='Tournament Setup'!$D$31,_xlfn.RANK.EQ(AV46,$AV$2:$AV$111),""),"")</f>
        <v/>
      </c>
      <c r="AX46" s="30" t="str">
        <f>IF(AND($F46='Tournament Setup'!$A$32,$I46&lt;&gt;0),$I46,"")</f>
        <v/>
      </c>
      <c r="AY46" s="47" t="str">
        <f>IF(ISNUMBER(AX46),IF(COUNTIFS(AY$1:AY45,_xlfn.RANK.EQ(AX46,AX$2:AX$111,0))&gt;0,_xlfn.MAXIFS(AY$1:AY45,AX$1:AX45,AX46)+1,_xlfn.RANK.EQ(AX46,AX$2:AX$111,0)),"")</f>
        <v/>
      </c>
      <c r="AZ46" s="1" t="str">
        <f>IF(ISNUMBER(AX46)=TRUE,IF(_xlfn.RANK.EQ(AX46,$AX$2:$AX$111)&lt;='Tournament Setup'!$B$46,_xlfn.RANK.EQ(AX46,$AX$2:$AX$111),""),"")</f>
        <v/>
      </c>
      <c r="BA46" s="30" t="str">
        <f>IF(AND($F46='Tournament Setup'!$A$32,SUM($O46,$Q46,$S46)=0),$H46,"")</f>
        <v/>
      </c>
      <c r="BB46" s="47" t="str">
        <f>IF(ISNUMBER(BA46),IF(COUNTIFS(BB$1:BB45,_xlfn.RANK.EQ(BA46,BA$2:BA$111,0))&gt;0,_xlfn.MAXIFS(BB$1:BB45,BA$1:BA45,BA46)+1,_xlfn.RANK.EQ(BA46,BA$2:BA$111,0)),"")</f>
        <v/>
      </c>
      <c r="BC46" s="1" t="str">
        <f>IF(ISNUMBER(BA46)=TRUE,IF(_xlfn.RANK.EQ(BA46,$BA$2:$BA$111)&lt;='Tournament Setup'!$B$32,_xlfn.RANK.EQ(BA46,$BA$2:$BA$111),""),"")</f>
        <v/>
      </c>
      <c r="BD46" s="31" t="str">
        <f>IF(AND($F46='Tournament Setup'!$A$32,SUM($O46,$Q46)=0,$E46="M",$BC46&gt;'Tournament Setup'!$B$32),$H46,"")</f>
        <v/>
      </c>
      <c r="BE46" s="1" t="str">
        <f>IF(ISNUMBER(BD46)=TRUE,IF(_xlfn.RANK.EQ(BD46,$BD$2:$BD$111)&lt;='Tournament Setup'!$C$32,_xlfn.RANK.EQ(BD46,$BD$2:$BD$111),""),"")</f>
        <v/>
      </c>
      <c r="BF46" s="31" t="str">
        <f>IF(AND($F46='Tournament Setup'!$A$32,SUM($O46,$S46)=0,$E46="F",$BC46&gt;'Tournament Setup'!$B$32),$H46,"")</f>
        <v/>
      </c>
      <c r="BG46" s="12" t="str">
        <f>IF(ISNUMBER(BF46)=TRUE,IF(_xlfn.RANK.EQ(BF46,$BF$2:$BF$111)&lt;='Tournament Setup'!$D$32,_xlfn.RANK.EQ(BF46,$BF$2:$BF$111),""),"")</f>
        <v/>
      </c>
      <c r="BH46" s="30" t="str">
        <f>IF(AND($F46='Tournament Setup'!$A$33,$I46&lt;&gt;0),$I46,"")</f>
        <v/>
      </c>
      <c r="BI46" s="47" t="str">
        <f>IF(ISNUMBER(BH46),IF(COUNTIFS(BI$1:BI45,_xlfn.RANK.EQ(BH46,BH$2:BH$111,0))&gt;0,_xlfn.MAXIFS(BI$1:BI45,BH$1:BH45,BH46)+1,_xlfn.RANK.EQ(BH46,BH$2:BH$111,0)),"")</f>
        <v/>
      </c>
      <c r="BJ46" s="1" t="str">
        <f>IF(ISNUMBER(BH46)=TRUE,IF(_xlfn.RANK.EQ(BH46,$BH$2:$BH$111)&lt;='Tournament Setup'!$B$46,_xlfn.RANK.EQ(BH46,$BH$2:$BH$111),""),"")</f>
        <v/>
      </c>
      <c r="BK46" s="30" t="str">
        <f>IF(AND($F46='Tournament Setup'!$A$33,SUM($O46,$Q46,$S46)=0),$H46,"")</f>
        <v/>
      </c>
      <c r="BL46" s="47" t="str">
        <f>IF(ISNUMBER(BK46),IF(COUNTIFS(BL$1:BL45,_xlfn.RANK.EQ(BK46,BK$2:BK$111,0))&gt;0,_xlfn.MAXIFS(BL$1:BL45,BK$1:BK45,BK46)+1,_xlfn.RANK.EQ(BK46,BK$2:BK$111,0)),"")</f>
        <v/>
      </c>
      <c r="BM46" s="1" t="str">
        <f>IF(ISNUMBER(BK46)=TRUE,IF(_xlfn.RANK.EQ(BK46,$BK$2:$BK$111)&lt;='Tournament Setup'!$B$33,_xlfn.RANK.EQ(BK46,$BK$2:$BK$111),""),"")</f>
        <v/>
      </c>
      <c r="BN46" s="31" t="str">
        <f>IF(AND($F46='Tournament Setup'!$A$33,SUM($O46,$Q46)=0,$E46="M",$BM46&gt;'Tournament Setup'!$B$33),$H46,"")</f>
        <v/>
      </c>
      <c r="BO46" s="1" t="str">
        <f>IF(ISNUMBER(BN46)=TRUE,IF(_xlfn.RANK.EQ(BN46,$BN$2:$BN$111)&lt;='Tournament Setup'!$C$33,_xlfn.RANK.EQ(BN46,$BN$2:$BN$111),""),"")</f>
        <v/>
      </c>
      <c r="BP46" s="31" t="str">
        <f>IF(AND($F46='Tournament Setup'!$A$33,SUM($O46,$S46)=0,$E46="F",$BM46&gt;'Tournament Setup'!$B$33),$H46,"")</f>
        <v/>
      </c>
      <c r="BQ46" s="12" t="str">
        <f>IF(ISNUMBER(BP46)=TRUE,IF(_xlfn.RANK.EQ(BP46,$BP$2:$BP$111)&lt;='Tournament Setup'!$D$33,_xlfn.RANK.EQ(BP46,$BP$2:$BP$111),""),"")</f>
        <v/>
      </c>
      <c r="BR46" s="30" t="str">
        <f>IF($G46='Tournament Setup'!$A$38,$H46,"")</f>
        <v/>
      </c>
      <c r="BS46" s="47" t="str">
        <f>IF(ISNUMBER(BR46),IF(COUNTIFS(BS$1:BS45,_xlfn.RANK.EQ(BR46,BR$2:BR$111,0))&gt;0,_xlfn.MAXIFS(BS$1:BS45,BR$1:BR45,BR46)+1,_xlfn.RANK.EQ(BR46,BR$2:BR$111,0)),"")</f>
        <v/>
      </c>
      <c r="BT46" s="1" t="str">
        <f>IF(ISNUMBER(BR46)=TRUE,IF(_xlfn.RANK.EQ(BR46,$BR$2:$BR$111)&lt;='Tournament Setup'!$B$38,_xlfn.RANK.EQ(BR46,$BR$2:$BR$111),""),"")</f>
        <v/>
      </c>
      <c r="BU46" s="31" t="str">
        <f>IF(AND($G46='Tournament Setup'!$A$38,$E46="M",$BT46&gt;'Tournament Setup'!$B$38),$H46,"")</f>
        <v/>
      </c>
      <c r="BV46" s="1" t="str">
        <f>IF(ISNUMBER(BU46)=TRUE,IF(_xlfn.RANK.EQ(BU46,$BU$2:$BU$111)&lt;='Tournament Setup'!$C$38,_xlfn.RANK.EQ(BU46,$BU$2:$BU$111),""),"")</f>
        <v/>
      </c>
      <c r="BW46" s="31" t="str">
        <f>IF(AND($G46='Tournament Setup'!$A$38,$E46="F",$BT46&gt;'Tournament Setup'!$B$38),$H46,"")</f>
        <v/>
      </c>
      <c r="BX46" s="12" t="str">
        <f>IF(ISNUMBER(BW46)=TRUE,IF(_xlfn.RANK.EQ(BW46,$BW$2:$BW$111)&lt;='Tournament Setup'!$D$38,_xlfn.RANK.EQ(BW46,$BW$2:$BW$111),""),"")</f>
        <v/>
      </c>
      <c r="BY46" s="30">
        <f>IF($G46='Tournament Setup'!$A$39,$H46,"")</f>
        <v>54</v>
      </c>
      <c r="BZ46" s="47">
        <f>IF(ISNUMBER(BY46),IF(COUNTIFS(BZ$1:BZ45,_xlfn.RANK.EQ(BY46,BY$2:BY$111,0))&gt;0,_xlfn.MAXIFS(BZ$1:BZ45,BY$1:BY45,BY46)+1,_xlfn.RANK.EQ(BY46,BY$2:BY$111,0)),"")</f>
        <v>15</v>
      </c>
      <c r="CA46" s="1" t="str">
        <f>IF(ISNUMBER(BY46)=TRUE,IF(_xlfn.RANK.EQ(BY46,$BY$2:$BY$111)&lt;='Tournament Setup'!$B$39,_xlfn.RANK.EQ(BY46,$BY$2:$BY$111),""),"")</f>
        <v/>
      </c>
      <c r="CB46" s="31" t="str">
        <f>IF(AND($G46='Tournament Setup'!$A$39,$E46="M",$CA46&gt;'Tournament Setup'!$B$39),$H46,"")</f>
        <v/>
      </c>
      <c r="CC46" s="1" t="str">
        <f>IF(ISNUMBER(CB46)=TRUE,IF(_xlfn.RANK.EQ(CB46,$CB$2:$CB$111)&lt;='Tournament Setup'!$C$39,_xlfn.RANK.EQ(CB46,$CB$2:$CB$111),""),"")</f>
        <v/>
      </c>
      <c r="CD46" s="31">
        <f>IF(AND($G46='Tournament Setup'!$A$39,$E46="F",$CA46&gt;'Tournament Setup'!$B$39),$H46,"")</f>
        <v>54</v>
      </c>
      <c r="CE46" s="12" t="str">
        <f>IF(ISNUMBER(CD46)=TRUE,IF(_xlfn.RANK.EQ(CD46,$CD$2:$CD$111)&lt;='Tournament Setup'!$D$39,_xlfn.RANK.EQ(CD46,$CD$2:$CD$111),""),"")</f>
        <v/>
      </c>
      <c r="CF46" s="30" t="str">
        <f>IF($G46='Tournament Setup'!$A$40,$H46,"")</f>
        <v/>
      </c>
      <c r="CG46" s="47" t="str">
        <f>IF(ISNUMBER(CF46),IF(COUNTIFS(CG$1:CG45,_xlfn.RANK.EQ(CF46,CF$2:CF$111,0))&gt;0,_xlfn.MAXIFS(CG$1:CG45,CF$1:CF45,CF46)+1,_xlfn.RANK.EQ(CF46,CF$2:CF$111,0)),"")</f>
        <v/>
      </c>
      <c r="CH46" s="1" t="str">
        <f>IF(ISNUMBER(CF46)=TRUE,IF(_xlfn.RANK.EQ(CF46,$CF$2:$CF$111)&lt;='Tournament Setup'!$B$40,_xlfn.RANK.EQ(CF46,$CF$2:$CF$111),""),"")</f>
        <v/>
      </c>
      <c r="CI46" s="31" t="str">
        <f>IF(AND($G46='Tournament Setup'!$A$40,$E46="M",$CH46&gt;'Tournament Setup'!$B$40),$H46,"")</f>
        <v/>
      </c>
      <c r="CJ46" s="1" t="str">
        <f>IF(ISNUMBER(CI46)=TRUE,IF(_xlfn.RANK.EQ(CI46,$CI$2:$CI$111)&lt;='Tournament Setup'!$C$40,_xlfn.RANK.EQ(CI46,$CI$2:$CI$111),""),"")</f>
        <v/>
      </c>
      <c r="CK46" s="31" t="str">
        <f>IF(AND($G46='Tournament Setup'!$A$40,$E46="F",$CH46&gt;'Tournament Setup'!$B$40),$H46,"")</f>
        <v/>
      </c>
      <c r="CL46" s="12" t="str">
        <f>IF(ISNUMBER(CK46)=TRUE,IF(_xlfn.RANK.EQ(CK46,$CK$2:$CK$111)&lt;='Tournament Setup'!$D$40,_xlfn.RANK.EQ(CK46,$CK$2:$CK$111),""),"")</f>
        <v/>
      </c>
      <c r="CM46" s="30" t="str">
        <f>IF($G46='Tournament Setup'!$A$41,$H46,"")</f>
        <v/>
      </c>
      <c r="CN46" s="47" t="str">
        <f>IF(ISNUMBER(CM46),IF(COUNTIFS(CN$1:CN45,_xlfn.RANK.EQ(CM46,CM$2:CM$111,0))&gt;0,_xlfn.MAXIFS(CN$1:CN45,CM$1:CM45,CM46)+1,_xlfn.RANK.EQ(CM46,CM$2:CM$111,0)),"")</f>
        <v/>
      </c>
      <c r="CO46" s="1" t="str">
        <f>IF(ISNUMBER(CM46)=TRUE,IF(_xlfn.RANK.EQ(CM46,$CM$2:$CM$111)&lt;='Tournament Setup'!$B$41,_xlfn.RANK.EQ(CM46,$CM$2:$CM$111),""),"")</f>
        <v/>
      </c>
      <c r="CP46" s="31" t="str">
        <f>IF(AND($G46='Tournament Setup'!$A$41,$E46="M",$CO46&gt;'Tournament Setup'!$B$41),$H46,"")</f>
        <v/>
      </c>
      <c r="CQ46" s="1" t="str">
        <f>IF(ISNUMBER(CP46)=TRUE,IF(_xlfn.RANK.EQ(CP46,$CP$2:$CP$111)&lt;='Tournament Setup'!$C$41,_xlfn.RANK.EQ(CP46,$CP$2:$CP$111),""),"")</f>
        <v/>
      </c>
      <c r="CR46" s="31" t="str">
        <f>IF(AND($G46='Tournament Setup'!$A$41,$E46="F",$CO46&gt;'Tournament Setup'!$B$41),$H46,"")</f>
        <v/>
      </c>
      <c r="CS46" s="12" t="str">
        <f>IF(ISNUMBER(CR46)=TRUE,IF(_xlfn.RANK.EQ(CR46,$CR$2:$CR$111)&lt;='Tournament Setup'!$D$41,_xlfn.RANK.EQ(CR46,$CR$2:$CR$111),""),"")</f>
        <v/>
      </c>
    </row>
    <row r="47" spans="1:97" x14ac:dyDescent="0.3">
      <c r="A47" t="s">
        <v>202</v>
      </c>
      <c r="B47" t="str">
        <f>IFERROR(INDEX('Tournament List'!$B:$B,MATCH($A47,'Tournament List'!$A:$A,0)),"")</f>
        <v>Sam</v>
      </c>
      <c r="C47" t="str">
        <f>IFERROR(INDEX('Tournament List'!$C:$C,MATCH($A47,'Tournament List'!$A:$A,0)),"")</f>
        <v>Last Name46</v>
      </c>
      <c r="D47" t="str">
        <f t="shared" si="5"/>
        <v>Sam Last Name46</v>
      </c>
      <c r="E47" s="1" t="str">
        <f>IFERROR(INDEX('Tournament List'!F:F,MATCH($A47,'Tournament List'!$A:$A,0)),"")</f>
        <v>M</v>
      </c>
      <c r="F47" t="str">
        <f>IFERROR(INDEX('Tournament List'!M:M,MATCH($A47,'Tournament List'!$A:$A,0)),"")</f>
        <v>Varsity</v>
      </c>
      <c r="G47" s="1" t="str">
        <f>IFERROR(INDEX('Tournament List'!W:W,MATCH($A47,'Tournament List'!$A:$A,0)),"")</f>
        <v>B</v>
      </c>
      <c r="H47" s="129">
        <f>IFERROR(INDEX('Tournament List'!Z:Z,MATCH($A47,'Tournament List'!$A:$A,0)),"")</f>
        <v>32</v>
      </c>
      <c r="I47" s="152">
        <f>IFERROR(INDEX('Tournament List'!T:T,MATCH($A47,'Tournament List'!$A:$A,0)),"")</f>
        <v>154</v>
      </c>
      <c r="J47" s="56">
        <f>IF(ISNUMBER(I47),IF(COUNTIFS(J$1:J46,_xlfn.RANK.EQ(I47,I$2:I$111,0))&gt;0,_xlfn.MAXIFS(J$1:J46,I$1:I46,I47)+1,_xlfn.RANK.EQ(I47,I$2:I$111,0)),"")</f>
        <v>12</v>
      </c>
      <c r="K47" s="11">
        <f t="shared" si="6"/>
        <v>46</v>
      </c>
      <c r="L47" s="56">
        <f>IF(ISNUMBER(H47),IF(COUNTIFS(L$1:L46,_xlfn.RANK.EQ(H47,H$2:H$111,0))&gt;0,_xlfn.MAXIFS(L$1:L46,H$1:H46,H47)+1,_xlfn.RANK.EQ(H47,H$2:H$111,0)),"")</f>
        <v>47</v>
      </c>
      <c r="M47" s="151">
        <f t="shared" si="7"/>
        <v>32</v>
      </c>
      <c r="N47" s="47">
        <f>IF(ISNUMBER(M47),IF(COUNTIFS(N$1:N46,_xlfn.RANK.EQ(M47,M$2:M$111,0))&gt;0,_xlfn.MAXIFS(N$1:N46,M$1:M46,M47)+1,_xlfn.RANK.EQ(M47,M$2:M$111,0)),"")</f>
        <v>41</v>
      </c>
      <c r="O47" s="1" t="str">
        <f>IF(ISNUMBER(M47)=TRUE,IF(_xlfn.RANK.EQ(M47,$M$2:$M$111)&lt;='Tournament Setup'!$B$23,_xlfn.RANK.EQ(M47,$M$2:$M$111),""),"")</f>
        <v/>
      </c>
      <c r="P47" s="150">
        <f t="shared" si="8"/>
        <v>32</v>
      </c>
      <c r="Q47" s="1" t="str">
        <f>IF(ISNUMBER(P47)=TRUE,IF(_xlfn.RANK.EQ(P47,$P$2:$P$111)&lt;='Tournament Setup'!$B$24,_xlfn.RANK.EQ(P47,$P$2:$P$111),""),"")</f>
        <v/>
      </c>
      <c r="R47" s="150" t="str">
        <f t="shared" si="9"/>
        <v/>
      </c>
      <c r="S47" s="12" t="str">
        <f>IF(ISNUMBER(R47)=TRUE,IF(_xlfn.RANK.EQ(R47,$R$2:$R$111)&lt;='Tournament Setup'!$B$25,_xlfn.RANK.EQ(R47,$R$2:$R$111),""),"")</f>
        <v/>
      </c>
      <c r="T47" s="152" t="str">
        <f>IF(AND($F47='Tournament Setup'!$A$29,$I47&lt;&gt;0),$I47,"")</f>
        <v/>
      </c>
      <c r="U47" s="47" t="str">
        <f>IF(ISNUMBER(T47),IF(COUNTIFS(U$1:U46,_xlfn.RANK.EQ(T47,T$2:T$111,0))&gt;0,_xlfn.MAXIFS(U$1:U46,T$1:T46,T47)+1,_xlfn.RANK.EQ(T47,T$2:T$111,0)),"")</f>
        <v/>
      </c>
      <c r="V47" s="1" t="str">
        <f>IF(ISNUMBER(T47)=TRUE,IF(_xlfn.RANK.EQ(T47,$T$3:$T$112)&lt;='Tournament Setup'!$B$46,_xlfn.RANK.EQ(T47,$T$2:$T$111),""),"")</f>
        <v/>
      </c>
      <c r="W47" s="30" t="str">
        <f>IF(AND($F47='Tournament Setup'!$A$29,SUM($O47,$Q47,$S47)=0),$H47,"")</f>
        <v/>
      </c>
      <c r="X47" s="47" t="str">
        <f>IF(ISNUMBER(W47),IF(COUNTIFS(X$1:X46,_xlfn.RANK.EQ(W47,W$2:W$111,0))&gt;0,_xlfn.MAXIFS(X$1:X46,W$1:W46,W47)+1,_xlfn.RANK.EQ(W47,W$2:W$111,0)),"")</f>
        <v/>
      </c>
      <c r="Y47" s="1" t="str">
        <f>IF(ISNUMBER(W47)=TRUE,IF(_xlfn.RANK.EQ(W47,$W$2:$W$111)&lt;='Tournament Setup'!$B$29,_xlfn.RANK.EQ(W47,$W$2:$W$111),""),"")</f>
        <v/>
      </c>
      <c r="Z47" s="31" t="str">
        <f>IF(AND($F47='Tournament Setup'!$A$29,SUM($O47,$Q47)=0,$E47="M",$Y47&gt;'Tournament Setup'!$B$29),$H47,"")</f>
        <v/>
      </c>
      <c r="AA47" s="1" t="str">
        <f>IF(ISNUMBER(Z47)=TRUE,IF(_xlfn.RANK.EQ(Z47,$Z$2:$Z$111)&lt;='Tournament Setup'!$C$29,_xlfn.RANK.EQ(Z47,$Z$2:$Z$111),""),"")</f>
        <v/>
      </c>
      <c r="AB47" s="31" t="str">
        <f>IF(AND($F47='Tournament Setup'!$A$29,SUM($O47,$S47)=0,$E47="F",$Y47&gt;'Tournament Setup'!$B$29),$H47,"")</f>
        <v/>
      </c>
      <c r="AC47" s="12" t="str">
        <f>IF(ISNUMBER(AB47)=TRUE,IF(_xlfn.RANK.EQ(AB47,$AB$2:$AB$111)&lt;='Tournament Setup'!$D$29,_xlfn.RANK.EQ(AB47,$AB$2:$AB$111),""),"")</f>
        <v/>
      </c>
      <c r="AD47" s="30" t="str">
        <f>IF(AND($F47='Tournament Setup'!$A$30,$I47&lt;&gt;0),$I47,"")</f>
        <v/>
      </c>
      <c r="AE47" s="47" t="str">
        <f>IF(ISNUMBER(AD47),IF(COUNTIFS(AE$1:AE46,_xlfn.RANK.EQ(AD47,AD$2:AD$111,0))&gt;0,_xlfn.MAXIFS(AE$1:AE46,AD$1:AD46,AD47)+1,_xlfn.RANK.EQ(AD47,AD$2:AD$111,0)),"")</f>
        <v/>
      </c>
      <c r="AF47" s="1" t="str">
        <f>IF(ISNUMBER(AD47)=TRUE,IF(_xlfn.RANK.EQ(AD47,$AD$2:$AD$111)&lt;='Tournament Setup'!$B$46,_xlfn.RANK.EQ(AD47,$AD$2:$AD$111),""),"")</f>
        <v/>
      </c>
      <c r="AG47" s="30" t="str">
        <f>IF(AND($F47='Tournament Setup'!$A$30,SUM($O47,$Q47,$S47)=0),$H47,"")</f>
        <v/>
      </c>
      <c r="AH47" s="47" t="str">
        <f>IF(ISNUMBER(AG47),IF(COUNTIFS(AH$1:AH46,_xlfn.RANK.EQ(AG47,AG$2:AG$111,0))&gt;0,_xlfn.MAXIFS(AH$1:AH46,AG$1:AG46,AG47)+1,_xlfn.RANK.EQ(AG47,AG$2:AG$111,0)),"")</f>
        <v/>
      </c>
      <c r="AI47" s="1" t="str">
        <f>IF(ISNUMBER(AG47)=TRUE,IF(_xlfn.RANK.EQ(AG47,$AG$2:$AG$111)&lt;='Tournament Setup'!$B$30,_xlfn.RANK.EQ(AG47,$AG$2:$AG$111),""),"")</f>
        <v/>
      </c>
      <c r="AJ47" s="31" t="str">
        <f>IF(AND($F47='Tournament Setup'!$A$30,SUM($O47,$Q47)=0,$E47="M",$AI47&gt;'Tournament Setup'!$B$30),$H47,"")</f>
        <v/>
      </c>
      <c r="AK47" s="1" t="str">
        <f>IF(ISNUMBER(AJ47)=TRUE,IF(_xlfn.RANK.EQ(AJ47,$AJ$2:$AJ$111)&lt;='Tournament Setup'!$C$30,_xlfn.RANK.EQ(AJ47,$AJ$2:$AJ$111),""),"")</f>
        <v/>
      </c>
      <c r="AL47" s="31" t="str">
        <f>IF(AND($F47='Tournament Setup'!$A$30,SUM($O47,$S47)=0,$E47="F",$AI47&gt;'Tournament Setup'!$B$30),$H47,"")</f>
        <v/>
      </c>
      <c r="AM47" s="12" t="str">
        <f>IF(ISNUMBER(AL47)=TRUE,IF(_xlfn.RANK.EQ(AL47,$AL$2:$AL$111)&lt;='Tournament Setup'!$D$30,_xlfn.RANK.EQ(AL47,$AL$2:$AL$111),""),"")</f>
        <v/>
      </c>
      <c r="AN47" s="30" t="str">
        <f>IF(AND($F47='Tournament Setup'!$A$31,$I47&lt;&gt;0),$I47,"")</f>
        <v/>
      </c>
      <c r="AO47" s="47" t="str">
        <f>IF(ISNUMBER(AN47),IF(COUNTIFS(AO$1:AO46,_xlfn.RANK.EQ(AN47,AN$2:AN$111,0))&gt;0,_xlfn.MAXIFS(AO$1:AO46,AN$1:AN46,AN47)+1,_xlfn.RANK.EQ(AN47,AN$2:AN$111,0)),"")</f>
        <v/>
      </c>
      <c r="AP47" s="1" t="str">
        <f>IF(ISNUMBER(AN47)=TRUE,IF(_xlfn.RANK.EQ(AN47,$AN$2:$AN$111)&lt;='Tournament Setup'!$B$46,_xlfn.RANK.EQ(AN47,$AN$2:$AN$111),""),"")</f>
        <v/>
      </c>
      <c r="AQ47" s="30" t="str">
        <f>IF(AND($F47='Tournament Setup'!$A$31,SUM($O47,$Q47,$S47)=0),$H47,"")</f>
        <v/>
      </c>
      <c r="AR47" s="47" t="str">
        <f>IF(ISNUMBER(AQ47),IF(COUNTIFS(AR$1:AR46,_xlfn.RANK.EQ(AQ47,AQ$2:AQ$111,0))&gt;0,_xlfn.MAXIFS(AR$1:AR46,AQ$1:AQ46,AQ47)+1,_xlfn.RANK.EQ(AQ47,AQ$2:AQ$111,0)),"")</f>
        <v/>
      </c>
      <c r="AS47" s="1" t="str">
        <f>IF(ISNUMBER(AQ47)=TRUE,IF(_xlfn.RANK.EQ(AQ47,$AQ$2:$AQ$111)&lt;='Tournament Setup'!$B$31,_xlfn.RANK.EQ(AQ47,$AQ$2:$AQ$111),""),"")</f>
        <v/>
      </c>
      <c r="AT47" s="31" t="str">
        <f>IF(AND($F47='Tournament Setup'!$A$31,SUM($O47,$Q47)=0,$E47="M",$AS47&gt;'Tournament Setup'!$B$31),$H47,"")</f>
        <v/>
      </c>
      <c r="AU47" s="1" t="str">
        <f>IF(ISNUMBER(AT47)=TRUE,IF(_xlfn.RANK.EQ(AT47,$AT$2:$AT$111)&lt;='Tournament Setup'!$C$31,_xlfn.RANK.EQ(AT47,$AT$2:$AT$111),""),"")</f>
        <v/>
      </c>
      <c r="AV47" s="31" t="str">
        <f>IF(AND($F47='Tournament Setup'!$A$31,SUM($O47,$S47)=0,$E47="F",$AS47&gt;'Tournament Setup'!$B$31),$H47,"")</f>
        <v/>
      </c>
      <c r="AW47" s="12" t="str">
        <f>IF(ISNUMBER(AV47)=TRUE,IF(_xlfn.RANK.EQ(AV47,$AV$2:$AV$111)&lt;='Tournament Setup'!$D$31,_xlfn.RANK.EQ(AV47,$AV$2:$AV$111),""),"")</f>
        <v/>
      </c>
      <c r="AX47" s="30">
        <f>IF(AND($F47='Tournament Setup'!$A$32,$I47&lt;&gt;0),$I47,"")</f>
        <v>154</v>
      </c>
      <c r="AY47" s="47">
        <f>IF(ISNUMBER(AX47),IF(COUNTIFS(AY$1:AY46,_xlfn.RANK.EQ(AX47,AX$2:AX$111,0))&gt;0,_xlfn.MAXIFS(AY$1:AY46,AX$1:AX46,AX47)+1,_xlfn.RANK.EQ(AX47,AX$2:AX$111,0)),"")</f>
        <v>2</v>
      </c>
      <c r="AZ47" s="1">
        <f>IF(ISNUMBER(AX47)=TRUE,IF(_xlfn.RANK.EQ(AX47,$AX$2:$AX$111)&lt;='Tournament Setup'!$B$46,_xlfn.RANK.EQ(AX47,$AX$2:$AX$111),""),"")</f>
        <v>2</v>
      </c>
      <c r="BA47" s="30">
        <f>IF(AND($F47='Tournament Setup'!$A$32,SUM($O47,$Q47,$S47)=0),$H47,"")</f>
        <v>32</v>
      </c>
      <c r="BB47" s="47">
        <f>IF(ISNUMBER(BA47),IF(COUNTIFS(BB$1:BB46,_xlfn.RANK.EQ(BA47,BA$2:BA$111,0))&gt;0,_xlfn.MAXIFS(BB$1:BB46,BA$1:BA46,BA47)+1,_xlfn.RANK.EQ(BA47,BA$2:BA$111,0)),"")</f>
        <v>10</v>
      </c>
      <c r="BC47" s="1" t="str">
        <f>IF(ISNUMBER(BA47)=TRUE,IF(_xlfn.RANK.EQ(BA47,$BA$2:$BA$111)&lt;='Tournament Setup'!$B$32,_xlfn.RANK.EQ(BA47,$BA$2:$BA$111),""),"")</f>
        <v/>
      </c>
      <c r="BD47" s="31">
        <f>IF(AND($F47='Tournament Setup'!$A$32,SUM($O47,$Q47)=0,$E47="M",$BC47&gt;'Tournament Setup'!$B$32),$H47,"")</f>
        <v>32</v>
      </c>
      <c r="BE47" s="1" t="str">
        <f>IF(ISNUMBER(BD47)=TRUE,IF(_xlfn.RANK.EQ(BD47,$BD$2:$BD$111)&lt;='Tournament Setup'!$C$32,_xlfn.RANK.EQ(BD47,$BD$2:$BD$111),""),"")</f>
        <v/>
      </c>
      <c r="BF47" s="31" t="str">
        <f>IF(AND($F47='Tournament Setup'!$A$32,SUM($O47,$S47)=0,$E47="F",$BC47&gt;'Tournament Setup'!$B$32),$H47,"")</f>
        <v/>
      </c>
      <c r="BG47" s="12" t="str">
        <f>IF(ISNUMBER(BF47)=TRUE,IF(_xlfn.RANK.EQ(BF47,$BF$2:$BF$111)&lt;='Tournament Setup'!$D$32,_xlfn.RANK.EQ(BF47,$BF$2:$BF$111),""),"")</f>
        <v/>
      </c>
      <c r="BH47" s="30" t="str">
        <f>IF(AND($F47='Tournament Setup'!$A$33,$I47&lt;&gt;0),$I47,"")</f>
        <v/>
      </c>
      <c r="BI47" s="47" t="str">
        <f>IF(ISNUMBER(BH47),IF(COUNTIFS(BI$1:BI46,_xlfn.RANK.EQ(BH47,BH$2:BH$111,0))&gt;0,_xlfn.MAXIFS(BI$1:BI46,BH$1:BH46,BH47)+1,_xlfn.RANK.EQ(BH47,BH$2:BH$111,0)),"")</f>
        <v/>
      </c>
      <c r="BJ47" s="1" t="str">
        <f>IF(ISNUMBER(BH47)=TRUE,IF(_xlfn.RANK.EQ(BH47,$BH$2:$BH$111)&lt;='Tournament Setup'!$B$46,_xlfn.RANK.EQ(BH47,$BH$2:$BH$111),""),"")</f>
        <v/>
      </c>
      <c r="BK47" s="30" t="str">
        <f>IF(AND($F47='Tournament Setup'!$A$33,SUM($O47,$Q47,$S47)=0),$H47,"")</f>
        <v/>
      </c>
      <c r="BL47" s="47" t="str">
        <f>IF(ISNUMBER(BK47),IF(COUNTIFS(BL$1:BL46,_xlfn.RANK.EQ(BK47,BK$2:BK$111,0))&gt;0,_xlfn.MAXIFS(BL$1:BL46,BK$1:BK46,BK47)+1,_xlfn.RANK.EQ(BK47,BK$2:BK$111,0)),"")</f>
        <v/>
      </c>
      <c r="BM47" s="1" t="str">
        <f>IF(ISNUMBER(BK47)=TRUE,IF(_xlfn.RANK.EQ(BK47,$BK$2:$BK$111)&lt;='Tournament Setup'!$B$33,_xlfn.RANK.EQ(BK47,$BK$2:$BK$111),""),"")</f>
        <v/>
      </c>
      <c r="BN47" s="31" t="str">
        <f>IF(AND($F47='Tournament Setup'!$A$33,SUM($O47,$Q47)=0,$E47="M",$BM47&gt;'Tournament Setup'!$B$33),$H47,"")</f>
        <v/>
      </c>
      <c r="BO47" s="1" t="str">
        <f>IF(ISNUMBER(BN47)=TRUE,IF(_xlfn.RANK.EQ(BN47,$BN$2:$BN$111)&lt;='Tournament Setup'!$C$33,_xlfn.RANK.EQ(BN47,$BN$2:$BN$111),""),"")</f>
        <v/>
      </c>
      <c r="BP47" s="31" t="str">
        <f>IF(AND($F47='Tournament Setup'!$A$33,SUM($O47,$S47)=0,$E47="F",$BM47&gt;'Tournament Setup'!$B$33),$H47,"")</f>
        <v/>
      </c>
      <c r="BQ47" s="12" t="str">
        <f>IF(ISNUMBER(BP47)=TRUE,IF(_xlfn.RANK.EQ(BP47,$BP$2:$BP$111)&lt;='Tournament Setup'!$D$33,_xlfn.RANK.EQ(BP47,$BP$2:$BP$111),""),"")</f>
        <v/>
      </c>
      <c r="BR47" s="30" t="str">
        <f>IF($G47='Tournament Setup'!$A$38,$H47,"")</f>
        <v/>
      </c>
      <c r="BS47" s="47" t="str">
        <f>IF(ISNUMBER(BR47),IF(COUNTIFS(BS$1:BS46,_xlfn.RANK.EQ(BR47,BR$2:BR$111,0))&gt;0,_xlfn.MAXIFS(BS$1:BS46,BR$1:BR46,BR47)+1,_xlfn.RANK.EQ(BR47,BR$2:BR$111,0)),"")</f>
        <v/>
      </c>
      <c r="BT47" s="1" t="str">
        <f>IF(ISNUMBER(BR47)=TRUE,IF(_xlfn.RANK.EQ(BR47,$BR$2:$BR$111)&lt;='Tournament Setup'!$B$38,_xlfn.RANK.EQ(BR47,$BR$2:$BR$111),""),"")</f>
        <v/>
      </c>
      <c r="BU47" s="31" t="str">
        <f>IF(AND($G47='Tournament Setup'!$A$38,$E47="M",$BT47&gt;'Tournament Setup'!$B$38),$H47,"")</f>
        <v/>
      </c>
      <c r="BV47" s="1" t="str">
        <f>IF(ISNUMBER(BU47)=TRUE,IF(_xlfn.RANK.EQ(BU47,$BU$2:$BU$111)&lt;='Tournament Setup'!$C$38,_xlfn.RANK.EQ(BU47,$BU$2:$BU$111),""),"")</f>
        <v/>
      </c>
      <c r="BW47" s="31" t="str">
        <f>IF(AND($G47='Tournament Setup'!$A$38,$E47="F",$BT47&gt;'Tournament Setup'!$B$38),$H47,"")</f>
        <v/>
      </c>
      <c r="BX47" s="12" t="str">
        <f>IF(ISNUMBER(BW47)=TRUE,IF(_xlfn.RANK.EQ(BW47,$BW$2:$BW$111)&lt;='Tournament Setup'!$D$38,_xlfn.RANK.EQ(BW47,$BW$2:$BW$111),""),"")</f>
        <v/>
      </c>
      <c r="BY47" s="30">
        <f>IF($G47='Tournament Setup'!$A$39,$H47,"")</f>
        <v>32</v>
      </c>
      <c r="BZ47" s="47">
        <f>IF(ISNUMBER(BY47),IF(COUNTIFS(BZ$1:BZ46,_xlfn.RANK.EQ(BY47,BY$2:BY$111,0))&gt;0,_xlfn.MAXIFS(BZ$1:BZ46,BY$1:BY46,BY47)+1,_xlfn.RANK.EQ(BY47,BY$2:BY$111,0)),"")</f>
        <v>17</v>
      </c>
      <c r="CA47" s="1" t="str">
        <f>IF(ISNUMBER(BY47)=TRUE,IF(_xlfn.RANK.EQ(BY47,$BY$2:$BY$111)&lt;='Tournament Setup'!$B$39,_xlfn.RANK.EQ(BY47,$BY$2:$BY$111),""),"")</f>
        <v/>
      </c>
      <c r="CB47" s="31">
        <f>IF(AND($G47='Tournament Setup'!$A$39,$E47="M",$CA47&gt;'Tournament Setup'!$B$39),$H47,"")</f>
        <v>32</v>
      </c>
      <c r="CC47" s="1" t="str">
        <f>IF(ISNUMBER(CB47)=TRUE,IF(_xlfn.RANK.EQ(CB47,$CB$2:$CB$111)&lt;='Tournament Setup'!$C$39,_xlfn.RANK.EQ(CB47,$CB$2:$CB$111),""),"")</f>
        <v/>
      </c>
      <c r="CD47" s="31" t="str">
        <f>IF(AND($G47='Tournament Setup'!$A$39,$E47="F",$CA47&gt;'Tournament Setup'!$B$39),$H47,"")</f>
        <v/>
      </c>
      <c r="CE47" s="12" t="str">
        <f>IF(ISNUMBER(CD47)=TRUE,IF(_xlfn.RANK.EQ(CD47,$CD$2:$CD$111)&lt;='Tournament Setup'!$D$39,_xlfn.RANK.EQ(CD47,$CD$2:$CD$111),""),"")</f>
        <v/>
      </c>
      <c r="CF47" s="30" t="str">
        <f>IF($G47='Tournament Setup'!$A$40,$H47,"")</f>
        <v/>
      </c>
      <c r="CG47" s="47" t="str">
        <f>IF(ISNUMBER(CF47),IF(COUNTIFS(CG$1:CG46,_xlfn.RANK.EQ(CF47,CF$2:CF$111,0))&gt;0,_xlfn.MAXIFS(CG$1:CG46,CF$1:CF46,CF47)+1,_xlfn.RANK.EQ(CF47,CF$2:CF$111,0)),"")</f>
        <v/>
      </c>
      <c r="CH47" s="1" t="str">
        <f>IF(ISNUMBER(CF47)=TRUE,IF(_xlfn.RANK.EQ(CF47,$CF$2:$CF$111)&lt;='Tournament Setup'!$B$40,_xlfn.RANK.EQ(CF47,$CF$2:$CF$111),""),"")</f>
        <v/>
      </c>
      <c r="CI47" s="31" t="str">
        <f>IF(AND($G47='Tournament Setup'!$A$40,$E47="M",$CH47&gt;'Tournament Setup'!$B$40),$H47,"")</f>
        <v/>
      </c>
      <c r="CJ47" s="1" t="str">
        <f>IF(ISNUMBER(CI47)=TRUE,IF(_xlfn.RANK.EQ(CI47,$CI$2:$CI$111)&lt;='Tournament Setup'!$C$40,_xlfn.RANK.EQ(CI47,$CI$2:$CI$111),""),"")</f>
        <v/>
      </c>
      <c r="CK47" s="31" t="str">
        <f>IF(AND($G47='Tournament Setup'!$A$40,$E47="F",$CH47&gt;'Tournament Setup'!$B$40),$H47,"")</f>
        <v/>
      </c>
      <c r="CL47" s="12" t="str">
        <f>IF(ISNUMBER(CK47)=TRUE,IF(_xlfn.RANK.EQ(CK47,$CK$2:$CK$111)&lt;='Tournament Setup'!$D$40,_xlfn.RANK.EQ(CK47,$CK$2:$CK$111),""),"")</f>
        <v/>
      </c>
      <c r="CM47" s="30" t="str">
        <f>IF($G47='Tournament Setup'!$A$41,$H47,"")</f>
        <v/>
      </c>
      <c r="CN47" s="47" t="str">
        <f>IF(ISNUMBER(CM47),IF(COUNTIFS(CN$1:CN46,_xlfn.RANK.EQ(CM47,CM$2:CM$111,0))&gt;0,_xlfn.MAXIFS(CN$1:CN46,CM$1:CM46,CM47)+1,_xlfn.RANK.EQ(CM47,CM$2:CM$111,0)),"")</f>
        <v/>
      </c>
      <c r="CO47" s="1" t="str">
        <f>IF(ISNUMBER(CM47)=TRUE,IF(_xlfn.RANK.EQ(CM47,$CM$2:$CM$111)&lt;='Tournament Setup'!$B$41,_xlfn.RANK.EQ(CM47,$CM$2:$CM$111),""),"")</f>
        <v/>
      </c>
      <c r="CP47" s="31" t="str">
        <f>IF(AND($G47='Tournament Setup'!$A$41,$E47="M",$CO47&gt;'Tournament Setup'!$B$41),$H47,"")</f>
        <v/>
      </c>
      <c r="CQ47" s="1" t="str">
        <f>IF(ISNUMBER(CP47)=TRUE,IF(_xlfn.RANK.EQ(CP47,$CP$2:$CP$111)&lt;='Tournament Setup'!$C$41,_xlfn.RANK.EQ(CP47,$CP$2:$CP$111),""),"")</f>
        <v/>
      </c>
      <c r="CR47" s="31" t="str">
        <f>IF(AND($G47='Tournament Setup'!$A$41,$E47="F",$CO47&gt;'Tournament Setup'!$B$41),$H47,"")</f>
        <v/>
      </c>
      <c r="CS47" s="12" t="str">
        <f>IF(ISNUMBER(CR47)=TRUE,IF(_xlfn.RANK.EQ(CR47,$CR$2:$CR$111)&lt;='Tournament Setup'!$D$41,_xlfn.RANK.EQ(CR47,$CR$2:$CR$111),""),"")</f>
        <v/>
      </c>
    </row>
    <row r="48" spans="1:97" x14ac:dyDescent="0.3">
      <c r="A48" t="s">
        <v>203</v>
      </c>
      <c r="B48" t="str">
        <f>IFERROR(INDEX('Tournament List'!$B:$B,MATCH($A48,'Tournament List'!$A:$A,0)),"")</f>
        <v>Rick</v>
      </c>
      <c r="C48" t="str">
        <f>IFERROR(INDEX('Tournament List'!$C:$C,MATCH($A48,'Tournament List'!$A:$A,0)),"")</f>
        <v>Last Name47</v>
      </c>
      <c r="D48" t="str">
        <f t="shared" si="5"/>
        <v>Rick Last Name47</v>
      </c>
      <c r="E48" s="1" t="str">
        <f>IFERROR(INDEX('Tournament List'!F:F,MATCH($A48,'Tournament List'!$A:$A,0)),"")</f>
        <v>M</v>
      </c>
      <c r="F48" t="str">
        <f>IFERROR(INDEX('Tournament List'!M:M,MATCH($A48,'Tournament List'!$A:$A,0)),"")</f>
        <v>Novice</v>
      </c>
      <c r="G48" s="1" t="str">
        <f>IFERROR(INDEX('Tournament List'!W:W,MATCH($A48,'Tournament List'!$A:$A,0)),"")</f>
        <v>A</v>
      </c>
      <c r="H48" s="129">
        <f>IFERROR(INDEX('Tournament List'!Z:Z,MATCH($A48,'Tournament List'!$A:$A,0)),"")</f>
        <v>65</v>
      </c>
      <c r="I48" s="152" t="str">
        <f>IFERROR(INDEX('Tournament List'!T:T,MATCH($A48,'Tournament List'!$A:$A,0)),"")</f>
        <v/>
      </c>
      <c r="J48" s="56" t="str">
        <f>IF(ISNUMBER(I48),IF(COUNTIFS(J$1:J47,_xlfn.RANK.EQ(I48,I$2:I$111,0))&gt;0,_xlfn.MAXIFS(J$1:J47,I$1:I47,I48)+1,_xlfn.RANK.EQ(I48,I$2:I$111,0)),"")</f>
        <v/>
      </c>
      <c r="K48" s="11">
        <f t="shared" si="6"/>
        <v>29</v>
      </c>
      <c r="L48" s="56">
        <f>IF(ISNUMBER(H48),IF(COUNTIFS(L$1:L47,_xlfn.RANK.EQ(H48,H$2:H$111,0))&gt;0,_xlfn.MAXIFS(L$1:L47,H$1:H47,H48)+1,_xlfn.RANK.EQ(H48,H$2:H$111,0)),"")</f>
        <v>29</v>
      </c>
      <c r="M48" s="151">
        <f t="shared" si="7"/>
        <v>65</v>
      </c>
      <c r="N48" s="47">
        <f>IF(ISNUMBER(M48),IF(COUNTIFS(N$1:N47,_xlfn.RANK.EQ(M48,M$2:M$111,0))&gt;0,_xlfn.MAXIFS(N$1:N47,M$1:M47,M48)+1,_xlfn.RANK.EQ(M48,M$2:M$111,0)),"")</f>
        <v>27</v>
      </c>
      <c r="O48" s="1" t="str">
        <f>IF(ISNUMBER(M48)=TRUE,IF(_xlfn.RANK.EQ(M48,$M$2:$M$111)&lt;='Tournament Setup'!$B$23,_xlfn.RANK.EQ(M48,$M$2:$M$111),""),"")</f>
        <v/>
      </c>
      <c r="P48" s="150">
        <f t="shared" si="8"/>
        <v>65</v>
      </c>
      <c r="Q48" s="1" t="str">
        <f>IF(ISNUMBER(P48)=TRUE,IF(_xlfn.RANK.EQ(P48,$P$2:$P$111)&lt;='Tournament Setup'!$B$24,_xlfn.RANK.EQ(P48,$P$2:$P$111),""),"")</f>
        <v/>
      </c>
      <c r="R48" s="150" t="str">
        <f t="shared" si="9"/>
        <v/>
      </c>
      <c r="S48" s="12" t="str">
        <f>IF(ISNUMBER(R48)=TRUE,IF(_xlfn.RANK.EQ(R48,$R$2:$R$111)&lt;='Tournament Setup'!$B$25,_xlfn.RANK.EQ(R48,$R$2:$R$111),""),"")</f>
        <v/>
      </c>
      <c r="T48" s="152" t="str">
        <f>IF(AND($F48='Tournament Setup'!$A$29,$I48&lt;&gt;0),$I48,"")</f>
        <v/>
      </c>
      <c r="U48" s="47" t="str">
        <f>IF(ISNUMBER(T48),IF(COUNTIFS(U$1:U47,_xlfn.RANK.EQ(T48,T$2:T$111,0))&gt;0,_xlfn.MAXIFS(U$1:U47,T$1:T47,T48)+1,_xlfn.RANK.EQ(T48,T$2:T$111,0)),"")</f>
        <v/>
      </c>
      <c r="V48" s="1" t="str">
        <f>IF(ISNUMBER(T48)=TRUE,IF(_xlfn.RANK.EQ(T48,$T$3:$T$112)&lt;='Tournament Setup'!$B$46,_xlfn.RANK.EQ(T48,$T$2:$T$111),""),"")</f>
        <v/>
      </c>
      <c r="W48" s="30">
        <f>IF(AND($F48='Tournament Setup'!$A$29,SUM($O48,$Q48,$S48)=0),$H48,"")</f>
        <v>65</v>
      </c>
      <c r="X48" s="47">
        <f>IF(ISNUMBER(W48),IF(COUNTIFS(X$1:X47,_xlfn.RANK.EQ(W48,W$2:W$111,0))&gt;0,_xlfn.MAXIFS(X$1:X47,W$1:W47,W48)+1,_xlfn.RANK.EQ(W48,W$2:W$111,0)),"")</f>
        <v>6</v>
      </c>
      <c r="Y48" s="1" t="str">
        <f>IF(ISNUMBER(W48)=TRUE,IF(_xlfn.RANK.EQ(W48,$W$2:$W$111)&lt;='Tournament Setup'!$B$29,_xlfn.RANK.EQ(W48,$W$2:$W$111),""),"")</f>
        <v/>
      </c>
      <c r="Z48" s="31">
        <f>IF(AND($F48='Tournament Setup'!$A$29,SUM($O48,$Q48)=0,$E48="M",$Y48&gt;'Tournament Setup'!$B$29),$H48,"")</f>
        <v>65</v>
      </c>
      <c r="AA48" s="1" t="str">
        <f>IF(ISNUMBER(Z48)=TRUE,IF(_xlfn.RANK.EQ(Z48,$Z$2:$Z$111)&lt;='Tournament Setup'!$C$29,_xlfn.RANK.EQ(Z48,$Z$2:$Z$111),""),"")</f>
        <v/>
      </c>
      <c r="AB48" s="31" t="str">
        <f>IF(AND($F48='Tournament Setup'!$A$29,SUM($O48,$S48)=0,$E48="F",$Y48&gt;'Tournament Setup'!$B$29),$H48,"")</f>
        <v/>
      </c>
      <c r="AC48" s="12" t="str">
        <f>IF(ISNUMBER(AB48)=TRUE,IF(_xlfn.RANK.EQ(AB48,$AB$2:$AB$111)&lt;='Tournament Setup'!$D$29,_xlfn.RANK.EQ(AB48,$AB$2:$AB$111),""),"")</f>
        <v/>
      </c>
      <c r="AD48" s="30" t="str">
        <f>IF(AND($F48='Tournament Setup'!$A$30,$I48&lt;&gt;0),$I48,"")</f>
        <v/>
      </c>
      <c r="AE48" s="47" t="str">
        <f>IF(ISNUMBER(AD48),IF(COUNTIFS(AE$1:AE47,_xlfn.RANK.EQ(AD48,AD$2:AD$111,0))&gt;0,_xlfn.MAXIFS(AE$1:AE47,AD$1:AD47,AD48)+1,_xlfn.RANK.EQ(AD48,AD$2:AD$111,0)),"")</f>
        <v/>
      </c>
      <c r="AF48" s="1" t="str">
        <f>IF(ISNUMBER(AD48)=TRUE,IF(_xlfn.RANK.EQ(AD48,$AD$2:$AD$111)&lt;='Tournament Setup'!$B$46,_xlfn.RANK.EQ(AD48,$AD$2:$AD$111),""),"")</f>
        <v/>
      </c>
      <c r="AG48" s="30" t="str">
        <f>IF(AND($F48='Tournament Setup'!$A$30,SUM($O48,$Q48,$S48)=0),$H48,"")</f>
        <v/>
      </c>
      <c r="AH48" s="47" t="str">
        <f>IF(ISNUMBER(AG48),IF(COUNTIFS(AH$1:AH47,_xlfn.RANK.EQ(AG48,AG$2:AG$111,0))&gt;0,_xlfn.MAXIFS(AH$1:AH47,AG$1:AG47,AG48)+1,_xlfn.RANK.EQ(AG48,AG$2:AG$111,0)),"")</f>
        <v/>
      </c>
      <c r="AI48" s="1" t="str">
        <f>IF(ISNUMBER(AG48)=TRUE,IF(_xlfn.RANK.EQ(AG48,$AG$2:$AG$111)&lt;='Tournament Setup'!$B$30,_xlfn.RANK.EQ(AG48,$AG$2:$AG$111),""),"")</f>
        <v/>
      </c>
      <c r="AJ48" s="31" t="str">
        <f>IF(AND($F48='Tournament Setup'!$A$30,SUM($O48,$Q48)=0,$E48="M",$AI48&gt;'Tournament Setup'!$B$30),$H48,"")</f>
        <v/>
      </c>
      <c r="AK48" s="1" t="str">
        <f>IF(ISNUMBER(AJ48)=TRUE,IF(_xlfn.RANK.EQ(AJ48,$AJ$2:$AJ$111)&lt;='Tournament Setup'!$C$30,_xlfn.RANK.EQ(AJ48,$AJ$2:$AJ$111),""),"")</f>
        <v/>
      </c>
      <c r="AL48" s="31" t="str">
        <f>IF(AND($F48='Tournament Setup'!$A$30,SUM($O48,$S48)=0,$E48="F",$AI48&gt;'Tournament Setup'!$B$30),$H48,"")</f>
        <v/>
      </c>
      <c r="AM48" s="12" t="str">
        <f>IF(ISNUMBER(AL48)=TRUE,IF(_xlfn.RANK.EQ(AL48,$AL$2:$AL$111)&lt;='Tournament Setup'!$D$30,_xlfn.RANK.EQ(AL48,$AL$2:$AL$111),""),"")</f>
        <v/>
      </c>
      <c r="AN48" s="30" t="str">
        <f>IF(AND($F48='Tournament Setup'!$A$31,$I48&lt;&gt;0),$I48,"")</f>
        <v/>
      </c>
      <c r="AO48" s="47" t="str">
        <f>IF(ISNUMBER(AN48),IF(COUNTIFS(AO$1:AO47,_xlfn.RANK.EQ(AN48,AN$2:AN$111,0))&gt;0,_xlfn.MAXIFS(AO$1:AO47,AN$1:AN47,AN48)+1,_xlfn.RANK.EQ(AN48,AN$2:AN$111,0)),"")</f>
        <v/>
      </c>
      <c r="AP48" s="1" t="str">
        <f>IF(ISNUMBER(AN48)=TRUE,IF(_xlfn.RANK.EQ(AN48,$AN$2:$AN$111)&lt;='Tournament Setup'!$B$46,_xlfn.RANK.EQ(AN48,$AN$2:$AN$111),""),"")</f>
        <v/>
      </c>
      <c r="AQ48" s="30" t="str">
        <f>IF(AND($F48='Tournament Setup'!$A$31,SUM($O48,$Q48,$S48)=0),$H48,"")</f>
        <v/>
      </c>
      <c r="AR48" s="47" t="str">
        <f>IF(ISNUMBER(AQ48),IF(COUNTIFS(AR$1:AR47,_xlfn.RANK.EQ(AQ48,AQ$2:AQ$111,0))&gt;0,_xlfn.MAXIFS(AR$1:AR47,AQ$1:AQ47,AQ48)+1,_xlfn.RANK.EQ(AQ48,AQ$2:AQ$111,0)),"")</f>
        <v/>
      </c>
      <c r="AS48" s="1" t="str">
        <f>IF(ISNUMBER(AQ48)=TRUE,IF(_xlfn.RANK.EQ(AQ48,$AQ$2:$AQ$111)&lt;='Tournament Setup'!$B$31,_xlfn.RANK.EQ(AQ48,$AQ$2:$AQ$111),""),"")</f>
        <v/>
      </c>
      <c r="AT48" s="31" t="str">
        <f>IF(AND($F48='Tournament Setup'!$A$31,SUM($O48,$Q48)=0,$E48="M",$AS48&gt;'Tournament Setup'!$B$31),$H48,"")</f>
        <v/>
      </c>
      <c r="AU48" s="1" t="str">
        <f>IF(ISNUMBER(AT48)=TRUE,IF(_xlfn.RANK.EQ(AT48,$AT$2:$AT$111)&lt;='Tournament Setup'!$C$31,_xlfn.RANK.EQ(AT48,$AT$2:$AT$111),""),"")</f>
        <v/>
      </c>
      <c r="AV48" s="31" t="str">
        <f>IF(AND($F48='Tournament Setup'!$A$31,SUM($O48,$S48)=0,$E48="F",$AS48&gt;'Tournament Setup'!$B$31),$H48,"")</f>
        <v/>
      </c>
      <c r="AW48" s="12" t="str">
        <f>IF(ISNUMBER(AV48)=TRUE,IF(_xlfn.RANK.EQ(AV48,$AV$2:$AV$111)&lt;='Tournament Setup'!$D$31,_xlfn.RANK.EQ(AV48,$AV$2:$AV$111),""),"")</f>
        <v/>
      </c>
      <c r="AX48" s="30" t="str">
        <f>IF(AND($F48='Tournament Setup'!$A$32,$I48&lt;&gt;0),$I48,"")</f>
        <v/>
      </c>
      <c r="AY48" s="47" t="str">
        <f>IF(ISNUMBER(AX48),IF(COUNTIFS(AY$1:AY47,_xlfn.RANK.EQ(AX48,AX$2:AX$111,0))&gt;0,_xlfn.MAXIFS(AY$1:AY47,AX$1:AX47,AX48)+1,_xlfn.RANK.EQ(AX48,AX$2:AX$111,0)),"")</f>
        <v/>
      </c>
      <c r="AZ48" s="1" t="str">
        <f>IF(ISNUMBER(AX48)=TRUE,IF(_xlfn.RANK.EQ(AX48,$AX$2:$AX$111)&lt;='Tournament Setup'!$B$46,_xlfn.RANK.EQ(AX48,$AX$2:$AX$111),""),"")</f>
        <v/>
      </c>
      <c r="BA48" s="30" t="str">
        <f>IF(AND($F48='Tournament Setup'!$A$32,SUM($O48,$Q48,$S48)=0),$H48,"")</f>
        <v/>
      </c>
      <c r="BB48" s="47" t="str">
        <f>IF(ISNUMBER(BA48),IF(COUNTIFS(BB$1:BB47,_xlfn.RANK.EQ(BA48,BA$2:BA$111,0))&gt;0,_xlfn.MAXIFS(BB$1:BB47,BA$1:BA47,BA48)+1,_xlfn.RANK.EQ(BA48,BA$2:BA$111,0)),"")</f>
        <v/>
      </c>
      <c r="BC48" s="1" t="str">
        <f>IF(ISNUMBER(BA48)=TRUE,IF(_xlfn.RANK.EQ(BA48,$BA$2:$BA$111)&lt;='Tournament Setup'!$B$32,_xlfn.RANK.EQ(BA48,$BA$2:$BA$111),""),"")</f>
        <v/>
      </c>
      <c r="BD48" s="31" t="str">
        <f>IF(AND($F48='Tournament Setup'!$A$32,SUM($O48,$Q48)=0,$E48="M",$BC48&gt;'Tournament Setup'!$B$32),$H48,"")</f>
        <v/>
      </c>
      <c r="BE48" s="1" t="str">
        <f>IF(ISNUMBER(BD48)=TRUE,IF(_xlfn.RANK.EQ(BD48,$BD$2:$BD$111)&lt;='Tournament Setup'!$C$32,_xlfn.RANK.EQ(BD48,$BD$2:$BD$111),""),"")</f>
        <v/>
      </c>
      <c r="BF48" s="31" t="str">
        <f>IF(AND($F48='Tournament Setup'!$A$32,SUM($O48,$S48)=0,$E48="F",$BC48&gt;'Tournament Setup'!$B$32),$H48,"")</f>
        <v/>
      </c>
      <c r="BG48" s="12" t="str">
        <f>IF(ISNUMBER(BF48)=TRUE,IF(_xlfn.RANK.EQ(BF48,$BF$2:$BF$111)&lt;='Tournament Setup'!$D$32,_xlfn.RANK.EQ(BF48,$BF$2:$BF$111),""),"")</f>
        <v/>
      </c>
      <c r="BH48" s="30" t="str">
        <f>IF(AND($F48='Tournament Setup'!$A$33,$I48&lt;&gt;0),$I48,"")</f>
        <v/>
      </c>
      <c r="BI48" s="47" t="str">
        <f>IF(ISNUMBER(BH48),IF(COUNTIFS(BI$1:BI47,_xlfn.RANK.EQ(BH48,BH$2:BH$111,0))&gt;0,_xlfn.MAXIFS(BI$1:BI47,BH$1:BH47,BH48)+1,_xlfn.RANK.EQ(BH48,BH$2:BH$111,0)),"")</f>
        <v/>
      </c>
      <c r="BJ48" s="1" t="str">
        <f>IF(ISNUMBER(BH48)=TRUE,IF(_xlfn.RANK.EQ(BH48,$BH$2:$BH$111)&lt;='Tournament Setup'!$B$46,_xlfn.RANK.EQ(BH48,$BH$2:$BH$111),""),"")</f>
        <v/>
      </c>
      <c r="BK48" s="30" t="str">
        <f>IF(AND($F48='Tournament Setup'!$A$33,SUM($O48,$Q48,$S48)=0),$H48,"")</f>
        <v/>
      </c>
      <c r="BL48" s="47" t="str">
        <f>IF(ISNUMBER(BK48),IF(COUNTIFS(BL$1:BL47,_xlfn.RANK.EQ(BK48,BK$2:BK$111,0))&gt;0,_xlfn.MAXIFS(BL$1:BL47,BK$1:BK47,BK48)+1,_xlfn.RANK.EQ(BK48,BK$2:BK$111,0)),"")</f>
        <v/>
      </c>
      <c r="BM48" s="1" t="str">
        <f>IF(ISNUMBER(BK48)=TRUE,IF(_xlfn.RANK.EQ(BK48,$BK$2:$BK$111)&lt;='Tournament Setup'!$B$33,_xlfn.RANK.EQ(BK48,$BK$2:$BK$111),""),"")</f>
        <v/>
      </c>
      <c r="BN48" s="31" t="str">
        <f>IF(AND($F48='Tournament Setup'!$A$33,SUM($O48,$Q48)=0,$E48="M",$BM48&gt;'Tournament Setup'!$B$33),$H48,"")</f>
        <v/>
      </c>
      <c r="BO48" s="1" t="str">
        <f>IF(ISNUMBER(BN48)=TRUE,IF(_xlfn.RANK.EQ(BN48,$BN$2:$BN$111)&lt;='Tournament Setup'!$C$33,_xlfn.RANK.EQ(BN48,$BN$2:$BN$111),""),"")</f>
        <v/>
      </c>
      <c r="BP48" s="31" t="str">
        <f>IF(AND($F48='Tournament Setup'!$A$33,SUM($O48,$S48)=0,$E48="F",$BM48&gt;'Tournament Setup'!$B$33),$H48,"")</f>
        <v/>
      </c>
      <c r="BQ48" s="12" t="str">
        <f>IF(ISNUMBER(BP48)=TRUE,IF(_xlfn.RANK.EQ(BP48,$BP$2:$BP$111)&lt;='Tournament Setup'!$D$33,_xlfn.RANK.EQ(BP48,$BP$2:$BP$111),""),"")</f>
        <v/>
      </c>
      <c r="BR48" s="30">
        <f>IF($G48='Tournament Setup'!$A$38,$H48,"")</f>
        <v>65</v>
      </c>
      <c r="BS48" s="47">
        <f>IF(ISNUMBER(BR48),IF(COUNTIFS(BS$1:BS47,_xlfn.RANK.EQ(BR48,BR$2:BR$111,0))&gt;0,_xlfn.MAXIFS(BS$1:BS47,BR$1:BR47,BR48)+1,_xlfn.RANK.EQ(BR48,BR$2:BR$111,0)),"")</f>
        <v>7</v>
      </c>
      <c r="BT48" s="1" t="str">
        <f>IF(ISNUMBER(BR48)=TRUE,IF(_xlfn.RANK.EQ(BR48,$BR$2:$BR$111)&lt;='Tournament Setup'!$B$38,_xlfn.RANK.EQ(BR48,$BR$2:$BR$111),""),"")</f>
        <v/>
      </c>
      <c r="BU48" s="31">
        <f>IF(AND($G48='Tournament Setup'!$A$38,$E48="M",$BT48&gt;'Tournament Setup'!$B$38),$H48,"")</f>
        <v>65</v>
      </c>
      <c r="BV48" s="1" t="str">
        <f>IF(ISNUMBER(BU48)=TRUE,IF(_xlfn.RANK.EQ(BU48,$BU$2:$BU$111)&lt;='Tournament Setup'!$C$38,_xlfn.RANK.EQ(BU48,$BU$2:$BU$111),""),"")</f>
        <v/>
      </c>
      <c r="BW48" s="31" t="str">
        <f>IF(AND($G48='Tournament Setup'!$A$38,$E48="F",$BT48&gt;'Tournament Setup'!$B$38),$H48,"")</f>
        <v/>
      </c>
      <c r="BX48" s="12" t="str">
        <f>IF(ISNUMBER(BW48)=TRUE,IF(_xlfn.RANK.EQ(BW48,$BW$2:$BW$111)&lt;='Tournament Setup'!$D$38,_xlfn.RANK.EQ(BW48,$BW$2:$BW$111),""),"")</f>
        <v/>
      </c>
      <c r="BY48" s="30" t="str">
        <f>IF($G48='Tournament Setup'!$A$39,$H48,"")</f>
        <v/>
      </c>
      <c r="BZ48" s="47" t="str">
        <f>IF(ISNUMBER(BY48),IF(COUNTIFS(BZ$1:BZ47,_xlfn.RANK.EQ(BY48,BY$2:BY$111,0))&gt;0,_xlfn.MAXIFS(BZ$1:BZ47,BY$1:BY47,BY48)+1,_xlfn.RANK.EQ(BY48,BY$2:BY$111,0)),"")</f>
        <v/>
      </c>
      <c r="CA48" s="1" t="str">
        <f>IF(ISNUMBER(BY48)=TRUE,IF(_xlfn.RANK.EQ(BY48,$BY$2:$BY$111)&lt;='Tournament Setup'!$B$39,_xlfn.RANK.EQ(BY48,$BY$2:$BY$111),""),"")</f>
        <v/>
      </c>
      <c r="CB48" s="31" t="str">
        <f>IF(AND($G48='Tournament Setup'!$A$39,$E48="M",$CA48&gt;'Tournament Setup'!$B$39),$H48,"")</f>
        <v/>
      </c>
      <c r="CC48" s="1" t="str">
        <f>IF(ISNUMBER(CB48)=TRUE,IF(_xlfn.RANK.EQ(CB48,$CB$2:$CB$111)&lt;='Tournament Setup'!$C$39,_xlfn.RANK.EQ(CB48,$CB$2:$CB$111),""),"")</f>
        <v/>
      </c>
      <c r="CD48" s="31" t="str">
        <f>IF(AND($G48='Tournament Setup'!$A$39,$E48="F",$CA48&gt;'Tournament Setup'!$B$39),$H48,"")</f>
        <v/>
      </c>
      <c r="CE48" s="12" t="str">
        <f>IF(ISNUMBER(CD48)=TRUE,IF(_xlfn.RANK.EQ(CD48,$CD$2:$CD$111)&lt;='Tournament Setup'!$D$39,_xlfn.RANK.EQ(CD48,$CD$2:$CD$111),""),"")</f>
        <v/>
      </c>
      <c r="CF48" s="30" t="str">
        <f>IF($G48='Tournament Setup'!$A$40,$H48,"")</f>
        <v/>
      </c>
      <c r="CG48" s="47" t="str">
        <f>IF(ISNUMBER(CF48),IF(COUNTIFS(CG$1:CG47,_xlfn.RANK.EQ(CF48,CF$2:CF$111,0))&gt;0,_xlfn.MAXIFS(CG$1:CG47,CF$1:CF47,CF48)+1,_xlfn.RANK.EQ(CF48,CF$2:CF$111,0)),"")</f>
        <v/>
      </c>
      <c r="CH48" s="1" t="str">
        <f>IF(ISNUMBER(CF48)=TRUE,IF(_xlfn.RANK.EQ(CF48,$CF$2:$CF$111)&lt;='Tournament Setup'!$B$40,_xlfn.RANK.EQ(CF48,$CF$2:$CF$111),""),"")</f>
        <v/>
      </c>
      <c r="CI48" s="31" t="str">
        <f>IF(AND($G48='Tournament Setup'!$A$40,$E48="M",$CH48&gt;'Tournament Setup'!$B$40),$H48,"")</f>
        <v/>
      </c>
      <c r="CJ48" s="1" t="str">
        <f>IF(ISNUMBER(CI48)=TRUE,IF(_xlfn.RANK.EQ(CI48,$CI$2:$CI$111)&lt;='Tournament Setup'!$C$40,_xlfn.RANK.EQ(CI48,$CI$2:$CI$111),""),"")</f>
        <v/>
      </c>
      <c r="CK48" s="31" t="str">
        <f>IF(AND($G48='Tournament Setup'!$A$40,$E48="F",$CH48&gt;'Tournament Setup'!$B$40),$H48,"")</f>
        <v/>
      </c>
      <c r="CL48" s="12" t="str">
        <f>IF(ISNUMBER(CK48)=TRUE,IF(_xlfn.RANK.EQ(CK48,$CK$2:$CK$111)&lt;='Tournament Setup'!$D$40,_xlfn.RANK.EQ(CK48,$CK$2:$CK$111),""),"")</f>
        <v/>
      </c>
      <c r="CM48" s="30" t="str">
        <f>IF($G48='Tournament Setup'!$A$41,$H48,"")</f>
        <v/>
      </c>
      <c r="CN48" s="47" t="str">
        <f>IF(ISNUMBER(CM48),IF(COUNTIFS(CN$1:CN47,_xlfn.RANK.EQ(CM48,CM$2:CM$111,0))&gt;0,_xlfn.MAXIFS(CN$1:CN47,CM$1:CM47,CM48)+1,_xlfn.RANK.EQ(CM48,CM$2:CM$111,0)),"")</f>
        <v/>
      </c>
      <c r="CO48" s="1" t="str">
        <f>IF(ISNUMBER(CM48)=TRUE,IF(_xlfn.RANK.EQ(CM48,$CM$2:$CM$111)&lt;='Tournament Setup'!$B$41,_xlfn.RANK.EQ(CM48,$CM$2:$CM$111),""),"")</f>
        <v/>
      </c>
      <c r="CP48" s="31" t="str">
        <f>IF(AND($G48='Tournament Setup'!$A$41,$E48="M",$CO48&gt;'Tournament Setup'!$B$41),$H48,"")</f>
        <v/>
      </c>
      <c r="CQ48" s="1" t="str">
        <f>IF(ISNUMBER(CP48)=TRUE,IF(_xlfn.RANK.EQ(CP48,$CP$2:$CP$111)&lt;='Tournament Setup'!$C$41,_xlfn.RANK.EQ(CP48,$CP$2:$CP$111),""),"")</f>
        <v/>
      </c>
      <c r="CR48" s="31" t="str">
        <f>IF(AND($G48='Tournament Setup'!$A$41,$E48="F",$CO48&gt;'Tournament Setup'!$B$41),$H48,"")</f>
        <v/>
      </c>
      <c r="CS48" s="12" t="str">
        <f>IF(ISNUMBER(CR48)=TRUE,IF(_xlfn.RANK.EQ(CR48,$CR$2:$CR$111)&lt;='Tournament Setup'!$D$41,_xlfn.RANK.EQ(CR48,$CR$2:$CR$111),""),"")</f>
        <v/>
      </c>
    </row>
    <row r="49" spans="1:97" x14ac:dyDescent="0.3">
      <c r="A49" t="s">
        <v>250</v>
      </c>
      <c r="B49" t="str">
        <f>IFERROR(INDEX('Tournament List'!$B:$B,MATCH($A49,'Tournament List'!$A:$A,0)),"")</f>
        <v>Jackson</v>
      </c>
      <c r="C49" t="str">
        <f>IFERROR(INDEX('Tournament List'!$C:$C,MATCH($A49,'Tournament List'!$A:$A,0)),"")</f>
        <v>Last Name48</v>
      </c>
      <c r="D49" t="str">
        <f t="shared" si="5"/>
        <v>Jackson Last Name48</v>
      </c>
      <c r="E49" s="1" t="str">
        <f>IFERROR(INDEX('Tournament List'!F:F,MATCH($A49,'Tournament List'!$A:$A,0)),"")</f>
        <v>M</v>
      </c>
      <c r="F49" t="str">
        <f>IFERROR(INDEX('Tournament List'!M:M,MATCH($A49,'Tournament List'!$A:$A,0)),"")</f>
        <v>Novice</v>
      </c>
      <c r="G49" s="1" t="str">
        <f>IFERROR(INDEX('Tournament List'!W:W,MATCH($A49,'Tournament List'!$A:$A,0)),"")</f>
        <v>D</v>
      </c>
      <c r="H49" s="129">
        <f>IFERROR(INDEX('Tournament List'!Z:Z,MATCH($A49,'Tournament List'!$A:$A,0)),"")</f>
        <v>51</v>
      </c>
      <c r="I49" s="152" t="str">
        <f>IFERROR(INDEX('Tournament List'!T:T,MATCH($A49,'Tournament List'!$A:$A,0)),"")</f>
        <v/>
      </c>
      <c r="J49" s="56" t="str">
        <f>IF(ISNUMBER(I49),IF(COUNTIFS(J$1:J48,_xlfn.RANK.EQ(I49,I$2:I$111,0))&gt;0,_xlfn.MAXIFS(J$1:J48,I$1:I48,I49)+1,_xlfn.RANK.EQ(I49,I$2:I$111,0)),"")</f>
        <v/>
      </c>
      <c r="K49" s="11">
        <f t="shared" si="6"/>
        <v>39</v>
      </c>
      <c r="L49" s="56">
        <f>IF(ISNUMBER(H49),IF(COUNTIFS(L$1:L48,_xlfn.RANK.EQ(H49,H$2:H$111,0))&gt;0,_xlfn.MAXIFS(L$1:L48,H$1:H48,H49)+1,_xlfn.RANK.EQ(H49,H$2:H$111,0)),"")</f>
        <v>41</v>
      </c>
      <c r="M49" s="151">
        <f t="shared" si="7"/>
        <v>51</v>
      </c>
      <c r="N49" s="47">
        <f>IF(ISNUMBER(M49),IF(COUNTIFS(N$1:N48,_xlfn.RANK.EQ(M49,M$2:M$111,0))&gt;0,_xlfn.MAXIFS(N$1:N48,M$1:M48,M49)+1,_xlfn.RANK.EQ(M49,M$2:M$111,0)),"")</f>
        <v>38</v>
      </c>
      <c r="O49" s="1" t="str">
        <f>IF(ISNUMBER(M49)=TRUE,IF(_xlfn.RANK.EQ(M49,$M$2:$M$111)&lt;='Tournament Setup'!$B$23,_xlfn.RANK.EQ(M49,$M$2:$M$111),""),"")</f>
        <v/>
      </c>
      <c r="P49" s="150">
        <f t="shared" si="8"/>
        <v>51</v>
      </c>
      <c r="Q49" s="1" t="str">
        <f>IF(ISNUMBER(P49)=TRUE,IF(_xlfn.RANK.EQ(P49,$P$2:$P$111)&lt;='Tournament Setup'!$B$24,_xlfn.RANK.EQ(P49,$P$2:$P$111),""),"")</f>
        <v/>
      </c>
      <c r="R49" s="150" t="str">
        <f t="shared" si="9"/>
        <v/>
      </c>
      <c r="S49" s="12" t="str">
        <f>IF(ISNUMBER(R49)=TRUE,IF(_xlfn.RANK.EQ(R49,$R$2:$R$111)&lt;='Tournament Setup'!$B$25,_xlfn.RANK.EQ(R49,$R$2:$R$111),""),"")</f>
        <v/>
      </c>
      <c r="T49" s="152" t="str">
        <f>IF(AND($F49='Tournament Setup'!$A$29,$I49&lt;&gt;0),$I49,"")</f>
        <v/>
      </c>
      <c r="U49" s="47" t="str">
        <f>IF(ISNUMBER(T49),IF(COUNTIFS(U$1:U48,_xlfn.RANK.EQ(T49,T$2:T$111,0))&gt;0,_xlfn.MAXIFS(U$1:U48,T$1:T48,T49)+1,_xlfn.RANK.EQ(T49,T$2:T$111,0)),"")</f>
        <v/>
      </c>
      <c r="V49" s="1" t="str">
        <f>IF(ISNUMBER(T49)=TRUE,IF(_xlfn.RANK.EQ(T49,$T$3:$T$112)&lt;='Tournament Setup'!$B$46,_xlfn.RANK.EQ(T49,$T$2:$T$111),""),"")</f>
        <v/>
      </c>
      <c r="W49" s="30">
        <f>IF(AND($F49='Tournament Setup'!$A$29,SUM($O49,$Q49,$S49)=0),$H49,"")</f>
        <v>51</v>
      </c>
      <c r="X49" s="47">
        <f>IF(ISNUMBER(W49),IF(COUNTIFS(X$1:X48,_xlfn.RANK.EQ(W49,W$2:W$111,0))&gt;0,_xlfn.MAXIFS(X$1:X48,W$1:W48,W49)+1,_xlfn.RANK.EQ(W49,W$2:W$111,0)),"")</f>
        <v>12</v>
      </c>
      <c r="Y49" s="1" t="str">
        <f>IF(ISNUMBER(W49)=TRUE,IF(_xlfn.RANK.EQ(W49,$W$2:$W$111)&lt;='Tournament Setup'!$B$29,_xlfn.RANK.EQ(W49,$W$2:$W$111),""),"")</f>
        <v/>
      </c>
      <c r="Z49" s="31">
        <f>IF(AND($F49='Tournament Setup'!$A$29,SUM($O49,$Q49)=0,$E49="M",$Y49&gt;'Tournament Setup'!$B$29),$H49,"")</f>
        <v>51</v>
      </c>
      <c r="AA49" s="1" t="str">
        <f>IF(ISNUMBER(Z49)=TRUE,IF(_xlfn.RANK.EQ(Z49,$Z$2:$Z$111)&lt;='Tournament Setup'!$C$29,_xlfn.RANK.EQ(Z49,$Z$2:$Z$111),""),"")</f>
        <v/>
      </c>
      <c r="AB49" s="31" t="str">
        <f>IF(AND($F49='Tournament Setup'!$A$29,SUM($O49,$S49)=0,$E49="F",$Y49&gt;'Tournament Setup'!$B$29),$H49,"")</f>
        <v/>
      </c>
      <c r="AC49" s="12" t="str">
        <f>IF(ISNUMBER(AB49)=TRUE,IF(_xlfn.RANK.EQ(AB49,$AB$2:$AB$111)&lt;='Tournament Setup'!$D$29,_xlfn.RANK.EQ(AB49,$AB$2:$AB$111),""),"")</f>
        <v/>
      </c>
      <c r="AD49" s="30" t="str">
        <f>IF(AND($F49='Tournament Setup'!$A$30,$I49&lt;&gt;0),$I49,"")</f>
        <v/>
      </c>
      <c r="AE49" s="47" t="str">
        <f>IF(ISNUMBER(AD49),IF(COUNTIFS(AE$1:AE48,_xlfn.RANK.EQ(AD49,AD$2:AD$111,0))&gt;0,_xlfn.MAXIFS(AE$1:AE48,AD$1:AD48,AD49)+1,_xlfn.RANK.EQ(AD49,AD$2:AD$111,0)),"")</f>
        <v/>
      </c>
      <c r="AF49" s="1" t="str">
        <f>IF(ISNUMBER(AD49)=TRUE,IF(_xlfn.RANK.EQ(AD49,$AD$2:$AD$111)&lt;='Tournament Setup'!$B$46,_xlfn.RANK.EQ(AD49,$AD$2:$AD$111),""),"")</f>
        <v/>
      </c>
      <c r="AG49" s="30" t="str">
        <f>IF(AND($F49='Tournament Setup'!$A$30,SUM($O49,$Q49,$S49)=0),$H49,"")</f>
        <v/>
      </c>
      <c r="AH49" s="47" t="str">
        <f>IF(ISNUMBER(AG49),IF(COUNTIFS(AH$1:AH48,_xlfn.RANK.EQ(AG49,AG$2:AG$111,0))&gt;0,_xlfn.MAXIFS(AH$1:AH48,AG$1:AG48,AG49)+1,_xlfn.RANK.EQ(AG49,AG$2:AG$111,0)),"")</f>
        <v/>
      </c>
      <c r="AI49" s="1" t="str">
        <f>IF(ISNUMBER(AG49)=TRUE,IF(_xlfn.RANK.EQ(AG49,$AG$2:$AG$111)&lt;='Tournament Setup'!$B$30,_xlfn.RANK.EQ(AG49,$AG$2:$AG$111),""),"")</f>
        <v/>
      </c>
      <c r="AJ49" s="31" t="str">
        <f>IF(AND($F49='Tournament Setup'!$A$30,SUM($O49,$Q49)=0,$E49="M",$AI49&gt;'Tournament Setup'!$B$30),$H49,"")</f>
        <v/>
      </c>
      <c r="AK49" s="1" t="str">
        <f>IF(ISNUMBER(AJ49)=TRUE,IF(_xlfn.RANK.EQ(AJ49,$AJ$2:$AJ$111)&lt;='Tournament Setup'!$C$30,_xlfn.RANK.EQ(AJ49,$AJ$2:$AJ$111),""),"")</f>
        <v/>
      </c>
      <c r="AL49" s="31" t="str">
        <f>IF(AND($F49='Tournament Setup'!$A$30,SUM($O49,$S49)=0,$E49="F",$AI49&gt;'Tournament Setup'!$B$30),$H49,"")</f>
        <v/>
      </c>
      <c r="AM49" s="12" t="str">
        <f>IF(ISNUMBER(AL49)=TRUE,IF(_xlfn.RANK.EQ(AL49,$AL$2:$AL$111)&lt;='Tournament Setup'!$D$30,_xlfn.RANK.EQ(AL49,$AL$2:$AL$111),""),"")</f>
        <v/>
      </c>
      <c r="AN49" s="30" t="str">
        <f>IF(AND($F49='Tournament Setup'!$A$31,$I49&lt;&gt;0),$I49,"")</f>
        <v/>
      </c>
      <c r="AO49" s="47" t="str">
        <f>IF(ISNUMBER(AN49),IF(COUNTIFS(AO$1:AO48,_xlfn.RANK.EQ(AN49,AN$2:AN$111,0))&gt;0,_xlfn.MAXIFS(AO$1:AO48,AN$1:AN48,AN49)+1,_xlfn.RANK.EQ(AN49,AN$2:AN$111,0)),"")</f>
        <v/>
      </c>
      <c r="AP49" s="1" t="str">
        <f>IF(ISNUMBER(AN49)=TRUE,IF(_xlfn.RANK.EQ(AN49,$AN$2:$AN$111)&lt;='Tournament Setup'!$B$46,_xlfn.RANK.EQ(AN49,$AN$2:$AN$111),""),"")</f>
        <v/>
      </c>
      <c r="AQ49" s="30" t="str">
        <f>IF(AND($F49='Tournament Setup'!$A$31,SUM($O49,$Q49,$S49)=0),$H49,"")</f>
        <v/>
      </c>
      <c r="AR49" s="47" t="str">
        <f>IF(ISNUMBER(AQ49),IF(COUNTIFS(AR$1:AR48,_xlfn.RANK.EQ(AQ49,AQ$2:AQ$111,0))&gt;0,_xlfn.MAXIFS(AR$1:AR48,AQ$1:AQ48,AQ49)+1,_xlfn.RANK.EQ(AQ49,AQ$2:AQ$111,0)),"")</f>
        <v/>
      </c>
      <c r="AS49" s="1" t="str">
        <f>IF(ISNUMBER(AQ49)=TRUE,IF(_xlfn.RANK.EQ(AQ49,$AQ$2:$AQ$111)&lt;='Tournament Setup'!$B$31,_xlfn.RANK.EQ(AQ49,$AQ$2:$AQ$111),""),"")</f>
        <v/>
      </c>
      <c r="AT49" s="31" t="str">
        <f>IF(AND($F49='Tournament Setup'!$A$31,SUM($O49,$Q49)=0,$E49="M",$AS49&gt;'Tournament Setup'!$B$31),$H49,"")</f>
        <v/>
      </c>
      <c r="AU49" s="1" t="str">
        <f>IF(ISNUMBER(AT49)=TRUE,IF(_xlfn.RANK.EQ(AT49,$AT$2:$AT$111)&lt;='Tournament Setup'!$C$31,_xlfn.RANK.EQ(AT49,$AT$2:$AT$111),""),"")</f>
        <v/>
      </c>
      <c r="AV49" s="31" t="str">
        <f>IF(AND($F49='Tournament Setup'!$A$31,SUM($O49,$S49)=0,$E49="F",$AS49&gt;'Tournament Setup'!$B$31),$H49,"")</f>
        <v/>
      </c>
      <c r="AW49" s="12" t="str">
        <f>IF(ISNUMBER(AV49)=TRUE,IF(_xlfn.RANK.EQ(AV49,$AV$2:$AV$111)&lt;='Tournament Setup'!$D$31,_xlfn.RANK.EQ(AV49,$AV$2:$AV$111),""),"")</f>
        <v/>
      </c>
      <c r="AX49" s="30" t="str">
        <f>IF(AND($F49='Tournament Setup'!$A$32,$I49&lt;&gt;0),$I49,"")</f>
        <v/>
      </c>
      <c r="AY49" s="47" t="str">
        <f>IF(ISNUMBER(AX49),IF(COUNTIFS(AY$1:AY48,_xlfn.RANK.EQ(AX49,AX$2:AX$111,0))&gt;0,_xlfn.MAXIFS(AY$1:AY48,AX$1:AX48,AX49)+1,_xlfn.RANK.EQ(AX49,AX$2:AX$111,0)),"")</f>
        <v/>
      </c>
      <c r="AZ49" s="1" t="str">
        <f>IF(ISNUMBER(AX49)=TRUE,IF(_xlfn.RANK.EQ(AX49,$AX$2:$AX$111)&lt;='Tournament Setup'!$B$46,_xlfn.RANK.EQ(AX49,$AX$2:$AX$111),""),"")</f>
        <v/>
      </c>
      <c r="BA49" s="30" t="str">
        <f>IF(AND($F49='Tournament Setup'!$A$32,SUM($O49,$Q49,$S49)=0),$H49,"")</f>
        <v/>
      </c>
      <c r="BB49" s="47" t="str">
        <f>IF(ISNUMBER(BA49),IF(COUNTIFS(BB$1:BB48,_xlfn.RANK.EQ(BA49,BA$2:BA$111,0))&gt;0,_xlfn.MAXIFS(BB$1:BB48,BA$1:BA48,BA49)+1,_xlfn.RANK.EQ(BA49,BA$2:BA$111,0)),"")</f>
        <v/>
      </c>
      <c r="BC49" s="1" t="str">
        <f>IF(ISNUMBER(BA49)=TRUE,IF(_xlfn.RANK.EQ(BA49,$BA$2:$BA$111)&lt;='Tournament Setup'!$B$32,_xlfn.RANK.EQ(BA49,$BA$2:$BA$111),""),"")</f>
        <v/>
      </c>
      <c r="BD49" s="31" t="str">
        <f>IF(AND($F49='Tournament Setup'!$A$32,SUM($O49,$Q49)=0,$E49="M",$BC49&gt;'Tournament Setup'!$B$32),$H49,"")</f>
        <v/>
      </c>
      <c r="BE49" s="1" t="str">
        <f>IF(ISNUMBER(BD49)=TRUE,IF(_xlfn.RANK.EQ(BD49,$BD$2:$BD$111)&lt;='Tournament Setup'!$C$32,_xlfn.RANK.EQ(BD49,$BD$2:$BD$111),""),"")</f>
        <v/>
      </c>
      <c r="BF49" s="31" t="str">
        <f>IF(AND($F49='Tournament Setup'!$A$32,SUM($O49,$S49)=0,$E49="F",$BC49&gt;'Tournament Setup'!$B$32),$H49,"")</f>
        <v/>
      </c>
      <c r="BG49" s="12" t="str">
        <f>IF(ISNUMBER(BF49)=TRUE,IF(_xlfn.RANK.EQ(BF49,$BF$2:$BF$111)&lt;='Tournament Setup'!$D$32,_xlfn.RANK.EQ(BF49,$BF$2:$BF$111),""),"")</f>
        <v/>
      </c>
      <c r="BH49" s="30" t="str">
        <f>IF(AND($F49='Tournament Setup'!$A$33,$I49&lt;&gt;0),$I49,"")</f>
        <v/>
      </c>
      <c r="BI49" s="47" t="str">
        <f>IF(ISNUMBER(BH49),IF(COUNTIFS(BI$1:BI48,_xlfn.RANK.EQ(BH49,BH$2:BH$111,0))&gt;0,_xlfn.MAXIFS(BI$1:BI48,BH$1:BH48,BH49)+1,_xlfn.RANK.EQ(BH49,BH$2:BH$111,0)),"")</f>
        <v/>
      </c>
      <c r="BJ49" s="1" t="str">
        <f>IF(ISNUMBER(BH49)=TRUE,IF(_xlfn.RANK.EQ(BH49,$BH$2:$BH$111)&lt;='Tournament Setup'!$B$46,_xlfn.RANK.EQ(BH49,$BH$2:$BH$111),""),"")</f>
        <v/>
      </c>
      <c r="BK49" s="30" t="str">
        <f>IF(AND($F49='Tournament Setup'!$A$33,SUM($O49,$Q49,$S49)=0),$H49,"")</f>
        <v/>
      </c>
      <c r="BL49" s="47" t="str">
        <f>IF(ISNUMBER(BK49),IF(COUNTIFS(BL$1:BL48,_xlfn.RANK.EQ(BK49,BK$2:BK$111,0))&gt;0,_xlfn.MAXIFS(BL$1:BL48,BK$1:BK48,BK49)+1,_xlfn.RANK.EQ(BK49,BK$2:BK$111,0)),"")</f>
        <v/>
      </c>
      <c r="BM49" s="1" t="str">
        <f>IF(ISNUMBER(BK49)=TRUE,IF(_xlfn.RANK.EQ(BK49,$BK$2:$BK$111)&lt;='Tournament Setup'!$B$33,_xlfn.RANK.EQ(BK49,$BK$2:$BK$111),""),"")</f>
        <v/>
      </c>
      <c r="BN49" s="31" t="str">
        <f>IF(AND($F49='Tournament Setup'!$A$33,SUM($O49,$Q49)=0,$E49="M",$BM49&gt;'Tournament Setup'!$B$33),$H49,"")</f>
        <v/>
      </c>
      <c r="BO49" s="1" t="str">
        <f>IF(ISNUMBER(BN49)=TRUE,IF(_xlfn.RANK.EQ(BN49,$BN$2:$BN$111)&lt;='Tournament Setup'!$C$33,_xlfn.RANK.EQ(BN49,$BN$2:$BN$111),""),"")</f>
        <v/>
      </c>
      <c r="BP49" s="31" t="str">
        <f>IF(AND($F49='Tournament Setup'!$A$33,SUM($O49,$S49)=0,$E49="F",$BM49&gt;'Tournament Setup'!$B$33),$H49,"")</f>
        <v/>
      </c>
      <c r="BQ49" s="12" t="str">
        <f>IF(ISNUMBER(BP49)=TRUE,IF(_xlfn.RANK.EQ(BP49,$BP$2:$BP$111)&lt;='Tournament Setup'!$D$33,_xlfn.RANK.EQ(BP49,$BP$2:$BP$111),""),"")</f>
        <v/>
      </c>
      <c r="BR49" s="30" t="str">
        <f>IF($G49='Tournament Setup'!$A$38,$H49,"")</f>
        <v/>
      </c>
      <c r="BS49" s="47" t="str">
        <f>IF(ISNUMBER(BR49),IF(COUNTIFS(BS$1:BS48,_xlfn.RANK.EQ(BR49,BR$2:BR$111,0))&gt;0,_xlfn.MAXIFS(BS$1:BS48,BR$1:BR48,BR49)+1,_xlfn.RANK.EQ(BR49,BR$2:BR$111,0)),"")</f>
        <v/>
      </c>
      <c r="BT49" s="1" t="str">
        <f>IF(ISNUMBER(BR49)=TRUE,IF(_xlfn.RANK.EQ(BR49,$BR$2:$BR$111)&lt;='Tournament Setup'!$B$38,_xlfn.RANK.EQ(BR49,$BR$2:$BR$111),""),"")</f>
        <v/>
      </c>
      <c r="BU49" s="31" t="str">
        <f>IF(AND($G49='Tournament Setup'!$A$38,$E49="M",$BT49&gt;'Tournament Setup'!$B$38),$H49,"")</f>
        <v/>
      </c>
      <c r="BV49" s="1" t="str">
        <f>IF(ISNUMBER(BU49)=TRUE,IF(_xlfn.RANK.EQ(BU49,$BU$2:$BU$111)&lt;='Tournament Setup'!$C$38,_xlfn.RANK.EQ(BU49,$BU$2:$BU$111),""),"")</f>
        <v/>
      </c>
      <c r="BW49" s="31" t="str">
        <f>IF(AND($G49='Tournament Setup'!$A$38,$E49="F",$BT49&gt;'Tournament Setup'!$B$38),$H49,"")</f>
        <v/>
      </c>
      <c r="BX49" s="12" t="str">
        <f>IF(ISNUMBER(BW49)=TRUE,IF(_xlfn.RANK.EQ(BW49,$BW$2:$BW$111)&lt;='Tournament Setup'!$D$38,_xlfn.RANK.EQ(BW49,$BW$2:$BW$111),""),"")</f>
        <v/>
      </c>
      <c r="BY49" s="30" t="str">
        <f>IF($G49='Tournament Setup'!$A$39,$H49,"")</f>
        <v/>
      </c>
      <c r="BZ49" s="47" t="str">
        <f>IF(ISNUMBER(BY49),IF(COUNTIFS(BZ$1:BZ48,_xlfn.RANK.EQ(BY49,BY$2:BY$111,0))&gt;0,_xlfn.MAXIFS(BZ$1:BZ48,BY$1:BY48,BY49)+1,_xlfn.RANK.EQ(BY49,BY$2:BY$111,0)),"")</f>
        <v/>
      </c>
      <c r="CA49" s="1" t="str">
        <f>IF(ISNUMBER(BY49)=TRUE,IF(_xlfn.RANK.EQ(BY49,$BY$2:$BY$111)&lt;='Tournament Setup'!$B$39,_xlfn.RANK.EQ(BY49,$BY$2:$BY$111),""),"")</f>
        <v/>
      </c>
      <c r="CB49" s="31" t="str">
        <f>IF(AND($G49='Tournament Setup'!$A$39,$E49="M",$CA49&gt;'Tournament Setup'!$B$39),$H49,"")</f>
        <v/>
      </c>
      <c r="CC49" s="1" t="str">
        <f>IF(ISNUMBER(CB49)=TRUE,IF(_xlfn.RANK.EQ(CB49,$CB$2:$CB$111)&lt;='Tournament Setup'!$C$39,_xlfn.RANK.EQ(CB49,$CB$2:$CB$111),""),"")</f>
        <v/>
      </c>
      <c r="CD49" s="31" t="str">
        <f>IF(AND($G49='Tournament Setup'!$A$39,$E49="F",$CA49&gt;'Tournament Setup'!$B$39),$H49,"")</f>
        <v/>
      </c>
      <c r="CE49" s="12" t="str">
        <f>IF(ISNUMBER(CD49)=TRUE,IF(_xlfn.RANK.EQ(CD49,$CD$2:$CD$111)&lt;='Tournament Setup'!$D$39,_xlfn.RANK.EQ(CD49,$CD$2:$CD$111),""),"")</f>
        <v/>
      </c>
      <c r="CF49" s="30" t="str">
        <f>IF($G49='Tournament Setup'!$A$40,$H49,"")</f>
        <v/>
      </c>
      <c r="CG49" s="47" t="str">
        <f>IF(ISNUMBER(CF49),IF(COUNTIFS(CG$1:CG48,_xlfn.RANK.EQ(CF49,CF$2:CF$111,0))&gt;0,_xlfn.MAXIFS(CG$1:CG48,CF$1:CF48,CF49)+1,_xlfn.RANK.EQ(CF49,CF$2:CF$111,0)),"")</f>
        <v/>
      </c>
      <c r="CH49" s="1" t="str">
        <f>IF(ISNUMBER(CF49)=TRUE,IF(_xlfn.RANK.EQ(CF49,$CF$2:$CF$111)&lt;='Tournament Setup'!$B$40,_xlfn.RANK.EQ(CF49,$CF$2:$CF$111),""),"")</f>
        <v/>
      </c>
      <c r="CI49" s="31" t="str">
        <f>IF(AND($G49='Tournament Setup'!$A$40,$E49="M",$CH49&gt;'Tournament Setup'!$B$40),$H49,"")</f>
        <v/>
      </c>
      <c r="CJ49" s="1" t="str">
        <f>IF(ISNUMBER(CI49)=TRUE,IF(_xlfn.RANK.EQ(CI49,$CI$2:$CI$111)&lt;='Tournament Setup'!$C$40,_xlfn.RANK.EQ(CI49,$CI$2:$CI$111),""),"")</f>
        <v/>
      </c>
      <c r="CK49" s="31" t="str">
        <f>IF(AND($G49='Tournament Setup'!$A$40,$E49="F",$CH49&gt;'Tournament Setup'!$B$40),$H49,"")</f>
        <v/>
      </c>
      <c r="CL49" s="12" t="str">
        <f>IF(ISNUMBER(CK49)=TRUE,IF(_xlfn.RANK.EQ(CK49,$CK$2:$CK$111)&lt;='Tournament Setup'!$D$40,_xlfn.RANK.EQ(CK49,$CK$2:$CK$111),""),"")</f>
        <v/>
      </c>
      <c r="CM49" s="30">
        <f>IF($G49='Tournament Setup'!$A$41,$H49,"")</f>
        <v>51</v>
      </c>
      <c r="CN49" s="47">
        <f>IF(ISNUMBER(CM49),IF(COUNTIFS(CN$1:CN48,_xlfn.RANK.EQ(CM49,CM$2:CM$111,0))&gt;0,_xlfn.MAXIFS(CN$1:CN48,CM$1:CM48,CM49)+1,_xlfn.RANK.EQ(CM49,CM$2:CM$111,0)),"")</f>
        <v>6</v>
      </c>
      <c r="CO49" s="1" t="str">
        <f>IF(ISNUMBER(CM49)=TRUE,IF(_xlfn.RANK.EQ(CM49,$CM$2:$CM$111)&lt;='Tournament Setup'!$B$41,_xlfn.RANK.EQ(CM49,$CM$2:$CM$111),""),"")</f>
        <v/>
      </c>
      <c r="CP49" s="31">
        <f>IF(AND($G49='Tournament Setup'!$A$41,$E49="M",$CO49&gt;'Tournament Setup'!$B$41),$H49,"")</f>
        <v>51</v>
      </c>
      <c r="CQ49" s="1" t="str">
        <f>IF(ISNUMBER(CP49)=TRUE,IF(_xlfn.RANK.EQ(CP49,$CP$2:$CP$111)&lt;='Tournament Setup'!$C$41,_xlfn.RANK.EQ(CP49,$CP$2:$CP$111),""),"")</f>
        <v/>
      </c>
      <c r="CR49" s="31" t="str">
        <f>IF(AND($G49='Tournament Setup'!$A$41,$E49="F",$CO49&gt;'Tournament Setup'!$B$41),$H49,"")</f>
        <v/>
      </c>
      <c r="CS49" s="12" t="str">
        <f>IF(ISNUMBER(CR49)=TRUE,IF(_xlfn.RANK.EQ(CR49,$CR$2:$CR$111)&lt;='Tournament Setup'!$D$41,_xlfn.RANK.EQ(CR49,$CR$2:$CR$111),""),"")</f>
        <v/>
      </c>
    </row>
    <row r="50" spans="1:97" x14ac:dyDescent="0.3">
      <c r="B50" t="str">
        <f>IFERROR(INDEX('Tournament List'!$B:$B,MATCH($A50,'Tournament List'!$A:$A,0)),"")</f>
        <v/>
      </c>
      <c r="C50" t="str">
        <f>IFERROR(INDEX('Tournament List'!$C:$C,MATCH($A50,'Tournament List'!$A:$A,0)),"")</f>
        <v/>
      </c>
      <c r="D50" t="str">
        <f t="shared" ref="D50:D59" si="10">B50&amp;" "&amp;C50</f>
        <v xml:space="preserve"> </v>
      </c>
      <c r="E50" s="1" t="str">
        <f>IFERROR(INDEX('Tournament List'!F:F,MATCH($A50,'Tournament List'!$A:$A,0)),"")</f>
        <v/>
      </c>
      <c r="F50" t="str">
        <f>IFERROR(INDEX('Tournament List'!M:M,MATCH($A50,'Tournament List'!$A:$A,0)),"")</f>
        <v/>
      </c>
      <c r="G50" s="1" t="str">
        <f>IFERROR(INDEX('Tournament List'!W:W,MATCH($A50,'Tournament List'!$A:$A,0)),"")</f>
        <v/>
      </c>
      <c r="H50" s="129" t="str">
        <f>IFERROR(INDEX('Tournament List'!Z:Z,MATCH($A50,'Tournament List'!$A:$A,0)),"")</f>
        <v/>
      </c>
      <c r="I50" s="152" t="str">
        <f>IFERROR(INDEX('Tournament List'!T:T,MATCH($A50,'Tournament List'!$A:$A,0)),"")</f>
        <v/>
      </c>
      <c r="J50" s="56" t="str">
        <f>IF(ISNUMBER(I50),IF(COUNTIFS(J$1:J39,_xlfn.RANK.EQ(I50,I$2:I$111,0))&gt;0,_xlfn.MAXIFS(J$1:J39,I$1:I39,I50)+1,_xlfn.RANK.EQ(I50,I$2:I$111,0)),"")</f>
        <v/>
      </c>
      <c r="K50" s="11" t="str">
        <f t="shared" ref="K50:K59" si="11">IF(ISNUMBER(H50)=TRUE,IF(H50&gt;0,_xlfn.RANK.EQ(H50,$H$2:$H$111,0),""),"")</f>
        <v/>
      </c>
      <c r="L50" s="56" t="str">
        <f>IF(ISNUMBER(H50),IF(COUNTIFS(L$1:L39,_xlfn.RANK.EQ(H50,H$2:H$111,0))&gt;0,_xlfn.MAXIFS(L$1:L39,H$1:H39,H50)+1,_xlfn.RANK.EQ(H50,H$2:H$111,0)),"")</f>
        <v/>
      </c>
      <c r="M50" s="151" t="str">
        <f t="shared" ref="M50:M59" si="12">IF(F50&lt;&gt;"Collegiate"=TRUE,$H50,"")</f>
        <v/>
      </c>
      <c r="N50" s="47" t="str">
        <f>IF(ISNUMBER(M50),IF(COUNTIFS(N$1:N39,_xlfn.RANK.EQ(M50,M$2:M$111,0))&gt;0,_xlfn.MAXIFS(N$1:N39,M$1:M39,M50)+1,_xlfn.RANK.EQ(M50,M$2:M$111,0)),"")</f>
        <v/>
      </c>
      <c r="O50" s="1" t="str">
        <f>IF(ISNUMBER(M50)=TRUE,IF(_xlfn.RANK.EQ(M50,$M$2:$M$111)&lt;='Tournament Setup'!$B$23,_xlfn.RANK.EQ(M50,$M$2:$M$111),""),"")</f>
        <v/>
      </c>
      <c r="P50" s="150" t="str">
        <f t="shared" ref="P50:P59" si="13">IF(AND($E50="M",SUM($O50)=0,F50&lt;&gt;"Collegiate")=TRUE,$H50,"")</f>
        <v/>
      </c>
      <c r="Q50" s="1" t="str">
        <f>IF(ISNUMBER(P50)=TRUE,IF(_xlfn.RANK.EQ(P50,$P$2:$P$111)&lt;='Tournament Setup'!$B$24,_xlfn.RANK.EQ(P50,$P$2:$P$111),""),"")</f>
        <v/>
      </c>
      <c r="R50" s="150" t="str">
        <f t="shared" ref="R50:R59" si="14">IF(AND($E50="F",SUM($O50)=0,F50&lt;&gt;"Collegiate")=TRUE,$H50,"")</f>
        <v/>
      </c>
      <c r="S50" s="12" t="str">
        <f>IF(ISNUMBER(R50)=TRUE,IF(_xlfn.RANK.EQ(R50,$R$2:$R$111)&lt;='Tournament Setup'!$B$25,_xlfn.RANK.EQ(R50,$R$2:$R$111),""),"")</f>
        <v/>
      </c>
      <c r="T50" s="152" t="str">
        <f>IF(AND($F50='Tournament Setup'!$A$29,$I50&lt;&gt;0),$I50,"")</f>
        <v/>
      </c>
      <c r="U50" s="47" t="str">
        <f>IF(ISNUMBER(T50),IF(COUNTIFS(U$1:U39,_xlfn.RANK.EQ(T50,T$2:T$111,0))&gt;0,_xlfn.MAXIFS(U$1:U39,T$1:T39,T50)+1,_xlfn.RANK.EQ(T50,T$2:T$111,0)),"")</f>
        <v/>
      </c>
      <c r="V50" s="1" t="str">
        <f>IF(ISNUMBER(T50)=TRUE,IF(_xlfn.RANK.EQ(T50,$T$3:$T$112)&lt;='Tournament Setup'!$B$46,_xlfn.RANK.EQ(T50,$T$2:$T$111),""),"")</f>
        <v/>
      </c>
      <c r="W50" s="30" t="str">
        <f>IF(AND($F50='Tournament Setup'!$A$29,SUM($O50,$Q50,$S50)=0),$H50,"")</f>
        <v/>
      </c>
      <c r="X50" s="47" t="str">
        <f>IF(ISNUMBER(W50),IF(COUNTIFS(X$1:X39,_xlfn.RANK.EQ(W50,W$2:W$111,0))&gt;0,_xlfn.MAXIFS(X$1:X39,W$1:W39,W50)+1,_xlfn.RANK.EQ(W50,W$2:W$111,0)),"")</f>
        <v/>
      </c>
      <c r="Y50" s="1" t="str">
        <f>IF(ISNUMBER(W50)=TRUE,IF(_xlfn.RANK.EQ(W50,$W$2:$W$111)&lt;='Tournament Setup'!$B$29,_xlfn.RANK.EQ(W50,$W$2:$W$111),""),"")</f>
        <v/>
      </c>
      <c r="Z50" s="31" t="str">
        <f>IF(AND($F50='Tournament Setup'!$A$29,SUM($O50,$Q50)=0,$E50="M",$Y50&gt;'Tournament Setup'!$B$29),$H50,"")</f>
        <v/>
      </c>
      <c r="AA50" s="1" t="str">
        <f>IF(ISNUMBER(Z50)=TRUE,IF(_xlfn.RANK.EQ(Z50,$Z$2:$Z$111)&lt;='Tournament Setup'!$C$29,_xlfn.RANK.EQ(Z50,$Z$2:$Z$111),""),"")</f>
        <v/>
      </c>
      <c r="AB50" s="31" t="str">
        <f>IF(AND($F50='Tournament Setup'!$A$29,SUM($O50,$S50)=0,$E50="F",$Y50&gt;'Tournament Setup'!$B$29),$H50,"")</f>
        <v/>
      </c>
      <c r="AC50" s="12" t="str">
        <f>IF(ISNUMBER(AB50)=TRUE,IF(_xlfn.RANK.EQ(AB50,$AB$2:$AB$111)&lt;='Tournament Setup'!$D$29,_xlfn.RANK.EQ(AB50,$AB$2:$AB$111),""),"")</f>
        <v/>
      </c>
      <c r="AD50" s="30" t="str">
        <f>IF(AND($F50='Tournament Setup'!$A$30,$I50&lt;&gt;0),$I50,"")</f>
        <v/>
      </c>
      <c r="AE50" s="47" t="str">
        <f>IF(ISNUMBER(AD50),IF(COUNTIFS(AE$1:AE39,_xlfn.RANK.EQ(AD50,AD$2:AD$111,0))&gt;0,_xlfn.MAXIFS(AE$1:AE39,AD$1:AD39,AD50)+1,_xlfn.RANK.EQ(AD50,AD$2:AD$111,0)),"")</f>
        <v/>
      </c>
      <c r="AF50" s="1" t="str">
        <f>IF(ISNUMBER(AD50)=TRUE,IF(_xlfn.RANK.EQ(AD50,$AD$2:$AD$111)&lt;='Tournament Setup'!$B$46,_xlfn.RANK.EQ(AD50,$AD$2:$AD$111),""),"")</f>
        <v/>
      </c>
      <c r="AG50" s="30" t="str">
        <f>IF(AND($F50='Tournament Setup'!$A$30,SUM($O50,$Q50,$S50)=0),$H50,"")</f>
        <v/>
      </c>
      <c r="AH50" s="47" t="str">
        <f>IF(ISNUMBER(AG50),IF(COUNTIFS(AH$1:AH39,_xlfn.RANK.EQ(AG50,AG$2:AG$111,0))&gt;0,_xlfn.MAXIFS(AH$1:AH39,AG$1:AG39,AG50)+1,_xlfn.RANK.EQ(AG50,AG$2:AG$111,0)),"")</f>
        <v/>
      </c>
      <c r="AI50" s="1" t="str">
        <f>IF(ISNUMBER(AG50)=TRUE,IF(_xlfn.RANK.EQ(AG50,$AG$2:$AG$111)&lt;='Tournament Setup'!$B$30,_xlfn.RANK.EQ(AG50,$AG$2:$AG$111),""),"")</f>
        <v/>
      </c>
      <c r="AJ50" s="31" t="str">
        <f>IF(AND($F50='Tournament Setup'!$A$30,SUM($O50,$Q50)=0,$E50="M",$AI50&gt;'Tournament Setup'!$B$30),$H50,"")</f>
        <v/>
      </c>
      <c r="AK50" s="1" t="str">
        <f>IF(ISNUMBER(AJ50)=TRUE,IF(_xlfn.RANK.EQ(AJ50,$AJ$2:$AJ$111)&lt;='Tournament Setup'!$C$30,_xlfn.RANK.EQ(AJ50,$AJ$2:$AJ$111),""),"")</f>
        <v/>
      </c>
      <c r="AL50" s="31" t="str">
        <f>IF(AND($F50='Tournament Setup'!$A$30,SUM($O50,$S50)=0,$E50="F",$AI50&gt;'Tournament Setup'!$B$30),$H50,"")</f>
        <v/>
      </c>
      <c r="AM50" s="12" t="str">
        <f>IF(ISNUMBER(AL50)=TRUE,IF(_xlfn.RANK.EQ(AL50,$AL$2:$AL$111)&lt;='Tournament Setup'!$D$30,_xlfn.RANK.EQ(AL50,$AL$2:$AL$111),""),"")</f>
        <v/>
      </c>
      <c r="AN50" s="30" t="str">
        <f>IF(AND($F50='Tournament Setup'!$A$31,$I50&lt;&gt;0),$I50,"")</f>
        <v/>
      </c>
      <c r="AO50" s="47" t="str">
        <f>IF(ISNUMBER(AN50),IF(COUNTIFS(AO$1:AO39,_xlfn.RANK.EQ(AN50,AN$2:AN$111,0))&gt;0,_xlfn.MAXIFS(AO$1:AO39,AN$1:AN39,AN50)+1,_xlfn.RANK.EQ(AN50,AN$2:AN$111,0)),"")</f>
        <v/>
      </c>
      <c r="AP50" s="1" t="str">
        <f>IF(ISNUMBER(AN50)=TRUE,IF(_xlfn.RANK.EQ(AN50,$AN$2:$AN$111)&lt;='Tournament Setup'!$B$46,_xlfn.RANK.EQ(AN50,$AN$2:$AN$111),""),"")</f>
        <v/>
      </c>
      <c r="AQ50" s="30" t="str">
        <f>IF(AND($F50='Tournament Setup'!$A$31,SUM($O50,$Q50,$S50)=0),$H50,"")</f>
        <v/>
      </c>
      <c r="AR50" s="47" t="str">
        <f>IF(ISNUMBER(AQ50),IF(COUNTIFS(AR$1:AR39,_xlfn.RANK.EQ(AQ50,AQ$2:AQ$111,0))&gt;0,_xlfn.MAXIFS(AR$1:AR39,AQ$1:AQ39,AQ50)+1,_xlfn.RANK.EQ(AQ50,AQ$2:AQ$111,0)),"")</f>
        <v/>
      </c>
      <c r="AS50" s="1" t="str">
        <f>IF(ISNUMBER(AQ50)=TRUE,IF(_xlfn.RANK.EQ(AQ50,$AQ$2:$AQ$111)&lt;='Tournament Setup'!$B$31,_xlfn.RANK.EQ(AQ50,$AQ$2:$AQ$111),""),"")</f>
        <v/>
      </c>
      <c r="AT50" s="31" t="str">
        <f>IF(AND($F50='Tournament Setup'!$A$31,SUM($O50,$Q50)=0,$E50="M",$AS50&gt;'Tournament Setup'!$B$31),$H50,"")</f>
        <v/>
      </c>
      <c r="AU50" s="1" t="str">
        <f>IF(ISNUMBER(AT50)=TRUE,IF(_xlfn.RANK.EQ(AT50,$AT$2:$AT$111)&lt;='Tournament Setup'!$C$31,_xlfn.RANK.EQ(AT50,$AT$2:$AT$111),""),"")</f>
        <v/>
      </c>
      <c r="AV50" s="31" t="str">
        <f>IF(AND($F50='Tournament Setup'!$A$31,SUM($O50,$S50)=0,$E50="F",$AS50&gt;'Tournament Setup'!$B$31),$H50,"")</f>
        <v/>
      </c>
      <c r="AW50" s="12" t="str">
        <f>IF(ISNUMBER(AV50)=TRUE,IF(_xlfn.RANK.EQ(AV50,$AV$2:$AV$111)&lt;='Tournament Setup'!$D$31,_xlfn.RANK.EQ(AV50,$AV$2:$AV$111),""),"")</f>
        <v/>
      </c>
      <c r="AX50" s="30" t="str">
        <f>IF(AND($F50='Tournament Setup'!$A$32,$I50&lt;&gt;0),$I50,"")</f>
        <v/>
      </c>
      <c r="AY50" s="47" t="str">
        <f>IF(ISNUMBER(AX50),IF(COUNTIFS(AY$1:AY39,_xlfn.RANK.EQ(AX50,AX$2:AX$111,0))&gt;0,_xlfn.MAXIFS(AY$1:AY39,AX$1:AX39,AX50)+1,_xlfn.RANK.EQ(AX50,AX$2:AX$111,0)),"")</f>
        <v/>
      </c>
      <c r="AZ50" s="1" t="str">
        <f>IF(ISNUMBER(AX50)=TRUE,IF(_xlfn.RANK.EQ(AX50,$AX$2:$AX$111)&lt;='Tournament Setup'!$B$46,_xlfn.RANK.EQ(AX50,$AX$2:$AX$111),""),"")</f>
        <v/>
      </c>
      <c r="BA50" s="30" t="str">
        <f>IF(AND($F50='Tournament Setup'!$A$32,SUM($O50,$Q50,$S50)=0),$H50,"")</f>
        <v/>
      </c>
      <c r="BB50" s="47" t="str">
        <f>IF(ISNUMBER(BA50),IF(COUNTIFS(BB$1:BB39,_xlfn.RANK.EQ(BA50,BA$2:BA$111,0))&gt;0,_xlfn.MAXIFS(BB$1:BB39,BA$1:BA39,BA50)+1,_xlfn.RANK.EQ(BA50,BA$2:BA$111,0)),"")</f>
        <v/>
      </c>
      <c r="BC50" s="1" t="str">
        <f>IF(ISNUMBER(BA50)=TRUE,IF(_xlfn.RANK.EQ(BA50,$BA$2:$BA$111)&lt;='Tournament Setup'!$B$32,_xlfn.RANK.EQ(BA50,$BA$2:$BA$111),""),"")</f>
        <v/>
      </c>
      <c r="BD50" s="31" t="str">
        <f>IF(AND($F50='Tournament Setup'!$A$32,SUM($O50,$Q50)=0,$E50="M",$BC50&gt;'Tournament Setup'!$B$32),$H50,"")</f>
        <v/>
      </c>
      <c r="BE50" s="1" t="str">
        <f>IF(ISNUMBER(BD50)=TRUE,IF(_xlfn.RANK.EQ(BD50,$BD$2:$BD$111)&lt;='Tournament Setup'!$C$32,_xlfn.RANK.EQ(BD50,$BD$2:$BD$111),""),"")</f>
        <v/>
      </c>
      <c r="BF50" s="31" t="str">
        <f>IF(AND($F50='Tournament Setup'!$A$32,SUM($O50,$S50)=0,$E50="F",$BC50&gt;'Tournament Setup'!$B$32),$H50,"")</f>
        <v/>
      </c>
      <c r="BG50" s="12" t="str">
        <f>IF(ISNUMBER(BF50)=TRUE,IF(_xlfn.RANK.EQ(BF50,$BF$2:$BF$111)&lt;='Tournament Setup'!$D$32,_xlfn.RANK.EQ(BF50,$BF$2:$BF$111),""),"")</f>
        <v/>
      </c>
      <c r="BH50" s="30" t="str">
        <f>IF(AND($F50='Tournament Setup'!$A$33,$I50&lt;&gt;0),$I50,"")</f>
        <v/>
      </c>
      <c r="BI50" s="47" t="str">
        <f>IF(ISNUMBER(BH50),IF(COUNTIFS(BI$1:BI39,_xlfn.RANK.EQ(BH50,BH$2:BH$111,0))&gt;0,_xlfn.MAXIFS(BI$1:BI39,BH$1:BH39,BH50)+1,_xlfn.RANK.EQ(BH50,BH$2:BH$111,0)),"")</f>
        <v/>
      </c>
      <c r="BJ50" s="1" t="str">
        <f>IF(ISNUMBER(BH50)=TRUE,IF(_xlfn.RANK.EQ(BH50,$BH$2:$BH$111)&lt;='Tournament Setup'!$B$46,_xlfn.RANK.EQ(BH50,$BH$2:$BH$111),""),"")</f>
        <v/>
      </c>
      <c r="BK50" s="30" t="str">
        <f>IF(AND($F50='Tournament Setup'!$A$33,SUM($O50,$Q50,$S50)=0),$H50,"")</f>
        <v/>
      </c>
      <c r="BL50" s="47" t="str">
        <f>IF(ISNUMBER(BK50),IF(COUNTIFS(BL$1:BL39,_xlfn.RANK.EQ(BK50,BK$2:BK$111,0))&gt;0,_xlfn.MAXIFS(BL$1:BL39,BK$1:BK39,BK50)+1,_xlfn.RANK.EQ(BK50,BK$2:BK$111,0)),"")</f>
        <v/>
      </c>
      <c r="BM50" s="1" t="str">
        <f>IF(ISNUMBER(BK50)=TRUE,IF(_xlfn.RANK.EQ(BK50,$BK$2:$BK$111)&lt;='Tournament Setup'!$B$33,_xlfn.RANK.EQ(BK50,$BK$2:$BK$111),""),"")</f>
        <v/>
      </c>
      <c r="BN50" s="31" t="str">
        <f>IF(AND($F50='Tournament Setup'!$A$33,SUM($O50,$Q50)=0,$E50="M",$BM50&gt;'Tournament Setup'!$B$33),$H50,"")</f>
        <v/>
      </c>
      <c r="BO50" s="1" t="str">
        <f>IF(ISNUMBER(BN50)=TRUE,IF(_xlfn.RANK.EQ(BN50,$BN$2:$BN$111)&lt;='Tournament Setup'!$C$33,_xlfn.RANK.EQ(BN50,$BN$2:$BN$111),""),"")</f>
        <v/>
      </c>
      <c r="BP50" s="31" t="str">
        <f>IF(AND($F50='Tournament Setup'!$A$33,SUM($O50,$S50)=0,$E50="F",$BM50&gt;'Tournament Setup'!$B$33),$H50,"")</f>
        <v/>
      </c>
      <c r="BQ50" s="12" t="str">
        <f>IF(ISNUMBER(BP50)=TRUE,IF(_xlfn.RANK.EQ(BP50,$BP$2:$BP$111)&lt;='Tournament Setup'!$D$33,_xlfn.RANK.EQ(BP50,$BP$2:$BP$111),""),"")</f>
        <v/>
      </c>
      <c r="BR50" s="30" t="str">
        <f>IF($G50='Tournament Setup'!$A$38,$H50,"")</f>
        <v/>
      </c>
      <c r="BS50" s="47" t="str">
        <f>IF(ISNUMBER(BR50),IF(COUNTIFS(BS$1:BS39,_xlfn.RANK.EQ(BR50,BR$2:BR$111,0))&gt;0,_xlfn.MAXIFS(BS$1:BS39,BR$1:BR39,BR50)+1,_xlfn.RANK.EQ(BR50,BR$2:BR$111,0)),"")</f>
        <v/>
      </c>
      <c r="BT50" s="1" t="str">
        <f>IF(ISNUMBER(BR50)=TRUE,IF(_xlfn.RANK.EQ(BR50,$BR$2:$BR$111)&lt;='Tournament Setup'!$B$38,_xlfn.RANK.EQ(BR50,$BR$2:$BR$111),""),"")</f>
        <v/>
      </c>
      <c r="BU50" s="31" t="str">
        <f>IF(AND($G50='Tournament Setup'!$A$38,$E50="M",$BT50&gt;'Tournament Setup'!$B$38),$H50,"")</f>
        <v/>
      </c>
      <c r="BV50" s="1" t="str">
        <f>IF(ISNUMBER(BU50)=TRUE,IF(_xlfn.RANK.EQ(BU50,$BU$2:$BU$111)&lt;='Tournament Setup'!$C$38,_xlfn.RANK.EQ(BU50,$BU$2:$BU$111),""),"")</f>
        <v/>
      </c>
      <c r="BW50" s="31" t="str">
        <f>IF(AND($G50='Tournament Setup'!$A$38,$E50="F",$BT50&gt;'Tournament Setup'!$B$38),$H50,"")</f>
        <v/>
      </c>
      <c r="BX50" s="12" t="str">
        <f>IF(ISNUMBER(BW50)=TRUE,IF(_xlfn.RANK.EQ(BW50,$BW$2:$BW$111)&lt;='Tournament Setup'!$D$38,_xlfn.RANK.EQ(BW50,$BW$2:$BW$111),""),"")</f>
        <v/>
      </c>
      <c r="BY50" s="30" t="str">
        <f>IF($G50='Tournament Setup'!$A$39,$H50,"")</f>
        <v/>
      </c>
      <c r="BZ50" s="47" t="str">
        <f>IF(ISNUMBER(BY50),IF(COUNTIFS(BZ$1:BZ39,_xlfn.RANK.EQ(BY50,BY$2:BY$111,0))&gt;0,_xlfn.MAXIFS(BZ$1:BZ39,BY$1:BY39,BY50)+1,_xlfn.RANK.EQ(BY50,BY$2:BY$111,0)),"")</f>
        <v/>
      </c>
      <c r="CA50" s="1" t="str">
        <f>IF(ISNUMBER(BY50)=TRUE,IF(_xlfn.RANK.EQ(BY50,$BY$2:$BY$111)&lt;='Tournament Setup'!$B$39,_xlfn.RANK.EQ(BY50,$BY$2:$BY$111),""),"")</f>
        <v/>
      </c>
      <c r="CB50" s="31" t="str">
        <f>IF(AND($G50='Tournament Setup'!$A$39,$E50="M",$CA50&gt;'Tournament Setup'!$B$39),$H50,"")</f>
        <v/>
      </c>
      <c r="CC50" s="1" t="str">
        <f>IF(ISNUMBER(CB50)=TRUE,IF(_xlfn.RANK.EQ(CB50,$CB$2:$CB$111)&lt;='Tournament Setup'!$C$39,_xlfn.RANK.EQ(CB50,$CB$2:$CB$111),""),"")</f>
        <v/>
      </c>
      <c r="CD50" s="31" t="str">
        <f>IF(AND($G50='Tournament Setup'!$A$39,$E50="F",$CA50&gt;'Tournament Setup'!$B$39),$H50,"")</f>
        <v/>
      </c>
      <c r="CE50" s="12" t="str">
        <f>IF(ISNUMBER(CD50)=TRUE,IF(_xlfn.RANK.EQ(CD50,$CD$2:$CD$111)&lt;='Tournament Setup'!$D$39,_xlfn.RANK.EQ(CD50,$CD$2:$CD$111),""),"")</f>
        <v/>
      </c>
      <c r="CF50" s="30" t="str">
        <f>IF($G50='Tournament Setup'!$A$40,$H50,"")</f>
        <v/>
      </c>
      <c r="CG50" s="47" t="str">
        <f>IF(ISNUMBER(CF50),IF(COUNTIFS(CG$1:CG39,_xlfn.RANK.EQ(CF50,CF$2:CF$111,0))&gt;0,_xlfn.MAXIFS(CG$1:CG39,CF$1:CF39,CF50)+1,_xlfn.RANK.EQ(CF50,CF$2:CF$111,0)),"")</f>
        <v/>
      </c>
      <c r="CH50" s="1" t="str">
        <f>IF(ISNUMBER(CF50)=TRUE,IF(_xlfn.RANK.EQ(CF50,$CF$2:$CF$111)&lt;='Tournament Setup'!$B$40,_xlfn.RANK.EQ(CF50,$CF$2:$CF$111),""),"")</f>
        <v/>
      </c>
      <c r="CI50" s="31" t="str">
        <f>IF(AND($G50='Tournament Setup'!$A$40,$E50="M",$CH50&gt;'Tournament Setup'!$B$40),$H50,"")</f>
        <v/>
      </c>
      <c r="CJ50" s="1" t="str">
        <f>IF(ISNUMBER(CI50)=TRUE,IF(_xlfn.RANK.EQ(CI50,$CI$2:$CI$111)&lt;='Tournament Setup'!$C$40,_xlfn.RANK.EQ(CI50,$CI$2:$CI$111),""),"")</f>
        <v/>
      </c>
      <c r="CK50" s="31" t="str">
        <f>IF(AND($G50='Tournament Setup'!$A$40,$E50="F",$CH50&gt;'Tournament Setup'!$B$40),$H50,"")</f>
        <v/>
      </c>
      <c r="CL50" s="12" t="str">
        <f>IF(ISNUMBER(CK50)=TRUE,IF(_xlfn.RANK.EQ(CK50,$CK$2:$CK$111)&lt;='Tournament Setup'!$D$40,_xlfn.RANK.EQ(CK50,$CK$2:$CK$111),""),"")</f>
        <v/>
      </c>
      <c r="CM50" s="30" t="str">
        <f>IF($G50='Tournament Setup'!$A$41,$H50,"")</f>
        <v/>
      </c>
      <c r="CN50" s="47" t="str">
        <f>IF(ISNUMBER(CM50),IF(COUNTIFS(CN$1:CN39,_xlfn.RANK.EQ(CM50,CM$2:CM$111,0))&gt;0,_xlfn.MAXIFS(CN$1:CN39,CM$1:CM39,CM50)+1,_xlfn.RANK.EQ(CM50,CM$2:CM$111,0)),"")</f>
        <v/>
      </c>
      <c r="CO50" s="1" t="str">
        <f>IF(ISNUMBER(CM50)=TRUE,IF(_xlfn.RANK.EQ(CM50,$CM$2:$CM$111)&lt;='Tournament Setup'!$B$41,_xlfn.RANK.EQ(CM50,$CM$2:$CM$111),""),"")</f>
        <v/>
      </c>
      <c r="CP50" s="31" t="str">
        <f>IF(AND($G50='Tournament Setup'!$A$41,$E50="M",$CO50&gt;'Tournament Setup'!$B$41),$H50,"")</f>
        <v/>
      </c>
      <c r="CQ50" s="1" t="str">
        <f>IF(ISNUMBER(CP50)=TRUE,IF(_xlfn.RANK.EQ(CP50,$CP$2:$CP$111)&lt;='Tournament Setup'!$C$41,_xlfn.RANK.EQ(CP50,$CP$2:$CP$111),""),"")</f>
        <v/>
      </c>
      <c r="CR50" s="31" t="str">
        <f>IF(AND($G50='Tournament Setup'!$A$41,$E50="F",$CO50&gt;'Tournament Setup'!$B$41),$H50,"")</f>
        <v/>
      </c>
      <c r="CS50" s="12" t="str">
        <f>IF(ISNUMBER(CR50)=TRUE,IF(_xlfn.RANK.EQ(CR50,$CR$2:$CR$111)&lt;='Tournament Setup'!$D$41,_xlfn.RANK.EQ(CR50,$CR$2:$CR$111),""),"")</f>
        <v/>
      </c>
    </row>
    <row r="51" spans="1:97" x14ac:dyDescent="0.3">
      <c r="B51" t="str">
        <f>IFERROR(INDEX('Tournament List'!$B:$B,MATCH($A51,'Tournament List'!$A:$A,0)),"")</f>
        <v/>
      </c>
      <c r="C51" t="str">
        <f>IFERROR(INDEX('Tournament List'!$C:$C,MATCH($A51,'Tournament List'!$A:$A,0)),"")</f>
        <v/>
      </c>
      <c r="D51" t="str">
        <f t="shared" si="10"/>
        <v xml:space="preserve"> </v>
      </c>
      <c r="E51" s="1" t="str">
        <f>IFERROR(INDEX('Tournament List'!F:F,MATCH($A51,'Tournament List'!$A:$A,0)),"")</f>
        <v/>
      </c>
      <c r="F51" t="str">
        <f>IFERROR(INDEX('Tournament List'!M:M,MATCH($A51,'Tournament List'!$A:$A,0)),"")</f>
        <v/>
      </c>
      <c r="G51" s="1" t="str">
        <f>IFERROR(INDEX('Tournament List'!W:W,MATCH($A51,'Tournament List'!$A:$A,0)),"")</f>
        <v/>
      </c>
      <c r="H51" s="129" t="str">
        <f>IFERROR(INDEX('Tournament List'!Z:Z,MATCH($A51,'Tournament List'!$A:$A,0)),"")</f>
        <v/>
      </c>
      <c r="I51" s="152" t="str">
        <f>IFERROR(INDEX('Tournament List'!T:T,MATCH($A51,'Tournament List'!$A:$A,0)),"")</f>
        <v/>
      </c>
      <c r="J51" s="56" t="str">
        <f>IF(ISNUMBER(I51),IF(COUNTIFS(J$1:J50,_xlfn.RANK.EQ(I51,I$2:I$111,0))&gt;0,_xlfn.MAXIFS(J$1:J50,I$1:I50,I51)+1,_xlfn.RANK.EQ(I51,I$2:I$111,0)),"")</f>
        <v/>
      </c>
      <c r="K51" s="11" t="str">
        <f t="shared" si="11"/>
        <v/>
      </c>
      <c r="L51" s="56" t="str">
        <f>IF(ISNUMBER(H51),IF(COUNTIFS(L$1:L50,_xlfn.RANK.EQ(H51,H$2:H$111,0))&gt;0,_xlfn.MAXIFS(L$1:L50,H$1:H50,H51)+1,_xlfn.RANK.EQ(H51,H$2:H$111,0)),"")</f>
        <v/>
      </c>
      <c r="M51" s="151" t="str">
        <f t="shared" si="12"/>
        <v/>
      </c>
      <c r="N51" s="47" t="str">
        <f>IF(ISNUMBER(M51),IF(COUNTIFS(N$1:N50,_xlfn.RANK.EQ(M51,M$2:M$111,0))&gt;0,_xlfn.MAXIFS(N$1:N50,M$1:M50,M51)+1,_xlfn.RANK.EQ(M51,M$2:M$111,0)),"")</f>
        <v/>
      </c>
      <c r="O51" s="1" t="str">
        <f>IF(ISNUMBER(M51)=TRUE,IF(_xlfn.RANK.EQ(M51,$M$2:$M$111)&lt;='Tournament Setup'!$B$23,_xlfn.RANK.EQ(M51,$M$2:$M$111),""),"")</f>
        <v/>
      </c>
      <c r="P51" s="150" t="str">
        <f t="shared" si="13"/>
        <v/>
      </c>
      <c r="Q51" s="1" t="str">
        <f>IF(ISNUMBER(P51)=TRUE,IF(_xlfn.RANK.EQ(P51,$P$2:$P$111)&lt;='Tournament Setup'!$B$24,_xlfn.RANK.EQ(P51,$P$2:$P$111),""),"")</f>
        <v/>
      </c>
      <c r="R51" s="150" t="str">
        <f t="shared" si="14"/>
        <v/>
      </c>
      <c r="S51" s="12" t="str">
        <f>IF(ISNUMBER(R51)=TRUE,IF(_xlfn.RANK.EQ(R51,$R$2:$R$111)&lt;='Tournament Setup'!$B$25,_xlfn.RANK.EQ(R51,$R$2:$R$111),""),"")</f>
        <v/>
      </c>
      <c r="T51" s="152" t="str">
        <f>IF(AND($F51='Tournament Setup'!$A$29,$I51&lt;&gt;0),$I51,"")</f>
        <v/>
      </c>
      <c r="U51" s="47" t="str">
        <f>IF(ISNUMBER(T51),IF(COUNTIFS(U$1:U50,_xlfn.RANK.EQ(T51,T$2:T$111,0))&gt;0,_xlfn.MAXIFS(U$1:U50,T$1:T50,T51)+1,_xlfn.RANK.EQ(T51,T$2:T$111,0)),"")</f>
        <v/>
      </c>
      <c r="V51" s="1" t="str">
        <f>IF(ISNUMBER(T51)=TRUE,IF(_xlfn.RANK.EQ(T51,$T$3:$T$112)&lt;='Tournament Setup'!$B$46,_xlfn.RANK.EQ(T51,$T$2:$T$111),""),"")</f>
        <v/>
      </c>
      <c r="W51" s="30" t="str">
        <f>IF(AND($F51='Tournament Setup'!$A$29,SUM($O51,$Q51,$S51)=0),$H51,"")</f>
        <v/>
      </c>
      <c r="X51" s="47" t="str">
        <f>IF(ISNUMBER(W51),IF(COUNTIFS(X$1:X50,_xlfn.RANK.EQ(W51,W$2:W$111,0))&gt;0,_xlfn.MAXIFS(X$1:X50,W$1:W50,W51)+1,_xlfn.RANK.EQ(W51,W$2:W$111,0)),"")</f>
        <v/>
      </c>
      <c r="Y51" s="1" t="str">
        <f>IF(ISNUMBER(W51)=TRUE,IF(_xlfn.RANK.EQ(W51,$W$2:$W$111)&lt;='Tournament Setup'!$B$29,_xlfn.RANK.EQ(W51,$W$2:$W$111),""),"")</f>
        <v/>
      </c>
      <c r="Z51" s="31" t="str">
        <f>IF(AND($F51='Tournament Setup'!$A$29,SUM($O51,$Q51)=0,$E51="M",$Y51&gt;'Tournament Setup'!$B$29),$H51,"")</f>
        <v/>
      </c>
      <c r="AA51" s="1" t="str">
        <f>IF(ISNUMBER(Z51)=TRUE,IF(_xlfn.RANK.EQ(Z51,$Z$2:$Z$111)&lt;='Tournament Setup'!$C$29,_xlfn.RANK.EQ(Z51,$Z$2:$Z$111),""),"")</f>
        <v/>
      </c>
      <c r="AB51" s="31" t="str">
        <f>IF(AND($F51='Tournament Setup'!$A$29,SUM($O51,$S51)=0,$E51="F",$Y51&gt;'Tournament Setup'!$B$29),$H51,"")</f>
        <v/>
      </c>
      <c r="AC51" s="12" t="str">
        <f>IF(ISNUMBER(AB51)=TRUE,IF(_xlfn.RANK.EQ(AB51,$AB$2:$AB$111)&lt;='Tournament Setup'!$D$29,_xlfn.RANK.EQ(AB51,$AB$2:$AB$111),""),"")</f>
        <v/>
      </c>
      <c r="AD51" s="30" t="str">
        <f>IF(AND($F51='Tournament Setup'!$A$30,$I51&lt;&gt;0),$I51,"")</f>
        <v/>
      </c>
      <c r="AE51" s="47" t="str">
        <f>IF(ISNUMBER(AD51),IF(COUNTIFS(AE$1:AE50,_xlfn.RANK.EQ(AD51,AD$2:AD$111,0))&gt;0,_xlfn.MAXIFS(AE$1:AE50,AD$1:AD50,AD51)+1,_xlfn.RANK.EQ(AD51,AD$2:AD$111,0)),"")</f>
        <v/>
      </c>
      <c r="AF51" s="1" t="str">
        <f>IF(ISNUMBER(AD51)=TRUE,IF(_xlfn.RANK.EQ(AD51,$AD$2:$AD$111)&lt;='Tournament Setup'!$B$46,_xlfn.RANK.EQ(AD51,$AD$2:$AD$111),""),"")</f>
        <v/>
      </c>
      <c r="AG51" s="30" t="str">
        <f>IF(AND($F51='Tournament Setup'!$A$30,SUM($O51,$Q51,$S51)=0),$H51,"")</f>
        <v/>
      </c>
      <c r="AH51" s="47" t="str">
        <f>IF(ISNUMBER(AG51),IF(COUNTIFS(AH$1:AH50,_xlfn.RANK.EQ(AG51,AG$2:AG$111,0))&gt;0,_xlfn.MAXIFS(AH$1:AH50,AG$1:AG50,AG51)+1,_xlfn.RANK.EQ(AG51,AG$2:AG$111,0)),"")</f>
        <v/>
      </c>
      <c r="AI51" s="1" t="str">
        <f>IF(ISNUMBER(AG51)=TRUE,IF(_xlfn.RANK.EQ(AG51,$AG$2:$AG$111)&lt;='Tournament Setup'!$B$30,_xlfn.RANK.EQ(AG51,$AG$2:$AG$111),""),"")</f>
        <v/>
      </c>
      <c r="AJ51" s="31" t="str">
        <f>IF(AND($F51='Tournament Setup'!$A$30,SUM($O51,$Q51)=0,$E51="M",$AI51&gt;'Tournament Setup'!$B$30),$H51,"")</f>
        <v/>
      </c>
      <c r="AK51" s="1" t="str">
        <f>IF(ISNUMBER(AJ51)=TRUE,IF(_xlfn.RANK.EQ(AJ51,$AJ$2:$AJ$111)&lt;='Tournament Setup'!$C$30,_xlfn.RANK.EQ(AJ51,$AJ$2:$AJ$111),""),"")</f>
        <v/>
      </c>
      <c r="AL51" s="31" t="str">
        <f>IF(AND($F51='Tournament Setup'!$A$30,SUM($O51,$S51)=0,$E51="F",$AI51&gt;'Tournament Setup'!$B$30),$H51,"")</f>
        <v/>
      </c>
      <c r="AM51" s="12" t="str">
        <f>IF(ISNUMBER(AL51)=TRUE,IF(_xlfn.RANK.EQ(AL51,$AL$2:$AL$111)&lt;='Tournament Setup'!$D$30,_xlfn.RANK.EQ(AL51,$AL$2:$AL$111),""),"")</f>
        <v/>
      </c>
      <c r="AN51" s="30" t="str">
        <f>IF(AND($F51='Tournament Setup'!$A$31,$I51&lt;&gt;0),$I51,"")</f>
        <v/>
      </c>
      <c r="AO51" s="47" t="str">
        <f>IF(ISNUMBER(AN51),IF(COUNTIFS(AO$1:AO50,_xlfn.RANK.EQ(AN51,AN$2:AN$111,0))&gt;0,_xlfn.MAXIFS(AO$1:AO50,AN$1:AN50,AN51)+1,_xlfn.RANK.EQ(AN51,AN$2:AN$111,0)),"")</f>
        <v/>
      </c>
      <c r="AP51" s="1" t="str">
        <f>IF(ISNUMBER(AN51)=TRUE,IF(_xlfn.RANK.EQ(AN51,$AN$2:$AN$111)&lt;='Tournament Setup'!$B$46,_xlfn.RANK.EQ(AN51,$AN$2:$AN$111),""),"")</f>
        <v/>
      </c>
      <c r="AQ51" s="30" t="str">
        <f>IF(AND($F51='Tournament Setup'!$A$31,SUM($O51,$Q51,$S51)=0),$H51,"")</f>
        <v/>
      </c>
      <c r="AR51" s="47" t="str">
        <f>IF(ISNUMBER(AQ51),IF(COUNTIFS(AR$1:AR50,_xlfn.RANK.EQ(AQ51,AQ$2:AQ$111,0))&gt;0,_xlfn.MAXIFS(AR$1:AR50,AQ$1:AQ50,AQ51)+1,_xlfn.RANK.EQ(AQ51,AQ$2:AQ$111,0)),"")</f>
        <v/>
      </c>
      <c r="AS51" s="1" t="str">
        <f>IF(ISNUMBER(AQ51)=TRUE,IF(_xlfn.RANK.EQ(AQ51,$AQ$2:$AQ$111)&lt;='Tournament Setup'!$B$31,_xlfn.RANK.EQ(AQ51,$AQ$2:$AQ$111),""),"")</f>
        <v/>
      </c>
      <c r="AT51" s="31" t="str">
        <f>IF(AND($F51='Tournament Setup'!$A$31,SUM($O51,$Q51)=0,$E51="M",$AS51&gt;'Tournament Setup'!$B$31),$H51,"")</f>
        <v/>
      </c>
      <c r="AU51" s="1" t="str">
        <f>IF(ISNUMBER(AT51)=TRUE,IF(_xlfn.RANK.EQ(AT51,$AT$2:$AT$111)&lt;='Tournament Setup'!$C$31,_xlfn.RANK.EQ(AT51,$AT$2:$AT$111),""),"")</f>
        <v/>
      </c>
      <c r="AV51" s="31" t="str">
        <f>IF(AND($F51='Tournament Setup'!$A$31,SUM($O51,$S51)=0,$E51="F",$AS51&gt;'Tournament Setup'!$B$31),$H51,"")</f>
        <v/>
      </c>
      <c r="AW51" s="12" t="str">
        <f>IF(ISNUMBER(AV51)=TRUE,IF(_xlfn.RANK.EQ(AV51,$AV$2:$AV$111)&lt;='Tournament Setup'!$D$31,_xlfn.RANK.EQ(AV51,$AV$2:$AV$111),""),"")</f>
        <v/>
      </c>
      <c r="AX51" s="30" t="str">
        <f>IF(AND($F51='Tournament Setup'!$A$32,$I51&lt;&gt;0),$I51,"")</f>
        <v/>
      </c>
      <c r="AY51" s="47" t="str">
        <f>IF(ISNUMBER(AX51),IF(COUNTIFS(AY$1:AY50,_xlfn.RANK.EQ(AX51,AX$2:AX$111,0))&gt;0,_xlfn.MAXIFS(AY$1:AY50,AX$1:AX50,AX51)+1,_xlfn.RANK.EQ(AX51,AX$2:AX$111,0)),"")</f>
        <v/>
      </c>
      <c r="AZ51" s="1" t="str">
        <f>IF(ISNUMBER(AX51)=TRUE,IF(_xlfn.RANK.EQ(AX51,$AX$2:$AX$111)&lt;='Tournament Setup'!$B$46,_xlfn.RANK.EQ(AX51,$AX$2:$AX$111),""),"")</f>
        <v/>
      </c>
      <c r="BA51" s="30" t="str">
        <f>IF(AND($F51='Tournament Setup'!$A$32,SUM($O51,$Q51,$S51)=0),$H51,"")</f>
        <v/>
      </c>
      <c r="BB51" s="47" t="str">
        <f>IF(ISNUMBER(BA51),IF(COUNTIFS(BB$1:BB50,_xlfn.RANK.EQ(BA51,BA$2:BA$111,0))&gt;0,_xlfn.MAXIFS(BB$1:BB50,BA$1:BA50,BA51)+1,_xlfn.RANK.EQ(BA51,BA$2:BA$111,0)),"")</f>
        <v/>
      </c>
      <c r="BC51" s="1" t="str">
        <f>IF(ISNUMBER(BA51)=TRUE,IF(_xlfn.RANK.EQ(BA51,$BA$2:$BA$111)&lt;='Tournament Setup'!$B$32,_xlfn.RANK.EQ(BA51,$BA$2:$BA$111),""),"")</f>
        <v/>
      </c>
      <c r="BD51" s="31" t="str">
        <f>IF(AND($F51='Tournament Setup'!$A$32,SUM($O51,$Q51)=0,$E51="M",$BC51&gt;'Tournament Setup'!$B$32),$H51,"")</f>
        <v/>
      </c>
      <c r="BE51" s="1" t="str">
        <f>IF(ISNUMBER(BD51)=TRUE,IF(_xlfn.RANK.EQ(BD51,$BD$2:$BD$111)&lt;='Tournament Setup'!$C$32,_xlfn.RANK.EQ(BD51,$BD$2:$BD$111),""),"")</f>
        <v/>
      </c>
      <c r="BF51" s="31" t="str">
        <f>IF(AND($F51='Tournament Setup'!$A$32,SUM($O51,$S51)=0,$E51="F",$BC51&gt;'Tournament Setup'!$B$32),$H51,"")</f>
        <v/>
      </c>
      <c r="BG51" s="12" t="str">
        <f>IF(ISNUMBER(BF51)=TRUE,IF(_xlfn.RANK.EQ(BF51,$BF$2:$BF$111)&lt;='Tournament Setup'!$D$32,_xlfn.RANK.EQ(BF51,$BF$2:$BF$111),""),"")</f>
        <v/>
      </c>
      <c r="BH51" s="30" t="str">
        <f>IF(AND($F51='Tournament Setup'!$A$33,$I51&lt;&gt;0),$I51,"")</f>
        <v/>
      </c>
      <c r="BI51" s="47" t="str">
        <f>IF(ISNUMBER(BH51),IF(COUNTIFS(BI$1:BI50,_xlfn.RANK.EQ(BH51,BH$2:BH$111,0))&gt;0,_xlfn.MAXIFS(BI$1:BI50,BH$1:BH50,BH51)+1,_xlfn.RANK.EQ(BH51,BH$2:BH$111,0)),"")</f>
        <v/>
      </c>
      <c r="BJ51" s="1" t="str">
        <f>IF(ISNUMBER(BH51)=TRUE,IF(_xlfn.RANK.EQ(BH51,$BH$2:$BH$111)&lt;='Tournament Setup'!$B$46,_xlfn.RANK.EQ(BH51,$BH$2:$BH$111),""),"")</f>
        <v/>
      </c>
      <c r="BK51" s="30" t="str">
        <f>IF(AND($F51='Tournament Setup'!$A$33,SUM($O51,$Q51,$S51)=0),$H51,"")</f>
        <v/>
      </c>
      <c r="BL51" s="47" t="str">
        <f>IF(ISNUMBER(BK51),IF(COUNTIFS(BL$1:BL50,_xlfn.RANK.EQ(BK51,BK$2:BK$111,0))&gt;0,_xlfn.MAXIFS(BL$1:BL50,BK$1:BK50,BK51)+1,_xlfn.RANK.EQ(BK51,BK$2:BK$111,0)),"")</f>
        <v/>
      </c>
      <c r="BM51" s="1" t="str">
        <f>IF(ISNUMBER(BK51)=TRUE,IF(_xlfn.RANK.EQ(BK51,$BK$2:$BK$111)&lt;='Tournament Setup'!$B$33,_xlfn.RANK.EQ(BK51,$BK$2:$BK$111),""),"")</f>
        <v/>
      </c>
      <c r="BN51" s="31" t="str">
        <f>IF(AND($F51='Tournament Setup'!$A$33,SUM($O51,$Q51)=0,$E51="M",$BM51&gt;'Tournament Setup'!$B$33),$H51,"")</f>
        <v/>
      </c>
      <c r="BO51" s="1" t="str">
        <f>IF(ISNUMBER(BN51)=TRUE,IF(_xlfn.RANK.EQ(BN51,$BN$2:$BN$111)&lt;='Tournament Setup'!$C$33,_xlfn.RANK.EQ(BN51,$BN$2:$BN$111),""),"")</f>
        <v/>
      </c>
      <c r="BP51" s="31" t="str">
        <f>IF(AND($F51='Tournament Setup'!$A$33,SUM($O51,$S51)=0,$E51="F",$BM51&gt;'Tournament Setup'!$B$33),$H51,"")</f>
        <v/>
      </c>
      <c r="BQ51" s="12" t="str">
        <f>IF(ISNUMBER(BP51)=TRUE,IF(_xlfn.RANK.EQ(BP51,$BP$2:$BP$111)&lt;='Tournament Setup'!$D$33,_xlfn.RANK.EQ(BP51,$BP$2:$BP$111),""),"")</f>
        <v/>
      </c>
      <c r="BR51" s="30" t="str">
        <f>IF($G51='Tournament Setup'!$A$38,$H51,"")</f>
        <v/>
      </c>
      <c r="BS51" s="47" t="str">
        <f>IF(ISNUMBER(BR51),IF(COUNTIFS(BS$1:BS50,_xlfn.RANK.EQ(BR51,BR$2:BR$111,0))&gt;0,_xlfn.MAXIFS(BS$1:BS50,BR$1:BR50,BR51)+1,_xlfn.RANK.EQ(BR51,BR$2:BR$111,0)),"")</f>
        <v/>
      </c>
      <c r="BT51" s="1" t="str">
        <f>IF(ISNUMBER(BR51)=TRUE,IF(_xlfn.RANK.EQ(BR51,$BR$2:$BR$111)&lt;='Tournament Setup'!$B$38,_xlfn.RANK.EQ(BR51,$BR$2:$BR$111),""),"")</f>
        <v/>
      </c>
      <c r="BU51" s="31" t="str">
        <f>IF(AND($G51='Tournament Setup'!$A$38,$E51="M",$BT51&gt;'Tournament Setup'!$B$38),$H51,"")</f>
        <v/>
      </c>
      <c r="BV51" s="1" t="str">
        <f>IF(ISNUMBER(BU51)=TRUE,IF(_xlfn.RANK.EQ(BU51,$BU$2:$BU$111)&lt;='Tournament Setup'!$C$38,_xlfn.RANK.EQ(BU51,$BU$2:$BU$111),""),"")</f>
        <v/>
      </c>
      <c r="BW51" s="31" t="str">
        <f>IF(AND($G51='Tournament Setup'!$A$38,$E51="F",$BT51&gt;'Tournament Setup'!$B$38),$H51,"")</f>
        <v/>
      </c>
      <c r="BX51" s="12" t="str">
        <f>IF(ISNUMBER(BW51)=TRUE,IF(_xlfn.RANK.EQ(BW51,$BW$2:$BW$111)&lt;='Tournament Setup'!$D$38,_xlfn.RANK.EQ(BW51,$BW$2:$BW$111),""),"")</f>
        <v/>
      </c>
      <c r="BY51" s="30" t="str">
        <f>IF($G51='Tournament Setup'!$A$39,$H51,"")</f>
        <v/>
      </c>
      <c r="BZ51" s="47" t="str">
        <f>IF(ISNUMBER(BY51),IF(COUNTIFS(BZ$1:BZ50,_xlfn.RANK.EQ(BY51,BY$2:BY$111,0))&gt;0,_xlfn.MAXIFS(BZ$1:BZ50,BY$1:BY50,BY51)+1,_xlfn.RANK.EQ(BY51,BY$2:BY$111,0)),"")</f>
        <v/>
      </c>
      <c r="CA51" s="1" t="str">
        <f>IF(ISNUMBER(BY51)=TRUE,IF(_xlfn.RANK.EQ(BY51,$BY$2:$BY$111)&lt;='Tournament Setup'!$B$39,_xlfn.RANK.EQ(BY51,$BY$2:$BY$111),""),"")</f>
        <v/>
      </c>
      <c r="CB51" s="31" t="str">
        <f>IF(AND($G51='Tournament Setup'!$A$39,$E51="M",$CA51&gt;'Tournament Setup'!$B$39),$H51,"")</f>
        <v/>
      </c>
      <c r="CC51" s="1" t="str">
        <f>IF(ISNUMBER(CB51)=TRUE,IF(_xlfn.RANK.EQ(CB51,$CB$2:$CB$111)&lt;='Tournament Setup'!$C$39,_xlfn.RANK.EQ(CB51,$CB$2:$CB$111),""),"")</f>
        <v/>
      </c>
      <c r="CD51" s="31" t="str">
        <f>IF(AND($G51='Tournament Setup'!$A$39,$E51="F",$CA51&gt;'Tournament Setup'!$B$39),$H51,"")</f>
        <v/>
      </c>
      <c r="CE51" s="12" t="str">
        <f>IF(ISNUMBER(CD51)=TRUE,IF(_xlfn.RANK.EQ(CD51,$CD$2:$CD$111)&lt;='Tournament Setup'!$D$39,_xlfn.RANK.EQ(CD51,$CD$2:$CD$111),""),"")</f>
        <v/>
      </c>
      <c r="CF51" s="30" t="str">
        <f>IF($G51='Tournament Setup'!$A$40,$H51,"")</f>
        <v/>
      </c>
      <c r="CG51" s="47" t="str">
        <f>IF(ISNUMBER(CF51),IF(COUNTIFS(CG$1:CG50,_xlfn.RANK.EQ(CF51,CF$2:CF$111,0))&gt;0,_xlfn.MAXIFS(CG$1:CG50,CF$1:CF50,CF51)+1,_xlfn.RANK.EQ(CF51,CF$2:CF$111,0)),"")</f>
        <v/>
      </c>
      <c r="CH51" s="1" t="str">
        <f>IF(ISNUMBER(CF51)=TRUE,IF(_xlfn.RANK.EQ(CF51,$CF$2:$CF$111)&lt;='Tournament Setup'!$B$40,_xlfn.RANK.EQ(CF51,$CF$2:$CF$111),""),"")</f>
        <v/>
      </c>
      <c r="CI51" s="31" t="str">
        <f>IF(AND($G51='Tournament Setup'!$A$40,$E51="M",$CH51&gt;'Tournament Setup'!$B$40),$H51,"")</f>
        <v/>
      </c>
      <c r="CJ51" s="1" t="str">
        <f>IF(ISNUMBER(CI51)=TRUE,IF(_xlfn.RANK.EQ(CI51,$CI$2:$CI$111)&lt;='Tournament Setup'!$C$40,_xlfn.RANK.EQ(CI51,$CI$2:$CI$111),""),"")</f>
        <v/>
      </c>
      <c r="CK51" s="31" t="str">
        <f>IF(AND($G51='Tournament Setup'!$A$40,$E51="F",$CH51&gt;'Tournament Setup'!$B$40),$H51,"")</f>
        <v/>
      </c>
      <c r="CL51" s="12" t="str">
        <f>IF(ISNUMBER(CK51)=TRUE,IF(_xlfn.RANK.EQ(CK51,$CK$2:$CK$111)&lt;='Tournament Setup'!$D$40,_xlfn.RANK.EQ(CK51,$CK$2:$CK$111),""),"")</f>
        <v/>
      </c>
      <c r="CM51" s="30" t="str">
        <f>IF($G51='Tournament Setup'!$A$41,$H51,"")</f>
        <v/>
      </c>
      <c r="CN51" s="47" t="str">
        <f>IF(ISNUMBER(CM51),IF(COUNTIFS(CN$1:CN50,_xlfn.RANK.EQ(CM51,CM$2:CM$111,0))&gt;0,_xlfn.MAXIFS(CN$1:CN50,CM$1:CM50,CM51)+1,_xlfn.RANK.EQ(CM51,CM$2:CM$111,0)),"")</f>
        <v/>
      </c>
      <c r="CO51" s="1" t="str">
        <f>IF(ISNUMBER(CM51)=TRUE,IF(_xlfn.RANK.EQ(CM51,$CM$2:$CM$111)&lt;='Tournament Setup'!$B$41,_xlfn.RANK.EQ(CM51,$CM$2:$CM$111),""),"")</f>
        <v/>
      </c>
      <c r="CP51" s="31" t="str">
        <f>IF(AND($G51='Tournament Setup'!$A$41,$E51="M",$CO51&gt;'Tournament Setup'!$B$41),$H51,"")</f>
        <v/>
      </c>
      <c r="CQ51" s="1" t="str">
        <f>IF(ISNUMBER(CP51)=TRUE,IF(_xlfn.RANK.EQ(CP51,$CP$2:$CP$111)&lt;='Tournament Setup'!$C$41,_xlfn.RANK.EQ(CP51,$CP$2:$CP$111),""),"")</f>
        <v/>
      </c>
      <c r="CR51" s="31" t="str">
        <f>IF(AND($G51='Tournament Setup'!$A$41,$E51="F",$CO51&gt;'Tournament Setup'!$B$41),$H51,"")</f>
        <v/>
      </c>
      <c r="CS51" s="12" t="str">
        <f>IF(ISNUMBER(CR51)=TRUE,IF(_xlfn.RANK.EQ(CR51,$CR$2:$CR$111)&lt;='Tournament Setup'!$D$41,_xlfn.RANK.EQ(CR51,$CR$2:$CR$111),""),"")</f>
        <v/>
      </c>
    </row>
    <row r="52" spans="1:97" x14ac:dyDescent="0.3">
      <c r="B52" t="str">
        <f>IFERROR(INDEX('Tournament List'!$B:$B,MATCH($A52,'Tournament List'!$A:$A,0)),"")</f>
        <v/>
      </c>
      <c r="C52" t="str">
        <f>IFERROR(INDEX('Tournament List'!$C:$C,MATCH($A52,'Tournament List'!$A:$A,0)),"")</f>
        <v/>
      </c>
      <c r="D52" t="str">
        <f t="shared" si="10"/>
        <v xml:space="preserve"> </v>
      </c>
      <c r="E52" s="1" t="str">
        <f>IFERROR(INDEX('Tournament List'!F:F,MATCH($A52,'Tournament List'!$A:$A,0)),"")</f>
        <v/>
      </c>
      <c r="F52" t="str">
        <f>IFERROR(INDEX('Tournament List'!M:M,MATCH($A52,'Tournament List'!$A:$A,0)),"")</f>
        <v/>
      </c>
      <c r="G52" s="1" t="str">
        <f>IFERROR(INDEX('Tournament List'!W:W,MATCH($A52,'Tournament List'!$A:$A,0)),"")</f>
        <v/>
      </c>
      <c r="H52" s="129" t="str">
        <f>IFERROR(INDEX('Tournament List'!Z:Z,MATCH($A52,'Tournament List'!$A:$A,0)),"")</f>
        <v/>
      </c>
      <c r="I52" s="152" t="str">
        <f>IFERROR(INDEX('Tournament List'!T:T,MATCH($A52,'Tournament List'!$A:$A,0)),"")</f>
        <v/>
      </c>
      <c r="J52" s="56" t="str">
        <f>IF(ISNUMBER(I52),IF(COUNTIFS(J$1:J51,_xlfn.RANK.EQ(I52,I$2:I$111,0))&gt;0,_xlfn.MAXIFS(J$1:J51,I$1:I51,I52)+1,_xlfn.RANK.EQ(I52,I$2:I$111,0)),"")</f>
        <v/>
      </c>
      <c r="K52" s="11" t="str">
        <f t="shared" si="11"/>
        <v/>
      </c>
      <c r="L52" s="56" t="str">
        <f>IF(ISNUMBER(H52),IF(COUNTIFS(L$1:L51,_xlfn.RANK.EQ(H52,H$2:H$111,0))&gt;0,_xlfn.MAXIFS(L$1:L51,H$1:H51,H52)+1,_xlfn.RANK.EQ(H52,H$2:H$111,0)),"")</f>
        <v/>
      </c>
      <c r="M52" s="151" t="str">
        <f t="shared" si="12"/>
        <v/>
      </c>
      <c r="N52" s="47" t="str">
        <f>IF(ISNUMBER(M52),IF(COUNTIFS(N$1:N51,_xlfn.RANK.EQ(M52,M$2:M$111,0))&gt;0,_xlfn.MAXIFS(N$1:N51,M$1:M51,M52)+1,_xlfn.RANK.EQ(M52,M$2:M$111,0)),"")</f>
        <v/>
      </c>
      <c r="O52" s="1" t="str">
        <f>IF(ISNUMBER(M52)=TRUE,IF(_xlfn.RANK.EQ(M52,$M$2:$M$111)&lt;='Tournament Setup'!$B$23,_xlfn.RANK.EQ(M52,$M$2:$M$111),""),"")</f>
        <v/>
      </c>
      <c r="P52" s="150" t="str">
        <f t="shared" si="13"/>
        <v/>
      </c>
      <c r="Q52" s="1" t="str">
        <f>IF(ISNUMBER(P52)=TRUE,IF(_xlfn.RANK.EQ(P52,$P$2:$P$111)&lt;='Tournament Setup'!$B$24,_xlfn.RANK.EQ(P52,$P$2:$P$111),""),"")</f>
        <v/>
      </c>
      <c r="R52" s="150" t="str">
        <f t="shared" si="14"/>
        <v/>
      </c>
      <c r="S52" s="12" t="str">
        <f>IF(ISNUMBER(R52)=TRUE,IF(_xlfn.RANK.EQ(R52,$R$2:$R$111)&lt;='Tournament Setup'!$B$25,_xlfn.RANK.EQ(R52,$R$2:$R$111),""),"")</f>
        <v/>
      </c>
      <c r="T52" s="152" t="str">
        <f>IF(AND($F52='Tournament Setup'!$A$29,$I52&lt;&gt;0),$I52,"")</f>
        <v/>
      </c>
      <c r="U52" s="47" t="str">
        <f>IF(ISNUMBER(T52),IF(COUNTIFS(U$1:U51,_xlfn.RANK.EQ(T52,T$2:T$111,0))&gt;0,_xlfn.MAXIFS(U$1:U51,T$1:T51,T52)+1,_xlfn.RANK.EQ(T52,T$2:T$111,0)),"")</f>
        <v/>
      </c>
      <c r="V52" s="1" t="str">
        <f>IF(ISNUMBER(T52)=TRUE,IF(_xlfn.RANK.EQ(T52,$T$3:$T$112)&lt;='Tournament Setup'!$B$46,_xlfn.RANK.EQ(T52,$T$2:$T$111),""),"")</f>
        <v/>
      </c>
      <c r="W52" s="30" t="str">
        <f>IF(AND($F52='Tournament Setup'!$A$29,SUM($O52,$Q52,$S52)=0),$H52,"")</f>
        <v/>
      </c>
      <c r="X52" s="47" t="str">
        <f>IF(ISNUMBER(W52),IF(COUNTIFS(X$1:X51,_xlfn.RANK.EQ(W52,W$2:W$111,0))&gt;0,_xlfn.MAXIFS(X$1:X51,W$1:W51,W52)+1,_xlfn.RANK.EQ(W52,W$2:W$111,0)),"")</f>
        <v/>
      </c>
      <c r="Y52" s="1" t="str">
        <f>IF(ISNUMBER(W52)=TRUE,IF(_xlfn.RANK.EQ(W52,$W$2:$W$111)&lt;='Tournament Setup'!$B$29,_xlfn.RANK.EQ(W52,$W$2:$W$111),""),"")</f>
        <v/>
      </c>
      <c r="Z52" s="31" t="str">
        <f>IF(AND($F52='Tournament Setup'!$A$29,SUM($O52,$Q52)=0,$E52="M",$Y52&gt;'Tournament Setup'!$B$29),$H52,"")</f>
        <v/>
      </c>
      <c r="AA52" s="1" t="str">
        <f>IF(ISNUMBER(Z52)=TRUE,IF(_xlfn.RANK.EQ(Z52,$Z$2:$Z$111)&lt;='Tournament Setup'!$C$29,_xlfn.RANK.EQ(Z52,$Z$2:$Z$111),""),"")</f>
        <v/>
      </c>
      <c r="AB52" s="31" t="str">
        <f>IF(AND($F52='Tournament Setup'!$A$29,SUM($O52,$S52)=0,$E52="F",$Y52&gt;'Tournament Setup'!$B$29),$H52,"")</f>
        <v/>
      </c>
      <c r="AC52" s="12" t="str">
        <f>IF(ISNUMBER(AB52)=TRUE,IF(_xlfn.RANK.EQ(AB52,$AB$2:$AB$111)&lt;='Tournament Setup'!$D$29,_xlfn.RANK.EQ(AB52,$AB$2:$AB$111),""),"")</f>
        <v/>
      </c>
      <c r="AD52" s="30" t="str">
        <f>IF(AND($F52='Tournament Setup'!$A$30,$I52&lt;&gt;0),$I52,"")</f>
        <v/>
      </c>
      <c r="AE52" s="47" t="str">
        <f>IF(ISNUMBER(AD52),IF(COUNTIFS(AE$1:AE51,_xlfn.RANK.EQ(AD52,AD$2:AD$111,0))&gt;0,_xlfn.MAXIFS(AE$1:AE51,AD$1:AD51,AD52)+1,_xlfn.RANK.EQ(AD52,AD$2:AD$111,0)),"")</f>
        <v/>
      </c>
      <c r="AF52" s="1" t="str">
        <f>IF(ISNUMBER(AD52)=TRUE,IF(_xlfn.RANK.EQ(AD52,$AD$2:$AD$111)&lt;='Tournament Setup'!$B$46,_xlfn.RANK.EQ(AD52,$AD$2:$AD$111),""),"")</f>
        <v/>
      </c>
      <c r="AG52" s="30" t="str">
        <f>IF(AND($F52='Tournament Setup'!$A$30,SUM($O52,$Q52,$S52)=0),$H52,"")</f>
        <v/>
      </c>
      <c r="AH52" s="47" t="str">
        <f>IF(ISNUMBER(AG52),IF(COUNTIFS(AH$1:AH51,_xlfn.RANK.EQ(AG52,AG$2:AG$111,0))&gt;0,_xlfn.MAXIFS(AH$1:AH51,AG$1:AG51,AG52)+1,_xlfn.RANK.EQ(AG52,AG$2:AG$111,0)),"")</f>
        <v/>
      </c>
      <c r="AI52" s="1" t="str">
        <f>IF(ISNUMBER(AG52)=TRUE,IF(_xlfn.RANK.EQ(AG52,$AG$2:$AG$111)&lt;='Tournament Setup'!$B$30,_xlfn.RANK.EQ(AG52,$AG$2:$AG$111),""),"")</f>
        <v/>
      </c>
      <c r="AJ52" s="31" t="str">
        <f>IF(AND($F52='Tournament Setup'!$A$30,SUM($O52,$Q52)=0,$E52="M",$AI52&gt;'Tournament Setup'!$B$30),$H52,"")</f>
        <v/>
      </c>
      <c r="AK52" s="1" t="str">
        <f>IF(ISNUMBER(AJ52)=TRUE,IF(_xlfn.RANK.EQ(AJ52,$AJ$2:$AJ$111)&lt;='Tournament Setup'!$C$30,_xlfn.RANK.EQ(AJ52,$AJ$2:$AJ$111),""),"")</f>
        <v/>
      </c>
      <c r="AL52" s="31" t="str">
        <f>IF(AND($F52='Tournament Setup'!$A$30,SUM($O52,$S52)=0,$E52="F",$AI52&gt;'Tournament Setup'!$B$30),$H52,"")</f>
        <v/>
      </c>
      <c r="AM52" s="12" t="str">
        <f>IF(ISNUMBER(AL52)=TRUE,IF(_xlfn.RANK.EQ(AL52,$AL$2:$AL$111)&lt;='Tournament Setup'!$D$30,_xlfn.RANK.EQ(AL52,$AL$2:$AL$111),""),"")</f>
        <v/>
      </c>
      <c r="AN52" s="30" t="str">
        <f>IF(AND($F52='Tournament Setup'!$A$31,$I52&lt;&gt;0),$I52,"")</f>
        <v/>
      </c>
      <c r="AO52" s="47" t="str">
        <f>IF(ISNUMBER(AN52),IF(COUNTIFS(AO$1:AO51,_xlfn.RANK.EQ(AN52,AN$2:AN$111,0))&gt;0,_xlfn.MAXIFS(AO$1:AO51,AN$1:AN51,AN52)+1,_xlfn.RANK.EQ(AN52,AN$2:AN$111,0)),"")</f>
        <v/>
      </c>
      <c r="AP52" s="1" t="str">
        <f>IF(ISNUMBER(AN52)=TRUE,IF(_xlfn.RANK.EQ(AN52,$AN$2:$AN$111)&lt;='Tournament Setup'!$B$46,_xlfn.RANK.EQ(AN52,$AN$2:$AN$111),""),"")</f>
        <v/>
      </c>
      <c r="AQ52" s="30" t="str">
        <f>IF(AND($F52='Tournament Setup'!$A$31,SUM($O52,$Q52,$S52)=0),$H52,"")</f>
        <v/>
      </c>
      <c r="AR52" s="47" t="str">
        <f>IF(ISNUMBER(AQ52),IF(COUNTIFS(AR$1:AR51,_xlfn.RANK.EQ(AQ52,AQ$2:AQ$111,0))&gt;0,_xlfn.MAXIFS(AR$1:AR51,AQ$1:AQ51,AQ52)+1,_xlfn.RANK.EQ(AQ52,AQ$2:AQ$111,0)),"")</f>
        <v/>
      </c>
      <c r="AS52" s="1" t="str">
        <f>IF(ISNUMBER(AQ52)=TRUE,IF(_xlfn.RANK.EQ(AQ52,$AQ$2:$AQ$111)&lt;='Tournament Setup'!$B$31,_xlfn.RANK.EQ(AQ52,$AQ$2:$AQ$111),""),"")</f>
        <v/>
      </c>
      <c r="AT52" s="31" t="str">
        <f>IF(AND($F52='Tournament Setup'!$A$31,SUM($O52,$Q52)=0,$E52="M",$AS52&gt;'Tournament Setup'!$B$31),$H52,"")</f>
        <v/>
      </c>
      <c r="AU52" s="1" t="str">
        <f>IF(ISNUMBER(AT52)=TRUE,IF(_xlfn.RANK.EQ(AT52,$AT$2:$AT$111)&lt;='Tournament Setup'!$C$31,_xlfn.RANK.EQ(AT52,$AT$2:$AT$111),""),"")</f>
        <v/>
      </c>
      <c r="AV52" s="31" t="str">
        <f>IF(AND($F52='Tournament Setup'!$A$31,SUM($O52,$S52)=0,$E52="F",$AS52&gt;'Tournament Setup'!$B$31),$H52,"")</f>
        <v/>
      </c>
      <c r="AW52" s="12" t="str">
        <f>IF(ISNUMBER(AV52)=TRUE,IF(_xlfn.RANK.EQ(AV52,$AV$2:$AV$111)&lt;='Tournament Setup'!$D$31,_xlfn.RANK.EQ(AV52,$AV$2:$AV$111),""),"")</f>
        <v/>
      </c>
      <c r="AX52" s="30" t="str">
        <f>IF(AND($F52='Tournament Setup'!$A$32,$I52&lt;&gt;0),$I52,"")</f>
        <v/>
      </c>
      <c r="AY52" s="47" t="str">
        <f>IF(ISNUMBER(AX52),IF(COUNTIFS(AY$1:AY51,_xlfn.RANK.EQ(AX52,AX$2:AX$111,0))&gt;0,_xlfn.MAXIFS(AY$1:AY51,AX$1:AX51,AX52)+1,_xlfn.RANK.EQ(AX52,AX$2:AX$111,0)),"")</f>
        <v/>
      </c>
      <c r="AZ52" s="1" t="str">
        <f>IF(ISNUMBER(AX52)=TRUE,IF(_xlfn.RANK.EQ(AX52,$AX$2:$AX$111)&lt;='Tournament Setup'!$B$46,_xlfn.RANK.EQ(AX52,$AX$2:$AX$111),""),"")</f>
        <v/>
      </c>
      <c r="BA52" s="30" t="str">
        <f>IF(AND($F52='Tournament Setup'!$A$32,SUM($O52,$Q52,$S52)=0),$H52,"")</f>
        <v/>
      </c>
      <c r="BB52" s="47" t="str">
        <f>IF(ISNUMBER(BA52),IF(COUNTIFS(BB$1:BB51,_xlfn.RANK.EQ(BA52,BA$2:BA$111,0))&gt;0,_xlfn.MAXIFS(BB$1:BB51,BA$1:BA51,BA52)+1,_xlfn.RANK.EQ(BA52,BA$2:BA$111,0)),"")</f>
        <v/>
      </c>
      <c r="BC52" s="1" t="str">
        <f>IF(ISNUMBER(BA52)=TRUE,IF(_xlfn.RANK.EQ(BA52,$BA$2:$BA$111)&lt;='Tournament Setup'!$B$32,_xlfn.RANK.EQ(BA52,$BA$2:$BA$111),""),"")</f>
        <v/>
      </c>
      <c r="BD52" s="31" t="str">
        <f>IF(AND($F52='Tournament Setup'!$A$32,SUM($O52,$Q52)=0,$E52="M",$BC52&gt;'Tournament Setup'!$B$32),$H52,"")</f>
        <v/>
      </c>
      <c r="BE52" s="1" t="str">
        <f>IF(ISNUMBER(BD52)=TRUE,IF(_xlfn.RANK.EQ(BD52,$BD$2:$BD$111)&lt;='Tournament Setup'!$C$32,_xlfn.RANK.EQ(BD52,$BD$2:$BD$111),""),"")</f>
        <v/>
      </c>
      <c r="BF52" s="31" t="str">
        <f>IF(AND($F52='Tournament Setup'!$A$32,SUM($O52,$S52)=0,$E52="F",$BC52&gt;'Tournament Setup'!$B$32),$H52,"")</f>
        <v/>
      </c>
      <c r="BG52" s="12" t="str">
        <f>IF(ISNUMBER(BF52)=TRUE,IF(_xlfn.RANK.EQ(BF52,$BF$2:$BF$111)&lt;='Tournament Setup'!$D$32,_xlfn.RANK.EQ(BF52,$BF$2:$BF$111),""),"")</f>
        <v/>
      </c>
      <c r="BH52" s="30" t="str">
        <f>IF(AND($F52='Tournament Setup'!$A$33,$I52&lt;&gt;0),$I52,"")</f>
        <v/>
      </c>
      <c r="BI52" s="47" t="str">
        <f>IF(ISNUMBER(BH52),IF(COUNTIFS(BI$1:BI51,_xlfn.RANK.EQ(BH52,BH$2:BH$111,0))&gt;0,_xlfn.MAXIFS(BI$1:BI51,BH$1:BH51,BH52)+1,_xlfn.RANK.EQ(BH52,BH$2:BH$111,0)),"")</f>
        <v/>
      </c>
      <c r="BJ52" s="1" t="str">
        <f>IF(ISNUMBER(BH52)=TRUE,IF(_xlfn.RANK.EQ(BH52,$BH$2:$BH$111)&lt;='Tournament Setup'!$B$46,_xlfn.RANK.EQ(BH52,$BH$2:$BH$111),""),"")</f>
        <v/>
      </c>
      <c r="BK52" s="30" t="str">
        <f>IF(AND($F52='Tournament Setup'!$A$33,SUM($O52,$Q52,$S52)=0),$H52,"")</f>
        <v/>
      </c>
      <c r="BL52" s="47" t="str">
        <f>IF(ISNUMBER(BK52),IF(COUNTIFS(BL$1:BL51,_xlfn.RANK.EQ(BK52,BK$2:BK$111,0))&gt;0,_xlfn.MAXIFS(BL$1:BL51,BK$1:BK51,BK52)+1,_xlfn.RANK.EQ(BK52,BK$2:BK$111,0)),"")</f>
        <v/>
      </c>
      <c r="BM52" s="1" t="str">
        <f>IF(ISNUMBER(BK52)=TRUE,IF(_xlfn.RANK.EQ(BK52,$BK$2:$BK$111)&lt;='Tournament Setup'!$B$33,_xlfn.RANK.EQ(BK52,$BK$2:$BK$111),""),"")</f>
        <v/>
      </c>
      <c r="BN52" s="31" t="str">
        <f>IF(AND($F52='Tournament Setup'!$A$33,SUM($O52,$Q52)=0,$E52="M",$BM52&gt;'Tournament Setup'!$B$33),$H52,"")</f>
        <v/>
      </c>
      <c r="BO52" s="1" t="str">
        <f>IF(ISNUMBER(BN52)=TRUE,IF(_xlfn.RANK.EQ(BN52,$BN$2:$BN$111)&lt;='Tournament Setup'!$C$33,_xlfn.RANK.EQ(BN52,$BN$2:$BN$111),""),"")</f>
        <v/>
      </c>
      <c r="BP52" s="31" t="str">
        <f>IF(AND($F52='Tournament Setup'!$A$33,SUM($O52,$S52)=0,$E52="F",$BM52&gt;'Tournament Setup'!$B$33),$H52,"")</f>
        <v/>
      </c>
      <c r="BQ52" s="12" t="str">
        <f>IF(ISNUMBER(BP52)=TRUE,IF(_xlfn.RANK.EQ(BP52,$BP$2:$BP$111)&lt;='Tournament Setup'!$D$33,_xlfn.RANK.EQ(BP52,$BP$2:$BP$111),""),"")</f>
        <v/>
      </c>
      <c r="BR52" s="30" t="str">
        <f>IF($G52='Tournament Setup'!$A$38,$H52,"")</f>
        <v/>
      </c>
      <c r="BS52" s="47" t="str">
        <f>IF(ISNUMBER(BR52),IF(COUNTIFS(BS$1:BS51,_xlfn.RANK.EQ(BR52,BR$2:BR$111,0))&gt;0,_xlfn.MAXIFS(BS$1:BS51,BR$1:BR51,BR52)+1,_xlfn.RANK.EQ(BR52,BR$2:BR$111,0)),"")</f>
        <v/>
      </c>
      <c r="BT52" s="1" t="str">
        <f>IF(ISNUMBER(BR52)=TRUE,IF(_xlfn.RANK.EQ(BR52,$BR$2:$BR$111)&lt;='Tournament Setup'!$B$38,_xlfn.RANK.EQ(BR52,$BR$2:$BR$111),""),"")</f>
        <v/>
      </c>
      <c r="BU52" s="31" t="str">
        <f>IF(AND($G52='Tournament Setup'!$A$38,$E52="M",$BT52&gt;'Tournament Setup'!$B$38),$H52,"")</f>
        <v/>
      </c>
      <c r="BV52" s="1" t="str">
        <f>IF(ISNUMBER(BU52)=TRUE,IF(_xlfn.RANK.EQ(BU52,$BU$2:$BU$111)&lt;='Tournament Setup'!$C$38,_xlfn.RANK.EQ(BU52,$BU$2:$BU$111),""),"")</f>
        <v/>
      </c>
      <c r="BW52" s="31" t="str">
        <f>IF(AND($G52='Tournament Setup'!$A$38,$E52="F",$BT52&gt;'Tournament Setup'!$B$38),$H52,"")</f>
        <v/>
      </c>
      <c r="BX52" s="12" t="str">
        <f>IF(ISNUMBER(BW52)=TRUE,IF(_xlfn.RANK.EQ(BW52,$BW$2:$BW$111)&lt;='Tournament Setup'!$D$38,_xlfn.RANK.EQ(BW52,$BW$2:$BW$111),""),"")</f>
        <v/>
      </c>
      <c r="BY52" s="30" t="str">
        <f>IF($G52='Tournament Setup'!$A$39,$H52,"")</f>
        <v/>
      </c>
      <c r="BZ52" s="47" t="str">
        <f>IF(ISNUMBER(BY52),IF(COUNTIFS(BZ$1:BZ51,_xlfn.RANK.EQ(BY52,BY$2:BY$111,0))&gt;0,_xlfn.MAXIFS(BZ$1:BZ51,BY$1:BY51,BY52)+1,_xlfn.RANK.EQ(BY52,BY$2:BY$111,0)),"")</f>
        <v/>
      </c>
      <c r="CA52" s="1" t="str">
        <f>IF(ISNUMBER(BY52)=TRUE,IF(_xlfn.RANK.EQ(BY52,$BY$2:$BY$111)&lt;='Tournament Setup'!$B$39,_xlfn.RANK.EQ(BY52,$BY$2:$BY$111),""),"")</f>
        <v/>
      </c>
      <c r="CB52" s="31" t="str">
        <f>IF(AND($G52='Tournament Setup'!$A$39,$E52="M",$CA52&gt;'Tournament Setup'!$B$39),$H52,"")</f>
        <v/>
      </c>
      <c r="CC52" s="1" t="str">
        <f>IF(ISNUMBER(CB52)=TRUE,IF(_xlfn.RANK.EQ(CB52,$CB$2:$CB$111)&lt;='Tournament Setup'!$C$39,_xlfn.RANK.EQ(CB52,$CB$2:$CB$111),""),"")</f>
        <v/>
      </c>
      <c r="CD52" s="31" t="str">
        <f>IF(AND($G52='Tournament Setup'!$A$39,$E52="F",$CA52&gt;'Tournament Setup'!$B$39),$H52,"")</f>
        <v/>
      </c>
      <c r="CE52" s="12" t="str">
        <f>IF(ISNUMBER(CD52)=TRUE,IF(_xlfn.RANK.EQ(CD52,$CD$2:$CD$111)&lt;='Tournament Setup'!$D$39,_xlfn.RANK.EQ(CD52,$CD$2:$CD$111),""),"")</f>
        <v/>
      </c>
      <c r="CF52" s="30" t="str">
        <f>IF($G52='Tournament Setup'!$A$40,$H52,"")</f>
        <v/>
      </c>
      <c r="CG52" s="47" t="str">
        <f>IF(ISNUMBER(CF52),IF(COUNTIFS(CG$1:CG51,_xlfn.RANK.EQ(CF52,CF$2:CF$111,0))&gt;0,_xlfn.MAXIFS(CG$1:CG51,CF$1:CF51,CF52)+1,_xlfn.RANK.EQ(CF52,CF$2:CF$111,0)),"")</f>
        <v/>
      </c>
      <c r="CH52" s="1" t="str">
        <f>IF(ISNUMBER(CF52)=TRUE,IF(_xlfn.RANK.EQ(CF52,$CF$2:$CF$111)&lt;='Tournament Setup'!$B$40,_xlfn.RANK.EQ(CF52,$CF$2:$CF$111),""),"")</f>
        <v/>
      </c>
      <c r="CI52" s="31" t="str">
        <f>IF(AND($G52='Tournament Setup'!$A$40,$E52="M",$CH52&gt;'Tournament Setup'!$B$40),$H52,"")</f>
        <v/>
      </c>
      <c r="CJ52" s="1" t="str">
        <f>IF(ISNUMBER(CI52)=TRUE,IF(_xlfn.RANK.EQ(CI52,$CI$2:$CI$111)&lt;='Tournament Setup'!$C$40,_xlfn.RANK.EQ(CI52,$CI$2:$CI$111),""),"")</f>
        <v/>
      </c>
      <c r="CK52" s="31" t="str">
        <f>IF(AND($G52='Tournament Setup'!$A$40,$E52="F",$CH52&gt;'Tournament Setup'!$B$40),$H52,"")</f>
        <v/>
      </c>
      <c r="CL52" s="12" t="str">
        <f>IF(ISNUMBER(CK52)=TRUE,IF(_xlfn.RANK.EQ(CK52,$CK$2:$CK$111)&lt;='Tournament Setup'!$D$40,_xlfn.RANK.EQ(CK52,$CK$2:$CK$111),""),"")</f>
        <v/>
      </c>
      <c r="CM52" s="30" t="str">
        <f>IF($G52='Tournament Setup'!$A$41,$H52,"")</f>
        <v/>
      </c>
      <c r="CN52" s="47" t="str">
        <f>IF(ISNUMBER(CM52),IF(COUNTIFS(CN$1:CN51,_xlfn.RANK.EQ(CM52,CM$2:CM$111,0))&gt;0,_xlfn.MAXIFS(CN$1:CN51,CM$1:CM51,CM52)+1,_xlfn.RANK.EQ(CM52,CM$2:CM$111,0)),"")</f>
        <v/>
      </c>
      <c r="CO52" s="1" t="str">
        <f>IF(ISNUMBER(CM52)=TRUE,IF(_xlfn.RANK.EQ(CM52,$CM$2:$CM$111)&lt;='Tournament Setup'!$B$41,_xlfn.RANK.EQ(CM52,$CM$2:$CM$111),""),"")</f>
        <v/>
      </c>
      <c r="CP52" s="31" t="str">
        <f>IF(AND($G52='Tournament Setup'!$A$41,$E52="M",$CO52&gt;'Tournament Setup'!$B$41),$H52,"")</f>
        <v/>
      </c>
      <c r="CQ52" s="1" t="str">
        <f>IF(ISNUMBER(CP52)=TRUE,IF(_xlfn.RANK.EQ(CP52,$CP$2:$CP$111)&lt;='Tournament Setup'!$C$41,_xlfn.RANK.EQ(CP52,$CP$2:$CP$111),""),"")</f>
        <v/>
      </c>
      <c r="CR52" s="31" t="str">
        <f>IF(AND($G52='Tournament Setup'!$A$41,$E52="F",$CO52&gt;'Tournament Setup'!$B$41),$H52,"")</f>
        <v/>
      </c>
      <c r="CS52" s="12" t="str">
        <f>IF(ISNUMBER(CR52)=TRUE,IF(_xlfn.RANK.EQ(CR52,$CR$2:$CR$111)&lt;='Tournament Setup'!$D$41,_xlfn.RANK.EQ(CR52,$CR$2:$CR$111),""),"")</f>
        <v/>
      </c>
    </row>
    <row r="53" spans="1:97" x14ac:dyDescent="0.3">
      <c r="B53" t="str">
        <f>IFERROR(INDEX('Tournament List'!$B:$B,MATCH($A53,'Tournament List'!$A:$A,0)),"")</f>
        <v/>
      </c>
      <c r="C53" t="str">
        <f>IFERROR(INDEX('Tournament List'!$C:$C,MATCH($A53,'Tournament List'!$A:$A,0)),"")</f>
        <v/>
      </c>
      <c r="D53" t="str">
        <f t="shared" si="10"/>
        <v xml:space="preserve"> </v>
      </c>
      <c r="E53" s="1" t="str">
        <f>IFERROR(INDEX('Tournament List'!F:F,MATCH($A53,'Tournament List'!$A:$A,0)),"")</f>
        <v/>
      </c>
      <c r="F53" t="str">
        <f>IFERROR(INDEX('Tournament List'!M:M,MATCH($A53,'Tournament List'!$A:$A,0)),"")</f>
        <v/>
      </c>
      <c r="G53" s="1" t="str">
        <f>IFERROR(INDEX('Tournament List'!W:W,MATCH($A53,'Tournament List'!$A:$A,0)),"")</f>
        <v/>
      </c>
      <c r="H53" s="129" t="str">
        <f>IFERROR(INDEX('Tournament List'!Z:Z,MATCH($A53,'Tournament List'!$A:$A,0)),"")</f>
        <v/>
      </c>
      <c r="I53" s="152" t="str">
        <f>IFERROR(INDEX('Tournament List'!T:T,MATCH($A53,'Tournament List'!$A:$A,0)),"")</f>
        <v/>
      </c>
      <c r="J53" s="56" t="str">
        <f>IF(ISNUMBER(I53),IF(COUNTIFS(J$1:J52,_xlfn.RANK.EQ(I53,I$2:I$111,0))&gt;0,_xlfn.MAXIFS(J$1:J52,I$1:I52,I53)+1,_xlfn.RANK.EQ(I53,I$2:I$111,0)),"")</f>
        <v/>
      </c>
      <c r="K53" s="11" t="str">
        <f t="shared" si="11"/>
        <v/>
      </c>
      <c r="L53" s="56" t="str">
        <f>IF(ISNUMBER(H53),IF(COUNTIFS(L$1:L52,_xlfn.RANK.EQ(H53,H$2:H$111,0))&gt;0,_xlfn.MAXIFS(L$1:L52,H$1:H52,H53)+1,_xlfn.RANK.EQ(H53,H$2:H$111,0)),"")</f>
        <v/>
      </c>
      <c r="M53" s="151" t="str">
        <f t="shared" si="12"/>
        <v/>
      </c>
      <c r="N53" s="47" t="str">
        <f>IF(ISNUMBER(M53),IF(COUNTIFS(N$1:N52,_xlfn.RANK.EQ(M53,M$2:M$111,0))&gt;0,_xlfn.MAXIFS(N$1:N52,M$1:M52,M53)+1,_xlfn.RANK.EQ(M53,M$2:M$111,0)),"")</f>
        <v/>
      </c>
      <c r="O53" s="1" t="str">
        <f>IF(ISNUMBER(M53)=TRUE,IF(_xlfn.RANK.EQ(M53,$M$2:$M$111)&lt;='Tournament Setup'!$B$23,_xlfn.RANK.EQ(M53,$M$2:$M$111),""),"")</f>
        <v/>
      </c>
      <c r="P53" s="150" t="str">
        <f t="shared" si="13"/>
        <v/>
      </c>
      <c r="Q53" s="1" t="str">
        <f>IF(ISNUMBER(P53)=TRUE,IF(_xlfn.RANK.EQ(P53,$P$2:$P$111)&lt;='Tournament Setup'!$B$24,_xlfn.RANK.EQ(P53,$P$2:$P$111),""),"")</f>
        <v/>
      </c>
      <c r="R53" s="150" t="str">
        <f t="shared" si="14"/>
        <v/>
      </c>
      <c r="S53" s="12" t="str">
        <f>IF(ISNUMBER(R53)=TRUE,IF(_xlfn.RANK.EQ(R53,$R$2:$R$111)&lt;='Tournament Setup'!$B$25,_xlfn.RANK.EQ(R53,$R$2:$R$111),""),"")</f>
        <v/>
      </c>
      <c r="T53" s="152" t="str">
        <f>IF(AND($F53='Tournament Setup'!$A$29,$I53&lt;&gt;0),$I53,"")</f>
        <v/>
      </c>
      <c r="U53" s="47" t="str">
        <f>IF(ISNUMBER(T53),IF(COUNTIFS(U$1:U52,_xlfn.RANK.EQ(T53,T$2:T$111,0))&gt;0,_xlfn.MAXIFS(U$1:U52,T$1:T52,T53)+1,_xlfn.RANK.EQ(T53,T$2:T$111,0)),"")</f>
        <v/>
      </c>
      <c r="V53" s="1" t="str">
        <f>IF(ISNUMBER(T53)=TRUE,IF(_xlfn.RANK.EQ(T53,$T$3:$T$112)&lt;='Tournament Setup'!$B$46,_xlfn.RANK.EQ(T53,$T$2:$T$111),""),"")</f>
        <v/>
      </c>
      <c r="W53" s="30" t="str">
        <f>IF(AND($F53='Tournament Setup'!$A$29,SUM($O53,$Q53,$S53)=0),$H53,"")</f>
        <v/>
      </c>
      <c r="X53" s="47" t="str">
        <f>IF(ISNUMBER(W53),IF(COUNTIFS(X$1:X52,_xlfn.RANK.EQ(W53,W$2:W$111,0))&gt;0,_xlfn.MAXIFS(X$1:X52,W$1:W52,W53)+1,_xlfn.RANK.EQ(W53,W$2:W$111,0)),"")</f>
        <v/>
      </c>
      <c r="Y53" s="1" t="str">
        <f>IF(ISNUMBER(W53)=TRUE,IF(_xlfn.RANK.EQ(W53,$W$2:$W$111)&lt;='Tournament Setup'!$B$29,_xlfn.RANK.EQ(W53,$W$2:$W$111),""),"")</f>
        <v/>
      </c>
      <c r="Z53" s="31" t="str">
        <f>IF(AND($F53='Tournament Setup'!$A$29,SUM($O53,$Q53)=0,$E53="M",$Y53&gt;'Tournament Setup'!$B$29),$H53,"")</f>
        <v/>
      </c>
      <c r="AA53" s="1" t="str">
        <f>IF(ISNUMBER(Z53)=TRUE,IF(_xlfn.RANK.EQ(Z53,$Z$2:$Z$111)&lt;='Tournament Setup'!$C$29,_xlfn.RANK.EQ(Z53,$Z$2:$Z$111),""),"")</f>
        <v/>
      </c>
      <c r="AB53" s="31" t="str">
        <f>IF(AND($F53='Tournament Setup'!$A$29,SUM($O53,$S53)=0,$E53="F",$Y53&gt;'Tournament Setup'!$B$29),$H53,"")</f>
        <v/>
      </c>
      <c r="AC53" s="12" t="str">
        <f>IF(ISNUMBER(AB53)=TRUE,IF(_xlfn.RANK.EQ(AB53,$AB$2:$AB$111)&lt;='Tournament Setup'!$D$29,_xlfn.RANK.EQ(AB53,$AB$2:$AB$111),""),"")</f>
        <v/>
      </c>
      <c r="AD53" s="30" t="str">
        <f>IF(AND($F53='Tournament Setup'!$A$30,$I53&lt;&gt;0),$I53,"")</f>
        <v/>
      </c>
      <c r="AE53" s="47" t="str">
        <f>IF(ISNUMBER(AD53),IF(COUNTIFS(AE$1:AE52,_xlfn.RANK.EQ(AD53,AD$2:AD$111,0))&gt;0,_xlfn.MAXIFS(AE$1:AE52,AD$1:AD52,AD53)+1,_xlfn.RANK.EQ(AD53,AD$2:AD$111,0)),"")</f>
        <v/>
      </c>
      <c r="AF53" s="1" t="str">
        <f>IF(ISNUMBER(AD53)=TRUE,IF(_xlfn.RANK.EQ(AD53,$AD$2:$AD$111)&lt;='Tournament Setup'!$B$46,_xlfn.RANK.EQ(AD53,$AD$2:$AD$111),""),"")</f>
        <v/>
      </c>
      <c r="AG53" s="30" t="str">
        <f>IF(AND($F53='Tournament Setup'!$A$30,SUM($O53,$Q53,$S53)=0),$H53,"")</f>
        <v/>
      </c>
      <c r="AH53" s="47" t="str">
        <f>IF(ISNUMBER(AG53),IF(COUNTIFS(AH$1:AH52,_xlfn.RANK.EQ(AG53,AG$2:AG$111,0))&gt;0,_xlfn.MAXIFS(AH$1:AH52,AG$1:AG52,AG53)+1,_xlfn.RANK.EQ(AG53,AG$2:AG$111,0)),"")</f>
        <v/>
      </c>
      <c r="AI53" s="1" t="str">
        <f>IF(ISNUMBER(AG53)=TRUE,IF(_xlfn.RANK.EQ(AG53,$AG$2:$AG$111)&lt;='Tournament Setup'!$B$30,_xlfn.RANK.EQ(AG53,$AG$2:$AG$111),""),"")</f>
        <v/>
      </c>
      <c r="AJ53" s="31" t="str">
        <f>IF(AND($F53='Tournament Setup'!$A$30,SUM($O53,$Q53)=0,$E53="M",$AI53&gt;'Tournament Setup'!$B$30),$H53,"")</f>
        <v/>
      </c>
      <c r="AK53" s="1" t="str">
        <f>IF(ISNUMBER(AJ53)=TRUE,IF(_xlfn.RANK.EQ(AJ53,$AJ$2:$AJ$111)&lt;='Tournament Setup'!$C$30,_xlfn.RANK.EQ(AJ53,$AJ$2:$AJ$111),""),"")</f>
        <v/>
      </c>
      <c r="AL53" s="31" t="str">
        <f>IF(AND($F53='Tournament Setup'!$A$30,SUM($O53,$S53)=0,$E53="F",$AI53&gt;'Tournament Setup'!$B$30),$H53,"")</f>
        <v/>
      </c>
      <c r="AM53" s="12" t="str">
        <f>IF(ISNUMBER(AL53)=TRUE,IF(_xlfn.RANK.EQ(AL53,$AL$2:$AL$111)&lt;='Tournament Setup'!$D$30,_xlfn.RANK.EQ(AL53,$AL$2:$AL$111),""),"")</f>
        <v/>
      </c>
      <c r="AN53" s="30" t="str">
        <f>IF(AND($F53='Tournament Setup'!$A$31,$I53&lt;&gt;0),$I53,"")</f>
        <v/>
      </c>
      <c r="AO53" s="47" t="str">
        <f>IF(ISNUMBER(AN53),IF(COUNTIFS(AO$1:AO52,_xlfn.RANK.EQ(AN53,AN$2:AN$111,0))&gt;0,_xlfn.MAXIFS(AO$1:AO52,AN$1:AN52,AN53)+1,_xlfn.RANK.EQ(AN53,AN$2:AN$111,0)),"")</f>
        <v/>
      </c>
      <c r="AP53" s="1" t="str">
        <f>IF(ISNUMBER(AN53)=TRUE,IF(_xlfn.RANK.EQ(AN53,$AN$2:$AN$111)&lt;='Tournament Setup'!$B$46,_xlfn.RANK.EQ(AN53,$AN$2:$AN$111),""),"")</f>
        <v/>
      </c>
      <c r="AQ53" s="30" t="str">
        <f>IF(AND($F53='Tournament Setup'!$A$31,SUM($O53,$Q53,$S53)=0),$H53,"")</f>
        <v/>
      </c>
      <c r="AR53" s="47" t="str">
        <f>IF(ISNUMBER(AQ53),IF(COUNTIFS(AR$1:AR52,_xlfn.RANK.EQ(AQ53,AQ$2:AQ$111,0))&gt;0,_xlfn.MAXIFS(AR$1:AR52,AQ$1:AQ52,AQ53)+1,_xlfn.RANK.EQ(AQ53,AQ$2:AQ$111,0)),"")</f>
        <v/>
      </c>
      <c r="AS53" s="1" t="str">
        <f>IF(ISNUMBER(AQ53)=TRUE,IF(_xlfn.RANK.EQ(AQ53,$AQ$2:$AQ$111)&lt;='Tournament Setup'!$B$31,_xlfn.RANK.EQ(AQ53,$AQ$2:$AQ$111),""),"")</f>
        <v/>
      </c>
      <c r="AT53" s="31" t="str">
        <f>IF(AND($F53='Tournament Setup'!$A$31,SUM($O53,$Q53)=0,$E53="M",$AS53&gt;'Tournament Setup'!$B$31),$H53,"")</f>
        <v/>
      </c>
      <c r="AU53" s="1" t="str">
        <f>IF(ISNUMBER(AT53)=TRUE,IF(_xlfn.RANK.EQ(AT53,$AT$2:$AT$111)&lt;='Tournament Setup'!$C$31,_xlfn.RANK.EQ(AT53,$AT$2:$AT$111),""),"")</f>
        <v/>
      </c>
      <c r="AV53" s="31" t="str">
        <f>IF(AND($F53='Tournament Setup'!$A$31,SUM($O53,$S53)=0,$E53="F",$AS53&gt;'Tournament Setup'!$B$31),$H53,"")</f>
        <v/>
      </c>
      <c r="AW53" s="12" t="str">
        <f>IF(ISNUMBER(AV53)=TRUE,IF(_xlfn.RANK.EQ(AV53,$AV$2:$AV$111)&lt;='Tournament Setup'!$D$31,_xlfn.RANK.EQ(AV53,$AV$2:$AV$111),""),"")</f>
        <v/>
      </c>
      <c r="AX53" s="30" t="str">
        <f>IF(AND($F53='Tournament Setup'!$A$32,$I53&lt;&gt;0),$I53,"")</f>
        <v/>
      </c>
      <c r="AY53" s="47" t="str">
        <f>IF(ISNUMBER(AX53),IF(COUNTIFS(AY$1:AY52,_xlfn.RANK.EQ(AX53,AX$2:AX$111,0))&gt;0,_xlfn.MAXIFS(AY$1:AY52,AX$1:AX52,AX53)+1,_xlfn.RANK.EQ(AX53,AX$2:AX$111,0)),"")</f>
        <v/>
      </c>
      <c r="AZ53" s="1" t="str">
        <f>IF(ISNUMBER(AX53)=TRUE,IF(_xlfn.RANK.EQ(AX53,$AX$2:$AX$111)&lt;='Tournament Setup'!$B$46,_xlfn.RANK.EQ(AX53,$AX$2:$AX$111),""),"")</f>
        <v/>
      </c>
      <c r="BA53" s="30" t="str">
        <f>IF(AND($F53='Tournament Setup'!$A$32,SUM($O53,$Q53,$S53)=0),$H53,"")</f>
        <v/>
      </c>
      <c r="BB53" s="47" t="str">
        <f>IF(ISNUMBER(BA53),IF(COUNTIFS(BB$1:BB52,_xlfn.RANK.EQ(BA53,BA$2:BA$111,0))&gt;0,_xlfn.MAXIFS(BB$1:BB52,BA$1:BA52,BA53)+1,_xlfn.RANK.EQ(BA53,BA$2:BA$111,0)),"")</f>
        <v/>
      </c>
      <c r="BC53" s="1" t="str">
        <f>IF(ISNUMBER(BA53)=TRUE,IF(_xlfn.RANK.EQ(BA53,$BA$2:$BA$111)&lt;='Tournament Setup'!$B$32,_xlfn.RANK.EQ(BA53,$BA$2:$BA$111),""),"")</f>
        <v/>
      </c>
      <c r="BD53" s="31" t="str">
        <f>IF(AND($F53='Tournament Setup'!$A$32,SUM($O53,$Q53)=0,$E53="M",$BC53&gt;'Tournament Setup'!$B$32),$H53,"")</f>
        <v/>
      </c>
      <c r="BE53" s="1" t="str">
        <f>IF(ISNUMBER(BD53)=TRUE,IF(_xlfn.RANK.EQ(BD53,$BD$2:$BD$111)&lt;='Tournament Setup'!$C$32,_xlfn.RANK.EQ(BD53,$BD$2:$BD$111),""),"")</f>
        <v/>
      </c>
      <c r="BF53" s="31" t="str">
        <f>IF(AND($F53='Tournament Setup'!$A$32,SUM($O53,$S53)=0,$E53="F",$BC53&gt;'Tournament Setup'!$B$32),$H53,"")</f>
        <v/>
      </c>
      <c r="BG53" s="12" t="str">
        <f>IF(ISNUMBER(BF53)=TRUE,IF(_xlfn.RANK.EQ(BF53,$BF$2:$BF$111)&lt;='Tournament Setup'!$D$32,_xlfn.RANK.EQ(BF53,$BF$2:$BF$111),""),"")</f>
        <v/>
      </c>
      <c r="BH53" s="30" t="str">
        <f>IF(AND($F53='Tournament Setup'!$A$33,$I53&lt;&gt;0),$I53,"")</f>
        <v/>
      </c>
      <c r="BI53" s="47" t="str">
        <f>IF(ISNUMBER(BH53),IF(COUNTIFS(BI$1:BI52,_xlfn.RANK.EQ(BH53,BH$2:BH$111,0))&gt;0,_xlfn.MAXIFS(BI$1:BI52,BH$1:BH52,BH53)+1,_xlfn.RANK.EQ(BH53,BH$2:BH$111,0)),"")</f>
        <v/>
      </c>
      <c r="BJ53" s="1" t="str">
        <f>IF(ISNUMBER(BH53)=TRUE,IF(_xlfn.RANK.EQ(BH53,$BH$2:$BH$111)&lt;='Tournament Setup'!$B$46,_xlfn.RANK.EQ(BH53,$BH$2:$BH$111),""),"")</f>
        <v/>
      </c>
      <c r="BK53" s="30" t="str">
        <f>IF(AND($F53='Tournament Setup'!$A$33,SUM($O53,$Q53,$S53)=0),$H53,"")</f>
        <v/>
      </c>
      <c r="BL53" s="47" t="str">
        <f>IF(ISNUMBER(BK53),IF(COUNTIFS(BL$1:BL52,_xlfn.RANK.EQ(BK53,BK$2:BK$111,0))&gt;0,_xlfn.MAXIFS(BL$1:BL52,BK$1:BK52,BK53)+1,_xlfn.RANK.EQ(BK53,BK$2:BK$111,0)),"")</f>
        <v/>
      </c>
      <c r="BM53" s="1" t="str">
        <f>IF(ISNUMBER(BK53)=TRUE,IF(_xlfn.RANK.EQ(BK53,$BK$2:$BK$111)&lt;='Tournament Setup'!$B$33,_xlfn.RANK.EQ(BK53,$BK$2:$BK$111),""),"")</f>
        <v/>
      </c>
      <c r="BN53" s="31" t="str">
        <f>IF(AND($F53='Tournament Setup'!$A$33,SUM($O53,$Q53)=0,$E53="M",$BM53&gt;'Tournament Setup'!$B$33),$H53,"")</f>
        <v/>
      </c>
      <c r="BO53" s="1" t="str">
        <f>IF(ISNUMBER(BN53)=TRUE,IF(_xlfn.RANK.EQ(BN53,$BN$2:$BN$111)&lt;='Tournament Setup'!$C$33,_xlfn.RANK.EQ(BN53,$BN$2:$BN$111),""),"")</f>
        <v/>
      </c>
      <c r="BP53" s="31" t="str">
        <f>IF(AND($F53='Tournament Setup'!$A$33,SUM($O53,$S53)=0,$E53="F",$BM53&gt;'Tournament Setup'!$B$33),$H53,"")</f>
        <v/>
      </c>
      <c r="BQ53" s="12" t="str">
        <f>IF(ISNUMBER(BP53)=TRUE,IF(_xlfn.RANK.EQ(BP53,$BP$2:$BP$111)&lt;='Tournament Setup'!$D$33,_xlfn.RANK.EQ(BP53,$BP$2:$BP$111),""),"")</f>
        <v/>
      </c>
      <c r="BR53" s="30" t="str">
        <f>IF($G53='Tournament Setup'!$A$38,$H53,"")</f>
        <v/>
      </c>
      <c r="BS53" s="47" t="str">
        <f>IF(ISNUMBER(BR53),IF(COUNTIFS(BS$1:BS52,_xlfn.RANK.EQ(BR53,BR$2:BR$111,0))&gt;0,_xlfn.MAXIFS(BS$1:BS52,BR$1:BR52,BR53)+1,_xlfn.RANK.EQ(BR53,BR$2:BR$111,0)),"")</f>
        <v/>
      </c>
      <c r="BT53" s="1" t="str">
        <f>IF(ISNUMBER(BR53)=TRUE,IF(_xlfn.RANK.EQ(BR53,$BR$2:$BR$111)&lt;='Tournament Setup'!$B$38,_xlfn.RANK.EQ(BR53,$BR$2:$BR$111),""),"")</f>
        <v/>
      </c>
      <c r="BU53" s="31" t="str">
        <f>IF(AND($G53='Tournament Setup'!$A$38,$E53="M",$BT53&gt;'Tournament Setup'!$B$38),$H53,"")</f>
        <v/>
      </c>
      <c r="BV53" s="1" t="str">
        <f>IF(ISNUMBER(BU53)=TRUE,IF(_xlfn.RANK.EQ(BU53,$BU$2:$BU$111)&lt;='Tournament Setup'!$C$38,_xlfn.RANK.EQ(BU53,$BU$2:$BU$111),""),"")</f>
        <v/>
      </c>
      <c r="BW53" s="31" t="str">
        <f>IF(AND($G53='Tournament Setup'!$A$38,$E53="F",$BT53&gt;'Tournament Setup'!$B$38),$H53,"")</f>
        <v/>
      </c>
      <c r="BX53" s="12" t="str">
        <f>IF(ISNUMBER(BW53)=TRUE,IF(_xlfn.RANK.EQ(BW53,$BW$2:$BW$111)&lt;='Tournament Setup'!$D$38,_xlfn.RANK.EQ(BW53,$BW$2:$BW$111),""),"")</f>
        <v/>
      </c>
      <c r="BY53" s="30" t="str">
        <f>IF($G53='Tournament Setup'!$A$39,$H53,"")</f>
        <v/>
      </c>
      <c r="BZ53" s="47" t="str">
        <f>IF(ISNUMBER(BY53),IF(COUNTIFS(BZ$1:BZ52,_xlfn.RANK.EQ(BY53,BY$2:BY$111,0))&gt;0,_xlfn.MAXIFS(BZ$1:BZ52,BY$1:BY52,BY53)+1,_xlfn.RANK.EQ(BY53,BY$2:BY$111,0)),"")</f>
        <v/>
      </c>
      <c r="CA53" s="1" t="str">
        <f>IF(ISNUMBER(BY53)=TRUE,IF(_xlfn.RANK.EQ(BY53,$BY$2:$BY$111)&lt;='Tournament Setup'!$B$39,_xlfn.RANK.EQ(BY53,$BY$2:$BY$111),""),"")</f>
        <v/>
      </c>
      <c r="CB53" s="31" t="str">
        <f>IF(AND($G53='Tournament Setup'!$A$39,$E53="M",$CA53&gt;'Tournament Setup'!$B$39),$H53,"")</f>
        <v/>
      </c>
      <c r="CC53" s="1" t="str">
        <f>IF(ISNUMBER(CB53)=TRUE,IF(_xlfn.RANK.EQ(CB53,$CB$2:$CB$111)&lt;='Tournament Setup'!$C$39,_xlfn.RANK.EQ(CB53,$CB$2:$CB$111),""),"")</f>
        <v/>
      </c>
      <c r="CD53" s="31" t="str">
        <f>IF(AND($G53='Tournament Setup'!$A$39,$E53="F",$CA53&gt;'Tournament Setup'!$B$39),$H53,"")</f>
        <v/>
      </c>
      <c r="CE53" s="12" t="str">
        <f>IF(ISNUMBER(CD53)=TRUE,IF(_xlfn.RANK.EQ(CD53,$CD$2:$CD$111)&lt;='Tournament Setup'!$D$39,_xlfn.RANK.EQ(CD53,$CD$2:$CD$111),""),"")</f>
        <v/>
      </c>
      <c r="CF53" s="30" t="str">
        <f>IF($G53='Tournament Setup'!$A$40,$H53,"")</f>
        <v/>
      </c>
      <c r="CG53" s="47" t="str">
        <f>IF(ISNUMBER(CF53),IF(COUNTIFS(CG$1:CG52,_xlfn.RANK.EQ(CF53,CF$2:CF$111,0))&gt;0,_xlfn.MAXIFS(CG$1:CG52,CF$1:CF52,CF53)+1,_xlfn.RANK.EQ(CF53,CF$2:CF$111,0)),"")</f>
        <v/>
      </c>
      <c r="CH53" s="1" t="str">
        <f>IF(ISNUMBER(CF53)=TRUE,IF(_xlfn.RANK.EQ(CF53,$CF$2:$CF$111)&lt;='Tournament Setup'!$B$40,_xlfn.RANK.EQ(CF53,$CF$2:$CF$111),""),"")</f>
        <v/>
      </c>
      <c r="CI53" s="31" t="str">
        <f>IF(AND($G53='Tournament Setup'!$A$40,$E53="M",$CH53&gt;'Tournament Setup'!$B$40),$H53,"")</f>
        <v/>
      </c>
      <c r="CJ53" s="1" t="str">
        <f>IF(ISNUMBER(CI53)=TRUE,IF(_xlfn.RANK.EQ(CI53,$CI$2:$CI$111)&lt;='Tournament Setup'!$C$40,_xlfn.RANK.EQ(CI53,$CI$2:$CI$111),""),"")</f>
        <v/>
      </c>
      <c r="CK53" s="31" t="str">
        <f>IF(AND($G53='Tournament Setup'!$A$40,$E53="F",$CH53&gt;'Tournament Setup'!$B$40),$H53,"")</f>
        <v/>
      </c>
      <c r="CL53" s="12" t="str">
        <f>IF(ISNUMBER(CK53)=TRUE,IF(_xlfn.RANK.EQ(CK53,$CK$2:$CK$111)&lt;='Tournament Setup'!$D$40,_xlfn.RANK.EQ(CK53,$CK$2:$CK$111),""),"")</f>
        <v/>
      </c>
      <c r="CM53" s="30" t="str">
        <f>IF($G53='Tournament Setup'!$A$41,$H53,"")</f>
        <v/>
      </c>
      <c r="CN53" s="47" t="str">
        <f>IF(ISNUMBER(CM53),IF(COUNTIFS(CN$1:CN52,_xlfn.RANK.EQ(CM53,CM$2:CM$111,0))&gt;0,_xlfn.MAXIFS(CN$1:CN52,CM$1:CM52,CM53)+1,_xlfn.RANK.EQ(CM53,CM$2:CM$111,0)),"")</f>
        <v/>
      </c>
      <c r="CO53" s="1" t="str">
        <f>IF(ISNUMBER(CM53)=TRUE,IF(_xlfn.RANK.EQ(CM53,$CM$2:$CM$111)&lt;='Tournament Setup'!$B$41,_xlfn.RANK.EQ(CM53,$CM$2:$CM$111),""),"")</f>
        <v/>
      </c>
      <c r="CP53" s="31" t="str">
        <f>IF(AND($G53='Tournament Setup'!$A$41,$E53="M",$CO53&gt;'Tournament Setup'!$B$41),$H53,"")</f>
        <v/>
      </c>
      <c r="CQ53" s="1" t="str">
        <f>IF(ISNUMBER(CP53)=TRUE,IF(_xlfn.RANK.EQ(CP53,$CP$2:$CP$111)&lt;='Tournament Setup'!$C$41,_xlfn.RANK.EQ(CP53,$CP$2:$CP$111),""),"")</f>
        <v/>
      </c>
      <c r="CR53" s="31" t="str">
        <f>IF(AND($G53='Tournament Setup'!$A$41,$E53="F",$CO53&gt;'Tournament Setup'!$B$41),$H53,"")</f>
        <v/>
      </c>
      <c r="CS53" s="12" t="str">
        <f>IF(ISNUMBER(CR53)=TRUE,IF(_xlfn.RANK.EQ(CR53,$CR$2:$CR$111)&lt;='Tournament Setup'!$D$41,_xlfn.RANK.EQ(CR53,$CR$2:$CR$111),""),"")</f>
        <v/>
      </c>
    </row>
    <row r="54" spans="1:97" x14ac:dyDescent="0.3">
      <c r="B54" t="str">
        <f>IFERROR(INDEX('Tournament List'!$B:$B,MATCH($A54,'Tournament List'!$A:$A,0)),"")</f>
        <v/>
      </c>
      <c r="C54" t="str">
        <f>IFERROR(INDEX('Tournament List'!$C:$C,MATCH($A54,'Tournament List'!$A:$A,0)),"")</f>
        <v/>
      </c>
      <c r="D54" t="str">
        <f t="shared" si="10"/>
        <v xml:space="preserve"> </v>
      </c>
      <c r="E54" s="1" t="str">
        <f>IFERROR(INDEX('Tournament List'!F:F,MATCH($A54,'Tournament List'!$A:$A,0)),"")</f>
        <v/>
      </c>
      <c r="F54" t="str">
        <f>IFERROR(INDEX('Tournament List'!M:M,MATCH($A54,'Tournament List'!$A:$A,0)),"")</f>
        <v/>
      </c>
      <c r="G54" s="1" t="str">
        <f>IFERROR(INDEX('Tournament List'!W:W,MATCH($A54,'Tournament List'!$A:$A,0)),"")</f>
        <v/>
      </c>
      <c r="H54" s="129" t="str">
        <f>IFERROR(INDEX('Tournament List'!Z:Z,MATCH($A54,'Tournament List'!$A:$A,0)),"")</f>
        <v/>
      </c>
      <c r="I54" s="152" t="str">
        <f>IFERROR(INDEX('Tournament List'!T:T,MATCH($A54,'Tournament List'!$A:$A,0)),"")</f>
        <v/>
      </c>
      <c r="J54" s="56" t="str">
        <f>IF(ISNUMBER(I54),IF(COUNTIFS(J$1:J53,_xlfn.RANK.EQ(I54,I$2:I$111,0))&gt;0,_xlfn.MAXIFS(J$1:J53,I$1:I53,I54)+1,_xlfn.RANK.EQ(I54,I$2:I$111,0)),"")</f>
        <v/>
      </c>
      <c r="K54" s="11" t="str">
        <f t="shared" si="11"/>
        <v/>
      </c>
      <c r="L54" s="56" t="str">
        <f>IF(ISNUMBER(H54),IF(COUNTIFS(L$1:L53,_xlfn.RANK.EQ(H54,H$2:H$111,0))&gt;0,_xlfn.MAXIFS(L$1:L53,H$1:H53,H54)+1,_xlfn.RANK.EQ(H54,H$2:H$111,0)),"")</f>
        <v/>
      </c>
      <c r="M54" s="151" t="str">
        <f t="shared" si="12"/>
        <v/>
      </c>
      <c r="N54" s="47" t="str">
        <f>IF(ISNUMBER(M54),IF(COUNTIFS(N$1:N53,_xlfn.RANK.EQ(M54,M$2:M$111,0))&gt;0,_xlfn.MAXIFS(N$1:N53,M$1:M53,M54)+1,_xlfn.RANK.EQ(M54,M$2:M$111,0)),"")</f>
        <v/>
      </c>
      <c r="O54" s="1" t="str">
        <f>IF(ISNUMBER(M54)=TRUE,IF(_xlfn.RANK.EQ(M54,$M$2:$M$111)&lt;='Tournament Setup'!$B$23,_xlfn.RANK.EQ(M54,$M$2:$M$111),""),"")</f>
        <v/>
      </c>
      <c r="P54" s="150" t="str">
        <f t="shared" si="13"/>
        <v/>
      </c>
      <c r="Q54" s="1" t="str">
        <f>IF(ISNUMBER(P54)=TRUE,IF(_xlfn.RANK.EQ(P54,$P$2:$P$111)&lt;='Tournament Setup'!$B$24,_xlfn.RANK.EQ(P54,$P$2:$P$111),""),"")</f>
        <v/>
      </c>
      <c r="R54" s="150" t="str">
        <f t="shared" si="14"/>
        <v/>
      </c>
      <c r="S54" s="12" t="str">
        <f>IF(ISNUMBER(R54)=TRUE,IF(_xlfn.RANK.EQ(R54,$R$2:$R$111)&lt;='Tournament Setup'!$B$25,_xlfn.RANK.EQ(R54,$R$2:$R$111),""),"")</f>
        <v/>
      </c>
      <c r="T54" s="152" t="str">
        <f>IF(AND($F54='Tournament Setup'!$A$29,$I54&lt;&gt;0),$I54,"")</f>
        <v/>
      </c>
      <c r="U54" s="47" t="str">
        <f>IF(ISNUMBER(T54),IF(COUNTIFS(U$1:U53,_xlfn.RANK.EQ(T54,T$2:T$111,0))&gt;0,_xlfn.MAXIFS(U$1:U53,T$1:T53,T54)+1,_xlfn.RANK.EQ(T54,T$2:T$111,0)),"")</f>
        <v/>
      </c>
      <c r="V54" s="1" t="str">
        <f>IF(ISNUMBER(T54)=TRUE,IF(_xlfn.RANK.EQ(T54,$T$3:$T$112)&lt;='Tournament Setup'!$B$46,_xlfn.RANK.EQ(T54,$T$2:$T$111),""),"")</f>
        <v/>
      </c>
      <c r="W54" s="30" t="str">
        <f>IF(AND($F54='Tournament Setup'!$A$29,SUM($O54,$Q54,$S54)=0),$H54,"")</f>
        <v/>
      </c>
      <c r="X54" s="47" t="str">
        <f>IF(ISNUMBER(W54),IF(COUNTIFS(X$1:X53,_xlfn.RANK.EQ(W54,W$2:W$111,0))&gt;0,_xlfn.MAXIFS(X$1:X53,W$1:W53,W54)+1,_xlfn.RANK.EQ(W54,W$2:W$111,0)),"")</f>
        <v/>
      </c>
      <c r="Y54" s="1" t="str">
        <f>IF(ISNUMBER(W54)=TRUE,IF(_xlfn.RANK.EQ(W54,$W$2:$W$111)&lt;='Tournament Setup'!$B$29,_xlfn.RANK.EQ(W54,$W$2:$W$111),""),"")</f>
        <v/>
      </c>
      <c r="Z54" s="31" t="str">
        <f>IF(AND($F54='Tournament Setup'!$A$29,SUM($O54,$Q54)=0,$E54="M",$Y54&gt;'Tournament Setup'!$B$29),$H54,"")</f>
        <v/>
      </c>
      <c r="AA54" s="1" t="str">
        <f>IF(ISNUMBER(Z54)=TRUE,IF(_xlfn.RANK.EQ(Z54,$Z$2:$Z$111)&lt;='Tournament Setup'!$C$29,_xlfn.RANK.EQ(Z54,$Z$2:$Z$111),""),"")</f>
        <v/>
      </c>
      <c r="AB54" s="31" t="str">
        <f>IF(AND($F54='Tournament Setup'!$A$29,SUM($O54,$S54)=0,$E54="F",$Y54&gt;'Tournament Setup'!$B$29),$H54,"")</f>
        <v/>
      </c>
      <c r="AC54" s="12" t="str">
        <f>IF(ISNUMBER(AB54)=TRUE,IF(_xlfn.RANK.EQ(AB54,$AB$2:$AB$111)&lt;='Tournament Setup'!$D$29,_xlfn.RANK.EQ(AB54,$AB$2:$AB$111),""),"")</f>
        <v/>
      </c>
      <c r="AD54" s="30" t="str">
        <f>IF(AND($F54='Tournament Setup'!$A$30,$I54&lt;&gt;0),$I54,"")</f>
        <v/>
      </c>
      <c r="AE54" s="47" t="str">
        <f>IF(ISNUMBER(AD54),IF(COUNTIFS(AE$1:AE53,_xlfn.RANK.EQ(AD54,AD$2:AD$111,0))&gt;0,_xlfn.MAXIFS(AE$1:AE53,AD$1:AD53,AD54)+1,_xlfn.RANK.EQ(AD54,AD$2:AD$111,0)),"")</f>
        <v/>
      </c>
      <c r="AF54" s="1" t="str">
        <f>IF(ISNUMBER(AD54)=TRUE,IF(_xlfn.RANK.EQ(AD54,$AD$2:$AD$111)&lt;='Tournament Setup'!$B$46,_xlfn.RANK.EQ(AD54,$AD$2:$AD$111),""),"")</f>
        <v/>
      </c>
      <c r="AG54" s="30" t="str">
        <f>IF(AND($F54='Tournament Setup'!$A$30,SUM($O54,$Q54,$S54)=0),$H54,"")</f>
        <v/>
      </c>
      <c r="AH54" s="47" t="str">
        <f>IF(ISNUMBER(AG54),IF(COUNTIFS(AH$1:AH53,_xlfn.RANK.EQ(AG54,AG$2:AG$111,0))&gt;0,_xlfn.MAXIFS(AH$1:AH53,AG$1:AG53,AG54)+1,_xlfn.RANK.EQ(AG54,AG$2:AG$111,0)),"")</f>
        <v/>
      </c>
      <c r="AI54" s="1" t="str">
        <f>IF(ISNUMBER(AG54)=TRUE,IF(_xlfn.RANK.EQ(AG54,$AG$2:$AG$111)&lt;='Tournament Setup'!$B$30,_xlfn.RANK.EQ(AG54,$AG$2:$AG$111),""),"")</f>
        <v/>
      </c>
      <c r="AJ54" s="31" t="str">
        <f>IF(AND($F54='Tournament Setup'!$A$30,SUM($O54,$Q54)=0,$E54="M",$AI54&gt;'Tournament Setup'!$B$30),$H54,"")</f>
        <v/>
      </c>
      <c r="AK54" s="1" t="str">
        <f>IF(ISNUMBER(AJ54)=TRUE,IF(_xlfn.RANK.EQ(AJ54,$AJ$2:$AJ$111)&lt;='Tournament Setup'!$C$30,_xlfn.RANK.EQ(AJ54,$AJ$2:$AJ$111),""),"")</f>
        <v/>
      </c>
      <c r="AL54" s="31" t="str">
        <f>IF(AND($F54='Tournament Setup'!$A$30,SUM($O54,$S54)=0,$E54="F",$AI54&gt;'Tournament Setup'!$B$30),$H54,"")</f>
        <v/>
      </c>
      <c r="AM54" s="12" t="str">
        <f>IF(ISNUMBER(AL54)=TRUE,IF(_xlfn.RANK.EQ(AL54,$AL$2:$AL$111)&lt;='Tournament Setup'!$D$30,_xlfn.RANK.EQ(AL54,$AL$2:$AL$111),""),"")</f>
        <v/>
      </c>
      <c r="AN54" s="30" t="str">
        <f>IF(AND($F54='Tournament Setup'!$A$31,$I54&lt;&gt;0),$I54,"")</f>
        <v/>
      </c>
      <c r="AO54" s="47" t="str">
        <f>IF(ISNUMBER(AN54),IF(COUNTIFS(AO$1:AO53,_xlfn.RANK.EQ(AN54,AN$2:AN$111,0))&gt;0,_xlfn.MAXIFS(AO$1:AO53,AN$1:AN53,AN54)+1,_xlfn.RANK.EQ(AN54,AN$2:AN$111,0)),"")</f>
        <v/>
      </c>
      <c r="AP54" s="1" t="str">
        <f>IF(ISNUMBER(AN54)=TRUE,IF(_xlfn.RANK.EQ(AN54,$AN$2:$AN$111)&lt;='Tournament Setup'!$B$46,_xlfn.RANK.EQ(AN54,$AN$2:$AN$111),""),"")</f>
        <v/>
      </c>
      <c r="AQ54" s="30" t="str">
        <f>IF(AND($F54='Tournament Setup'!$A$31,SUM($O54,$Q54,$S54)=0),$H54,"")</f>
        <v/>
      </c>
      <c r="AR54" s="47" t="str">
        <f>IF(ISNUMBER(AQ54),IF(COUNTIFS(AR$1:AR53,_xlfn.RANK.EQ(AQ54,AQ$2:AQ$111,0))&gt;0,_xlfn.MAXIFS(AR$1:AR53,AQ$1:AQ53,AQ54)+1,_xlfn.RANK.EQ(AQ54,AQ$2:AQ$111,0)),"")</f>
        <v/>
      </c>
      <c r="AS54" s="1" t="str">
        <f>IF(ISNUMBER(AQ54)=TRUE,IF(_xlfn.RANK.EQ(AQ54,$AQ$2:$AQ$111)&lt;='Tournament Setup'!$B$31,_xlfn.RANK.EQ(AQ54,$AQ$2:$AQ$111),""),"")</f>
        <v/>
      </c>
      <c r="AT54" s="31" t="str">
        <f>IF(AND($F54='Tournament Setup'!$A$31,SUM($O54,$Q54)=0,$E54="M",$AS54&gt;'Tournament Setup'!$B$31),$H54,"")</f>
        <v/>
      </c>
      <c r="AU54" s="1" t="str">
        <f>IF(ISNUMBER(AT54)=TRUE,IF(_xlfn.RANK.EQ(AT54,$AT$2:$AT$111)&lt;='Tournament Setup'!$C$31,_xlfn.RANK.EQ(AT54,$AT$2:$AT$111),""),"")</f>
        <v/>
      </c>
      <c r="AV54" s="31" t="str">
        <f>IF(AND($F54='Tournament Setup'!$A$31,SUM($O54,$S54)=0,$E54="F",$AS54&gt;'Tournament Setup'!$B$31),$H54,"")</f>
        <v/>
      </c>
      <c r="AW54" s="12" t="str">
        <f>IF(ISNUMBER(AV54)=TRUE,IF(_xlfn.RANK.EQ(AV54,$AV$2:$AV$111)&lt;='Tournament Setup'!$D$31,_xlfn.RANK.EQ(AV54,$AV$2:$AV$111),""),"")</f>
        <v/>
      </c>
      <c r="AX54" s="30" t="str">
        <f>IF(AND($F54='Tournament Setup'!$A$32,$I54&lt;&gt;0),$I54,"")</f>
        <v/>
      </c>
      <c r="AY54" s="47" t="str">
        <f>IF(ISNUMBER(AX54),IF(COUNTIFS(AY$1:AY53,_xlfn.RANK.EQ(AX54,AX$2:AX$111,0))&gt;0,_xlfn.MAXIFS(AY$1:AY53,AX$1:AX53,AX54)+1,_xlfn.RANK.EQ(AX54,AX$2:AX$111,0)),"")</f>
        <v/>
      </c>
      <c r="AZ54" s="1" t="str">
        <f>IF(ISNUMBER(AX54)=TRUE,IF(_xlfn.RANK.EQ(AX54,$AX$2:$AX$111)&lt;='Tournament Setup'!$B$46,_xlfn.RANK.EQ(AX54,$AX$2:$AX$111),""),"")</f>
        <v/>
      </c>
      <c r="BA54" s="30" t="str">
        <f>IF(AND($F54='Tournament Setup'!$A$32,SUM($O54,$Q54,$S54)=0),$H54,"")</f>
        <v/>
      </c>
      <c r="BB54" s="47" t="str">
        <f>IF(ISNUMBER(BA54),IF(COUNTIFS(BB$1:BB53,_xlfn.RANK.EQ(BA54,BA$2:BA$111,0))&gt;0,_xlfn.MAXIFS(BB$1:BB53,BA$1:BA53,BA54)+1,_xlfn.RANK.EQ(BA54,BA$2:BA$111,0)),"")</f>
        <v/>
      </c>
      <c r="BC54" s="1" t="str">
        <f>IF(ISNUMBER(BA54)=TRUE,IF(_xlfn.RANK.EQ(BA54,$BA$2:$BA$111)&lt;='Tournament Setup'!$B$32,_xlfn.RANK.EQ(BA54,$BA$2:$BA$111),""),"")</f>
        <v/>
      </c>
      <c r="BD54" s="31" t="str">
        <f>IF(AND($F54='Tournament Setup'!$A$32,SUM($O54,$Q54)=0,$E54="M",$BC54&gt;'Tournament Setup'!$B$32),$H54,"")</f>
        <v/>
      </c>
      <c r="BE54" s="1" t="str">
        <f>IF(ISNUMBER(BD54)=TRUE,IF(_xlfn.RANK.EQ(BD54,$BD$2:$BD$111)&lt;='Tournament Setup'!$C$32,_xlfn.RANK.EQ(BD54,$BD$2:$BD$111),""),"")</f>
        <v/>
      </c>
      <c r="BF54" s="31" t="str">
        <f>IF(AND($F54='Tournament Setup'!$A$32,SUM($O54,$S54)=0,$E54="F",$BC54&gt;'Tournament Setup'!$B$32),$H54,"")</f>
        <v/>
      </c>
      <c r="BG54" s="12" t="str">
        <f>IF(ISNUMBER(BF54)=TRUE,IF(_xlfn.RANK.EQ(BF54,$BF$2:$BF$111)&lt;='Tournament Setup'!$D$32,_xlfn.RANK.EQ(BF54,$BF$2:$BF$111),""),"")</f>
        <v/>
      </c>
      <c r="BH54" s="30" t="str">
        <f>IF(AND($F54='Tournament Setup'!$A$33,$I54&lt;&gt;0),$I54,"")</f>
        <v/>
      </c>
      <c r="BI54" s="47" t="str">
        <f>IF(ISNUMBER(BH54),IF(COUNTIFS(BI$1:BI53,_xlfn.RANK.EQ(BH54,BH$2:BH$111,0))&gt;0,_xlfn.MAXIFS(BI$1:BI53,BH$1:BH53,BH54)+1,_xlfn.RANK.EQ(BH54,BH$2:BH$111,0)),"")</f>
        <v/>
      </c>
      <c r="BJ54" s="1" t="str">
        <f>IF(ISNUMBER(BH54)=TRUE,IF(_xlfn.RANK.EQ(BH54,$BH$2:$BH$111)&lt;='Tournament Setup'!$B$46,_xlfn.RANK.EQ(BH54,$BH$2:$BH$111),""),"")</f>
        <v/>
      </c>
      <c r="BK54" s="30" t="str">
        <f>IF(AND($F54='Tournament Setup'!$A$33,SUM($O54,$Q54,$S54)=0),$H54,"")</f>
        <v/>
      </c>
      <c r="BL54" s="47" t="str">
        <f>IF(ISNUMBER(BK54),IF(COUNTIFS(BL$1:BL53,_xlfn.RANK.EQ(BK54,BK$2:BK$111,0))&gt;0,_xlfn.MAXIFS(BL$1:BL53,BK$1:BK53,BK54)+1,_xlfn.RANK.EQ(BK54,BK$2:BK$111,0)),"")</f>
        <v/>
      </c>
      <c r="BM54" s="1" t="str">
        <f>IF(ISNUMBER(BK54)=TRUE,IF(_xlfn.RANK.EQ(BK54,$BK$2:$BK$111)&lt;='Tournament Setup'!$B$33,_xlfn.RANK.EQ(BK54,$BK$2:$BK$111),""),"")</f>
        <v/>
      </c>
      <c r="BN54" s="31" t="str">
        <f>IF(AND($F54='Tournament Setup'!$A$33,SUM($O54,$Q54)=0,$E54="M",$BM54&gt;'Tournament Setup'!$B$33),$H54,"")</f>
        <v/>
      </c>
      <c r="BO54" s="1" t="str">
        <f>IF(ISNUMBER(BN54)=TRUE,IF(_xlfn.RANK.EQ(BN54,$BN$2:$BN$111)&lt;='Tournament Setup'!$C$33,_xlfn.RANK.EQ(BN54,$BN$2:$BN$111),""),"")</f>
        <v/>
      </c>
      <c r="BP54" s="31" t="str">
        <f>IF(AND($F54='Tournament Setup'!$A$33,SUM($O54,$S54)=0,$E54="F",$BM54&gt;'Tournament Setup'!$B$33),$H54,"")</f>
        <v/>
      </c>
      <c r="BQ54" s="12" t="str">
        <f>IF(ISNUMBER(BP54)=TRUE,IF(_xlfn.RANK.EQ(BP54,$BP$2:$BP$111)&lt;='Tournament Setup'!$D$33,_xlfn.RANK.EQ(BP54,$BP$2:$BP$111),""),"")</f>
        <v/>
      </c>
      <c r="BR54" s="30" t="str">
        <f>IF($G54='Tournament Setup'!$A$38,$H54,"")</f>
        <v/>
      </c>
      <c r="BS54" s="47" t="str">
        <f>IF(ISNUMBER(BR54),IF(COUNTIFS(BS$1:BS53,_xlfn.RANK.EQ(BR54,BR$2:BR$111,0))&gt;0,_xlfn.MAXIFS(BS$1:BS53,BR$1:BR53,BR54)+1,_xlfn.RANK.EQ(BR54,BR$2:BR$111,0)),"")</f>
        <v/>
      </c>
      <c r="BT54" s="1" t="str">
        <f>IF(ISNUMBER(BR54)=TRUE,IF(_xlfn.RANK.EQ(BR54,$BR$2:$BR$111)&lt;='Tournament Setup'!$B$38,_xlfn.RANK.EQ(BR54,$BR$2:$BR$111),""),"")</f>
        <v/>
      </c>
      <c r="BU54" s="31" t="str">
        <f>IF(AND($G54='Tournament Setup'!$A$38,$E54="M",$BT54&gt;'Tournament Setup'!$B$38),$H54,"")</f>
        <v/>
      </c>
      <c r="BV54" s="1" t="str">
        <f>IF(ISNUMBER(BU54)=TRUE,IF(_xlfn.RANK.EQ(BU54,$BU$2:$BU$111)&lt;='Tournament Setup'!$C$38,_xlfn.RANK.EQ(BU54,$BU$2:$BU$111),""),"")</f>
        <v/>
      </c>
      <c r="BW54" s="31" t="str">
        <f>IF(AND($G54='Tournament Setup'!$A$38,$E54="F",$BT54&gt;'Tournament Setup'!$B$38),$H54,"")</f>
        <v/>
      </c>
      <c r="BX54" s="12" t="str">
        <f>IF(ISNUMBER(BW54)=TRUE,IF(_xlfn.RANK.EQ(BW54,$BW$2:$BW$111)&lt;='Tournament Setup'!$D$38,_xlfn.RANK.EQ(BW54,$BW$2:$BW$111),""),"")</f>
        <v/>
      </c>
      <c r="BY54" s="30" t="str">
        <f>IF($G54='Tournament Setup'!$A$39,$H54,"")</f>
        <v/>
      </c>
      <c r="BZ54" s="47" t="str">
        <f>IF(ISNUMBER(BY54),IF(COUNTIFS(BZ$1:BZ53,_xlfn.RANK.EQ(BY54,BY$2:BY$111,0))&gt;0,_xlfn.MAXIFS(BZ$1:BZ53,BY$1:BY53,BY54)+1,_xlfn.RANK.EQ(BY54,BY$2:BY$111,0)),"")</f>
        <v/>
      </c>
      <c r="CA54" s="1" t="str">
        <f>IF(ISNUMBER(BY54)=TRUE,IF(_xlfn.RANK.EQ(BY54,$BY$2:$BY$111)&lt;='Tournament Setup'!$B$39,_xlfn.RANK.EQ(BY54,$BY$2:$BY$111),""),"")</f>
        <v/>
      </c>
      <c r="CB54" s="31" t="str">
        <f>IF(AND($G54='Tournament Setup'!$A$39,$E54="M",$CA54&gt;'Tournament Setup'!$B$39),$H54,"")</f>
        <v/>
      </c>
      <c r="CC54" s="1" t="str">
        <f>IF(ISNUMBER(CB54)=TRUE,IF(_xlfn.RANK.EQ(CB54,$CB$2:$CB$111)&lt;='Tournament Setup'!$C$39,_xlfn.RANK.EQ(CB54,$CB$2:$CB$111),""),"")</f>
        <v/>
      </c>
      <c r="CD54" s="31" t="str">
        <f>IF(AND($G54='Tournament Setup'!$A$39,$E54="F",$CA54&gt;'Tournament Setup'!$B$39),$H54,"")</f>
        <v/>
      </c>
      <c r="CE54" s="12" t="str">
        <f>IF(ISNUMBER(CD54)=TRUE,IF(_xlfn.RANK.EQ(CD54,$CD$2:$CD$111)&lt;='Tournament Setup'!$D$39,_xlfn.RANK.EQ(CD54,$CD$2:$CD$111),""),"")</f>
        <v/>
      </c>
      <c r="CF54" s="30" t="str">
        <f>IF($G54='Tournament Setup'!$A$40,$H54,"")</f>
        <v/>
      </c>
      <c r="CG54" s="47" t="str">
        <f>IF(ISNUMBER(CF54),IF(COUNTIFS(CG$1:CG53,_xlfn.RANK.EQ(CF54,CF$2:CF$111,0))&gt;0,_xlfn.MAXIFS(CG$1:CG53,CF$1:CF53,CF54)+1,_xlfn.RANK.EQ(CF54,CF$2:CF$111,0)),"")</f>
        <v/>
      </c>
      <c r="CH54" s="1" t="str">
        <f>IF(ISNUMBER(CF54)=TRUE,IF(_xlfn.RANK.EQ(CF54,$CF$2:$CF$111)&lt;='Tournament Setup'!$B$40,_xlfn.RANK.EQ(CF54,$CF$2:$CF$111),""),"")</f>
        <v/>
      </c>
      <c r="CI54" s="31" t="str">
        <f>IF(AND($G54='Tournament Setup'!$A$40,$E54="M",$CH54&gt;'Tournament Setup'!$B$40),$H54,"")</f>
        <v/>
      </c>
      <c r="CJ54" s="1" t="str">
        <f>IF(ISNUMBER(CI54)=TRUE,IF(_xlfn.RANK.EQ(CI54,$CI$2:$CI$111)&lt;='Tournament Setup'!$C$40,_xlfn.RANK.EQ(CI54,$CI$2:$CI$111),""),"")</f>
        <v/>
      </c>
      <c r="CK54" s="31" t="str">
        <f>IF(AND($G54='Tournament Setup'!$A$40,$E54="F",$CH54&gt;'Tournament Setup'!$B$40),$H54,"")</f>
        <v/>
      </c>
      <c r="CL54" s="12" t="str">
        <f>IF(ISNUMBER(CK54)=TRUE,IF(_xlfn.RANK.EQ(CK54,$CK$2:$CK$111)&lt;='Tournament Setup'!$D$40,_xlfn.RANK.EQ(CK54,$CK$2:$CK$111),""),"")</f>
        <v/>
      </c>
      <c r="CM54" s="30" t="str">
        <f>IF($G54='Tournament Setup'!$A$41,$H54,"")</f>
        <v/>
      </c>
      <c r="CN54" s="47" t="str">
        <f>IF(ISNUMBER(CM54),IF(COUNTIFS(CN$1:CN53,_xlfn.RANK.EQ(CM54,CM$2:CM$111,0))&gt;0,_xlfn.MAXIFS(CN$1:CN53,CM$1:CM53,CM54)+1,_xlfn.RANK.EQ(CM54,CM$2:CM$111,0)),"")</f>
        <v/>
      </c>
      <c r="CO54" s="1" t="str">
        <f>IF(ISNUMBER(CM54)=TRUE,IF(_xlfn.RANK.EQ(CM54,$CM$2:$CM$111)&lt;='Tournament Setup'!$B$41,_xlfn.RANK.EQ(CM54,$CM$2:$CM$111),""),"")</f>
        <v/>
      </c>
      <c r="CP54" s="31" t="str">
        <f>IF(AND($G54='Tournament Setup'!$A$41,$E54="M",$CO54&gt;'Tournament Setup'!$B$41),$H54,"")</f>
        <v/>
      </c>
      <c r="CQ54" s="1" t="str">
        <f>IF(ISNUMBER(CP54)=TRUE,IF(_xlfn.RANK.EQ(CP54,$CP$2:$CP$111)&lt;='Tournament Setup'!$C$41,_xlfn.RANK.EQ(CP54,$CP$2:$CP$111),""),"")</f>
        <v/>
      </c>
      <c r="CR54" s="31" t="str">
        <f>IF(AND($G54='Tournament Setup'!$A$41,$E54="F",$CO54&gt;'Tournament Setup'!$B$41),$H54,"")</f>
        <v/>
      </c>
      <c r="CS54" s="12" t="str">
        <f>IF(ISNUMBER(CR54)=TRUE,IF(_xlfn.RANK.EQ(CR54,$CR$2:$CR$111)&lt;='Tournament Setup'!$D$41,_xlfn.RANK.EQ(CR54,$CR$2:$CR$111),""),"")</f>
        <v/>
      </c>
    </row>
    <row r="55" spans="1:97" x14ac:dyDescent="0.3">
      <c r="B55" t="str">
        <f>IFERROR(INDEX('Tournament List'!$B:$B,MATCH($A55,'Tournament List'!$A:$A,0)),"")</f>
        <v/>
      </c>
      <c r="C55" t="str">
        <f>IFERROR(INDEX('Tournament List'!$C:$C,MATCH($A55,'Tournament List'!$A:$A,0)),"")</f>
        <v/>
      </c>
      <c r="D55" t="str">
        <f t="shared" si="10"/>
        <v xml:space="preserve"> </v>
      </c>
      <c r="E55" s="1" t="str">
        <f>IFERROR(INDEX('Tournament List'!F:F,MATCH($A55,'Tournament List'!$A:$A,0)),"")</f>
        <v/>
      </c>
      <c r="F55" t="str">
        <f>IFERROR(INDEX('Tournament List'!M:M,MATCH($A55,'Tournament List'!$A:$A,0)),"")</f>
        <v/>
      </c>
      <c r="G55" s="1" t="str">
        <f>IFERROR(INDEX('Tournament List'!W:W,MATCH($A55,'Tournament List'!$A:$A,0)),"")</f>
        <v/>
      </c>
      <c r="H55" s="129" t="str">
        <f>IFERROR(INDEX('Tournament List'!Z:Z,MATCH($A55,'Tournament List'!$A:$A,0)),"")</f>
        <v/>
      </c>
      <c r="I55" s="152" t="str">
        <f>IFERROR(INDEX('Tournament List'!T:T,MATCH($A55,'Tournament List'!$A:$A,0)),"")</f>
        <v/>
      </c>
      <c r="J55" s="56" t="str">
        <f>IF(ISNUMBER(I55),IF(COUNTIFS(J$1:J54,_xlfn.RANK.EQ(I55,I$2:I$111,0))&gt;0,_xlfn.MAXIFS(J$1:J54,I$1:I54,I55)+1,_xlfn.RANK.EQ(I55,I$2:I$111,0)),"")</f>
        <v/>
      </c>
      <c r="K55" s="11" t="str">
        <f t="shared" si="11"/>
        <v/>
      </c>
      <c r="L55" s="56" t="str">
        <f>IF(ISNUMBER(H55),IF(COUNTIFS(L$1:L54,_xlfn.RANK.EQ(H55,H$2:H$111,0))&gt;0,_xlfn.MAXIFS(L$1:L54,H$1:H54,H55)+1,_xlfn.RANK.EQ(H55,H$2:H$111,0)),"")</f>
        <v/>
      </c>
      <c r="M55" s="151" t="str">
        <f t="shared" si="12"/>
        <v/>
      </c>
      <c r="N55" s="47" t="str">
        <f>IF(ISNUMBER(M55),IF(COUNTIFS(N$1:N54,_xlfn.RANK.EQ(M55,M$2:M$111,0))&gt;0,_xlfn.MAXIFS(N$1:N54,M$1:M54,M55)+1,_xlfn.RANK.EQ(M55,M$2:M$111,0)),"")</f>
        <v/>
      </c>
      <c r="O55" s="1" t="str">
        <f>IF(ISNUMBER(M55)=TRUE,IF(_xlfn.RANK.EQ(M55,$M$2:$M$111)&lt;='Tournament Setup'!$B$23,_xlfn.RANK.EQ(M55,$M$2:$M$111),""),"")</f>
        <v/>
      </c>
      <c r="P55" s="150" t="str">
        <f t="shared" si="13"/>
        <v/>
      </c>
      <c r="Q55" s="1" t="str">
        <f>IF(ISNUMBER(P55)=TRUE,IF(_xlfn.RANK.EQ(P55,$P$2:$P$111)&lt;='Tournament Setup'!$B$24,_xlfn.RANK.EQ(P55,$P$2:$P$111),""),"")</f>
        <v/>
      </c>
      <c r="R55" s="150" t="str">
        <f t="shared" si="14"/>
        <v/>
      </c>
      <c r="S55" s="12" t="str">
        <f>IF(ISNUMBER(R55)=TRUE,IF(_xlfn.RANK.EQ(R55,$R$2:$R$111)&lt;='Tournament Setup'!$B$25,_xlfn.RANK.EQ(R55,$R$2:$R$111),""),"")</f>
        <v/>
      </c>
      <c r="T55" s="152" t="str">
        <f>IF(AND($F55='Tournament Setup'!$A$29,$I55&lt;&gt;0),$I55,"")</f>
        <v/>
      </c>
      <c r="U55" s="47" t="str">
        <f>IF(ISNUMBER(T55),IF(COUNTIFS(U$1:U54,_xlfn.RANK.EQ(T55,T$2:T$111,0))&gt;0,_xlfn.MAXIFS(U$1:U54,T$1:T54,T55)+1,_xlfn.RANK.EQ(T55,T$2:T$111,0)),"")</f>
        <v/>
      </c>
      <c r="V55" s="1" t="str">
        <f>IF(ISNUMBER(T55)=TRUE,IF(_xlfn.RANK.EQ(T55,$T$3:$T$112)&lt;='Tournament Setup'!$B$46,_xlfn.RANK.EQ(T55,$T$2:$T$111),""),"")</f>
        <v/>
      </c>
      <c r="W55" s="30" t="str">
        <f>IF(AND($F55='Tournament Setup'!$A$29,SUM($O55,$Q55,$S55)=0),$H55,"")</f>
        <v/>
      </c>
      <c r="X55" s="47" t="str">
        <f>IF(ISNUMBER(W55),IF(COUNTIFS(X$1:X54,_xlfn.RANK.EQ(W55,W$2:W$111,0))&gt;0,_xlfn.MAXIFS(X$1:X54,W$1:W54,W55)+1,_xlfn.RANK.EQ(W55,W$2:W$111,0)),"")</f>
        <v/>
      </c>
      <c r="Y55" s="1" t="str">
        <f>IF(ISNUMBER(W55)=TRUE,IF(_xlfn.RANK.EQ(W55,$W$2:$W$111)&lt;='Tournament Setup'!$B$29,_xlfn.RANK.EQ(W55,$W$2:$W$111),""),"")</f>
        <v/>
      </c>
      <c r="Z55" s="31" t="str">
        <f>IF(AND($F55='Tournament Setup'!$A$29,SUM($O55,$Q55)=0,$E55="M",$Y55&gt;'Tournament Setup'!$B$29),$H55,"")</f>
        <v/>
      </c>
      <c r="AA55" s="1" t="str">
        <f>IF(ISNUMBER(Z55)=TRUE,IF(_xlfn.RANK.EQ(Z55,$Z$2:$Z$111)&lt;='Tournament Setup'!$C$29,_xlfn.RANK.EQ(Z55,$Z$2:$Z$111),""),"")</f>
        <v/>
      </c>
      <c r="AB55" s="31" t="str">
        <f>IF(AND($F55='Tournament Setup'!$A$29,SUM($O55,$S55)=0,$E55="F",$Y55&gt;'Tournament Setup'!$B$29),$H55,"")</f>
        <v/>
      </c>
      <c r="AC55" s="12" t="str">
        <f>IF(ISNUMBER(AB55)=TRUE,IF(_xlfn.RANK.EQ(AB55,$AB$2:$AB$111)&lt;='Tournament Setup'!$D$29,_xlfn.RANK.EQ(AB55,$AB$2:$AB$111),""),"")</f>
        <v/>
      </c>
      <c r="AD55" s="30" t="str">
        <f>IF(AND($F55='Tournament Setup'!$A$30,$I55&lt;&gt;0),$I55,"")</f>
        <v/>
      </c>
      <c r="AE55" s="47" t="str">
        <f>IF(ISNUMBER(AD55),IF(COUNTIFS(AE$1:AE54,_xlfn.RANK.EQ(AD55,AD$2:AD$111,0))&gt;0,_xlfn.MAXIFS(AE$1:AE54,AD$1:AD54,AD55)+1,_xlfn.RANK.EQ(AD55,AD$2:AD$111,0)),"")</f>
        <v/>
      </c>
      <c r="AF55" s="1" t="str">
        <f>IF(ISNUMBER(AD55)=TRUE,IF(_xlfn.RANK.EQ(AD55,$AD$2:$AD$111)&lt;='Tournament Setup'!$B$46,_xlfn.RANK.EQ(AD55,$AD$2:$AD$111),""),"")</f>
        <v/>
      </c>
      <c r="AG55" s="30" t="str">
        <f>IF(AND($F55='Tournament Setup'!$A$30,SUM($O55,$Q55,$S55)=0),$H55,"")</f>
        <v/>
      </c>
      <c r="AH55" s="47" t="str">
        <f>IF(ISNUMBER(AG55),IF(COUNTIFS(AH$1:AH54,_xlfn.RANK.EQ(AG55,AG$2:AG$111,0))&gt;0,_xlfn.MAXIFS(AH$1:AH54,AG$1:AG54,AG55)+1,_xlfn.RANK.EQ(AG55,AG$2:AG$111,0)),"")</f>
        <v/>
      </c>
      <c r="AI55" s="1" t="str">
        <f>IF(ISNUMBER(AG55)=TRUE,IF(_xlfn.RANK.EQ(AG55,$AG$2:$AG$111)&lt;='Tournament Setup'!$B$30,_xlfn.RANK.EQ(AG55,$AG$2:$AG$111),""),"")</f>
        <v/>
      </c>
      <c r="AJ55" s="31" t="str">
        <f>IF(AND($F55='Tournament Setup'!$A$30,SUM($O55,$Q55)=0,$E55="M",$AI55&gt;'Tournament Setup'!$B$30),$H55,"")</f>
        <v/>
      </c>
      <c r="AK55" s="1" t="str">
        <f>IF(ISNUMBER(AJ55)=TRUE,IF(_xlfn.RANK.EQ(AJ55,$AJ$2:$AJ$111)&lt;='Tournament Setup'!$C$30,_xlfn.RANK.EQ(AJ55,$AJ$2:$AJ$111),""),"")</f>
        <v/>
      </c>
      <c r="AL55" s="31" t="str">
        <f>IF(AND($F55='Tournament Setup'!$A$30,SUM($O55,$S55)=0,$E55="F",$AI55&gt;'Tournament Setup'!$B$30),$H55,"")</f>
        <v/>
      </c>
      <c r="AM55" s="12" t="str">
        <f>IF(ISNUMBER(AL55)=TRUE,IF(_xlfn.RANK.EQ(AL55,$AL$2:$AL$111)&lt;='Tournament Setup'!$D$30,_xlfn.RANK.EQ(AL55,$AL$2:$AL$111),""),"")</f>
        <v/>
      </c>
      <c r="AN55" s="30" t="str">
        <f>IF(AND($F55='Tournament Setup'!$A$31,$I55&lt;&gt;0),$I55,"")</f>
        <v/>
      </c>
      <c r="AO55" s="47" t="str">
        <f>IF(ISNUMBER(AN55),IF(COUNTIFS(AO$1:AO54,_xlfn.RANK.EQ(AN55,AN$2:AN$111,0))&gt;0,_xlfn.MAXIFS(AO$1:AO54,AN$1:AN54,AN55)+1,_xlfn.RANK.EQ(AN55,AN$2:AN$111,0)),"")</f>
        <v/>
      </c>
      <c r="AP55" s="1" t="str">
        <f>IF(ISNUMBER(AN55)=TRUE,IF(_xlfn.RANK.EQ(AN55,$AN$2:$AN$111)&lt;='Tournament Setup'!$B$46,_xlfn.RANK.EQ(AN55,$AN$2:$AN$111),""),"")</f>
        <v/>
      </c>
      <c r="AQ55" s="30" t="str">
        <f>IF(AND($F55='Tournament Setup'!$A$31,SUM($O55,$Q55,$S55)=0),$H55,"")</f>
        <v/>
      </c>
      <c r="AR55" s="47" t="str">
        <f>IF(ISNUMBER(AQ55),IF(COUNTIFS(AR$1:AR54,_xlfn.RANK.EQ(AQ55,AQ$2:AQ$111,0))&gt;0,_xlfn.MAXIFS(AR$1:AR54,AQ$1:AQ54,AQ55)+1,_xlfn.RANK.EQ(AQ55,AQ$2:AQ$111,0)),"")</f>
        <v/>
      </c>
      <c r="AS55" s="1" t="str">
        <f>IF(ISNUMBER(AQ55)=TRUE,IF(_xlfn.RANK.EQ(AQ55,$AQ$2:$AQ$111)&lt;='Tournament Setup'!$B$31,_xlfn.RANK.EQ(AQ55,$AQ$2:$AQ$111),""),"")</f>
        <v/>
      </c>
      <c r="AT55" s="31" t="str">
        <f>IF(AND($F55='Tournament Setup'!$A$31,SUM($O55,$Q55)=0,$E55="M",$AS55&gt;'Tournament Setup'!$B$31),$H55,"")</f>
        <v/>
      </c>
      <c r="AU55" s="1" t="str">
        <f>IF(ISNUMBER(AT55)=TRUE,IF(_xlfn.RANK.EQ(AT55,$AT$2:$AT$111)&lt;='Tournament Setup'!$C$31,_xlfn.RANK.EQ(AT55,$AT$2:$AT$111),""),"")</f>
        <v/>
      </c>
      <c r="AV55" s="31" t="str">
        <f>IF(AND($F55='Tournament Setup'!$A$31,SUM($O55,$S55)=0,$E55="F",$AS55&gt;'Tournament Setup'!$B$31),$H55,"")</f>
        <v/>
      </c>
      <c r="AW55" s="12" t="str">
        <f>IF(ISNUMBER(AV55)=TRUE,IF(_xlfn.RANK.EQ(AV55,$AV$2:$AV$111)&lt;='Tournament Setup'!$D$31,_xlfn.RANK.EQ(AV55,$AV$2:$AV$111),""),"")</f>
        <v/>
      </c>
      <c r="AX55" s="30" t="str">
        <f>IF(AND($F55='Tournament Setup'!$A$32,$I55&lt;&gt;0),$I55,"")</f>
        <v/>
      </c>
      <c r="AY55" s="47" t="str">
        <f>IF(ISNUMBER(AX55),IF(COUNTIFS(AY$1:AY54,_xlfn.RANK.EQ(AX55,AX$2:AX$111,0))&gt;0,_xlfn.MAXIFS(AY$1:AY54,AX$1:AX54,AX55)+1,_xlfn.RANK.EQ(AX55,AX$2:AX$111,0)),"")</f>
        <v/>
      </c>
      <c r="AZ55" s="1" t="str">
        <f>IF(ISNUMBER(AX55)=TRUE,IF(_xlfn.RANK.EQ(AX55,$AX$2:$AX$111)&lt;='Tournament Setup'!$B$46,_xlfn.RANK.EQ(AX55,$AX$2:$AX$111),""),"")</f>
        <v/>
      </c>
      <c r="BA55" s="30" t="str">
        <f>IF(AND($F55='Tournament Setup'!$A$32,SUM($O55,$Q55,$S55)=0),$H55,"")</f>
        <v/>
      </c>
      <c r="BB55" s="47" t="str">
        <f>IF(ISNUMBER(BA55),IF(COUNTIFS(BB$1:BB54,_xlfn.RANK.EQ(BA55,BA$2:BA$111,0))&gt;0,_xlfn.MAXIFS(BB$1:BB54,BA$1:BA54,BA55)+1,_xlfn.RANK.EQ(BA55,BA$2:BA$111,0)),"")</f>
        <v/>
      </c>
      <c r="BC55" s="1" t="str">
        <f>IF(ISNUMBER(BA55)=TRUE,IF(_xlfn.RANK.EQ(BA55,$BA$2:$BA$111)&lt;='Tournament Setup'!$B$32,_xlfn.RANK.EQ(BA55,$BA$2:$BA$111),""),"")</f>
        <v/>
      </c>
      <c r="BD55" s="31" t="str">
        <f>IF(AND($F55='Tournament Setup'!$A$32,SUM($O55,$Q55)=0,$E55="M",$BC55&gt;'Tournament Setup'!$B$32),$H55,"")</f>
        <v/>
      </c>
      <c r="BE55" s="1" t="str">
        <f>IF(ISNUMBER(BD55)=TRUE,IF(_xlfn.RANK.EQ(BD55,$BD$2:$BD$111)&lt;='Tournament Setup'!$C$32,_xlfn.RANK.EQ(BD55,$BD$2:$BD$111),""),"")</f>
        <v/>
      </c>
      <c r="BF55" s="31" t="str">
        <f>IF(AND($F55='Tournament Setup'!$A$32,SUM($O55,$S55)=0,$E55="F",$BC55&gt;'Tournament Setup'!$B$32),$H55,"")</f>
        <v/>
      </c>
      <c r="BG55" s="12" t="str">
        <f>IF(ISNUMBER(BF55)=TRUE,IF(_xlfn.RANK.EQ(BF55,$BF$2:$BF$111)&lt;='Tournament Setup'!$D$32,_xlfn.RANK.EQ(BF55,$BF$2:$BF$111),""),"")</f>
        <v/>
      </c>
      <c r="BH55" s="30" t="str">
        <f>IF(AND($F55='Tournament Setup'!$A$33,$I55&lt;&gt;0),$I55,"")</f>
        <v/>
      </c>
      <c r="BI55" s="47" t="str">
        <f>IF(ISNUMBER(BH55),IF(COUNTIFS(BI$1:BI54,_xlfn.RANK.EQ(BH55,BH$2:BH$111,0))&gt;0,_xlfn.MAXIFS(BI$1:BI54,BH$1:BH54,BH55)+1,_xlfn.RANK.EQ(BH55,BH$2:BH$111,0)),"")</f>
        <v/>
      </c>
      <c r="BJ55" s="1" t="str">
        <f>IF(ISNUMBER(BH55)=TRUE,IF(_xlfn.RANK.EQ(BH55,$BH$2:$BH$111)&lt;='Tournament Setup'!$B$46,_xlfn.RANK.EQ(BH55,$BH$2:$BH$111),""),"")</f>
        <v/>
      </c>
      <c r="BK55" s="30" t="str">
        <f>IF(AND($F55='Tournament Setup'!$A$33,SUM($O55,$Q55,$S55)=0),$H55,"")</f>
        <v/>
      </c>
      <c r="BL55" s="47" t="str">
        <f>IF(ISNUMBER(BK55),IF(COUNTIFS(BL$1:BL54,_xlfn.RANK.EQ(BK55,BK$2:BK$111,0))&gt;0,_xlfn.MAXIFS(BL$1:BL54,BK$1:BK54,BK55)+1,_xlfn.RANK.EQ(BK55,BK$2:BK$111,0)),"")</f>
        <v/>
      </c>
      <c r="BM55" s="1" t="str">
        <f>IF(ISNUMBER(BK55)=TRUE,IF(_xlfn.RANK.EQ(BK55,$BK$2:$BK$111)&lt;='Tournament Setup'!$B$33,_xlfn.RANK.EQ(BK55,$BK$2:$BK$111),""),"")</f>
        <v/>
      </c>
      <c r="BN55" s="31" t="str">
        <f>IF(AND($F55='Tournament Setup'!$A$33,SUM($O55,$Q55)=0,$E55="M",$BM55&gt;'Tournament Setup'!$B$33),$H55,"")</f>
        <v/>
      </c>
      <c r="BO55" s="1" t="str">
        <f>IF(ISNUMBER(BN55)=TRUE,IF(_xlfn.RANK.EQ(BN55,$BN$2:$BN$111)&lt;='Tournament Setup'!$C$33,_xlfn.RANK.EQ(BN55,$BN$2:$BN$111),""),"")</f>
        <v/>
      </c>
      <c r="BP55" s="31" t="str">
        <f>IF(AND($F55='Tournament Setup'!$A$33,SUM($O55,$S55)=0,$E55="F",$BM55&gt;'Tournament Setup'!$B$33),$H55,"")</f>
        <v/>
      </c>
      <c r="BQ55" s="12" t="str">
        <f>IF(ISNUMBER(BP55)=TRUE,IF(_xlfn.RANK.EQ(BP55,$BP$2:$BP$111)&lt;='Tournament Setup'!$D$33,_xlfn.RANK.EQ(BP55,$BP$2:$BP$111),""),"")</f>
        <v/>
      </c>
      <c r="BR55" s="30" t="str">
        <f>IF($G55='Tournament Setup'!$A$38,$H55,"")</f>
        <v/>
      </c>
      <c r="BS55" s="47" t="str">
        <f>IF(ISNUMBER(BR55),IF(COUNTIFS(BS$1:BS54,_xlfn.RANK.EQ(BR55,BR$2:BR$111,0))&gt;0,_xlfn.MAXIFS(BS$1:BS54,BR$1:BR54,BR55)+1,_xlfn.RANK.EQ(BR55,BR$2:BR$111,0)),"")</f>
        <v/>
      </c>
      <c r="BT55" s="1" t="str">
        <f>IF(ISNUMBER(BR55)=TRUE,IF(_xlfn.RANK.EQ(BR55,$BR$2:$BR$111)&lt;='Tournament Setup'!$B$38,_xlfn.RANK.EQ(BR55,$BR$2:$BR$111),""),"")</f>
        <v/>
      </c>
      <c r="BU55" s="31" t="str">
        <f>IF(AND($G55='Tournament Setup'!$A$38,$E55="M",$BT55&gt;'Tournament Setup'!$B$38),$H55,"")</f>
        <v/>
      </c>
      <c r="BV55" s="1" t="str">
        <f>IF(ISNUMBER(BU55)=TRUE,IF(_xlfn.RANK.EQ(BU55,$BU$2:$BU$111)&lt;='Tournament Setup'!$C$38,_xlfn.RANK.EQ(BU55,$BU$2:$BU$111),""),"")</f>
        <v/>
      </c>
      <c r="BW55" s="31" t="str">
        <f>IF(AND($G55='Tournament Setup'!$A$38,$E55="F",$BT55&gt;'Tournament Setup'!$B$38),$H55,"")</f>
        <v/>
      </c>
      <c r="BX55" s="12" t="str">
        <f>IF(ISNUMBER(BW55)=TRUE,IF(_xlfn.RANK.EQ(BW55,$BW$2:$BW$111)&lt;='Tournament Setup'!$D$38,_xlfn.RANK.EQ(BW55,$BW$2:$BW$111),""),"")</f>
        <v/>
      </c>
      <c r="BY55" s="30" t="str">
        <f>IF($G55='Tournament Setup'!$A$39,$H55,"")</f>
        <v/>
      </c>
      <c r="BZ55" s="47" t="str">
        <f>IF(ISNUMBER(BY55),IF(COUNTIFS(BZ$1:BZ54,_xlfn.RANK.EQ(BY55,BY$2:BY$111,0))&gt;0,_xlfn.MAXIFS(BZ$1:BZ54,BY$1:BY54,BY55)+1,_xlfn.RANK.EQ(BY55,BY$2:BY$111,0)),"")</f>
        <v/>
      </c>
      <c r="CA55" s="1" t="str">
        <f>IF(ISNUMBER(BY55)=TRUE,IF(_xlfn.RANK.EQ(BY55,$BY$2:$BY$111)&lt;='Tournament Setup'!$B$39,_xlfn.RANK.EQ(BY55,$BY$2:$BY$111),""),"")</f>
        <v/>
      </c>
      <c r="CB55" s="31" t="str">
        <f>IF(AND($G55='Tournament Setup'!$A$39,$E55="M",$CA55&gt;'Tournament Setup'!$B$39),$H55,"")</f>
        <v/>
      </c>
      <c r="CC55" s="1" t="str">
        <f>IF(ISNUMBER(CB55)=TRUE,IF(_xlfn.RANK.EQ(CB55,$CB$2:$CB$111)&lt;='Tournament Setup'!$C$39,_xlfn.RANK.EQ(CB55,$CB$2:$CB$111),""),"")</f>
        <v/>
      </c>
      <c r="CD55" s="31" t="str">
        <f>IF(AND($G55='Tournament Setup'!$A$39,$E55="F",$CA55&gt;'Tournament Setup'!$B$39),$H55,"")</f>
        <v/>
      </c>
      <c r="CE55" s="12" t="str">
        <f>IF(ISNUMBER(CD55)=TRUE,IF(_xlfn.RANK.EQ(CD55,$CD$2:$CD$111)&lt;='Tournament Setup'!$D$39,_xlfn.RANK.EQ(CD55,$CD$2:$CD$111),""),"")</f>
        <v/>
      </c>
      <c r="CF55" s="30" t="str">
        <f>IF($G55='Tournament Setup'!$A$40,$H55,"")</f>
        <v/>
      </c>
      <c r="CG55" s="47" t="str">
        <f>IF(ISNUMBER(CF55),IF(COUNTIFS(CG$1:CG54,_xlfn.RANK.EQ(CF55,CF$2:CF$111,0))&gt;0,_xlfn.MAXIFS(CG$1:CG54,CF$1:CF54,CF55)+1,_xlfn.RANK.EQ(CF55,CF$2:CF$111,0)),"")</f>
        <v/>
      </c>
      <c r="CH55" s="1" t="str">
        <f>IF(ISNUMBER(CF55)=TRUE,IF(_xlfn.RANK.EQ(CF55,$CF$2:$CF$111)&lt;='Tournament Setup'!$B$40,_xlfn.RANK.EQ(CF55,$CF$2:$CF$111),""),"")</f>
        <v/>
      </c>
      <c r="CI55" s="31" t="str">
        <f>IF(AND($G55='Tournament Setup'!$A$40,$E55="M",$CH55&gt;'Tournament Setup'!$B$40),$H55,"")</f>
        <v/>
      </c>
      <c r="CJ55" s="1" t="str">
        <f>IF(ISNUMBER(CI55)=TRUE,IF(_xlfn.RANK.EQ(CI55,$CI$2:$CI$111)&lt;='Tournament Setup'!$C$40,_xlfn.RANK.EQ(CI55,$CI$2:$CI$111),""),"")</f>
        <v/>
      </c>
      <c r="CK55" s="31" t="str">
        <f>IF(AND($G55='Tournament Setup'!$A$40,$E55="F",$CH55&gt;'Tournament Setup'!$B$40),$H55,"")</f>
        <v/>
      </c>
      <c r="CL55" s="12" t="str">
        <f>IF(ISNUMBER(CK55)=TRUE,IF(_xlfn.RANK.EQ(CK55,$CK$2:$CK$111)&lt;='Tournament Setup'!$D$40,_xlfn.RANK.EQ(CK55,$CK$2:$CK$111),""),"")</f>
        <v/>
      </c>
      <c r="CM55" s="30" t="str">
        <f>IF($G55='Tournament Setup'!$A$41,$H55,"")</f>
        <v/>
      </c>
      <c r="CN55" s="47" t="str">
        <f>IF(ISNUMBER(CM55),IF(COUNTIFS(CN$1:CN54,_xlfn.RANK.EQ(CM55,CM$2:CM$111,0))&gt;0,_xlfn.MAXIFS(CN$1:CN54,CM$1:CM54,CM55)+1,_xlfn.RANK.EQ(CM55,CM$2:CM$111,0)),"")</f>
        <v/>
      </c>
      <c r="CO55" s="1" t="str">
        <f>IF(ISNUMBER(CM55)=TRUE,IF(_xlfn.RANK.EQ(CM55,$CM$2:$CM$111)&lt;='Tournament Setup'!$B$41,_xlfn.RANK.EQ(CM55,$CM$2:$CM$111),""),"")</f>
        <v/>
      </c>
      <c r="CP55" s="31" t="str">
        <f>IF(AND($G55='Tournament Setup'!$A$41,$E55="M",$CO55&gt;'Tournament Setup'!$B$41),$H55,"")</f>
        <v/>
      </c>
      <c r="CQ55" s="1" t="str">
        <f>IF(ISNUMBER(CP55)=TRUE,IF(_xlfn.RANK.EQ(CP55,$CP$2:$CP$111)&lt;='Tournament Setup'!$C$41,_xlfn.RANK.EQ(CP55,$CP$2:$CP$111),""),"")</f>
        <v/>
      </c>
      <c r="CR55" s="31" t="str">
        <f>IF(AND($G55='Tournament Setup'!$A$41,$E55="F",$CO55&gt;'Tournament Setup'!$B$41),$H55,"")</f>
        <v/>
      </c>
      <c r="CS55" s="12" t="str">
        <f>IF(ISNUMBER(CR55)=TRUE,IF(_xlfn.RANK.EQ(CR55,$CR$2:$CR$111)&lt;='Tournament Setup'!$D$41,_xlfn.RANK.EQ(CR55,$CR$2:$CR$111),""),"")</f>
        <v/>
      </c>
    </row>
    <row r="56" spans="1:97" x14ac:dyDescent="0.3">
      <c r="B56" t="str">
        <f>IFERROR(INDEX('Tournament List'!$B:$B,MATCH($A56,'Tournament List'!$A:$A,0)),"")</f>
        <v/>
      </c>
      <c r="C56" t="str">
        <f>IFERROR(INDEX('Tournament List'!$C:$C,MATCH($A56,'Tournament List'!$A:$A,0)),"")</f>
        <v/>
      </c>
      <c r="D56" t="str">
        <f t="shared" si="10"/>
        <v xml:space="preserve"> </v>
      </c>
      <c r="E56" s="1" t="str">
        <f>IFERROR(INDEX('Tournament List'!F:F,MATCH($A56,'Tournament List'!$A:$A,0)),"")</f>
        <v/>
      </c>
      <c r="F56" t="str">
        <f>IFERROR(INDEX('Tournament List'!M:M,MATCH($A56,'Tournament List'!$A:$A,0)),"")</f>
        <v/>
      </c>
      <c r="G56" s="1" t="str">
        <f>IFERROR(INDEX('Tournament List'!W:W,MATCH($A56,'Tournament List'!$A:$A,0)),"")</f>
        <v/>
      </c>
      <c r="H56" s="129" t="str">
        <f>IFERROR(INDEX('Tournament List'!Z:Z,MATCH($A56,'Tournament List'!$A:$A,0)),"")</f>
        <v/>
      </c>
      <c r="I56" s="152" t="str">
        <f>IFERROR(INDEX('Tournament List'!T:T,MATCH($A56,'Tournament List'!$A:$A,0)),"")</f>
        <v/>
      </c>
      <c r="J56" s="56" t="str">
        <f>IF(ISNUMBER(I56),IF(COUNTIFS(J$1:J55,_xlfn.RANK.EQ(I56,I$2:I$111,0))&gt;0,_xlfn.MAXIFS(J$1:J55,I$1:I55,I56)+1,_xlfn.RANK.EQ(I56,I$2:I$111,0)),"")</f>
        <v/>
      </c>
      <c r="K56" s="11" t="str">
        <f t="shared" si="11"/>
        <v/>
      </c>
      <c r="L56" s="56" t="str">
        <f>IF(ISNUMBER(H56),IF(COUNTIFS(L$1:L55,_xlfn.RANK.EQ(H56,H$2:H$111,0))&gt;0,_xlfn.MAXIFS(L$1:L55,H$1:H55,H56)+1,_xlfn.RANK.EQ(H56,H$2:H$111,0)),"")</f>
        <v/>
      </c>
      <c r="M56" s="151" t="str">
        <f t="shared" si="12"/>
        <v/>
      </c>
      <c r="N56" s="47" t="str">
        <f>IF(ISNUMBER(M56),IF(COUNTIFS(N$1:N55,_xlfn.RANK.EQ(M56,M$2:M$111,0))&gt;0,_xlfn.MAXIFS(N$1:N55,M$1:M55,M56)+1,_xlfn.RANK.EQ(M56,M$2:M$111,0)),"")</f>
        <v/>
      </c>
      <c r="O56" s="1" t="str">
        <f>IF(ISNUMBER(M56)=TRUE,IF(_xlfn.RANK.EQ(M56,$M$2:$M$111)&lt;='Tournament Setup'!$B$23,_xlfn.RANK.EQ(M56,$M$2:$M$111),""),"")</f>
        <v/>
      </c>
      <c r="P56" s="150" t="str">
        <f t="shared" si="13"/>
        <v/>
      </c>
      <c r="Q56" s="1" t="str">
        <f>IF(ISNUMBER(P56)=TRUE,IF(_xlfn.RANK.EQ(P56,$P$2:$P$111)&lt;='Tournament Setup'!$B$24,_xlfn.RANK.EQ(P56,$P$2:$P$111),""),"")</f>
        <v/>
      </c>
      <c r="R56" s="150" t="str">
        <f t="shared" si="14"/>
        <v/>
      </c>
      <c r="S56" s="12" t="str">
        <f>IF(ISNUMBER(R56)=TRUE,IF(_xlfn.RANK.EQ(R56,$R$2:$R$111)&lt;='Tournament Setup'!$B$25,_xlfn.RANK.EQ(R56,$R$2:$R$111),""),"")</f>
        <v/>
      </c>
      <c r="T56" s="152" t="str">
        <f>IF(AND($F56='Tournament Setup'!$A$29,$I56&lt;&gt;0),$I56,"")</f>
        <v/>
      </c>
      <c r="U56" s="47" t="str">
        <f>IF(ISNUMBER(T56),IF(COUNTIFS(U$1:U55,_xlfn.RANK.EQ(T56,T$2:T$111,0))&gt;0,_xlfn.MAXIFS(U$1:U55,T$1:T55,T56)+1,_xlfn.RANK.EQ(T56,T$2:T$111,0)),"")</f>
        <v/>
      </c>
      <c r="V56" s="1" t="str">
        <f>IF(ISNUMBER(T56)=TRUE,IF(_xlfn.RANK.EQ(T56,$T$3:$T$112)&lt;='Tournament Setup'!$B$46,_xlfn.RANK.EQ(T56,$T$2:$T$111),""),"")</f>
        <v/>
      </c>
      <c r="W56" s="30" t="str">
        <f>IF(AND($F56='Tournament Setup'!$A$29,SUM($O56,$Q56,$S56)=0),$H56,"")</f>
        <v/>
      </c>
      <c r="X56" s="47" t="str">
        <f>IF(ISNUMBER(W56),IF(COUNTIFS(X$1:X55,_xlfn.RANK.EQ(W56,W$2:W$111,0))&gt;0,_xlfn.MAXIFS(X$1:X55,W$1:W55,W56)+1,_xlfn.RANK.EQ(W56,W$2:W$111,0)),"")</f>
        <v/>
      </c>
      <c r="Y56" s="1" t="str">
        <f>IF(ISNUMBER(W56)=TRUE,IF(_xlfn.RANK.EQ(W56,$W$2:$W$111)&lt;='Tournament Setup'!$B$29,_xlfn.RANK.EQ(W56,$W$2:$W$111),""),"")</f>
        <v/>
      </c>
      <c r="Z56" s="31" t="str">
        <f>IF(AND($F56='Tournament Setup'!$A$29,SUM($O56,$Q56)=0,$E56="M",$Y56&gt;'Tournament Setup'!$B$29),$H56,"")</f>
        <v/>
      </c>
      <c r="AA56" s="1" t="str">
        <f>IF(ISNUMBER(Z56)=TRUE,IF(_xlfn.RANK.EQ(Z56,$Z$2:$Z$111)&lt;='Tournament Setup'!$C$29,_xlfn.RANK.EQ(Z56,$Z$2:$Z$111),""),"")</f>
        <v/>
      </c>
      <c r="AB56" s="31" t="str">
        <f>IF(AND($F56='Tournament Setup'!$A$29,SUM($O56,$S56)=0,$E56="F",$Y56&gt;'Tournament Setup'!$B$29),$H56,"")</f>
        <v/>
      </c>
      <c r="AC56" s="12" t="str">
        <f>IF(ISNUMBER(AB56)=TRUE,IF(_xlfn.RANK.EQ(AB56,$AB$2:$AB$111)&lt;='Tournament Setup'!$D$29,_xlfn.RANK.EQ(AB56,$AB$2:$AB$111),""),"")</f>
        <v/>
      </c>
      <c r="AD56" s="30" t="str">
        <f>IF(AND($F56='Tournament Setup'!$A$30,$I56&lt;&gt;0),$I56,"")</f>
        <v/>
      </c>
      <c r="AE56" s="47" t="str">
        <f>IF(ISNUMBER(AD56),IF(COUNTIFS(AE$1:AE55,_xlfn.RANK.EQ(AD56,AD$2:AD$111,0))&gt;0,_xlfn.MAXIFS(AE$1:AE55,AD$1:AD55,AD56)+1,_xlfn.RANK.EQ(AD56,AD$2:AD$111,0)),"")</f>
        <v/>
      </c>
      <c r="AF56" s="1" t="str">
        <f>IF(ISNUMBER(AD56)=TRUE,IF(_xlfn.RANK.EQ(AD56,$AD$2:$AD$111)&lt;='Tournament Setup'!$B$46,_xlfn.RANK.EQ(AD56,$AD$2:$AD$111),""),"")</f>
        <v/>
      </c>
      <c r="AG56" s="30" t="str">
        <f>IF(AND($F56='Tournament Setup'!$A$30,SUM($O56,$Q56,$S56)=0),$H56,"")</f>
        <v/>
      </c>
      <c r="AH56" s="47" t="str">
        <f>IF(ISNUMBER(AG56),IF(COUNTIFS(AH$1:AH55,_xlfn.RANK.EQ(AG56,AG$2:AG$111,0))&gt;0,_xlfn.MAXIFS(AH$1:AH55,AG$1:AG55,AG56)+1,_xlfn.RANK.EQ(AG56,AG$2:AG$111,0)),"")</f>
        <v/>
      </c>
      <c r="AI56" s="1" t="str">
        <f>IF(ISNUMBER(AG56)=TRUE,IF(_xlfn.RANK.EQ(AG56,$AG$2:$AG$111)&lt;='Tournament Setup'!$B$30,_xlfn.RANK.EQ(AG56,$AG$2:$AG$111),""),"")</f>
        <v/>
      </c>
      <c r="AJ56" s="31" t="str">
        <f>IF(AND($F56='Tournament Setup'!$A$30,SUM($O56,$Q56)=0,$E56="M",$AI56&gt;'Tournament Setup'!$B$30),$H56,"")</f>
        <v/>
      </c>
      <c r="AK56" s="1" t="str">
        <f>IF(ISNUMBER(AJ56)=TRUE,IF(_xlfn.RANK.EQ(AJ56,$AJ$2:$AJ$111)&lt;='Tournament Setup'!$C$30,_xlfn.RANK.EQ(AJ56,$AJ$2:$AJ$111),""),"")</f>
        <v/>
      </c>
      <c r="AL56" s="31" t="str">
        <f>IF(AND($F56='Tournament Setup'!$A$30,SUM($O56,$S56)=0,$E56="F",$AI56&gt;'Tournament Setup'!$B$30),$H56,"")</f>
        <v/>
      </c>
      <c r="AM56" s="12" t="str">
        <f>IF(ISNUMBER(AL56)=TRUE,IF(_xlfn.RANK.EQ(AL56,$AL$2:$AL$111)&lt;='Tournament Setup'!$D$30,_xlfn.RANK.EQ(AL56,$AL$2:$AL$111),""),"")</f>
        <v/>
      </c>
      <c r="AN56" s="30" t="str">
        <f>IF(AND($F56='Tournament Setup'!$A$31,$I56&lt;&gt;0),$I56,"")</f>
        <v/>
      </c>
      <c r="AO56" s="47" t="str">
        <f>IF(ISNUMBER(AN56),IF(COUNTIFS(AO$1:AO55,_xlfn.RANK.EQ(AN56,AN$2:AN$111,0))&gt;0,_xlfn.MAXIFS(AO$1:AO55,AN$1:AN55,AN56)+1,_xlfn.RANK.EQ(AN56,AN$2:AN$111,0)),"")</f>
        <v/>
      </c>
      <c r="AP56" s="1" t="str">
        <f>IF(ISNUMBER(AN56)=TRUE,IF(_xlfn.RANK.EQ(AN56,$AN$2:$AN$111)&lt;='Tournament Setup'!$B$46,_xlfn.RANK.EQ(AN56,$AN$2:$AN$111),""),"")</f>
        <v/>
      </c>
      <c r="AQ56" s="30" t="str">
        <f>IF(AND($F56='Tournament Setup'!$A$31,SUM($O56,$Q56,$S56)=0),$H56,"")</f>
        <v/>
      </c>
      <c r="AR56" s="47" t="str">
        <f>IF(ISNUMBER(AQ56),IF(COUNTIFS(AR$1:AR55,_xlfn.RANK.EQ(AQ56,AQ$2:AQ$111,0))&gt;0,_xlfn.MAXIFS(AR$1:AR55,AQ$1:AQ55,AQ56)+1,_xlfn.RANK.EQ(AQ56,AQ$2:AQ$111,0)),"")</f>
        <v/>
      </c>
      <c r="AS56" s="1" t="str">
        <f>IF(ISNUMBER(AQ56)=TRUE,IF(_xlfn.RANK.EQ(AQ56,$AQ$2:$AQ$111)&lt;='Tournament Setup'!$B$31,_xlfn.RANK.EQ(AQ56,$AQ$2:$AQ$111),""),"")</f>
        <v/>
      </c>
      <c r="AT56" s="31" t="str">
        <f>IF(AND($F56='Tournament Setup'!$A$31,SUM($O56,$Q56)=0,$E56="M",$AS56&gt;'Tournament Setup'!$B$31),$H56,"")</f>
        <v/>
      </c>
      <c r="AU56" s="1" t="str">
        <f>IF(ISNUMBER(AT56)=TRUE,IF(_xlfn.RANK.EQ(AT56,$AT$2:$AT$111)&lt;='Tournament Setup'!$C$31,_xlfn.RANK.EQ(AT56,$AT$2:$AT$111),""),"")</f>
        <v/>
      </c>
      <c r="AV56" s="31" t="str">
        <f>IF(AND($F56='Tournament Setup'!$A$31,SUM($O56,$S56)=0,$E56="F",$AS56&gt;'Tournament Setup'!$B$31),$H56,"")</f>
        <v/>
      </c>
      <c r="AW56" s="12" t="str">
        <f>IF(ISNUMBER(AV56)=TRUE,IF(_xlfn.RANK.EQ(AV56,$AV$2:$AV$111)&lt;='Tournament Setup'!$D$31,_xlfn.RANK.EQ(AV56,$AV$2:$AV$111),""),"")</f>
        <v/>
      </c>
      <c r="AX56" s="30" t="str">
        <f>IF(AND($F56='Tournament Setup'!$A$32,$I56&lt;&gt;0),$I56,"")</f>
        <v/>
      </c>
      <c r="AY56" s="47" t="str">
        <f>IF(ISNUMBER(AX56),IF(COUNTIFS(AY$1:AY55,_xlfn.RANK.EQ(AX56,AX$2:AX$111,0))&gt;0,_xlfn.MAXIFS(AY$1:AY55,AX$1:AX55,AX56)+1,_xlfn.RANK.EQ(AX56,AX$2:AX$111,0)),"")</f>
        <v/>
      </c>
      <c r="AZ56" s="1" t="str">
        <f>IF(ISNUMBER(AX56)=TRUE,IF(_xlfn.RANK.EQ(AX56,$AX$2:$AX$111)&lt;='Tournament Setup'!$B$46,_xlfn.RANK.EQ(AX56,$AX$2:$AX$111),""),"")</f>
        <v/>
      </c>
      <c r="BA56" s="30" t="str">
        <f>IF(AND($F56='Tournament Setup'!$A$32,SUM($O56,$Q56,$S56)=0),$H56,"")</f>
        <v/>
      </c>
      <c r="BB56" s="47" t="str">
        <f>IF(ISNUMBER(BA56),IF(COUNTIFS(BB$1:BB55,_xlfn.RANK.EQ(BA56,BA$2:BA$111,0))&gt;0,_xlfn.MAXIFS(BB$1:BB55,BA$1:BA55,BA56)+1,_xlfn.RANK.EQ(BA56,BA$2:BA$111,0)),"")</f>
        <v/>
      </c>
      <c r="BC56" s="1" t="str">
        <f>IF(ISNUMBER(BA56)=TRUE,IF(_xlfn.RANK.EQ(BA56,$BA$2:$BA$111)&lt;='Tournament Setup'!$B$32,_xlfn.RANK.EQ(BA56,$BA$2:$BA$111),""),"")</f>
        <v/>
      </c>
      <c r="BD56" s="31" t="str">
        <f>IF(AND($F56='Tournament Setup'!$A$32,SUM($O56,$Q56)=0,$E56="M",$BC56&gt;'Tournament Setup'!$B$32),$H56,"")</f>
        <v/>
      </c>
      <c r="BE56" s="1" t="str">
        <f>IF(ISNUMBER(BD56)=TRUE,IF(_xlfn.RANK.EQ(BD56,$BD$2:$BD$111)&lt;='Tournament Setup'!$C$32,_xlfn.RANK.EQ(BD56,$BD$2:$BD$111),""),"")</f>
        <v/>
      </c>
      <c r="BF56" s="31" t="str">
        <f>IF(AND($F56='Tournament Setup'!$A$32,SUM($O56,$S56)=0,$E56="F",$BC56&gt;'Tournament Setup'!$B$32),$H56,"")</f>
        <v/>
      </c>
      <c r="BG56" s="12" t="str">
        <f>IF(ISNUMBER(BF56)=TRUE,IF(_xlfn.RANK.EQ(BF56,$BF$2:$BF$111)&lt;='Tournament Setup'!$D$32,_xlfn.RANK.EQ(BF56,$BF$2:$BF$111),""),"")</f>
        <v/>
      </c>
      <c r="BH56" s="30" t="str">
        <f>IF(AND($F56='Tournament Setup'!$A$33,$I56&lt;&gt;0),$I56,"")</f>
        <v/>
      </c>
      <c r="BI56" s="47" t="str">
        <f>IF(ISNUMBER(BH56),IF(COUNTIFS(BI$1:BI55,_xlfn.RANK.EQ(BH56,BH$2:BH$111,0))&gt;0,_xlfn.MAXIFS(BI$1:BI55,BH$1:BH55,BH56)+1,_xlfn.RANK.EQ(BH56,BH$2:BH$111,0)),"")</f>
        <v/>
      </c>
      <c r="BJ56" s="1" t="str">
        <f>IF(ISNUMBER(BH56)=TRUE,IF(_xlfn.RANK.EQ(BH56,$BH$2:$BH$111)&lt;='Tournament Setup'!$B$46,_xlfn.RANK.EQ(BH56,$BH$2:$BH$111),""),"")</f>
        <v/>
      </c>
      <c r="BK56" s="30" t="str">
        <f>IF(AND($F56='Tournament Setup'!$A$33,SUM($O56,$Q56,$S56)=0),$H56,"")</f>
        <v/>
      </c>
      <c r="BL56" s="47" t="str">
        <f>IF(ISNUMBER(BK56),IF(COUNTIFS(BL$1:BL55,_xlfn.RANK.EQ(BK56,BK$2:BK$111,0))&gt;0,_xlfn.MAXIFS(BL$1:BL55,BK$1:BK55,BK56)+1,_xlfn.RANK.EQ(BK56,BK$2:BK$111,0)),"")</f>
        <v/>
      </c>
      <c r="BM56" s="1" t="str">
        <f>IF(ISNUMBER(BK56)=TRUE,IF(_xlfn.RANK.EQ(BK56,$BK$2:$BK$111)&lt;='Tournament Setup'!$B$33,_xlfn.RANK.EQ(BK56,$BK$2:$BK$111),""),"")</f>
        <v/>
      </c>
      <c r="BN56" s="31" t="str">
        <f>IF(AND($F56='Tournament Setup'!$A$33,SUM($O56,$Q56)=0,$E56="M",$BM56&gt;'Tournament Setup'!$B$33),$H56,"")</f>
        <v/>
      </c>
      <c r="BO56" s="1" t="str">
        <f>IF(ISNUMBER(BN56)=TRUE,IF(_xlfn.RANK.EQ(BN56,$BN$2:$BN$111)&lt;='Tournament Setup'!$C$33,_xlfn.RANK.EQ(BN56,$BN$2:$BN$111),""),"")</f>
        <v/>
      </c>
      <c r="BP56" s="31" t="str">
        <f>IF(AND($F56='Tournament Setup'!$A$33,SUM($O56,$S56)=0,$E56="F",$BM56&gt;'Tournament Setup'!$B$33),$H56,"")</f>
        <v/>
      </c>
      <c r="BQ56" s="12" t="str">
        <f>IF(ISNUMBER(BP56)=TRUE,IF(_xlfn.RANK.EQ(BP56,$BP$2:$BP$111)&lt;='Tournament Setup'!$D$33,_xlfn.RANK.EQ(BP56,$BP$2:$BP$111),""),"")</f>
        <v/>
      </c>
      <c r="BR56" s="30" t="str">
        <f>IF($G56='Tournament Setup'!$A$38,$H56,"")</f>
        <v/>
      </c>
      <c r="BS56" s="47" t="str">
        <f>IF(ISNUMBER(BR56),IF(COUNTIFS(BS$1:BS55,_xlfn.RANK.EQ(BR56,BR$2:BR$111,0))&gt;0,_xlfn.MAXIFS(BS$1:BS55,BR$1:BR55,BR56)+1,_xlfn.RANK.EQ(BR56,BR$2:BR$111,0)),"")</f>
        <v/>
      </c>
      <c r="BT56" s="1" t="str">
        <f>IF(ISNUMBER(BR56)=TRUE,IF(_xlfn.RANK.EQ(BR56,$BR$2:$BR$111)&lt;='Tournament Setup'!$B$38,_xlfn.RANK.EQ(BR56,$BR$2:$BR$111),""),"")</f>
        <v/>
      </c>
      <c r="BU56" s="31" t="str">
        <f>IF(AND($G56='Tournament Setup'!$A$38,$E56="M",$BT56&gt;'Tournament Setup'!$B$38),$H56,"")</f>
        <v/>
      </c>
      <c r="BV56" s="1" t="str">
        <f>IF(ISNUMBER(BU56)=TRUE,IF(_xlfn.RANK.EQ(BU56,$BU$2:$BU$111)&lt;='Tournament Setup'!$C$38,_xlfn.RANK.EQ(BU56,$BU$2:$BU$111),""),"")</f>
        <v/>
      </c>
      <c r="BW56" s="31" t="str">
        <f>IF(AND($G56='Tournament Setup'!$A$38,$E56="F",$BT56&gt;'Tournament Setup'!$B$38),$H56,"")</f>
        <v/>
      </c>
      <c r="BX56" s="12" t="str">
        <f>IF(ISNUMBER(BW56)=TRUE,IF(_xlfn.RANK.EQ(BW56,$BW$2:$BW$111)&lt;='Tournament Setup'!$D$38,_xlfn.RANK.EQ(BW56,$BW$2:$BW$111),""),"")</f>
        <v/>
      </c>
      <c r="BY56" s="30" t="str">
        <f>IF($G56='Tournament Setup'!$A$39,$H56,"")</f>
        <v/>
      </c>
      <c r="BZ56" s="47" t="str">
        <f>IF(ISNUMBER(BY56),IF(COUNTIFS(BZ$1:BZ55,_xlfn.RANK.EQ(BY56,BY$2:BY$111,0))&gt;0,_xlfn.MAXIFS(BZ$1:BZ55,BY$1:BY55,BY56)+1,_xlfn.RANK.EQ(BY56,BY$2:BY$111,0)),"")</f>
        <v/>
      </c>
      <c r="CA56" s="1" t="str">
        <f>IF(ISNUMBER(BY56)=TRUE,IF(_xlfn.RANK.EQ(BY56,$BY$2:$BY$111)&lt;='Tournament Setup'!$B$39,_xlfn.RANK.EQ(BY56,$BY$2:$BY$111),""),"")</f>
        <v/>
      </c>
      <c r="CB56" s="31" t="str">
        <f>IF(AND($G56='Tournament Setup'!$A$39,$E56="M",$CA56&gt;'Tournament Setup'!$B$39),$H56,"")</f>
        <v/>
      </c>
      <c r="CC56" s="1" t="str">
        <f>IF(ISNUMBER(CB56)=TRUE,IF(_xlfn.RANK.EQ(CB56,$CB$2:$CB$111)&lt;='Tournament Setup'!$C$39,_xlfn.RANK.EQ(CB56,$CB$2:$CB$111),""),"")</f>
        <v/>
      </c>
      <c r="CD56" s="31" t="str">
        <f>IF(AND($G56='Tournament Setup'!$A$39,$E56="F",$CA56&gt;'Tournament Setup'!$B$39),$H56,"")</f>
        <v/>
      </c>
      <c r="CE56" s="12" t="str">
        <f>IF(ISNUMBER(CD56)=TRUE,IF(_xlfn.RANK.EQ(CD56,$CD$2:$CD$111)&lt;='Tournament Setup'!$D$39,_xlfn.RANK.EQ(CD56,$CD$2:$CD$111),""),"")</f>
        <v/>
      </c>
      <c r="CF56" s="30" t="str">
        <f>IF($G56='Tournament Setup'!$A$40,$H56,"")</f>
        <v/>
      </c>
      <c r="CG56" s="47" t="str">
        <f>IF(ISNUMBER(CF56),IF(COUNTIFS(CG$1:CG55,_xlfn.RANK.EQ(CF56,CF$2:CF$111,0))&gt;0,_xlfn.MAXIFS(CG$1:CG55,CF$1:CF55,CF56)+1,_xlfn.RANK.EQ(CF56,CF$2:CF$111,0)),"")</f>
        <v/>
      </c>
      <c r="CH56" s="1" t="str">
        <f>IF(ISNUMBER(CF56)=TRUE,IF(_xlfn.RANK.EQ(CF56,$CF$2:$CF$111)&lt;='Tournament Setup'!$B$40,_xlfn.RANK.EQ(CF56,$CF$2:$CF$111),""),"")</f>
        <v/>
      </c>
      <c r="CI56" s="31" t="str">
        <f>IF(AND($G56='Tournament Setup'!$A$40,$E56="M",$CH56&gt;'Tournament Setup'!$B$40),$H56,"")</f>
        <v/>
      </c>
      <c r="CJ56" s="1" t="str">
        <f>IF(ISNUMBER(CI56)=TRUE,IF(_xlfn.RANK.EQ(CI56,$CI$2:$CI$111)&lt;='Tournament Setup'!$C$40,_xlfn.RANK.EQ(CI56,$CI$2:$CI$111),""),"")</f>
        <v/>
      </c>
      <c r="CK56" s="31" t="str">
        <f>IF(AND($G56='Tournament Setup'!$A$40,$E56="F",$CH56&gt;'Tournament Setup'!$B$40),$H56,"")</f>
        <v/>
      </c>
      <c r="CL56" s="12" t="str">
        <f>IF(ISNUMBER(CK56)=TRUE,IF(_xlfn.RANK.EQ(CK56,$CK$2:$CK$111)&lt;='Tournament Setup'!$D$40,_xlfn.RANK.EQ(CK56,$CK$2:$CK$111),""),"")</f>
        <v/>
      </c>
      <c r="CM56" s="30" t="str">
        <f>IF($G56='Tournament Setup'!$A$41,$H56,"")</f>
        <v/>
      </c>
      <c r="CN56" s="47" t="str">
        <f>IF(ISNUMBER(CM56),IF(COUNTIFS(CN$1:CN55,_xlfn.RANK.EQ(CM56,CM$2:CM$111,0))&gt;0,_xlfn.MAXIFS(CN$1:CN55,CM$1:CM55,CM56)+1,_xlfn.RANK.EQ(CM56,CM$2:CM$111,0)),"")</f>
        <v/>
      </c>
      <c r="CO56" s="1" t="str">
        <f>IF(ISNUMBER(CM56)=TRUE,IF(_xlfn.RANK.EQ(CM56,$CM$2:$CM$111)&lt;='Tournament Setup'!$B$41,_xlfn.RANK.EQ(CM56,$CM$2:$CM$111),""),"")</f>
        <v/>
      </c>
      <c r="CP56" s="31" t="str">
        <f>IF(AND($G56='Tournament Setup'!$A$41,$E56="M",$CO56&gt;'Tournament Setup'!$B$41),$H56,"")</f>
        <v/>
      </c>
      <c r="CQ56" s="1" t="str">
        <f>IF(ISNUMBER(CP56)=TRUE,IF(_xlfn.RANK.EQ(CP56,$CP$2:$CP$111)&lt;='Tournament Setup'!$C$41,_xlfn.RANK.EQ(CP56,$CP$2:$CP$111),""),"")</f>
        <v/>
      </c>
      <c r="CR56" s="31" t="str">
        <f>IF(AND($G56='Tournament Setup'!$A$41,$E56="F",$CO56&gt;'Tournament Setup'!$B$41),$H56,"")</f>
        <v/>
      </c>
      <c r="CS56" s="12" t="str">
        <f>IF(ISNUMBER(CR56)=TRUE,IF(_xlfn.RANK.EQ(CR56,$CR$2:$CR$111)&lt;='Tournament Setup'!$D$41,_xlfn.RANK.EQ(CR56,$CR$2:$CR$111),""),"")</f>
        <v/>
      </c>
    </row>
    <row r="57" spans="1:97" x14ac:dyDescent="0.3">
      <c r="B57" t="str">
        <f>IFERROR(INDEX('Tournament List'!$B:$B,MATCH($A57,'Tournament List'!$A:$A,0)),"")</f>
        <v/>
      </c>
      <c r="C57" t="str">
        <f>IFERROR(INDEX('Tournament List'!$C:$C,MATCH($A57,'Tournament List'!$A:$A,0)),"")</f>
        <v/>
      </c>
      <c r="D57" t="str">
        <f t="shared" si="10"/>
        <v xml:space="preserve"> </v>
      </c>
      <c r="E57" s="1" t="str">
        <f>IFERROR(INDEX('Tournament List'!F:F,MATCH($A57,'Tournament List'!$A:$A,0)),"")</f>
        <v/>
      </c>
      <c r="F57" t="str">
        <f>IFERROR(INDEX('Tournament List'!M:M,MATCH($A57,'Tournament List'!$A:$A,0)),"")</f>
        <v/>
      </c>
      <c r="G57" s="1" t="str">
        <f>IFERROR(INDEX('Tournament List'!W:W,MATCH($A57,'Tournament List'!$A:$A,0)),"")</f>
        <v/>
      </c>
      <c r="H57" s="129" t="str">
        <f>IFERROR(INDEX('Tournament List'!Z:Z,MATCH($A57,'Tournament List'!$A:$A,0)),"")</f>
        <v/>
      </c>
      <c r="I57" s="152" t="str">
        <f>IFERROR(INDEX('Tournament List'!T:T,MATCH($A57,'Tournament List'!$A:$A,0)),"")</f>
        <v/>
      </c>
      <c r="J57" s="56" t="str">
        <f>IF(ISNUMBER(I57),IF(COUNTIFS(J$1:J56,_xlfn.RANK.EQ(I57,I$2:I$111,0))&gt;0,_xlfn.MAXIFS(J$1:J56,I$1:I56,I57)+1,_xlfn.RANK.EQ(I57,I$2:I$111,0)),"")</f>
        <v/>
      </c>
      <c r="K57" s="11" t="str">
        <f t="shared" si="11"/>
        <v/>
      </c>
      <c r="L57" s="56" t="str">
        <f>IF(ISNUMBER(H57),IF(COUNTIFS(L$1:L56,_xlfn.RANK.EQ(H57,H$2:H$111,0))&gt;0,_xlfn.MAXIFS(L$1:L56,H$1:H56,H57)+1,_xlfn.RANK.EQ(H57,H$2:H$111,0)),"")</f>
        <v/>
      </c>
      <c r="M57" s="151" t="str">
        <f t="shared" si="12"/>
        <v/>
      </c>
      <c r="N57" s="47" t="str">
        <f>IF(ISNUMBER(M57),IF(COUNTIFS(N$1:N56,_xlfn.RANK.EQ(M57,M$2:M$111,0))&gt;0,_xlfn.MAXIFS(N$1:N56,M$1:M56,M57)+1,_xlfn.RANK.EQ(M57,M$2:M$111,0)),"")</f>
        <v/>
      </c>
      <c r="O57" s="1" t="str">
        <f>IF(ISNUMBER(M57)=TRUE,IF(_xlfn.RANK.EQ(M57,$M$2:$M$111)&lt;='Tournament Setup'!$B$23,_xlfn.RANK.EQ(M57,$M$2:$M$111),""),"")</f>
        <v/>
      </c>
      <c r="P57" s="150" t="str">
        <f t="shared" si="13"/>
        <v/>
      </c>
      <c r="Q57" s="1" t="str">
        <f>IF(ISNUMBER(P57)=TRUE,IF(_xlfn.RANK.EQ(P57,$P$2:$P$111)&lt;='Tournament Setup'!$B$24,_xlfn.RANK.EQ(P57,$P$2:$P$111),""),"")</f>
        <v/>
      </c>
      <c r="R57" s="150" t="str">
        <f t="shared" si="14"/>
        <v/>
      </c>
      <c r="S57" s="12" t="str">
        <f>IF(ISNUMBER(R57)=TRUE,IF(_xlfn.RANK.EQ(R57,$R$2:$R$111)&lt;='Tournament Setup'!$B$25,_xlfn.RANK.EQ(R57,$R$2:$R$111),""),"")</f>
        <v/>
      </c>
      <c r="T57" s="152" t="str">
        <f>IF(AND($F57='Tournament Setup'!$A$29,$I57&lt;&gt;0),$I57,"")</f>
        <v/>
      </c>
      <c r="U57" s="47" t="str">
        <f>IF(ISNUMBER(T57),IF(COUNTIFS(U$1:U56,_xlfn.RANK.EQ(T57,T$2:T$111,0))&gt;0,_xlfn.MAXIFS(U$1:U56,T$1:T56,T57)+1,_xlfn.RANK.EQ(T57,T$2:T$111,0)),"")</f>
        <v/>
      </c>
      <c r="V57" s="1" t="str">
        <f>IF(ISNUMBER(T57)=TRUE,IF(_xlfn.RANK.EQ(T57,$T$3:$T$112)&lt;='Tournament Setup'!$B$46,_xlfn.RANK.EQ(T57,$T$2:$T$111),""),"")</f>
        <v/>
      </c>
      <c r="W57" s="30" t="str">
        <f>IF(AND($F57='Tournament Setup'!$A$29,SUM($O57,$Q57,$S57)=0),$H57,"")</f>
        <v/>
      </c>
      <c r="X57" s="47" t="str">
        <f>IF(ISNUMBER(W57),IF(COUNTIFS(X$1:X56,_xlfn.RANK.EQ(W57,W$2:W$111,0))&gt;0,_xlfn.MAXIFS(X$1:X56,W$1:W56,W57)+1,_xlfn.RANK.EQ(W57,W$2:W$111,0)),"")</f>
        <v/>
      </c>
      <c r="Y57" s="1" t="str">
        <f>IF(ISNUMBER(W57)=TRUE,IF(_xlfn.RANK.EQ(W57,$W$2:$W$111)&lt;='Tournament Setup'!$B$29,_xlfn.RANK.EQ(W57,$W$2:$W$111),""),"")</f>
        <v/>
      </c>
      <c r="Z57" s="31" t="str">
        <f>IF(AND($F57='Tournament Setup'!$A$29,SUM($O57,$Q57)=0,$E57="M",$Y57&gt;'Tournament Setup'!$B$29),$H57,"")</f>
        <v/>
      </c>
      <c r="AA57" s="1" t="str">
        <f>IF(ISNUMBER(Z57)=TRUE,IF(_xlfn.RANK.EQ(Z57,$Z$2:$Z$111)&lt;='Tournament Setup'!$C$29,_xlfn.RANK.EQ(Z57,$Z$2:$Z$111),""),"")</f>
        <v/>
      </c>
      <c r="AB57" s="31" t="str">
        <f>IF(AND($F57='Tournament Setup'!$A$29,SUM($O57,$S57)=0,$E57="F",$Y57&gt;'Tournament Setup'!$B$29),$H57,"")</f>
        <v/>
      </c>
      <c r="AC57" s="12" t="str">
        <f>IF(ISNUMBER(AB57)=TRUE,IF(_xlfn.RANK.EQ(AB57,$AB$2:$AB$111)&lt;='Tournament Setup'!$D$29,_xlfn.RANK.EQ(AB57,$AB$2:$AB$111),""),"")</f>
        <v/>
      </c>
      <c r="AD57" s="30" t="str">
        <f>IF(AND($F57='Tournament Setup'!$A$30,$I57&lt;&gt;0),$I57,"")</f>
        <v/>
      </c>
      <c r="AE57" s="47" t="str">
        <f>IF(ISNUMBER(AD57),IF(COUNTIFS(AE$1:AE56,_xlfn.RANK.EQ(AD57,AD$2:AD$111,0))&gt;0,_xlfn.MAXIFS(AE$1:AE56,AD$1:AD56,AD57)+1,_xlfn.RANK.EQ(AD57,AD$2:AD$111,0)),"")</f>
        <v/>
      </c>
      <c r="AF57" s="1" t="str">
        <f>IF(ISNUMBER(AD57)=TRUE,IF(_xlfn.RANK.EQ(AD57,$AD$2:$AD$111)&lt;='Tournament Setup'!$B$46,_xlfn.RANK.EQ(AD57,$AD$2:$AD$111),""),"")</f>
        <v/>
      </c>
      <c r="AG57" s="30" t="str">
        <f>IF(AND($F57='Tournament Setup'!$A$30,SUM($O57,$Q57,$S57)=0),$H57,"")</f>
        <v/>
      </c>
      <c r="AH57" s="47" t="str">
        <f>IF(ISNUMBER(AG57),IF(COUNTIFS(AH$1:AH56,_xlfn.RANK.EQ(AG57,AG$2:AG$111,0))&gt;0,_xlfn.MAXIFS(AH$1:AH56,AG$1:AG56,AG57)+1,_xlfn.RANK.EQ(AG57,AG$2:AG$111,0)),"")</f>
        <v/>
      </c>
      <c r="AI57" s="1" t="str">
        <f>IF(ISNUMBER(AG57)=TRUE,IF(_xlfn.RANK.EQ(AG57,$AG$2:$AG$111)&lt;='Tournament Setup'!$B$30,_xlfn.RANK.EQ(AG57,$AG$2:$AG$111),""),"")</f>
        <v/>
      </c>
      <c r="AJ57" s="31" t="str">
        <f>IF(AND($F57='Tournament Setup'!$A$30,SUM($O57,$Q57)=0,$E57="M",$AI57&gt;'Tournament Setup'!$B$30),$H57,"")</f>
        <v/>
      </c>
      <c r="AK57" s="1" t="str">
        <f>IF(ISNUMBER(AJ57)=TRUE,IF(_xlfn.RANK.EQ(AJ57,$AJ$2:$AJ$111)&lt;='Tournament Setup'!$C$30,_xlfn.RANK.EQ(AJ57,$AJ$2:$AJ$111),""),"")</f>
        <v/>
      </c>
      <c r="AL57" s="31" t="str">
        <f>IF(AND($F57='Tournament Setup'!$A$30,SUM($O57,$S57)=0,$E57="F",$AI57&gt;'Tournament Setup'!$B$30),$H57,"")</f>
        <v/>
      </c>
      <c r="AM57" s="12" t="str">
        <f>IF(ISNUMBER(AL57)=TRUE,IF(_xlfn.RANK.EQ(AL57,$AL$2:$AL$111)&lt;='Tournament Setup'!$D$30,_xlfn.RANK.EQ(AL57,$AL$2:$AL$111),""),"")</f>
        <v/>
      </c>
      <c r="AN57" s="30" t="str">
        <f>IF(AND($F57='Tournament Setup'!$A$31,$I57&lt;&gt;0),$I57,"")</f>
        <v/>
      </c>
      <c r="AO57" s="47" t="str">
        <f>IF(ISNUMBER(AN57),IF(COUNTIFS(AO$1:AO56,_xlfn.RANK.EQ(AN57,AN$2:AN$111,0))&gt;0,_xlfn.MAXIFS(AO$1:AO56,AN$1:AN56,AN57)+1,_xlfn.RANK.EQ(AN57,AN$2:AN$111,0)),"")</f>
        <v/>
      </c>
      <c r="AP57" s="1" t="str">
        <f>IF(ISNUMBER(AN57)=TRUE,IF(_xlfn.RANK.EQ(AN57,$AN$2:$AN$111)&lt;='Tournament Setup'!$B$46,_xlfn.RANK.EQ(AN57,$AN$2:$AN$111),""),"")</f>
        <v/>
      </c>
      <c r="AQ57" s="30" t="str">
        <f>IF(AND($F57='Tournament Setup'!$A$31,SUM($O57,$Q57,$S57)=0),$H57,"")</f>
        <v/>
      </c>
      <c r="AR57" s="47" t="str">
        <f>IF(ISNUMBER(AQ57),IF(COUNTIFS(AR$1:AR56,_xlfn.RANK.EQ(AQ57,AQ$2:AQ$111,0))&gt;0,_xlfn.MAXIFS(AR$1:AR56,AQ$1:AQ56,AQ57)+1,_xlfn.RANK.EQ(AQ57,AQ$2:AQ$111,0)),"")</f>
        <v/>
      </c>
      <c r="AS57" s="1" t="str">
        <f>IF(ISNUMBER(AQ57)=TRUE,IF(_xlfn.RANK.EQ(AQ57,$AQ$2:$AQ$111)&lt;='Tournament Setup'!$B$31,_xlfn.RANK.EQ(AQ57,$AQ$2:$AQ$111),""),"")</f>
        <v/>
      </c>
      <c r="AT57" s="31" t="str">
        <f>IF(AND($F57='Tournament Setup'!$A$31,SUM($O57,$Q57)=0,$E57="M",$AS57&gt;'Tournament Setup'!$B$31),$H57,"")</f>
        <v/>
      </c>
      <c r="AU57" s="1" t="str">
        <f>IF(ISNUMBER(AT57)=TRUE,IF(_xlfn.RANK.EQ(AT57,$AT$2:$AT$111)&lt;='Tournament Setup'!$C$31,_xlfn.RANK.EQ(AT57,$AT$2:$AT$111),""),"")</f>
        <v/>
      </c>
      <c r="AV57" s="31" t="str">
        <f>IF(AND($F57='Tournament Setup'!$A$31,SUM($O57,$S57)=0,$E57="F",$AS57&gt;'Tournament Setup'!$B$31),$H57,"")</f>
        <v/>
      </c>
      <c r="AW57" s="12" t="str">
        <f>IF(ISNUMBER(AV57)=TRUE,IF(_xlfn.RANK.EQ(AV57,$AV$2:$AV$111)&lt;='Tournament Setup'!$D$31,_xlfn.RANK.EQ(AV57,$AV$2:$AV$111),""),"")</f>
        <v/>
      </c>
      <c r="AX57" s="30" t="str">
        <f>IF(AND($F57='Tournament Setup'!$A$32,$I57&lt;&gt;0),$I57,"")</f>
        <v/>
      </c>
      <c r="AY57" s="47" t="str">
        <f>IF(ISNUMBER(AX57),IF(COUNTIFS(AY$1:AY56,_xlfn.RANK.EQ(AX57,AX$2:AX$111,0))&gt;0,_xlfn.MAXIFS(AY$1:AY56,AX$1:AX56,AX57)+1,_xlfn.RANK.EQ(AX57,AX$2:AX$111,0)),"")</f>
        <v/>
      </c>
      <c r="AZ57" s="1" t="str">
        <f>IF(ISNUMBER(AX57)=TRUE,IF(_xlfn.RANK.EQ(AX57,$AX$2:$AX$111)&lt;='Tournament Setup'!$B$46,_xlfn.RANK.EQ(AX57,$AX$2:$AX$111),""),"")</f>
        <v/>
      </c>
      <c r="BA57" s="30" t="str">
        <f>IF(AND($F57='Tournament Setup'!$A$32,SUM($O57,$Q57,$S57)=0),$H57,"")</f>
        <v/>
      </c>
      <c r="BB57" s="47" t="str">
        <f>IF(ISNUMBER(BA57),IF(COUNTIFS(BB$1:BB56,_xlfn.RANK.EQ(BA57,BA$2:BA$111,0))&gt;0,_xlfn.MAXIFS(BB$1:BB56,BA$1:BA56,BA57)+1,_xlfn.RANK.EQ(BA57,BA$2:BA$111,0)),"")</f>
        <v/>
      </c>
      <c r="BC57" s="1" t="str">
        <f>IF(ISNUMBER(BA57)=TRUE,IF(_xlfn.RANK.EQ(BA57,$BA$2:$BA$111)&lt;='Tournament Setup'!$B$32,_xlfn.RANK.EQ(BA57,$BA$2:$BA$111),""),"")</f>
        <v/>
      </c>
      <c r="BD57" s="31" t="str">
        <f>IF(AND($F57='Tournament Setup'!$A$32,SUM($O57,$Q57)=0,$E57="M",$BC57&gt;'Tournament Setup'!$B$32),$H57,"")</f>
        <v/>
      </c>
      <c r="BE57" s="1" t="str">
        <f>IF(ISNUMBER(BD57)=TRUE,IF(_xlfn.RANK.EQ(BD57,$BD$2:$BD$111)&lt;='Tournament Setup'!$C$32,_xlfn.RANK.EQ(BD57,$BD$2:$BD$111),""),"")</f>
        <v/>
      </c>
      <c r="BF57" s="31" t="str">
        <f>IF(AND($F57='Tournament Setup'!$A$32,SUM($O57,$S57)=0,$E57="F",$BC57&gt;'Tournament Setup'!$B$32),$H57,"")</f>
        <v/>
      </c>
      <c r="BG57" s="12" t="str">
        <f>IF(ISNUMBER(BF57)=TRUE,IF(_xlfn.RANK.EQ(BF57,$BF$2:$BF$111)&lt;='Tournament Setup'!$D$32,_xlfn.RANK.EQ(BF57,$BF$2:$BF$111),""),"")</f>
        <v/>
      </c>
      <c r="BH57" s="30" t="str">
        <f>IF(AND($F57='Tournament Setup'!$A$33,$I57&lt;&gt;0),$I57,"")</f>
        <v/>
      </c>
      <c r="BI57" s="47" t="str">
        <f>IF(ISNUMBER(BH57),IF(COUNTIFS(BI$1:BI56,_xlfn.RANK.EQ(BH57,BH$2:BH$111,0))&gt;0,_xlfn.MAXIFS(BI$1:BI56,BH$1:BH56,BH57)+1,_xlfn.RANK.EQ(BH57,BH$2:BH$111,0)),"")</f>
        <v/>
      </c>
      <c r="BJ57" s="1" t="str">
        <f>IF(ISNUMBER(BH57)=TRUE,IF(_xlfn.RANK.EQ(BH57,$BH$2:$BH$111)&lt;='Tournament Setup'!$B$46,_xlfn.RANK.EQ(BH57,$BH$2:$BH$111),""),"")</f>
        <v/>
      </c>
      <c r="BK57" s="30" t="str">
        <f>IF(AND($F57='Tournament Setup'!$A$33,SUM($O57,$Q57,$S57)=0),$H57,"")</f>
        <v/>
      </c>
      <c r="BL57" s="47" t="str">
        <f>IF(ISNUMBER(BK57),IF(COUNTIFS(BL$1:BL56,_xlfn.RANK.EQ(BK57,BK$2:BK$111,0))&gt;0,_xlfn.MAXIFS(BL$1:BL56,BK$1:BK56,BK57)+1,_xlfn.RANK.EQ(BK57,BK$2:BK$111,0)),"")</f>
        <v/>
      </c>
      <c r="BM57" s="1" t="str">
        <f>IF(ISNUMBER(BK57)=TRUE,IF(_xlfn.RANK.EQ(BK57,$BK$2:$BK$111)&lt;='Tournament Setup'!$B$33,_xlfn.RANK.EQ(BK57,$BK$2:$BK$111),""),"")</f>
        <v/>
      </c>
      <c r="BN57" s="31" t="str">
        <f>IF(AND($F57='Tournament Setup'!$A$33,SUM($O57,$Q57)=0,$E57="M",$BM57&gt;'Tournament Setup'!$B$33),$H57,"")</f>
        <v/>
      </c>
      <c r="BO57" s="1" t="str">
        <f>IF(ISNUMBER(BN57)=TRUE,IF(_xlfn.RANK.EQ(BN57,$BN$2:$BN$111)&lt;='Tournament Setup'!$C$33,_xlfn.RANK.EQ(BN57,$BN$2:$BN$111),""),"")</f>
        <v/>
      </c>
      <c r="BP57" s="31" t="str">
        <f>IF(AND($F57='Tournament Setup'!$A$33,SUM($O57,$S57)=0,$E57="F",$BM57&gt;'Tournament Setup'!$B$33),$H57,"")</f>
        <v/>
      </c>
      <c r="BQ57" s="12" t="str">
        <f>IF(ISNUMBER(BP57)=TRUE,IF(_xlfn.RANK.EQ(BP57,$BP$2:$BP$111)&lt;='Tournament Setup'!$D$33,_xlfn.RANK.EQ(BP57,$BP$2:$BP$111),""),"")</f>
        <v/>
      </c>
      <c r="BR57" s="30" t="str">
        <f>IF($G57='Tournament Setup'!$A$38,$H57,"")</f>
        <v/>
      </c>
      <c r="BS57" s="47" t="str">
        <f>IF(ISNUMBER(BR57),IF(COUNTIFS(BS$1:BS56,_xlfn.RANK.EQ(BR57,BR$2:BR$111,0))&gt;0,_xlfn.MAXIFS(BS$1:BS56,BR$1:BR56,BR57)+1,_xlfn.RANK.EQ(BR57,BR$2:BR$111,0)),"")</f>
        <v/>
      </c>
      <c r="BT57" s="1" t="str">
        <f>IF(ISNUMBER(BR57)=TRUE,IF(_xlfn.RANK.EQ(BR57,$BR$2:$BR$111)&lt;='Tournament Setup'!$B$38,_xlfn.RANK.EQ(BR57,$BR$2:$BR$111),""),"")</f>
        <v/>
      </c>
      <c r="BU57" s="31" t="str">
        <f>IF(AND($G57='Tournament Setup'!$A$38,$E57="M",$BT57&gt;'Tournament Setup'!$B$38),$H57,"")</f>
        <v/>
      </c>
      <c r="BV57" s="1" t="str">
        <f>IF(ISNUMBER(BU57)=TRUE,IF(_xlfn.RANK.EQ(BU57,$BU$2:$BU$111)&lt;='Tournament Setup'!$C$38,_xlfn.RANK.EQ(BU57,$BU$2:$BU$111),""),"")</f>
        <v/>
      </c>
      <c r="BW57" s="31" t="str">
        <f>IF(AND($G57='Tournament Setup'!$A$38,$E57="F",$BT57&gt;'Tournament Setup'!$B$38),$H57,"")</f>
        <v/>
      </c>
      <c r="BX57" s="12" t="str">
        <f>IF(ISNUMBER(BW57)=TRUE,IF(_xlfn.RANK.EQ(BW57,$BW$2:$BW$111)&lt;='Tournament Setup'!$D$38,_xlfn.RANK.EQ(BW57,$BW$2:$BW$111),""),"")</f>
        <v/>
      </c>
      <c r="BY57" s="30" t="str">
        <f>IF($G57='Tournament Setup'!$A$39,$H57,"")</f>
        <v/>
      </c>
      <c r="BZ57" s="47" t="str">
        <f>IF(ISNUMBER(BY57),IF(COUNTIFS(BZ$1:BZ56,_xlfn.RANK.EQ(BY57,BY$2:BY$111,0))&gt;0,_xlfn.MAXIFS(BZ$1:BZ56,BY$1:BY56,BY57)+1,_xlfn.RANK.EQ(BY57,BY$2:BY$111,0)),"")</f>
        <v/>
      </c>
      <c r="CA57" s="1" t="str">
        <f>IF(ISNUMBER(BY57)=TRUE,IF(_xlfn.RANK.EQ(BY57,$BY$2:$BY$111)&lt;='Tournament Setup'!$B$39,_xlfn.RANK.EQ(BY57,$BY$2:$BY$111),""),"")</f>
        <v/>
      </c>
      <c r="CB57" s="31" t="str">
        <f>IF(AND($G57='Tournament Setup'!$A$39,$E57="M",$CA57&gt;'Tournament Setup'!$B$39),$H57,"")</f>
        <v/>
      </c>
      <c r="CC57" s="1" t="str">
        <f>IF(ISNUMBER(CB57)=TRUE,IF(_xlfn.RANK.EQ(CB57,$CB$2:$CB$111)&lt;='Tournament Setup'!$C$39,_xlfn.RANK.EQ(CB57,$CB$2:$CB$111),""),"")</f>
        <v/>
      </c>
      <c r="CD57" s="31" t="str">
        <f>IF(AND($G57='Tournament Setup'!$A$39,$E57="F",$CA57&gt;'Tournament Setup'!$B$39),$H57,"")</f>
        <v/>
      </c>
      <c r="CE57" s="12" t="str">
        <f>IF(ISNUMBER(CD57)=TRUE,IF(_xlfn.RANK.EQ(CD57,$CD$2:$CD$111)&lt;='Tournament Setup'!$D$39,_xlfn.RANK.EQ(CD57,$CD$2:$CD$111),""),"")</f>
        <v/>
      </c>
      <c r="CF57" s="30" t="str">
        <f>IF($G57='Tournament Setup'!$A$40,$H57,"")</f>
        <v/>
      </c>
      <c r="CG57" s="47" t="str">
        <f>IF(ISNUMBER(CF57),IF(COUNTIFS(CG$1:CG56,_xlfn.RANK.EQ(CF57,CF$2:CF$111,0))&gt;0,_xlfn.MAXIFS(CG$1:CG56,CF$1:CF56,CF57)+1,_xlfn.RANK.EQ(CF57,CF$2:CF$111,0)),"")</f>
        <v/>
      </c>
      <c r="CH57" s="1" t="str">
        <f>IF(ISNUMBER(CF57)=TRUE,IF(_xlfn.RANK.EQ(CF57,$CF$2:$CF$111)&lt;='Tournament Setup'!$B$40,_xlfn.RANK.EQ(CF57,$CF$2:$CF$111),""),"")</f>
        <v/>
      </c>
      <c r="CI57" s="31" t="str">
        <f>IF(AND($G57='Tournament Setup'!$A$40,$E57="M",$CH57&gt;'Tournament Setup'!$B$40),$H57,"")</f>
        <v/>
      </c>
      <c r="CJ57" s="1" t="str">
        <f>IF(ISNUMBER(CI57)=TRUE,IF(_xlfn.RANK.EQ(CI57,$CI$2:$CI$111)&lt;='Tournament Setup'!$C$40,_xlfn.RANK.EQ(CI57,$CI$2:$CI$111),""),"")</f>
        <v/>
      </c>
      <c r="CK57" s="31" t="str">
        <f>IF(AND($G57='Tournament Setup'!$A$40,$E57="F",$CH57&gt;'Tournament Setup'!$B$40),$H57,"")</f>
        <v/>
      </c>
      <c r="CL57" s="12" t="str">
        <f>IF(ISNUMBER(CK57)=TRUE,IF(_xlfn.RANK.EQ(CK57,$CK$2:$CK$111)&lt;='Tournament Setup'!$D$40,_xlfn.RANK.EQ(CK57,$CK$2:$CK$111),""),"")</f>
        <v/>
      </c>
      <c r="CM57" s="30" t="str">
        <f>IF($G57='Tournament Setup'!$A$41,$H57,"")</f>
        <v/>
      </c>
      <c r="CN57" s="47" t="str">
        <f>IF(ISNUMBER(CM57),IF(COUNTIFS(CN$1:CN56,_xlfn.RANK.EQ(CM57,CM$2:CM$111,0))&gt;0,_xlfn.MAXIFS(CN$1:CN56,CM$1:CM56,CM57)+1,_xlfn.RANK.EQ(CM57,CM$2:CM$111,0)),"")</f>
        <v/>
      </c>
      <c r="CO57" s="1" t="str">
        <f>IF(ISNUMBER(CM57)=TRUE,IF(_xlfn.RANK.EQ(CM57,$CM$2:$CM$111)&lt;='Tournament Setup'!$B$41,_xlfn.RANK.EQ(CM57,$CM$2:$CM$111),""),"")</f>
        <v/>
      </c>
      <c r="CP57" s="31" t="str">
        <f>IF(AND($G57='Tournament Setup'!$A$41,$E57="M",$CO57&gt;'Tournament Setup'!$B$41),$H57,"")</f>
        <v/>
      </c>
      <c r="CQ57" s="1" t="str">
        <f>IF(ISNUMBER(CP57)=TRUE,IF(_xlfn.RANK.EQ(CP57,$CP$2:$CP$111)&lt;='Tournament Setup'!$C$41,_xlfn.RANK.EQ(CP57,$CP$2:$CP$111),""),"")</f>
        <v/>
      </c>
      <c r="CR57" s="31" t="str">
        <f>IF(AND($G57='Tournament Setup'!$A$41,$E57="F",$CO57&gt;'Tournament Setup'!$B$41),$H57,"")</f>
        <v/>
      </c>
      <c r="CS57" s="12" t="str">
        <f>IF(ISNUMBER(CR57)=TRUE,IF(_xlfn.RANK.EQ(CR57,$CR$2:$CR$111)&lt;='Tournament Setup'!$D$41,_xlfn.RANK.EQ(CR57,$CR$2:$CR$111),""),"")</f>
        <v/>
      </c>
    </row>
    <row r="58" spans="1:97" x14ac:dyDescent="0.3">
      <c r="B58" t="str">
        <f>IFERROR(INDEX('Tournament List'!$B:$B,MATCH($A58,'Tournament List'!$A:$A,0)),"")</f>
        <v/>
      </c>
      <c r="C58" t="str">
        <f>IFERROR(INDEX('Tournament List'!$C:$C,MATCH($A58,'Tournament List'!$A:$A,0)),"")</f>
        <v/>
      </c>
      <c r="D58" t="str">
        <f t="shared" si="10"/>
        <v xml:space="preserve"> </v>
      </c>
      <c r="E58" s="1" t="str">
        <f>IFERROR(INDEX('Tournament List'!F:F,MATCH($A58,'Tournament List'!$A:$A,0)),"")</f>
        <v/>
      </c>
      <c r="F58" t="str">
        <f>IFERROR(INDEX('Tournament List'!M:M,MATCH($A58,'Tournament List'!$A:$A,0)),"")</f>
        <v/>
      </c>
      <c r="G58" s="1" t="str">
        <f>IFERROR(INDEX('Tournament List'!W:W,MATCH($A58,'Tournament List'!$A:$A,0)),"")</f>
        <v/>
      </c>
      <c r="H58" s="129" t="str">
        <f>IFERROR(INDEX('Tournament List'!Z:Z,MATCH($A58,'Tournament List'!$A:$A,0)),"")</f>
        <v/>
      </c>
      <c r="I58" s="152" t="str">
        <f>IFERROR(INDEX('Tournament List'!T:T,MATCH($A58,'Tournament List'!$A:$A,0)),"")</f>
        <v/>
      </c>
      <c r="J58" s="56" t="str">
        <f>IF(ISNUMBER(I58),IF(COUNTIFS(J$1:J57,_xlfn.RANK.EQ(I58,I$2:I$111,0))&gt;0,_xlfn.MAXIFS(J$1:J57,I$1:I57,I58)+1,_xlfn.RANK.EQ(I58,I$2:I$111,0)),"")</f>
        <v/>
      </c>
      <c r="K58" s="11" t="str">
        <f t="shared" si="11"/>
        <v/>
      </c>
      <c r="L58" s="56" t="str">
        <f>IF(ISNUMBER(H58),IF(COUNTIFS(L$1:L57,_xlfn.RANK.EQ(H58,H$2:H$111,0))&gt;0,_xlfn.MAXIFS(L$1:L57,H$1:H57,H58)+1,_xlfn.RANK.EQ(H58,H$2:H$111,0)),"")</f>
        <v/>
      </c>
      <c r="M58" s="151" t="str">
        <f t="shared" si="12"/>
        <v/>
      </c>
      <c r="N58" s="47" t="str">
        <f>IF(ISNUMBER(M58),IF(COUNTIFS(N$1:N57,_xlfn.RANK.EQ(M58,M$2:M$111,0))&gt;0,_xlfn.MAXIFS(N$1:N57,M$1:M57,M58)+1,_xlfn.RANK.EQ(M58,M$2:M$111,0)),"")</f>
        <v/>
      </c>
      <c r="O58" s="1" t="str">
        <f>IF(ISNUMBER(M58)=TRUE,IF(_xlfn.RANK.EQ(M58,$M$2:$M$111)&lt;='Tournament Setup'!$B$23,_xlfn.RANK.EQ(M58,$M$2:$M$111),""),"")</f>
        <v/>
      </c>
      <c r="P58" s="150" t="str">
        <f t="shared" si="13"/>
        <v/>
      </c>
      <c r="Q58" s="1" t="str">
        <f>IF(ISNUMBER(P58)=TRUE,IF(_xlfn.RANK.EQ(P58,$P$2:$P$111)&lt;='Tournament Setup'!$B$24,_xlfn.RANK.EQ(P58,$P$2:$P$111),""),"")</f>
        <v/>
      </c>
      <c r="R58" s="150" t="str">
        <f t="shared" si="14"/>
        <v/>
      </c>
      <c r="S58" s="12" t="str">
        <f>IF(ISNUMBER(R58)=TRUE,IF(_xlfn.RANK.EQ(R58,$R$2:$R$111)&lt;='Tournament Setup'!$B$25,_xlfn.RANK.EQ(R58,$R$2:$R$111),""),"")</f>
        <v/>
      </c>
      <c r="T58" s="152" t="str">
        <f>IF(AND($F58='Tournament Setup'!$A$29,$I58&lt;&gt;0),$I58,"")</f>
        <v/>
      </c>
      <c r="U58" s="47" t="str">
        <f>IF(ISNUMBER(T58),IF(COUNTIFS(U$1:U57,_xlfn.RANK.EQ(T58,T$2:T$111,0))&gt;0,_xlfn.MAXIFS(U$1:U57,T$1:T57,T58)+1,_xlfn.RANK.EQ(T58,T$2:T$111,0)),"")</f>
        <v/>
      </c>
      <c r="V58" s="1" t="str">
        <f>IF(ISNUMBER(T58)=TRUE,IF(_xlfn.RANK.EQ(T58,$T$3:$T$112)&lt;='Tournament Setup'!$B$46,_xlfn.RANK.EQ(T58,$T$2:$T$111),""),"")</f>
        <v/>
      </c>
      <c r="W58" s="30" t="str">
        <f>IF(AND($F58='Tournament Setup'!$A$29,SUM($O58,$Q58,$S58)=0),$H58,"")</f>
        <v/>
      </c>
      <c r="X58" s="47" t="str">
        <f>IF(ISNUMBER(W58),IF(COUNTIFS(X$1:X57,_xlfn.RANK.EQ(W58,W$2:W$111,0))&gt;0,_xlfn.MAXIFS(X$1:X57,W$1:W57,W58)+1,_xlfn.RANK.EQ(W58,W$2:W$111,0)),"")</f>
        <v/>
      </c>
      <c r="Y58" s="1" t="str">
        <f>IF(ISNUMBER(W58)=TRUE,IF(_xlfn.RANK.EQ(W58,$W$2:$W$111)&lt;='Tournament Setup'!$B$29,_xlfn.RANK.EQ(W58,$W$2:$W$111),""),"")</f>
        <v/>
      </c>
      <c r="Z58" s="31" t="str">
        <f>IF(AND($F58='Tournament Setup'!$A$29,SUM($O58,$Q58)=0,$E58="M",$Y58&gt;'Tournament Setup'!$B$29),$H58,"")</f>
        <v/>
      </c>
      <c r="AA58" s="1" t="str">
        <f>IF(ISNUMBER(Z58)=TRUE,IF(_xlfn.RANK.EQ(Z58,$Z$2:$Z$111)&lt;='Tournament Setup'!$C$29,_xlfn.RANK.EQ(Z58,$Z$2:$Z$111),""),"")</f>
        <v/>
      </c>
      <c r="AB58" s="31" t="str">
        <f>IF(AND($F58='Tournament Setup'!$A$29,SUM($O58,$S58)=0,$E58="F",$Y58&gt;'Tournament Setup'!$B$29),$H58,"")</f>
        <v/>
      </c>
      <c r="AC58" s="12" t="str">
        <f>IF(ISNUMBER(AB58)=TRUE,IF(_xlfn.RANK.EQ(AB58,$AB$2:$AB$111)&lt;='Tournament Setup'!$D$29,_xlfn.RANK.EQ(AB58,$AB$2:$AB$111),""),"")</f>
        <v/>
      </c>
      <c r="AD58" s="30" t="str">
        <f>IF(AND($F58='Tournament Setup'!$A$30,$I58&lt;&gt;0),$I58,"")</f>
        <v/>
      </c>
      <c r="AE58" s="47" t="str">
        <f>IF(ISNUMBER(AD58),IF(COUNTIFS(AE$1:AE57,_xlfn.RANK.EQ(AD58,AD$2:AD$111,0))&gt;0,_xlfn.MAXIFS(AE$1:AE57,AD$1:AD57,AD58)+1,_xlfn.RANK.EQ(AD58,AD$2:AD$111,0)),"")</f>
        <v/>
      </c>
      <c r="AF58" s="1" t="str">
        <f>IF(ISNUMBER(AD58)=TRUE,IF(_xlfn.RANK.EQ(AD58,$AD$2:$AD$111)&lt;='Tournament Setup'!$B$46,_xlfn.RANK.EQ(AD58,$AD$2:$AD$111),""),"")</f>
        <v/>
      </c>
      <c r="AG58" s="30" t="str">
        <f>IF(AND($F58='Tournament Setup'!$A$30,SUM($O58,$Q58,$S58)=0),$H58,"")</f>
        <v/>
      </c>
      <c r="AH58" s="47" t="str">
        <f>IF(ISNUMBER(AG58),IF(COUNTIFS(AH$1:AH57,_xlfn.RANK.EQ(AG58,AG$2:AG$111,0))&gt;0,_xlfn.MAXIFS(AH$1:AH57,AG$1:AG57,AG58)+1,_xlfn.RANK.EQ(AG58,AG$2:AG$111,0)),"")</f>
        <v/>
      </c>
      <c r="AI58" s="1" t="str">
        <f>IF(ISNUMBER(AG58)=TRUE,IF(_xlfn.RANK.EQ(AG58,$AG$2:$AG$111)&lt;='Tournament Setup'!$B$30,_xlfn.RANK.EQ(AG58,$AG$2:$AG$111),""),"")</f>
        <v/>
      </c>
      <c r="AJ58" s="31" t="str">
        <f>IF(AND($F58='Tournament Setup'!$A$30,SUM($O58,$Q58)=0,$E58="M",$AI58&gt;'Tournament Setup'!$B$30),$H58,"")</f>
        <v/>
      </c>
      <c r="AK58" s="1" t="str">
        <f>IF(ISNUMBER(AJ58)=TRUE,IF(_xlfn.RANK.EQ(AJ58,$AJ$2:$AJ$111)&lt;='Tournament Setup'!$C$30,_xlfn.RANK.EQ(AJ58,$AJ$2:$AJ$111),""),"")</f>
        <v/>
      </c>
      <c r="AL58" s="31" t="str">
        <f>IF(AND($F58='Tournament Setup'!$A$30,SUM($O58,$S58)=0,$E58="F",$AI58&gt;'Tournament Setup'!$B$30),$H58,"")</f>
        <v/>
      </c>
      <c r="AM58" s="12" t="str">
        <f>IF(ISNUMBER(AL58)=TRUE,IF(_xlfn.RANK.EQ(AL58,$AL$2:$AL$111)&lt;='Tournament Setup'!$D$30,_xlfn.RANK.EQ(AL58,$AL$2:$AL$111),""),"")</f>
        <v/>
      </c>
      <c r="AN58" s="30" t="str">
        <f>IF(AND($F58='Tournament Setup'!$A$31,$I58&lt;&gt;0),$I58,"")</f>
        <v/>
      </c>
      <c r="AO58" s="47" t="str">
        <f>IF(ISNUMBER(AN58),IF(COUNTIFS(AO$1:AO57,_xlfn.RANK.EQ(AN58,AN$2:AN$111,0))&gt;0,_xlfn.MAXIFS(AO$1:AO57,AN$1:AN57,AN58)+1,_xlfn.RANK.EQ(AN58,AN$2:AN$111,0)),"")</f>
        <v/>
      </c>
      <c r="AP58" s="1" t="str">
        <f>IF(ISNUMBER(AN58)=TRUE,IF(_xlfn.RANK.EQ(AN58,$AN$2:$AN$111)&lt;='Tournament Setup'!$B$46,_xlfn.RANK.EQ(AN58,$AN$2:$AN$111),""),"")</f>
        <v/>
      </c>
      <c r="AQ58" s="30" t="str">
        <f>IF(AND($F58='Tournament Setup'!$A$31,SUM($O58,$Q58,$S58)=0),$H58,"")</f>
        <v/>
      </c>
      <c r="AR58" s="47" t="str">
        <f>IF(ISNUMBER(AQ58),IF(COUNTIFS(AR$1:AR57,_xlfn.RANK.EQ(AQ58,AQ$2:AQ$111,0))&gt;0,_xlfn.MAXIFS(AR$1:AR57,AQ$1:AQ57,AQ58)+1,_xlfn.RANK.EQ(AQ58,AQ$2:AQ$111,0)),"")</f>
        <v/>
      </c>
      <c r="AS58" s="1" t="str">
        <f>IF(ISNUMBER(AQ58)=TRUE,IF(_xlfn.RANK.EQ(AQ58,$AQ$2:$AQ$111)&lt;='Tournament Setup'!$B$31,_xlfn.RANK.EQ(AQ58,$AQ$2:$AQ$111),""),"")</f>
        <v/>
      </c>
      <c r="AT58" s="31" t="str">
        <f>IF(AND($F58='Tournament Setup'!$A$31,SUM($O58,$Q58)=0,$E58="M",$AS58&gt;'Tournament Setup'!$B$31),$H58,"")</f>
        <v/>
      </c>
      <c r="AU58" s="1" t="str">
        <f>IF(ISNUMBER(AT58)=TRUE,IF(_xlfn.RANK.EQ(AT58,$AT$2:$AT$111)&lt;='Tournament Setup'!$C$31,_xlfn.RANK.EQ(AT58,$AT$2:$AT$111),""),"")</f>
        <v/>
      </c>
      <c r="AV58" s="31" t="str">
        <f>IF(AND($F58='Tournament Setup'!$A$31,SUM($O58,$S58)=0,$E58="F",$AS58&gt;'Tournament Setup'!$B$31),$H58,"")</f>
        <v/>
      </c>
      <c r="AW58" s="12" t="str">
        <f>IF(ISNUMBER(AV58)=TRUE,IF(_xlfn.RANK.EQ(AV58,$AV$2:$AV$111)&lt;='Tournament Setup'!$D$31,_xlfn.RANK.EQ(AV58,$AV$2:$AV$111),""),"")</f>
        <v/>
      </c>
      <c r="AX58" s="30" t="str">
        <f>IF(AND($F58='Tournament Setup'!$A$32,$I58&lt;&gt;0),$I58,"")</f>
        <v/>
      </c>
      <c r="AY58" s="47" t="str">
        <f>IF(ISNUMBER(AX58),IF(COUNTIFS(AY$1:AY57,_xlfn.RANK.EQ(AX58,AX$2:AX$111,0))&gt;0,_xlfn.MAXIFS(AY$1:AY57,AX$1:AX57,AX58)+1,_xlfn.RANK.EQ(AX58,AX$2:AX$111,0)),"")</f>
        <v/>
      </c>
      <c r="AZ58" s="1" t="str">
        <f>IF(ISNUMBER(AX58)=TRUE,IF(_xlfn.RANK.EQ(AX58,$AX$2:$AX$111)&lt;='Tournament Setup'!$B$46,_xlfn.RANK.EQ(AX58,$AX$2:$AX$111),""),"")</f>
        <v/>
      </c>
      <c r="BA58" s="30" t="str">
        <f>IF(AND($F58='Tournament Setup'!$A$32,SUM($O58,$Q58,$S58)=0),$H58,"")</f>
        <v/>
      </c>
      <c r="BB58" s="47" t="str">
        <f>IF(ISNUMBER(BA58),IF(COUNTIFS(BB$1:BB57,_xlfn.RANK.EQ(BA58,BA$2:BA$111,0))&gt;0,_xlfn.MAXIFS(BB$1:BB57,BA$1:BA57,BA58)+1,_xlfn.RANK.EQ(BA58,BA$2:BA$111,0)),"")</f>
        <v/>
      </c>
      <c r="BC58" s="1" t="str">
        <f>IF(ISNUMBER(BA58)=TRUE,IF(_xlfn.RANK.EQ(BA58,$BA$2:$BA$111)&lt;='Tournament Setup'!$B$32,_xlfn.RANK.EQ(BA58,$BA$2:$BA$111),""),"")</f>
        <v/>
      </c>
      <c r="BD58" s="31" t="str">
        <f>IF(AND($F58='Tournament Setup'!$A$32,SUM($O58,$Q58)=0,$E58="M",$BC58&gt;'Tournament Setup'!$B$32),$H58,"")</f>
        <v/>
      </c>
      <c r="BE58" s="1" t="str">
        <f>IF(ISNUMBER(BD58)=TRUE,IF(_xlfn.RANK.EQ(BD58,$BD$2:$BD$111)&lt;='Tournament Setup'!$C$32,_xlfn.RANK.EQ(BD58,$BD$2:$BD$111),""),"")</f>
        <v/>
      </c>
      <c r="BF58" s="31" t="str">
        <f>IF(AND($F58='Tournament Setup'!$A$32,SUM($O58,$S58)=0,$E58="F",$BC58&gt;'Tournament Setup'!$B$32),$H58,"")</f>
        <v/>
      </c>
      <c r="BG58" s="12" t="str">
        <f>IF(ISNUMBER(BF58)=TRUE,IF(_xlfn.RANK.EQ(BF58,$BF$2:$BF$111)&lt;='Tournament Setup'!$D$32,_xlfn.RANK.EQ(BF58,$BF$2:$BF$111),""),"")</f>
        <v/>
      </c>
      <c r="BH58" s="30" t="str">
        <f>IF(AND($F58='Tournament Setup'!$A$33,$I58&lt;&gt;0),$I58,"")</f>
        <v/>
      </c>
      <c r="BI58" s="47" t="str">
        <f>IF(ISNUMBER(BH58),IF(COUNTIFS(BI$1:BI57,_xlfn.RANK.EQ(BH58,BH$2:BH$111,0))&gt;0,_xlfn.MAXIFS(BI$1:BI57,BH$1:BH57,BH58)+1,_xlfn.RANK.EQ(BH58,BH$2:BH$111,0)),"")</f>
        <v/>
      </c>
      <c r="BJ58" s="1" t="str">
        <f>IF(ISNUMBER(BH58)=TRUE,IF(_xlfn.RANK.EQ(BH58,$BH$2:$BH$111)&lt;='Tournament Setup'!$B$46,_xlfn.RANK.EQ(BH58,$BH$2:$BH$111),""),"")</f>
        <v/>
      </c>
      <c r="BK58" s="30" t="str">
        <f>IF(AND($F58='Tournament Setup'!$A$33,SUM($O58,$Q58,$S58)=0),$H58,"")</f>
        <v/>
      </c>
      <c r="BL58" s="47" t="str">
        <f>IF(ISNUMBER(BK58),IF(COUNTIFS(BL$1:BL57,_xlfn.RANK.EQ(BK58,BK$2:BK$111,0))&gt;0,_xlfn.MAXIFS(BL$1:BL57,BK$1:BK57,BK58)+1,_xlfn.RANK.EQ(BK58,BK$2:BK$111,0)),"")</f>
        <v/>
      </c>
      <c r="BM58" s="1" t="str">
        <f>IF(ISNUMBER(BK58)=TRUE,IF(_xlfn.RANK.EQ(BK58,$BK$2:$BK$111)&lt;='Tournament Setup'!$B$33,_xlfn.RANK.EQ(BK58,$BK$2:$BK$111),""),"")</f>
        <v/>
      </c>
      <c r="BN58" s="31" t="str">
        <f>IF(AND($F58='Tournament Setup'!$A$33,SUM($O58,$Q58)=0,$E58="M",$BM58&gt;'Tournament Setup'!$B$33),$H58,"")</f>
        <v/>
      </c>
      <c r="BO58" s="1" t="str">
        <f>IF(ISNUMBER(BN58)=TRUE,IF(_xlfn.RANK.EQ(BN58,$BN$2:$BN$111)&lt;='Tournament Setup'!$C$33,_xlfn.RANK.EQ(BN58,$BN$2:$BN$111),""),"")</f>
        <v/>
      </c>
      <c r="BP58" s="31" t="str">
        <f>IF(AND($F58='Tournament Setup'!$A$33,SUM($O58,$S58)=0,$E58="F",$BM58&gt;'Tournament Setup'!$B$33),$H58,"")</f>
        <v/>
      </c>
      <c r="BQ58" s="12" t="str">
        <f>IF(ISNUMBER(BP58)=TRUE,IF(_xlfn.RANK.EQ(BP58,$BP$2:$BP$111)&lt;='Tournament Setup'!$D$33,_xlfn.RANK.EQ(BP58,$BP$2:$BP$111),""),"")</f>
        <v/>
      </c>
      <c r="BR58" s="30" t="str">
        <f>IF($G58='Tournament Setup'!$A$38,$H58,"")</f>
        <v/>
      </c>
      <c r="BS58" s="47" t="str">
        <f>IF(ISNUMBER(BR58),IF(COUNTIFS(BS$1:BS57,_xlfn.RANK.EQ(BR58,BR$2:BR$111,0))&gt;0,_xlfn.MAXIFS(BS$1:BS57,BR$1:BR57,BR58)+1,_xlfn.RANK.EQ(BR58,BR$2:BR$111,0)),"")</f>
        <v/>
      </c>
      <c r="BT58" s="1" t="str">
        <f>IF(ISNUMBER(BR58)=TRUE,IF(_xlfn.RANK.EQ(BR58,$BR$2:$BR$111)&lt;='Tournament Setup'!$B$38,_xlfn.RANK.EQ(BR58,$BR$2:$BR$111),""),"")</f>
        <v/>
      </c>
      <c r="BU58" s="31" t="str">
        <f>IF(AND($G58='Tournament Setup'!$A$38,$E58="M",$BT58&gt;'Tournament Setup'!$B$38),$H58,"")</f>
        <v/>
      </c>
      <c r="BV58" s="1" t="str">
        <f>IF(ISNUMBER(BU58)=TRUE,IF(_xlfn.RANK.EQ(BU58,$BU$2:$BU$111)&lt;='Tournament Setup'!$C$38,_xlfn.RANK.EQ(BU58,$BU$2:$BU$111),""),"")</f>
        <v/>
      </c>
      <c r="BW58" s="31" t="str">
        <f>IF(AND($G58='Tournament Setup'!$A$38,$E58="F",$BT58&gt;'Tournament Setup'!$B$38),$H58,"")</f>
        <v/>
      </c>
      <c r="BX58" s="12" t="str">
        <f>IF(ISNUMBER(BW58)=TRUE,IF(_xlfn.RANK.EQ(BW58,$BW$2:$BW$111)&lt;='Tournament Setup'!$D$38,_xlfn.RANK.EQ(BW58,$BW$2:$BW$111),""),"")</f>
        <v/>
      </c>
      <c r="BY58" s="30" t="str">
        <f>IF($G58='Tournament Setup'!$A$39,$H58,"")</f>
        <v/>
      </c>
      <c r="BZ58" s="47" t="str">
        <f>IF(ISNUMBER(BY58),IF(COUNTIFS(BZ$1:BZ57,_xlfn.RANK.EQ(BY58,BY$2:BY$111,0))&gt;0,_xlfn.MAXIFS(BZ$1:BZ57,BY$1:BY57,BY58)+1,_xlfn.RANK.EQ(BY58,BY$2:BY$111,0)),"")</f>
        <v/>
      </c>
      <c r="CA58" s="1" t="str">
        <f>IF(ISNUMBER(BY58)=TRUE,IF(_xlfn.RANK.EQ(BY58,$BY$2:$BY$111)&lt;='Tournament Setup'!$B$39,_xlfn.RANK.EQ(BY58,$BY$2:$BY$111),""),"")</f>
        <v/>
      </c>
      <c r="CB58" s="31" t="str">
        <f>IF(AND($G58='Tournament Setup'!$A$39,$E58="M",$CA58&gt;'Tournament Setup'!$B$39),$H58,"")</f>
        <v/>
      </c>
      <c r="CC58" s="1" t="str">
        <f>IF(ISNUMBER(CB58)=TRUE,IF(_xlfn.RANK.EQ(CB58,$CB$2:$CB$111)&lt;='Tournament Setup'!$C$39,_xlfn.RANK.EQ(CB58,$CB$2:$CB$111),""),"")</f>
        <v/>
      </c>
      <c r="CD58" s="31" t="str">
        <f>IF(AND($G58='Tournament Setup'!$A$39,$E58="F",$CA58&gt;'Tournament Setup'!$B$39),$H58,"")</f>
        <v/>
      </c>
      <c r="CE58" s="12" t="str">
        <f>IF(ISNUMBER(CD58)=TRUE,IF(_xlfn.RANK.EQ(CD58,$CD$2:$CD$111)&lt;='Tournament Setup'!$D$39,_xlfn.RANK.EQ(CD58,$CD$2:$CD$111),""),"")</f>
        <v/>
      </c>
      <c r="CF58" s="30" t="str">
        <f>IF($G58='Tournament Setup'!$A$40,$H58,"")</f>
        <v/>
      </c>
      <c r="CG58" s="47" t="str">
        <f>IF(ISNUMBER(CF58),IF(COUNTIFS(CG$1:CG57,_xlfn.RANK.EQ(CF58,CF$2:CF$111,0))&gt;0,_xlfn.MAXIFS(CG$1:CG57,CF$1:CF57,CF58)+1,_xlfn.RANK.EQ(CF58,CF$2:CF$111,0)),"")</f>
        <v/>
      </c>
      <c r="CH58" s="1" t="str">
        <f>IF(ISNUMBER(CF58)=TRUE,IF(_xlfn.RANK.EQ(CF58,$CF$2:$CF$111)&lt;='Tournament Setup'!$B$40,_xlfn.RANK.EQ(CF58,$CF$2:$CF$111),""),"")</f>
        <v/>
      </c>
      <c r="CI58" s="31" t="str">
        <f>IF(AND($G58='Tournament Setup'!$A$40,$E58="M",$CH58&gt;'Tournament Setup'!$B$40),$H58,"")</f>
        <v/>
      </c>
      <c r="CJ58" s="1" t="str">
        <f>IF(ISNUMBER(CI58)=TRUE,IF(_xlfn.RANK.EQ(CI58,$CI$2:$CI$111)&lt;='Tournament Setup'!$C$40,_xlfn.RANK.EQ(CI58,$CI$2:$CI$111),""),"")</f>
        <v/>
      </c>
      <c r="CK58" s="31" t="str">
        <f>IF(AND($G58='Tournament Setup'!$A$40,$E58="F",$CH58&gt;'Tournament Setup'!$B$40),$H58,"")</f>
        <v/>
      </c>
      <c r="CL58" s="12" t="str">
        <f>IF(ISNUMBER(CK58)=TRUE,IF(_xlfn.RANK.EQ(CK58,$CK$2:$CK$111)&lt;='Tournament Setup'!$D$40,_xlfn.RANK.EQ(CK58,$CK$2:$CK$111),""),"")</f>
        <v/>
      </c>
      <c r="CM58" s="30" t="str">
        <f>IF($G58='Tournament Setup'!$A$41,$H58,"")</f>
        <v/>
      </c>
      <c r="CN58" s="47" t="str">
        <f>IF(ISNUMBER(CM58),IF(COUNTIFS(CN$1:CN57,_xlfn.RANK.EQ(CM58,CM$2:CM$111,0))&gt;0,_xlfn.MAXIFS(CN$1:CN57,CM$1:CM57,CM58)+1,_xlfn.RANK.EQ(CM58,CM$2:CM$111,0)),"")</f>
        <v/>
      </c>
      <c r="CO58" s="1" t="str">
        <f>IF(ISNUMBER(CM58)=TRUE,IF(_xlfn.RANK.EQ(CM58,$CM$2:$CM$111)&lt;='Tournament Setup'!$B$41,_xlfn.RANK.EQ(CM58,$CM$2:$CM$111),""),"")</f>
        <v/>
      </c>
      <c r="CP58" s="31" t="str">
        <f>IF(AND($G58='Tournament Setup'!$A$41,$E58="M",$CO58&gt;'Tournament Setup'!$B$41),$H58,"")</f>
        <v/>
      </c>
      <c r="CQ58" s="1" t="str">
        <f>IF(ISNUMBER(CP58)=TRUE,IF(_xlfn.RANK.EQ(CP58,$CP$2:$CP$111)&lt;='Tournament Setup'!$C$41,_xlfn.RANK.EQ(CP58,$CP$2:$CP$111),""),"")</f>
        <v/>
      </c>
      <c r="CR58" s="31" t="str">
        <f>IF(AND($G58='Tournament Setup'!$A$41,$E58="F",$CO58&gt;'Tournament Setup'!$B$41),$H58,"")</f>
        <v/>
      </c>
      <c r="CS58" s="12" t="str">
        <f>IF(ISNUMBER(CR58)=TRUE,IF(_xlfn.RANK.EQ(CR58,$CR$2:$CR$111)&lt;='Tournament Setup'!$D$41,_xlfn.RANK.EQ(CR58,$CR$2:$CR$111),""),"")</f>
        <v/>
      </c>
    </row>
    <row r="59" spans="1:97" x14ac:dyDescent="0.3">
      <c r="B59" t="str">
        <f>IFERROR(INDEX('Tournament List'!$B:$B,MATCH($A59,'Tournament List'!$A:$A,0)),"")</f>
        <v/>
      </c>
      <c r="C59" t="str">
        <f>IFERROR(INDEX('Tournament List'!$C:$C,MATCH($A59,'Tournament List'!$A:$A,0)),"")</f>
        <v/>
      </c>
      <c r="D59" t="str">
        <f t="shared" si="10"/>
        <v xml:space="preserve"> </v>
      </c>
      <c r="E59" s="1" t="str">
        <f>IFERROR(INDEX('Tournament List'!F:F,MATCH($A59,'Tournament List'!$A:$A,0)),"")</f>
        <v/>
      </c>
      <c r="F59" t="str">
        <f>IFERROR(INDEX('Tournament List'!M:M,MATCH($A59,'Tournament List'!$A:$A,0)),"")</f>
        <v/>
      </c>
      <c r="G59" s="1" t="str">
        <f>IFERROR(INDEX('Tournament List'!W:W,MATCH($A59,'Tournament List'!$A:$A,0)),"")</f>
        <v/>
      </c>
      <c r="H59" s="129" t="str">
        <f>IFERROR(INDEX('Tournament List'!Z:Z,MATCH($A59,'Tournament List'!$A:$A,0)),"")</f>
        <v/>
      </c>
      <c r="I59" s="152" t="str">
        <f>IFERROR(INDEX('Tournament List'!T:T,MATCH($A59,'Tournament List'!$A:$A,0)),"")</f>
        <v/>
      </c>
      <c r="J59" s="56" t="str">
        <f>IF(ISNUMBER(I59),IF(COUNTIFS(J$1:J58,_xlfn.RANK.EQ(I59,I$2:I$111,0))&gt;0,_xlfn.MAXIFS(J$1:J58,I$1:I58,I59)+1,_xlfn.RANK.EQ(I59,I$2:I$111,0)),"")</f>
        <v/>
      </c>
      <c r="K59" s="11" t="str">
        <f t="shared" si="11"/>
        <v/>
      </c>
      <c r="L59" s="56" t="str">
        <f>IF(ISNUMBER(H59),IF(COUNTIFS(L$1:L58,_xlfn.RANK.EQ(H59,H$2:H$111,0))&gt;0,_xlfn.MAXIFS(L$1:L58,H$1:H58,H59)+1,_xlfn.RANK.EQ(H59,H$2:H$111,0)),"")</f>
        <v/>
      </c>
      <c r="M59" s="151" t="str">
        <f t="shared" si="12"/>
        <v/>
      </c>
      <c r="N59" s="47" t="str">
        <f>IF(ISNUMBER(M59),IF(COUNTIFS(N$1:N58,_xlfn.RANK.EQ(M59,M$2:M$111,0))&gt;0,_xlfn.MAXIFS(N$1:N58,M$1:M58,M59)+1,_xlfn.RANK.EQ(M59,M$2:M$111,0)),"")</f>
        <v/>
      </c>
      <c r="O59" s="1" t="str">
        <f>IF(ISNUMBER(M59)=TRUE,IF(_xlfn.RANK.EQ(M59,$M$2:$M$111)&lt;='Tournament Setup'!$B$23,_xlfn.RANK.EQ(M59,$M$2:$M$111),""),"")</f>
        <v/>
      </c>
      <c r="P59" s="150" t="str">
        <f t="shared" si="13"/>
        <v/>
      </c>
      <c r="Q59" s="1" t="str">
        <f>IF(ISNUMBER(P59)=TRUE,IF(_xlfn.RANK.EQ(P59,$P$2:$P$111)&lt;='Tournament Setup'!$B$24,_xlfn.RANK.EQ(P59,$P$2:$P$111),""),"")</f>
        <v/>
      </c>
      <c r="R59" s="150" t="str">
        <f t="shared" si="14"/>
        <v/>
      </c>
      <c r="S59" s="12" t="str">
        <f>IF(ISNUMBER(R59)=TRUE,IF(_xlfn.RANK.EQ(R59,$R$2:$R$111)&lt;='Tournament Setup'!$B$25,_xlfn.RANK.EQ(R59,$R$2:$R$111),""),"")</f>
        <v/>
      </c>
      <c r="T59" s="152" t="str">
        <f>IF(AND($F59='Tournament Setup'!$A$29,$I59&lt;&gt;0),$I59,"")</f>
        <v/>
      </c>
      <c r="U59" s="47" t="str">
        <f>IF(ISNUMBER(T59),IF(COUNTIFS(U$1:U58,_xlfn.RANK.EQ(T59,T$2:T$111,0))&gt;0,_xlfn.MAXIFS(U$1:U58,T$1:T58,T59)+1,_xlfn.RANK.EQ(T59,T$2:T$111,0)),"")</f>
        <v/>
      </c>
      <c r="V59" s="1" t="str">
        <f>IF(ISNUMBER(T59)=TRUE,IF(_xlfn.RANK.EQ(T59,$T$3:$T$112)&lt;='Tournament Setup'!$B$46,_xlfn.RANK.EQ(T59,$T$2:$T$111),""),"")</f>
        <v/>
      </c>
      <c r="W59" s="30" t="str">
        <f>IF(AND($F59='Tournament Setup'!$A$29,SUM($O59,$Q59,$S59)=0),$H59,"")</f>
        <v/>
      </c>
      <c r="X59" s="47" t="str">
        <f>IF(ISNUMBER(W59),IF(COUNTIFS(X$1:X58,_xlfn.RANK.EQ(W59,W$2:W$111,0))&gt;0,_xlfn.MAXIFS(X$1:X58,W$1:W58,W59)+1,_xlfn.RANK.EQ(W59,W$2:W$111,0)),"")</f>
        <v/>
      </c>
      <c r="Y59" s="1" t="str">
        <f>IF(ISNUMBER(W59)=TRUE,IF(_xlfn.RANK.EQ(W59,$W$2:$W$111)&lt;='Tournament Setup'!$B$29,_xlfn.RANK.EQ(W59,$W$2:$W$111),""),"")</f>
        <v/>
      </c>
      <c r="Z59" s="31" t="str">
        <f>IF(AND($F59='Tournament Setup'!$A$29,SUM($O59,$Q59)=0,$E59="M",$Y59&gt;'Tournament Setup'!$B$29),$H59,"")</f>
        <v/>
      </c>
      <c r="AA59" s="1" t="str">
        <f>IF(ISNUMBER(Z59)=TRUE,IF(_xlfn.RANK.EQ(Z59,$Z$2:$Z$111)&lt;='Tournament Setup'!$C$29,_xlfn.RANK.EQ(Z59,$Z$2:$Z$111),""),"")</f>
        <v/>
      </c>
      <c r="AB59" s="31" t="str">
        <f>IF(AND($F59='Tournament Setup'!$A$29,SUM($O59,$S59)=0,$E59="F",$Y59&gt;'Tournament Setup'!$B$29),$H59,"")</f>
        <v/>
      </c>
      <c r="AC59" s="12" t="str">
        <f>IF(ISNUMBER(AB59)=TRUE,IF(_xlfn.RANK.EQ(AB59,$AB$2:$AB$111)&lt;='Tournament Setup'!$D$29,_xlfn.RANK.EQ(AB59,$AB$2:$AB$111),""),"")</f>
        <v/>
      </c>
      <c r="AD59" s="30" t="str">
        <f>IF(AND($F59='Tournament Setup'!$A$30,$I59&lt;&gt;0),$I59,"")</f>
        <v/>
      </c>
      <c r="AE59" s="47" t="str">
        <f>IF(ISNUMBER(AD59),IF(COUNTIFS(AE$1:AE58,_xlfn.RANK.EQ(AD59,AD$2:AD$111,0))&gt;0,_xlfn.MAXIFS(AE$1:AE58,AD$1:AD58,AD59)+1,_xlfn.RANK.EQ(AD59,AD$2:AD$111,0)),"")</f>
        <v/>
      </c>
      <c r="AF59" s="1" t="str">
        <f>IF(ISNUMBER(AD59)=TRUE,IF(_xlfn.RANK.EQ(AD59,$AD$2:$AD$111)&lt;='Tournament Setup'!$B$46,_xlfn.RANK.EQ(AD59,$AD$2:$AD$111),""),"")</f>
        <v/>
      </c>
      <c r="AG59" s="30" t="str">
        <f>IF(AND($F59='Tournament Setup'!$A$30,SUM($O59,$Q59,$S59)=0),$H59,"")</f>
        <v/>
      </c>
      <c r="AH59" s="47" t="str">
        <f>IF(ISNUMBER(AG59),IF(COUNTIFS(AH$1:AH58,_xlfn.RANK.EQ(AG59,AG$2:AG$111,0))&gt;0,_xlfn.MAXIFS(AH$1:AH58,AG$1:AG58,AG59)+1,_xlfn.RANK.EQ(AG59,AG$2:AG$111,0)),"")</f>
        <v/>
      </c>
      <c r="AI59" s="1" t="str">
        <f>IF(ISNUMBER(AG59)=TRUE,IF(_xlfn.RANK.EQ(AG59,$AG$2:$AG$111)&lt;='Tournament Setup'!$B$30,_xlfn.RANK.EQ(AG59,$AG$2:$AG$111),""),"")</f>
        <v/>
      </c>
      <c r="AJ59" s="31" t="str">
        <f>IF(AND($F59='Tournament Setup'!$A$30,SUM($O59,$Q59)=0,$E59="M",$AI59&gt;'Tournament Setup'!$B$30),$H59,"")</f>
        <v/>
      </c>
      <c r="AK59" s="1" t="str">
        <f>IF(ISNUMBER(AJ59)=TRUE,IF(_xlfn.RANK.EQ(AJ59,$AJ$2:$AJ$111)&lt;='Tournament Setup'!$C$30,_xlfn.RANK.EQ(AJ59,$AJ$2:$AJ$111),""),"")</f>
        <v/>
      </c>
      <c r="AL59" s="31" t="str">
        <f>IF(AND($F59='Tournament Setup'!$A$30,SUM($O59,$S59)=0,$E59="F",$AI59&gt;'Tournament Setup'!$B$30),$H59,"")</f>
        <v/>
      </c>
      <c r="AM59" s="12" t="str">
        <f>IF(ISNUMBER(AL59)=TRUE,IF(_xlfn.RANK.EQ(AL59,$AL$2:$AL$111)&lt;='Tournament Setup'!$D$30,_xlfn.RANK.EQ(AL59,$AL$2:$AL$111),""),"")</f>
        <v/>
      </c>
      <c r="AN59" s="30" t="str">
        <f>IF(AND($F59='Tournament Setup'!$A$31,$I59&lt;&gt;0),$I59,"")</f>
        <v/>
      </c>
      <c r="AO59" s="47" t="str">
        <f>IF(ISNUMBER(AN59),IF(COUNTIFS(AO$1:AO58,_xlfn.RANK.EQ(AN59,AN$2:AN$111,0))&gt;0,_xlfn.MAXIFS(AO$1:AO58,AN$1:AN58,AN59)+1,_xlfn.RANK.EQ(AN59,AN$2:AN$111,0)),"")</f>
        <v/>
      </c>
      <c r="AP59" s="1" t="str">
        <f>IF(ISNUMBER(AN59)=TRUE,IF(_xlfn.RANK.EQ(AN59,$AN$2:$AN$111)&lt;='Tournament Setup'!$B$46,_xlfn.RANK.EQ(AN59,$AN$2:$AN$111),""),"")</f>
        <v/>
      </c>
      <c r="AQ59" s="30" t="str">
        <f>IF(AND($F59='Tournament Setup'!$A$31,SUM($O59,$Q59,$S59)=0),$H59,"")</f>
        <v/>
      </c>
      <c r="AR59" s="47" t="str">
        <f>IF(ISNUMBER(AQ59),IF(COUNTIFS(AR$1:AR58,_xlfn.RANK.EQ(AQ59,AQ$2:AQ$111,0))&gt;0,_xlfn.MAXIFS(AR$1:AR58,AQ$1:AQ58,AQ59)+1,_xlfn.RANK.EQ(AQ59,AQ$2:AQ$111,0)),"")</f>
        <v/>
      </c>
      <c r="AS59" s="1" t="str">
        <f>IF(ISNUMBER(AQ59)=TRUE,IF(_xlfn.RANK.EQ(AQ59,$AQ$2:$AQ$111)&lt;='Tournament Setup'!$B$31,_xlfn.RANK.EQ(AQ59,$AQ$2:$AQ$111),""),"")</f>
        <v/>
      </c>
      <c r="AT59" s="31" t="str">
        <f>IF(AND($F59='Tournament Setup'!$A$31,SUM($O59,$Q59)=0,$E59="M",$AS59&gt;'Tournament Setup'!$B$31),$H59,"")</f>
        <v/>
      </c>
      <c r="AU59" s="1" t="str">
        <f>IF(ISNUMBER(AT59)=TRUE,IF(_xlfn.RANK.EQ(AT59,$AT$2:$AT$111)&lt;='Tournament Setup'!$C$31,_xlfn.RANK.EQ(AT59,$AT$2:$AT$111),""),"")</f>
        <v/>
      </c>
      <c r="AV59" s="31" t="str">
        <f>IF(AND($F59='Tournament Setup'!$A$31,SUM($O59,$S59)=0,$E59="F",$AS59&gt;'Tournament Setup'!$B$31),$H59,"")</f>
        <v/>
      </c>
      <c r="AW59" s="12" t="str">
        <f>IF(ISNUMBER(AV59)=TRUE,IF(_xlfn.RANK.EQ(AV59,$AV$2:$AV$111)&lt;='Tournament Setup'!$D$31,_xlfn.RANK.EQ(AV59,$AV$2:$AV$111),""),"")</f>
        <v/>
      </c>
      <c r="AX59" s="30" t="str">
        <f>IF(AND($F59='Tournament Setup'!$A$32,$I59&lt;&gt;0),$I59,"")</f>
        <v/>
      </c>
      <c r="AY59" s="47" t="str">
        <f>IF(ISNUMBER(AX59),IF(COUNTIFS(AY$1:AY58,_xlfn.RANK.EQ(AX59,AX$2:AX$111,0))&gt;0,_xlfn.MAXIFS(AY$1:AY58,AX$1:AX58,AX59)+1,_xlfn.RANK.EQ(AX59,AX$2:AX$111,0)),"")</f>
        <v/>
      </c>
      <c r="AZ59" s="1" t="str">
        <f>IF(ISNUMBER(AX59)=TRUE,IF(_xlfn.RANK.EQ(AX59,$AX$2:$AX$111)&lt;='Tournament Setup'!$B$46,_xlfn.RANK.EQ(AX59,$AX$2:$AX$111),""),"")</f>
        <v/>
      </c>
      <c r="BA59" s="30" t="str">
        <f>IF(AND($F59='Tournament Setup'!$A$32,SUM($O59,$Q59,$S59)=0),$H59,"")</f>
        <v/>
      </c>
      <c r="BB59" s="47" t="str">
        <f>IF(ISNUMBER(BA59),IF(COUNTIFS(BB$1:BB58,_xlfn.RANK.EQ(BA59,BA$2:BA$111,0))&gt;0,_xlfn.MAXIFS(BB$1:BB58,BA$1:BA58,BA59)+1,_xlfn.RANK.EQ(BA59,BA$2:BA$111,0)),"")</f>
        <v/>
      </c>
      <c r="BC59" s="1" t="str">
        <f>IF(ISNUMBER(BA59)=TRUE,IF(_xlfn.RANK.EQ(BA59,$BA$2:$BA$111)&lt;='Tournament Setup'!$B$32,_xlfn.RANK.EQ(BA59,$BA$2:$BA$111),""),"")</f>
        <v/>
      </c>
      <c r="BD59" s="31" t="str">
        <f>IF(AND($F59='Tournament Setup'!$A$32,SUM($O59,$Q59)=0,$E59="M",$BC59&gt;'Tournament Setup'!$B$32),$H59,"")</f>
        <v/>
      </c>
      <c r="BE59" s="1" t="str">
        <f>IF(ISNUMBER(BD59)=TRUE,IF(_xlfn.RANK.EQ(BD59,$BD$2:$BD$111)&lt;='Tournament Setup'!$C$32,_xlfn.RANK.EQ(BD59,$BD$2:$BD$111),""),"")</f>
        <v/>
      </c>
      <c r="BF59" s="31" t="str">
        <f>IF(AND($F59='Tournament Setup'!$A$32,SUM($O59,$S59)=0,$E59="F",$BC59&gt;'Tournament Setup'!$B$32),$H59,"")</f>
        <v/>
      </c>
      <c r="BG59" s="12" t="str">
        <f>IF(ISNUMBER(BF59)=TRUE,IF(_xlfn.RANK.EQ(BF59,$BF$2:$BF$111)&lt;='Tournament Setup'!$D$32,_xlfn.RANK.EQ(BF59,$BF$2:$BF$111),""),"")</f>
        <v/>
      </c>
      <c r="BH59" s="30" t="str">
        <f>IF(AND($F59='Tournament Setup'!$A$33,$I59&lt;&gt;0),$I59,"")</f>
        <v/>
      </c>
      <c r="BI59" s="47" t="str">
        <f>IF(ISNUMBER(BH59),IF(COUNTIFS(BI$1:BI58,_xlfn.RANK.EQ(BH59,BH$2:BH$111,0))&gt;0,_xlfn.MAXIFS(BI$1:BI58,BH$1:BH58,BH59)+1,_xlfn.RANK.EQ(BH59,BH$2:BH$111,0)),"")</f>
        <v/>
      </c>
      <c r="BJ59" s="1" t="str">
        <f>IF(ISNUMBER(BH59)=TRUE,IF(_xlfn.RANK.EQ(BH59,$BH$2:$BH$111)&lt;='Tournament Setup'!$B$46,_xlfn.RANK.EQ(BH59,$BH$2:$BH$111),""),"")</f>
        <v/>
      </c>
      <c r="BK59" s="30" t="str">
        <f>IF(AND($F59='Tournament Setup'!$A$33,SUM($O59,$Q59,$S59)=0),$H59,"")</f>
        <v/>
      </c>
      <c r="BL59" s="47" t="str">
        <f>IF(ISNUMBER(BK59),IF(COUNTIFS(BL$1:BL58,_xlfn.RANK.EQ(BK59,BK$2:BK$111,0))&gt;0,_xlfn.MAXIFS(BL$1:BL58,BK$1:BK58,BK59)+1,_xlfn.RANK.EQ(BK59,BK$2:BK$111,0)),"")</f>
        <v/>
      </c>
      <c r="BM59" s="1" t="str">
        <f>IF(ISNUMBER(BK59)=TRUE,IF(_xlfn.RANK.EQ(BK59,$BK$2:$BK$111)&lt;='Tournament Setup'!$B$33,_xlfn.RANK.EQ(BK59,$BK$2:$BK$111),""),"")</f>
        <v/>
      </c>
      <c r="BN59" s="31" t="str">
        <f>IF(AND($F59='Tournament Setup'!$A$33,SUM($O59,$Q59)=0,$E59="M",$BM59&gt;'Tournament Setup'!$B$33),$H59,"")</f>
        <v/>
      </c>
      <c r="BO59" s="1" t="str">
        <f>IF(ISNUMBER(BN59)=TRUE,IF(_xlfn.RANK.EQ(BN59,$BN$2:$BN$111)&lt;='Tournament Setup'!$C$33,_xlfn.RANK.EQ(BN59,$BN$2:$BN$111),""),"")</f>
        <v/>
      </c>
      <c r="BP59" s="31" t="str">
        <f>IF(AND($F59='Tournament Setup'!$A$33,SUM($O59,$S59)=0,$E59="F",$BM59&gt;'Tournament Setup'!$B$33),$H59,"")</f>
        <v/>
      </c>
      <c r="BQ59" s="12" t="str">
        <f>IF(ISNUMBER(BP59)=TRUE,IF(_xlfn.RANK.EQ(BP59,$BP$2:$BP$111)&lt;='Tournament Setup'!$D$33,_xlfn.RANK.EQ(BP59,$BP$2:$BP$111),""),"")</f>
        <v/>
      </c>
      <c r="BR59" s="30" t="str">
        <f>IF($G59='Tournament Setup'!$A$38,$H59,"")</f>
        <v/>
      </c>
      <c r="BS59" s="47" t="str">
        <f>IF(ISNUMBER(BR59),IF(COUNTIFS(BS$1:BS58,_xlfn.RANK.EQ(BR59,BR$2:BR$111,0))&gt;0,_xlfn.MAXIFS(BS$1:BS58,BR$1:BR58,BR59)+1,_xlfn.RANK.EQ(BR59,BR$2:BR$111,0)),"")</f>
        <v/>
      </c>
      <c r="BT59" s="1" t="str">
        <f>IF(ISNUMBER(BR59)=TRUE,IF(_xlfn.RANK.EQ(BR59,$BR$2:$BR$111)&lt;='Tournament Setup'!$B$38,_xlfn.RANK.EQ(BR59,$BR$2:$BR$111),""),"")</f>
        <v/>
      </c>
      <c r="BU59" s="31" t="str">
        <f>IF(AND($G59='Tournament Setup'!$A$38,$E59="M",$BT59&gt;'Tournament Setup'!$B$38),$H59,"")</f>
        <v/>
      </c>
      <c r="BV59" s="1" t="str">
        <f>IF(ISNUMBER(BU59)=TRUE,IF(_xlfn.RANK.EQ(BU59,$BU$2:$BU$111)&lt;='Tournament Setup'!$C$38,_xlfn.RANK.EQ(BU59,$BU$2:$BU$111),""),"")</f>
        <v/>
      </c>
      <c r="BW59" s="31" t="str">
        <f>IF(AND($G59='Tournament Setup'!$A$38,$E59="F",$BT59&gt;'Tournament Setup'!$B$38),$H59,"")</f>
        <v/>
      </c>
      <c r="BX59" s="12" t="str">
        <f>IF(ISNUMBER(BW59)=TRUE,IF(_xlfn.RANK.EQ(BW59,$BW$2:$BW$111)&lt;='Tournament Setup'!$D$38,_xlfn.RANK.EQ(BW59,$BW$2:$BW$111),""),"")</f>
        <v/>
      </c>
      <c r="BY59" s="30" t="str">
        <f>IF($G59='Tournament Setup'!$A$39,$H59,"")</f>
        <v/>
      </c>
      <c r="BZ59" s="47" t="str">
        <f>IF(ISNUMBER(BY59),IF(COUNTIFS(BZ$1:BZ58,_xlfn.RANK.EQ(BY59,BY$2:BY$111,0))&gt;0,_xlfn.MAXIFS(BZ$1:BZ58,BY$1:BY58,BY59)+1,_xlfn.RANK.EQ(BY59,BY$2:BY$111,0)),"")</f>
        <v/>
      </c>
      <c r="CA59" s="1" t="str">
        <f>IF(ISNUMBER(BY59)=TRUE,IF(_xlfn.RANK.EQ(BY59,$BY$2:$BY$111)&lt;='Tournament Setup'!$B$39,_xlfn.RANK.EQ(BY59,$BY$2:$BY$111),""),"")</f>
        <v/>
      </c>
      <c r="CB59" s="31" t="str">
        <f>IF(AND($G59='Tournament Setup'!$A$39,$E59="M",$CA59&gt;'Tournament Setup'!$B$39),$H59,"")</f>
        <v/>
      </c>
      <c r="CC59" s="1" t="str">
        <f>IF(ISNUMBER(CB59)=TRUE,IF(_xlfn.RANK.EQ(CB59,$CB$2:$CB$111)&lt;='Tournament Setup'!$C$39,_xlfn.RANK.EQ(CB59,$CB$2:$CB$111),""),"")</f>
        <v/>
      </c>
      <c r="CD59" s="31" t="str">
        <f>IF(AND($G59='Tournament Setup'!$A$39,$E59="F",$CA59&gt;'Tournament Setup'!$B$39),$H59,"")</f>
        <v/>
      </c>
      <c r="CE59" s="12" t="str">
        <f>IF(ISNUMBER(CD59)=TRUE,IF(_xlfn.RANK.EQ(CD59,$CD$2:$CD$111)&lt;='Tournament Setup'!$D$39,_xlfn.RANK.EQ(CD59,$CD$2:$CD$111),""),"")</f>
        <v/>
      </c>
      <c r="CF59" s="30" t="str">
        <f>IF($G59='Tournament Setup'!$A$40,$H59,"")</f>
        <v/>
      </c>
      <c r="CG59" s="47" t="str">
        <f>IF(ISNUMBER(CF59),IF(COUNTIFS(CG$1:CG58,_xlfn.RANK.EQ(CF59,CF$2:CF$111,0))&gt;0,_xlfn.MAXIFS(CG$1:CG58,CF$1:CF58,CF59)+1,_xlfn.RANK.EQ(CF59,CF$2:CF$111,0)),"")</f>
        <v/>
      </c>
      <c r="CH59" s="1" t="str">
        <f>IF(ISNUMBER(CF59)=TRUE,IF(_xlfn.RANK.EQ(CF59,$CF$2:$CF$111)&lt;='Tournament Setup'!$B$40,_xlfn.RANK.EQ(CF59,$CF$2:$CF$111),""),"")</f>
        <v/>
      </c>
      <c r="CI59" s="31" t="str">
        <f>IF(AND($G59='Tournament Setup'!$A$40,$E59="M",$CH59&gt;'Tournament Setup'!$B$40),$H59,"")</f>
        <v/>
      </c>
      <c r="CJ59" s="1" t="str">
        <f>IF(ISNUMBER(CI59)=TRUE,IF(_xlfn.RANK.EQ(CI59,$CI$2:$CI$111)&lt;='Tournament Setup'!$C$40,_xlfn.RANK.EQ(CI59,$CI$2:$CI$111),""),"")</f>
        <v/>
      </c>
      <c r="CK59" s="31" t="str">
        <f>IF(AND($G59='Tournament Setup'!$A$40,$E59="F",$CH59&gt;'Tournament Setup'!$B$40),$H59,"")</f>
        <v/>
      </c>
      <c r="CL59" s="12" t="str">
        <f>IF(ISNUMBER(CK59)=TRUE,IF(_xlfn.RANK.EQ(CK59,$CK$2:$CK$111)&lt;='Tournament Setup'!$D$40,_xlfn.RANK.EQ(CK59,$CK$2:$CK$111),""),"")</f>
        <v/>
      </c>
      <c r="CM59" s="30" t="str">
        <f>IF($G59='Tournament Setup'!$A$41,$H59,"")</f>
        <v/>
      </c>
      <c r="CN59" s="47" t="str">
        <f>IF(ISNUMBER(CM59),IF(COUNTIFS(CN$1:CN58,_xlfn.RANK.EQ(CM59,CM$2:CM$111,0))&gt;0,_xlfn.MAXIFS(CN$1:CN58,CM$1:CM58,CM59)+1,_xlfn.RANK.EQ(CM59,CM$2:CM$111,0)),"")</f>
        <v/>
      </c>
      <c r="CO59" s="1" t="str">
        <f>IF(ISNUMBER(CM59)=TRUE,IF(_xlfn.RANK.EQ(CM59,$CM$2:$CM$111)&lt;='Tournament Setup'!$B$41,_xlfn.RANK.EQ(CM59,$CM$2:$CM$111),""),"")</f>
        <v/>
      </c>
      <c r="CP59" s="31" t="str">
        <f>IF(AND($G59='Tournament Setup'!$A$41,$E59="M",$CO59&gt;'Tournament Setup'!$B$41),$H59,"")</f>
        <v/>
      </c>
      <c r="CQ59" s="1" t="str">
        <f>IF(ISNUMBER(CP59)=TRUE,IF(_xlfn.RANK.EQ(CP59,$CP$2:$CP$111)&lt;='Tournament Setup'!$C$41,_xlfn.RANK.EQ(CP59,$CP$2:$CP$111),""),"")</f>
        <v/>
      </c>
      <c r="CR59" s="31" t="str">
        <f>IF(AND($G59='Tournament Setup'!$A$41,$E59="F",$CO59&gt;'Tournament Setup'!$B$41),$H59,"")</f>
        <v/>
      </c>
      <c r="CS59" s="12" t="str">
        <f>IF(ISNUMBER(CR59)=TRUE,IF(_xlfn.RANK.EQ(CR59,$CR$2:$CR$111)&lt;='Tournament Setup'!$D$41,_xlfn.RANK.EQ(CR59,$CR$2:$CR$111),""),"")</f>
        <v/>
      </c>
    </row>
    <row r="60" spans="1:97" x14ac:dyDescent="0.3">
      <c r="B60" t="str">
        <f>IFERROR(INDEX('Tournament List'!$B:$B,MATCH($A60,'Tournament List'!$A:$A,0)),"")</f>
        <v/>
      </c>
      <c r="C60" t="str">
        <f>IFERROR(INDEX('Tournament List'!$C:$C,MATCH($A60,'Tournament List'!$A:$A,0)),"")</f>
        <v/>
      </c>
      <c r="D60" t="str">
        <f t="shared" si="5"/>
        <v xml:space="preserve"> </v>
      </c>
      <c r="E60" s="1" t="str">
        <f>IFERROR(INDEX('Tournament List'!F:F,MATCH($A60,'Tournament List'!$A:$A,0)),"")</f>
        <v/>
      </c>
      <c r="F60" t="str">
        <f>IFERROR(INDEX('Tournament List'!M:M,MATCH($A60,'Tournament List'!$A:$A,0)),"")</f>
        <v/>
      </c>
      <c r="G60" s="1" t="str">
        <f>IFERROR(INDEX('Tournament List'!W:W,MATCH($A60,'Tournament List'!$A:$A,0)),"")</f>
        <v/>
      </c>
      <c r="H60" s="129" t="str">
        <f>IFERROR(INDEX('Tournament List'!Z:Z,MATCH($A60,'Tournament List'!$A:$A,0)),"")</f>
        <v/>
      </c>
      <c r="I60" s="152" t="str">
        <f>IFERROR(INDEX('Tournament List'!T:T,MATCH($A60,'Tournament List'!$A:$A,0)),"")</f>
        <v/>
      </c>
      <c r="J60" s="56" t="str">
        <f>IF(ISNUMBER(I60),IF(COUNTIFS(J$1:J49,_xlfn.RANK.EQ(I60,I$2:I$111,0))&gt;0,_xlfn.MAXIFS(J$1:J49,I$1:I49,I60)+1,_xlfn.RANK.EQ(I60,I$2:I$111,0)),"")</f>
        <v/>
      </c>
      <c r="K60" s="11" t="str">
        <f t="shared" si="6"/>
        <v/>
      </c>
      <c r="L60" s="56" t="str">
        <f>IF(ISNUMBER(H60),IF(COUNTIFS(L$1:L49,_xlfn.RANK.EQ(H60,H$2:H$111,0))&gt;0,_xlfn.MAXIFS(L$1:L49,H$1:H49,H60)+1,_xlfn.RANK.EQ(H60,H$2:H$111,0)),"")</f>
        <v/>
      </c>
      <c r="M60" s="151" t="str">
        <f t="shared" si="7"/>
        <v/>
      </c>
      <c r="N60" s="47" t="str">
        <f>IF(ISNUMBER(M60),IF(COUNTIFS(N$1:N49,_xlfn.RANK.EQ(M60,M$2:M$111,0))&gt;0,_xlfn.MAXIFS(N$1:N49,M$1:M49,M60)+1,_xlfn.RANK.EQ(M60,M$2:M$111,0)),"")</f>
        <v/>
      </c>
      <c r="O60" s="1" t="str">
        <f>IF(ISNUMBER(M60)=TRUE,IF(_xlfn.RANK.EQ(M60,$M$2:$M$111)&lt;='Tournament Setup'!$B$23,_xlfn.RANK.EQ(M60,$M$2:$M$111),""),"")</f>
        <v/>
      </c>
      <c r="P60" s="150" t="str">
        <f t="shared" si="8"/>
        <v/>
      </c>
      <c r="Q60" s="1" t="str">
        <f>IF(ISNUMBER(P60)=TRUE,IF(_xlfn.RANK.EQ(P60,$P$2:$P$111)&lt;='Tournament Setup'!$B$24,_xlfn.RANK.EQ(P60,$P$2:$P$111),""),"")</f>
        <v/>
      </c>
      <c r="R60" s="150" t="str">
        <f t="shared" si="9"/>
        <v/>
      </c>
      <c r="S60" s="12" t="str">
        <f>IF(ISNUMBER(R60)=TRUE,IF(_xlfn.RANK.EQ(R60,$R$2:$R$111)&lt;='Tournament Setup'!$B$25,_xlfn.RANK.EQ(R60,$R$2:$R$111),""),"")</f>
        <v/>
      </c>
      <c r="T60" s="152" t="str">
        <f>IF(AND($F60='Tournament Setup'!$A$29,$I60&lt;&gt;0),$I60,"")</f>
        <v/>
      </c>
      <c r="U60" s="47" t="str">
        <f>IF(ISNUMBER(T60),IF(COUNTIFS(U$1:U49,_xlfn.RANK.EQ(T60,T$2:T$111,0))&gt;0,_xlfn.MAXIFS(U$1:U49,T$1:T49,T60)+1,_xlfn.RANK.EQ(T60,T$2:T$111,0)),"")</f>
        <v/>
      </c>
      <c r="V60" s="1" t="str">
        <f>IF(ISNUMBER(T60)=TRUE,IF(_xlfn.RANK.EQ(T60,$T$3:$T$112)&lt;='Tournament Setup'!$B$46,_xlfn.RANK.EQ(T60,$T$2:$T$111),""),"")</f>
        <v/>
      </c>
      <c r="W60" s="30" t="str">
        <f>IF(AND($F60='Tournament Setup'!$A$29,SUM($O60,$Q60,$S60)=0),$H60,"")</f>
        <v/>
      </c>
      <c r="X60" s="47" t="str">
        <f>IF(ISNUMBER(W60),IF(COUNTIFS(X$1:X49,_xlfn.RANK.EQ(W60,W$2:W$111,0))&gt;0,_xlfn.MAXIFS(X$1:X49,W$1:W49,W60)+1,_xlfn.RANK.EQ(W60,W$2:W$111,0)),"")</f>
        <v/>
      </c>
      <c r="Y60" s="1" t="str">
        <f>IF(ISNUMBER(W60)=TRUE,IF(_xlfn.RANK.EQ(W60,$W$2:$W$111)&lt;='Tournament Setup'!$B$29,_xlfn.RANK.EQ(W60,$W$2:$W$111),""),"")</f>
        <v/>
      </c>
      <c r="Z60" s="31" t="str">
        <f>IF(AND($F60='Tournament Setup'!$A$29,SUM($O60,$Q60)=0,$E60="M",$Y60&gt;'Tournament Setup'!$B$29),$H60,"")</f>
        <v/>
      </c>
      <c r="AA60" s="1" t="str">
        <f>IF(ISNUMBER(Z60)=TRUE,IF(_xlfn.RANK.EQ(Z60,$Z$2:$Z$111)&lt;='Tournament Setup'!$C$29,_xlfn.RANK.EQ(Z60,$Z$2:$Z$111),""),"")</f>
        <v/>
      </c>
      <c r="AB60" s="31" t="str">
        <f>IF(AND($F60='Tournament Setup'!$A$29,SUM($O60,$S60)=0,$E60="F",$Y60&gt;'Tournament Setup'!$B$29),$H60,"")</f>
        <v/>
      </c>
      <c r="AC60" s="12" t="str">
        <f>IF(ISNUMBER(AB60)=TRUE,IF(_xlfn.RANK.EQ(AB60,$AB$2:$AB$111)&lt;='Tournament Setup'!$D$29,_xlfn.RANK.EQ(AB60,$AB$2:$AB$111),""),"")</f>
        <v/>
      </c>
      <c r="AD60" s="30" t="str">
        <f>IF(AND($F60='Tournament Setup'!$A$30,$I60&lt;&gt;0),$I60,"")</f>
        <v/>
      </c>
      <c r="AE60" s="47" t="str">
        <f>IF(ISNUMBER(AD60),IF(COUNTIFS(AE$1:AE49,_xlfn.RANK.EQ(AD60,AD$2:AD$111,0))&gt;0,_xlfn.MAXIFS(AE$1:AE49,AD$1:AD49,AD60)+1,_xlfn.RANK.EQ(AD60,AD$2:AD$111,0)),"")</f>
        <v/>
      </c>
      <c r="AF60" s="1" t="str">
        <f>IF(ISNUMBER(AD60)=TRUE,IF(_xlfn.RANK.EQ(AD60,$AD$2:$AD$111)&lt;='Tournament Setup'!$B$46,_xlfn.RANK.EQ(AD60,$AD$2:$AD$111),""),"")</f>
        <v/>
      </c>
      <c r="AG60" s="30" t="str">
        <f>IF(AND($F60='Tournament Setup'!$A$30,SUM($O60,$Q60,$S60)=0),$H60,"")</f>
        <v/>
      </c>
      <c r="AH60" s="47" t="str">
        <f>IF(ISNUMBER(AG60),IF(COUNTIFS(AH$1:AH49,_xlfn.RANK.EQ(AG60,AG$2:AG$111,0))&gt;0,_xlfn.MAXIFS(AH$1:AH49,AG$1:AG49,AG60)+1,_xlfn.RANK.EQ(AG60,AG$2:AG$111,0)),"")</f>
        <v/>
      </c>
      <c r="AI60" s="1" t="str">
        <f>IF(ISNUMBER(AG60)=TRUE,IF(_xlfn.RANK.EQ(AG60,$AG$2:$AG$111)&lt;='Tournament Setup'!$B$30,_xlfn.RANK.EQ(AG60,$AG$2:$AG$111),""),"")</f>
        <v/>
      </c>
      <c r="AJ60" s="31" t="str">
        <f>IF(AND($F60='Tournament Setup'!$A$30,SUM($O60,$Q60)=0,$E60="M",$AI60&gt;'Tournament Setup'!$B$30),$H60,"")</f>
        <v/>
      </c>
      <c r="AK60" s="1" t="str">
        <f>IF(ISNUMBER(AJ60)=TRUE,IF(_xlfn.RANK.EQ(AJ60,$AJ$2:$AJ$111)&lt;='Tournament Setup'!$C$30,_xlfn.RANK.EQ(AJ60,$AJ$2:$AJ$111),""),"")</f>
        <v/>
      </c>
      <c r="AL60" s="31" t="str">
        <f>IF(AND($F60='Tournament Setup'!$A$30,SUM($O60,$S60)=0,$E60="F",$AI60&gt;'Tournament Setup'!$B$30),$H60,"")</f>
        <v/>
      </c>
      <c r="AM60" s="12" t="str">
        <f>IF(ISNUMBER(AL60)=TRUE,IF(_xlfn.RANK.EQ(AL60,$AL$2:$AL$111)&lt;='Tournament Setup'!$D$30,_xlfn.RANK.EQ(AL60,$AL$2:$AL$111),""),"")</f>
        <v/>
      </c>
      <c r="AN60" s="30" t="str">
        <f>IF(AND($F60='Tournament Setup'!$A$31,$I60&lt;&gt;0),$I60,"")</f>
        <v/>
      </c>
      <c r="AO60" s="47" t="str">
        <f>IF(ISNUMBER(AN60),IF(COUNTIFS(AO$1:AO49,_xlfn.RANK.EQ(AN60,AN$2:AN$111,0))&gt;0,_xlfn.MAXIFS(AO$1:AO49,AN$1:AN49,AN60)+1,_xlfn.RANK.EQ(AN60,AN$2:AN$111,0)),"")</f>
        <v/>
      </c>
      <c r="AP60" s="1" t="str">
        <f>IF(ISNUMBER(AN60)=TRUE,IF(_xlfn.RANK.EQ(AN60,$AN$2:$AN$111)&lt;='Tournament Setup'!$B$46,_xlfn.RANK.EQ(AN60,$AN$2:$AN$111),""),"")</f>
        <v/>
      </c>
      <c r="AQ60" s="30" t="str">
        <f>IF(AND($F60='Tournament Setup'!$A$31,SUM($O60,$Q60,$S60)=0),$H60,"")</f>
        <v/>
      </c>
      <c r="AR60" s="47" t="str">
        <f>IF(ISNUMBER(AQ60),IF(COUNTIFS(AR$1:AR49,_xlfn.RANK.EQ(AQ60,AQ$2:AQ$111,0))&gt;0,_xlfn.MAXIFS(AR$1:AR49,AQ$1:AQ49,AQ60)+1,_xlfn.RANK.EQ(AQ60,AQ$2:AQ$111,0)),"")</f>
        <v/>
      </c>
      <c r="AS60" s="1" t="str">
        <f>IF(ISNUMBER(AQ60)=TRUE,IF(_xlfn.RANK.EQ(AQ60,$AQ$2:$AQ$111)&lt;='Tournament Setup'!$B$31,_xlfn.RANK.EQ(AQ60,$AQ$2:$AQ$111),""),"")</f>
        <v/>
      </c>
      <c r="AT60" s="31" t="str">
        <f>IF(AND($F60='Tournament Setup'!$A$31,SUM($O60,$Q60)=0,$E60="M",$AS60&gt;'Tournament Setup'!$B$31),$H60,"")</f>
        <v/>
      </c>
      <c r="AU60" s="1" t="str">
        <f>IF(ISNUMBER(AT60)=TRUE,IF(_xlfn.RANK.EQ(AT60,$AT$2:$AT$111)&lt;='Tournament Setup'!$C$31,_xlfn.RANK.EQ(AT60,$AT$2:$AT$111),""),"")</f>
        <v/>
      </c>
      <c r="AV60" s="31" t="str">
        <f>IF(AND($F60='Tournament Setup'!$A$31,SUM($O60,$S60)=0,$E60="F",$AS60&gt;'Tournament Setup'!$B$31),$H60,"")</f>
        <v/>
      </c>
      <c r="AW60" s="12" t="str">
        <f>IF(ISNUMBER(AV60)=TRUE,IF(_xlfn.RANK.EQ(AV60,$AV$2:$AV$111)&lt;='Tournament Setup'!$D$31,_xlfn.RANK.EQ(AV60,$AV$2:$AV$111),""),"")</f>
        <v/>
      </c>
      <c r="AX60" s="30" t="str">
        <f>IF(AND($F60='Tournament Setup'!$A$32,$I60&lt;&gt;0),$I60,"")</f>
        <v/>
      </c>
      <c r="AY60" s="47" t="str">
        <f>IF(ISNUMBER(AX60),IF(COUNTIFS(AY$1:AY49,_xlfn.RANK.EQ(AX60,AX$2:AX$111,0))&gt;0,_xlfn.MAXIFS(AY$1:AY49,AX$1:AX49,AX60)+1,_xlfn.RANK.EQ(AX60,AX$2:AX$111,0)),"")</f>
        <v/>
      </c>
      <c r="AZ60" s="1" t="str">
        <f>IF(ISNUMBER(AX60)=TRUE,IF(_xlfn.RANK.EQ(AX60,$AX$2:$AX$111)&lt;='Tournament Setup'!$B$46,_xlfn.RANK.EQ(AX60,$AX$2:$AX$111),""),"")</f>
        <v/>
      </c>
      <c r="BA60" s="30" t="str">
        <f>IF(AND($F60='Tournament Setup'!$A$32,SUM($O60,$Q60,$S60)=0),$H60,"")</f>
        <v/>
      </c>
      <c r="BB60" s="47" t="str">
        <f>IF(ISNUMBER(BA60),IF(COUNTIFS(BB$1:BB49,_xlfn.RANK.EQ(BA60,BA$2:BA$111,0))&gt;0,_xlfn.MAXIFS(BB$1:BB49,BA$1:BA49,BA60)+1,_xlfn.RANK.EQ(BA60,BA$2:BA$111,0)),"")</f>
        <v/>
      </c>
      <c r="BC60" s="1" t="str">
        <f>IF(ISNUMBER(BA60)=TRUE,IF(_xlfn.RANK.EQ(BA60,$BA$2:$BA$111)&lt;='Tournament Setup'!$B$32,_xlfn.RANK.EQ(BA60,$BA$2:$BA$111),""),"")</f>
        <v/>
      </c>
      <c r="BD60" s="31" t="str">
        <f>IF(AND($F60='Tournament Setup'!$A$32,SUM($O60,$Q60)=0,$E60="M",$BC60&gt;'Tournament Setup'!$B$32),$H60,"")</f>
        <v/>
      </c>
      <c r="BE60" s="1" t="str">
        <f>IF(ISNUMBER(BD60)=TRUE,IF(_xlfn.RANK.EQ(BD60,$BD$2:$BD$111)&lt;='Tournament Setup'!$C$32,_xlfn.RANK.EQ(BD60,$BD$2:$BD$111),""),"")</f>
        <v/>
      </c>
      <c r="BF60" s="31" t="str">
        <f>IF(AND($F60='Tournament Setup'!$A$32,SUM($O60,$S60)=0,$E60="F",$BC60&gt;'Tournament Setup'!$B$32),$H60,"")</f>
        <v/>
      </c>
      <c r="BG60" s="12" t="str">
        <f>IF(ISNUMBER(BF60)=TRUE,IF(_xlfn.RANK.EQ(BF60,$BF$2:$BF$111)&lt;='Tournament Setup'!$D$32,_xlfn.RANK.EQ(BF60,$BF$2:$BF$111),""),"")</f>
        <v/>
      </c>
      <c r="BH60" s="30" t="str">
        <f>IF(AND($F60='Tournament Setup'!$A$33,$I60&lt;&gt;0),$I60,"")</f>
        <v/>
      </c>
      <c r="BI60" s="47" t="str">
        <f>IF(ISNUMBER(BH60),IF(COUNTIFS(BI$1:BI49,_xlfn.RANK.EQ(BH60,BH$2:BH$111,0))&gt;0,_xlfn.MAXIFS(BI$1:BI49,BH$1:BH49,BH60)+1,_xlfn.RANK.EQ(BH60,BH$2:BH$111,0)),"")</f>
        <v/>
      </c>
      <c r="BJ60" s="1" t="str">
        <f>IF(ISNUMBER(BH60)=TRUE,IF(_xlfn.RANK.EQ(BH60,$BH$2:$BH$111)&lt;='Tournament Setup'!$B$46,_xlfn.RANK.EQ(BH60,$BH$2:$BH$111),""),"")</f>
        <v/>
      </c>
      <c r="BK60" s="30" t="str">
        <f>IF(AND($F60='Tournament Setup'!$A$33,SUM($O60,$Q60,$S60)=0),$H60,"")</f>
        <v/>
      </c>
      <c r="BL60" s="47" t="str">
        <f>IF(ISNUMBER(BK60),IF(COUNTIFS(BL$1:BL49,_xlfn.RANK.EQ(BK60,BK$2:BK$111,0))&gt;0,_xlfn.MAXIFS(BL$1:BL49,BK$1:BK49,BK60)+1,_xlfn.RANK.EQ(BK60,BK$2:BK$111,0)),"")</f>
        <v/>
      </c>
      <c r="BM60" s="1" t="str">
        <f>IF(ISNUMBER(BK60)=TRUE,IF(_xlfn.RANK.EQ(BK60,$BK$2:$BK$111)&lt;='Tournament Setup'!$B$33,_xlfn.RANK.EQ(BK60,$BK$2:$BK$111),""),"")</f>
        <v/>
      </c>
      <c r="BN60" s="31" t="str">
        <f>IF(AND($F60='Tournament Setup'!$A$33,SUM($O60,$Q60)=0,$E60="M",$BM60&gt;'Tournament Setup'!$B$33),$H60,"")</f>
        <v/>
      </c>
      <c r="BO60" s="1" t="str">
        <f>IF(ISNUMBER(BN60)=TRUE,IF(_xlfn.RANK.EQ(BN60,$BN$2:$BN$111)&lt;='Tournament Setup'!$C$33,_xlfn.RANK.EQ(BN60,$BN$2:$BN$111),""),"")</f>
        <v/>
      </c>
      <c r="BP60" s="31" t="str">
        <f>IF(AND($F60='Tournament Setup'!$A$33,SUM($O60,$S60)=0,$E60="F",$BM60&gt;'Tournament Setup'!$B$33),$H60,"")</f>
        <v/>
      </c>
      <c r="BQ60" s="12" t="str">
        <f>IF(ISNUMBER(BP60)=TRUE,IF(_xlfn.RANK.EQ(BP60,$BP$2:$BP$111)&lt;='Tournament Setup'!$D$33,_xlfn.RANK.EQ(BP60,$BP$2:$BP$111),""),"")</f>
        <v/>
      </c>
      <c r="BR60" s="30" t="str">
        <f>IF($G60='Tournament Setup'!$A$38,$H60,"")</f>
        <v/>
      </c>
      <c r="BS60" s="47" t="str">
        <f>IF(ISNUMBER(BR60),IF(COUNTIFS(BS$1:BS49,_xlfn.RANK.EQ(BR60,BR$2:BR$111,0))&gt;0,_xlfn.MAXIFS(BS$1:BS49,BR$1:BR49,BR60)+1,_xlfn.RANK.EQ(BR60,BR$2:BR$111,0)),"")</f>
        <v/>
      </c>
      <c r="BT60" s="1" t="str">
        <f>IF(ISNUMBER(BR60)=TRUE,IF(_xlfn.RANK.EQ(BR60,$BR$2:$BR$111)&lt;='Tournament Setup'!$B$38,_xlfn.RANK.EQ(BR60,$BR$2:$BR$111),""),"")</f>
        <v/>
      </c>
      <c r="BU60" s="31" t="str">
        <f>IF(AND($G60='Tournament Setup'!$A$38,$E60="M",$BT60&gt;'Tournament Setup'!$B$38),$H60,"")</f>
        <v/>
      </c>
      <c r="BV60" s="1" t="str">
        <f>IF(ISNUMBER(BU60)=TRUE,IF(_xlfn.RANK.EQ(BU60,$BU$2:$BU$111)&lt;='Tournament Setup'!$C$38,_xlfn.RANK.EQ(BU60,$BU$2:$BU$111),""),"")</f>
        <v/>
      </c>
      <c r="BW60" s="31" t="str">
        <f>IF(AND($G60='Tournament Setup'!$A$38,$E60="F",$BT60&gt;'Tournament Setup'!$B$38),$H60,"")</f>
        <v/>
      </c>
      <c r="BX60" s="12" t="str">
        <f>IF(ISNUMBER(BW60)=TRUE,IF(_xlfn.RANK.EQ(BW60,$BW$2:$BW$111)&lt;='Tournament Setup'!$D$38,_xlfn.RANK.EQ(BW60,$BW$2:$BW$111),""),"")</f>
        <v/>
      </c>
      <c r="BY60" s="30" t="str">
        <f>IF($G60='Tournament Setup'!$A$39,$H60,"")</f>
        <v/>
      </c>
      <c r="BZ60" s="47" t="str">
        <f>IF(ISNUMBER(BY60),IF(COUNTIFS(BZ$1:BZ49,_xlfn.RANK.EQ(BY60,BY$2:BY$111,0))&gt;0,_xlfn.MAXIFS(BZ$1:BZ49,BY$1:BY49,BY60)+1,_xlfn.RANK.EQ(BY60,BY$2:BY$111,0)),"")</f>
        <v/>
      </c>
      <c r="CA60" s="1" t="str">
        <f>IF(ISNUMBER(BY60)=TRUE,IF(_xlfn.RANK.EQ(BY60,$BY$2:$BY$111)&lt;='Tournament Setup'!$B$39,_xlfn.RANK.EQ(BY60,$BY$2:$BY$111),""),"")</f>
        <v/>
      </c>
      <c r="CB60" s="31" t="str">
        <f>IF(AND($G60='Tournament Setup'!$A$39,$E60="M",$CA60&gt;'Tournament Setup'!$B$39),$H60,"")</f>
        <v/>
      </c>
      <c r="CC60" s="1" t="str">
        <f>IF(ISNUMBER(CB60)=TRUE,IF(_xlfn.RANK.EQ(CB60,$CB$2:$CB$111)&lt;='Tournament Setup'!$C$39,_xlfn.RANK.EQ(CB60,$CB$2:$CB$111),""),"")</f>
        <v/>
      </c>
      <c r="CD60" s="31" t="str">
        <f>IF(AND($G60='Tournament Setup'!$A$39,$E60="F",$CA60&gt;'Tournament Setup'!$B$39),$H60,"")</f>
        <v/>
      </c>
      <c r="CE60" s="12" t="str">
        <f>IF(ISNUMBER(CD60)=TRUE,IF(_xlfn.RANK.EQ(CD60,$CD$2:$CD$111)&lt;='Tournament Setup'!$D$39,_xlfn.RANK.EQ(CD60,$CD$2:$CD$111),""),"")</f>
        <v/>
      </c>
      <c r="CF60" s="30" t="str">
        <f>IF($G60='Tournament Setup'!$A$40,$H60,"")</f>
        <v/>
      </c>
      <c r="CG60" s="47" t="str">
        <f>IF(ISNUMBER(CF60),IF(COUNTIFS(CG$1:CG49,_xlfn.RANK.EQ(CF60,CF$2:CF$111,0))&gt;0,_xlfn.MAXIFS(CG$1:CG49,CF$1:CF49,CF60)+1,_xlfn.RANK.EQ(CF60,CF$2:CF$111,0)),"")</f>
        <v/>
      </c>
      <c r="CH60" s="1" t="str">
        <f>IF(ISNUMBER(CF60)=TRUE,IF(_xlfn.RANK.EQ(CF60,$CF$2:$CF$111)&lt;='Tournament Setup'!$B$40,_xlfn.RANK.EQ(CF60,$CF$2:$CF$111),""),"")</f>
        <v/>
      </c>
      <c r="CI60" s="31" t="str">
        <f>IF(AND($G60='Tournament Setup'!$A$40,$E60="M",$CH60&gt;'Tournament Setup'!$B$40),$H60,"")</f>
        <v/>
      </c>
      <c r="CJ60" s="1" t="str">
        <f>IF(ISNUMBER(CI60)=TRUE,IF(_xlfn.RANK.EQ(CI60,$CI$2:$CI$111)&lt;='Tournament Setup'!$C$40,_xlfn.RANK.EQ(CI60,$CI$2:$CI$111),""),"")</f>
        <v/>
      </c>
      <c r="CK60" s="31" t="str">
        <f>IF(AND($G60='Tournament Setup'!$A$40,$E60="F",$CH60&gt;'Tournament Setup'!$B$40),$H60,"")</f>
        <v/>
      </c>
      <c r="CL60" s="12" t="str">
        <f>IF(ISNUMBER(CK60)=TRUE,IF(_xlfn.RANK.EQ(CK60,$CK$2:$CK$111)&lt;='Tournament Setup'!$D$40,_xlfn.RANK.EQ(CK60,$CK$2:$CK$111),""),"")</f>
        <v/>
      </c>
      <c r="CM60" s="30" t="str">
        <f>IF($G60='Tournament Setup'!$A$41,$H60,"")</f>
        <v/>
      </c>
      <c r="CN60" s="47" t="str">
        <f>IF(ISNUMBER(CM60),IF(COUNTIFS(CN$1:CN49,_xlfn.RANK.EQ(CM60,CM$2:CM$111,0))&gt;0,_xlfn.MAXIFS(CN$1:CN49,CM$1:CM49,CM60)+1,_xlfn.RANK.EQ(CM60,CM$2:CM$111,0)),"")</f>
        <v/>
      </c>
      <c r="CO60" s="1" t="str">
        <f>IF(ISNUMBER(CM60)=TRUE,IF(_xlfn.RANK.EQ(CM60,$CM$2:$CM$111)&lt;='Tournament Setup'!$B$41,_xlfn.RANK.EQ(CM60,$CM$2:$CM$111),""),"")</f>
        <v/>
      </c>
      <c r="CP60" s="31" t="str">
        <f>IF(AND($G60='Tournament Setup'!$A$41,$E60="M",$CO60&gt;'Tournament Setup'!$B$41),$H60,"")</f>
        <v/>
      </c>
      <c r="CQ60" s="1" t="str">
        <f>IF(ISNUMBER(CP60)=TRUE,IF(_xlfn.RANK.EQ(CP60,$CP$2:$CP$111)&lt;='Tournament Setup'!$C$41,_xlfn.RANK.EQ(CP60,$CP$2:$CP$111),""),"")</f>
        <v/>
      </c>
      <c r="CR60" s="31" t="str">
        <f>IF(AND($G60='Tournament Setup'!$A$41,$E60="F",$CO60&gt;'Tournament Setup'!$B$41),$H60,"")</f>
        <v/>
      </c>
      <c r="CS60" s="12" t="str">
        <f>IF(ISNUMBER(CR60)=TRUE,IF(_xlfn.RANK.EQ(CR60,$CR$2:$CR$111)&lt;='Tournament Setup'!$D$41,_xlfn.RANK.EQ(CR60,$CR$2:$CR$111),""),"")</f>
        <v/>
      </c>
    </row>
    <row r="61" spans="1:97" x14ac:dyDescent="0.3">
      <c r="B61" t="str">
        <f>IFERROR(INDEX('Tournament List'!$B:$B,MATCH($A61,'Tournament List'!$A:$A,0)),"")</f>
        <v/>
      </c>
      <c r="C61" t="str">
        <f>IFERROR(INDEX('Tournament List'!$C:$C,MATCH($A61,'Tournament List'!$A:$A,0)),"")</f>
        <v/>
      </c>
      <c r="D61" t="str">
        <f t="shared" si="5"/>
        <v xml:space="preserve"> </v>
      </c>
      <c r="E61" s="1" t="str">
        <f>IFERROR(INDEX('Tournament List'!F:F,MATCH($A61,'Tournament List'!$A:$A,0)),"")</f>
        <v/>
      </c>
      <c r="F61" t="str">
        <f>IFERROR(INDEX('Tournament List'!M:M,MATCH($A61,'Tournament List'!$A:$A,0)),"")</f>
        <v/>
      </c>
      <c r="G61" s="1" t="str">
        <f>IFERROR(INDEX('Tournament List'!W:W,MATCH($A61,'Tournament List'!$A:$A,0)),"")</f>
        <v/>
      </c>
      <c r="H61" s="129" t="str">
        <f>IFERROR(INDEX('Tournament List'!Z:Z,MATCH($A61,'Tournament List'!$A:$A,0)),"")</f>
        <v/>
      </c>
      <c r="I61" s="152" t="str">
        <f>IFERROR(INDEX('Tournament List'!T:T,MATCH($A61,'Tournament List'!$A:$A,0)),"")</f>
        <v/>
      </c>
      <c r="J61" s="56" t="str">
        <f>IF(ISNUMBER(I61),IF(COUNTIFS(J$1:J60,_xlfn.RANK.EQ(I61,I$2:I$111,0))&gt;0,_xlfn.MAXIFS(J$1:J60,I$1:I60,I61)+1,_xlfn.RANK.EQ(I61,I$2:I$111,0)),"")</f>
        <v/>
      </c>
      <c r="K61" s="11" t="str">
        <f t="shared" si="6"/>
        <v/>
      </c>
      <c r="L61" s="56" t="str">
        <f>IF(ISNUMBER(H61),IF(COUNTIFS(L$1:L60,_xlfn.RANK.EQ(H61,H$2:H$111,0))&gt;0,_xlfn.MAXIFS(L$1:L60,H$1:H60,H61)+1,_xlfn.RANK.EQ(H61,H$2:H$111,0)),"")</f>
        <v/>
      </c>
      <c r="M61" s="151" t="str">
        <f t="shared" si="7"/>
        <v/>
      </c>
      <c r="N61" s="47" t="str">
        <f>IF(ISNUMBER(M61),IF(COUNTIFS(N$1:N60,_xlfn.RANK.EQ(M61,M$2:M$111,0))&gt;0,_xlfn.MAXIFS(N$1:N60,M$1:M60,M61)+1,_xlfn.RANK.EQ(M61,M$2:M$111,0)),"")</f>
        <v/>
      </c>
      <c r="O61" s="1" t="str">
        <f>IF(ISNUMBER(M61)=TRUE,IF(_xlfn.RANK.EQ(M61,$M$2:$M$111)&lt;='Tournament Setup'!$B$23,_xlfn.RANK.EQ(M61,$M$2:$M$111),""),"")</f>
        <v/>
      </c>
      <c r="P61" s="150" t="str">
        <f t="shared" si="8"/>
        <v/>
      </c>
      <c r="Q61" s="1" t="str">
        <f>IF(ISNUMBER(P61)=TRUE,IF(_xlfn.RANK.EQ(P61,$P$2:$P$111)&lt;='Tournament Setup'!$B$24,_xlfn.RANK.EQ(P61,$P$2:$P$111),""),"")</f>
        <v/>
      </c>
      <c r="R61" s="150" t="str">
        <f t="shared" si="9"/>
        <v/>
      </c>
      <c r="S61" s="12" t="str">
        <f>IF(ISNUMBER(R61)=TRUE,IF(_xlfn.RANK.EQ(R61,$R$2:$R$111)&lt;='Tournament Setup'!$B$25,_xlfn.RANK.EQ(R61,$R$2:$R$111),""),"")</f>
        <v/>
      </c>
      <c r="T61" s="152" t="str">
        <f>IF(AND($F61='Tournament Setup'!$A$29,$I61&lt;&gt;0),$I61,"")</f>
        <v/>
      </c>
      <c r="U61" s="47" t="str">
        <f>IF(ISNUMBER(T61),IF(COUNTIFS(U$1:U60,_xlfn.RANK.EQ(T61,T$2:T$111,0))&gt;0,_xlfn.MAXIFS(U$1:U60,T$1:T60,T61)+1,_xlfn.RANK.EQ(T61,T$2:T$111,0)),"")</f>
        <v/>
      </c>
      <c r="V61" s="1" t="str">
        <f>IF(ISNUMBER(T61)=TRUE,IF(_xlfn.RANK.EQ(T61,$T$3:$T$112)&lt;='Tournament Setup'!$B$46,_xlfn.RANK.EQ(T61,$T$2:$T$111),""),"")</f>
        <v/>
      </c>
      <c r="W61" s="30" t="str">
        <f>IF(AND($F61='Tournament Setup'!$A$29,SUM($O61,$Q61,$S61)=0),$H61,"")</f>
        <v/>
      </c>
      <c r="X61" s="47" t="str">
        <f>IF(ISNUMBER(W61),IF(COUNTIFS(X$1:X60,_xlfn.RANK.EQ(W61,W$2:W$111,0))&gt;0,_xlfn.MAXIFS(X$1:X60,W$1:W60,W61)+1,_xlfn.RANK.EQ(W61,W$2:W$111,0)),"")</f>
        <v/>
      </c>
      <c r="Y61" s="1" t="str">
        <f>IF(ISNUMBER(W61)=TRUE,IF(_xlfn.RANK.EQ(W61,$W$2:$W$111)&lt;='Tournament Setup'!$B$29,_xlfn.RANK.EQ(W61,$W$2:$W$111),""),"")</f>
        <v/>
      </c>
      <c r="Z61" s="31" t="str">
        <f>IF(AND($F61='Tournament Setup'!$A$29,SUM($O61,$Q61)=0,$E61="M",$Y61&gt;'Tournament Setup'!$B$29),$H61,"")</f>
        <v/>
      </c>
      <c r="AA61" s="1" t="str">
        <f>IF(ISNUMBER(Z61)=TRUE,IF(_xlfn.RANK.EQ(Z61,$Z$2:$Z$111)&lt;='Tournament Setup'!$C$29,_xlfn.RANK.EQ(Z61,$Z$2:$Z$111),""),"")</f>
        <v/>
      </c>
      <c r="AB61" s="31" t="str">
        <f>IF(AND($F61='Tournament Setup'!$A$29,SUM($O61,$S61)=0,$E61="F",$Y61&gt;'Tournament Setup'!$B$29),$H61,"")</f>
        <v/>
      </c>
      <c r="AC61" s="12" t="str">
        <f>IF(ISNUMBER(AB61)=TRUE,IF(_xlfn.RANK.EQ(AB61,$AB$2:$AB$111)&lt;='Tournament Setup'!$D$29,_xlfn.RANK.EQ(AB61,$AB$2:$AB$111),""),"")</f>
        <v/>
      </c>
      <c r="AD61" s="30" t="str">
        <f>IF(AND($F61='Tournament Setup'!$A$30,$I61&lt;&gt;0),$I61,"")</f>
        <v/>
      </c>
      <c r="AE61" s="47" t="str">
        <f>IF(ISNUMBER(AD61),IF(COUNTIFS(AE$1:AE60,_xlfn.RANK.EQ(AD61,AD$2:AD$111,0))&gt;0,_xlfn.MAXIFS(AE$1:AE60,AD$1:AD60,AD61)+1,_xlfn.RANK.EQ(AD61,AD$2:AD$111,0)),"")</f>
        <v/>
      </c>
      <c r="AF61" s="1" t="str">
        <f>IF(ISNUMBER(AD61)=TRUE,IF(_xlfn.RANK.EQ(AD61,$AD$2:$AD$111)&lt;='Tournament Setup'!$B$46,_xlfn.RANK.EQ(AD61,$AD$2:$AD$111),""),"")</f>
        <v/>
      </c>
      <c r="AG61" s="30" t="str">
        <f>IF(AND($F61='Tournament Setup'!$A$30,SUM($O61,$Q61,$S61)=0),$H61,"")</f>
        <v/>
      </c>
      <c r="AH61" s="47" t="str">
        <f>IF(ISNUMBER(AG61),IF(COUNTIFS(AH$1:AH60,_xlfn.RANK.EQ(AG61,AG$2:AG$111,0))&gt;0,_xlfn.MAXIFS(AH$1:AH60,AG$1:AG60,AG61)+1,_xlfn.RANK.EQ(AG61,AG$2:AG$111,0)),"")</f>
        <v/>
      </c>
      <c r="AI61" s="1" t="str">
        <f>IF(ISNUMBER(AG61)=TRUE,IF(_xlfn.RANK.EQ(AG61,$AG$2:$AG$111)&lt;='Tournament Setup'!$B$30,_xlfn.RANK.EQ(AG61,$AG$2:$AG$111),""),"")</f>
        <v/>
      </c>
      <c r="AJ61" s="31" t="str">
        <f>IF(AND($F61='Tournament Setup'!$A$30,SUM($O61,$Q61)=0,$E61="M",$AI61&gt;'Tournament Setup'!$B$30),$H61,"")</f>
        <v/>
      </c>
      <c r="AK61" s="1" t="str">
        <f>IF(ISNUMBER(AJ61)=TRUE,IF(_xlfn.RANK.EQ(AJ61,$AJ$2:$AJ$111)&lt;='Tournament Setup'!$C$30,_xlfn.RANK.EQ(AJ61,$AJ$2:$AJ$111),""),"")</f>
        <v/>
      </c>
      <c r="AL61" s="31" t="str">
        <f>IF(AND($F61='Tournament Setup'!$A$30,SUM($O61,$S61)=0,$E61="F",$AI61&gt;'Tournament Setup'!$B$30),$H61,"")</f>
        <v/>
      </c>
      <c r="AM61" s="12" t="str">
        <f>IF(ISNUMBER(AL61)=TRUE,IF(_xlfn.RANK.EQ(AL61,$AL$2:$AL$111)&lt;='Tournament Setup'!$D$30,_xlfn.RANK.EQ(AL61,$AL$2:$AL$111),""),"")</f>
        <v/>
      </c>
      <c r="AN61" s="30" t="str">
        <f>IF(AND($F61='Tournament Setup'!$A$31,$I61&lt;&gt;0),$I61,"")</f>
        <v/>
      </c>
      <c r="AO61" s="47" t="str">
        <f>IF(ISNUMBER(AN61),IF(COUNTIFS(AO$1:AO60,_xlfn.RANK.EQ(AN61,AN$2:AN$111,0))&gt;0,_xlfn.MAXIFS(AO$1:AO60,AN$1:AN60,AN61)+1,_xlfn.RANK.EQ(AN61,AN$2:AN$111,0)),"")</f>
        <v/>
      </c>
      <c r="AP61" s="1" t="str">
        <f>IF(ISNUMBER(AN61)=TRUE,IF(_xlfn.RANK.EQ(AN61,$AN$2:$AN$111)&lt;='Tournament Setup'!$B$46,_xlfn.RANK.EQ(AN61,$AN$2:$AN$111),""),"")</f>
        <v/>
      </c>
      <c r="AQ61" s="30" t="str">
        <f>IF(AND($F61='Tournament Setup'!$A$31,SUM($O61,$Q61,$S61)=0),$H61,"")</f>
        <v/>
      </c>
      <c r="AR61" s="47" t="str">
        <f>IF(ISNUMBER(AQ61),IF(COUNTIFS(AR$1:AR60,_xlfn.RANK.EQ(AQ61,AQ$2:AQ$111,0))&gt;0,_xlfn.MAXIFS(AR$1:AR60,AQ$1:AQ60,AQ61)+1,_xlfn.RANK.EQ(AQ61,AQ$2:AQ$111,0)),"")</f>
        <v/>
      </c>
      <c r="AS61" s="1" t="str">
        <f>IF(ISNUMBER(AQ61)=TRUE,IF(_xlfn.RANK.EQ(AQ61,$AQ$2:$AQ$111)&lt;='Tournament Setup'!$B$31,_xlfn.RANK.EQ(AQ61,$AQ$2:$AQ$111),""),"")</f>
        <v/>
      </c>
      <c r="AT61" s="31" t="str">
        <f>IF(AND($F61='Tournament Setup'!$A$31,SUM($O61,$Q61)=0,$E61="M",$AS61&gt;'Tournament Setup'!$B$31),$H61,"")</f>
        <v/>
      </c>
      <c r="AU61" s="1" t="str">
        <f>IF(ISNUMBER(AT61)=TRUE,IF(_xlfn.RANK.EQ(AT61,$AT$2:$AT$111)&lt;='Tournament Setup'!$C$31,_xlfn.RANK.EQ(AT61,$AT$2:$AT$111),""),"")</f>
        <v/>
      </c>
      <c r="AV61" s="31" t="str">
        <f>IF(AND($F61='Tournament Setup'!$A$31,SUM($O61,$S61)=0,$E61="F",$AS61&gt;'Tournament Setup'!$B$31),$H61,"")</f>
        <v/>
      </c>
      <c r="AW61" s="12" t="str">
        <f>IF(ISNUMBER(AV61)=TRUE,IF(_xlfn.RANK.EQ(AV61,$AV$2:$AV$111)&lt;='Tournament Setup'!$D$31,_xlfn.RANK.EQ(AV61,$AV$2:$AV$111),""),"")</f>
        <v/>
      </c>
      <c r="AX61" s="30" t="str">
        <f>IF(AND($F61='Tournament Setup'!$A$32,$I61&lt;&gt;0),$I61,"")</f>
        <v/>
      </c>
      <c r="AY61" s="47" t="str">
        <f>IF(ISNUMBER(AX61),IF(COUNTIFS(AY$1:AY60,_xlfn.RANK.EQ(AX61,AX$2:AX$111,0))&gt;0,_xlfn.MAXIFS(AY$1:AY60,AX$1:AX60,AX61)+1,_xlfn.RANK.EQ(AX61,AX$2:AX$111,0)),"")</f>
        <v/>
      </c>
      <c r="AZ61" s="1" t="str">
        <f>IF(ISNUMBER(AX61)=TRUE,IF(_xlfn.RANK.EQ(AX61,$AX$2:$AX$111)&lt;='Tournament Setup'!$B$46,_xlfn.RANK.EQ(AX61,$AX$2:$AX$111),""),"")</f>
        <v/>
      </c>
      <c r="BA61" s="30" t="str">
        <f>IF(AND($F61='Tournament Setup'!$A$32,SUM($O61,$Q61,$S61)=0),$H61,"")</f>
        <v/>
      </c>
      <c r="BB61" s="47" t="str">
        <f>IF(ISNUMBER(BA61),IF(COUNTIFS(BB$1:BB60,_xlfn.RANK.EQ(BA61,BA$2:BA$111,0))&gt;0,_xlfn.MAXIFS(BB$1:BB60,BA$1:BA60,BA61)+1,_xlfn.RANK.EQ(BA61,BA$2:BA$111,0)),"")</f>
        <v/>
      </c>
      <c r="BC61" s="1" t="str">
        <f>IF(ISNUMBER(BA61)=TRUE,IF(_xlfn.RANK.EQ(BA61,$BA$2:$BA$111)&lt;='Tournament Setup'!$B$32,_xlfn.RANK.EQ(BA61,$BA$2:$BA$111),""),"")</f>
        <v/>
      </c>
      <c r="BD61" s="31" t="str">
        <f>IF(AND($F61='Tournament Setup'!$A$32,SUM($O61,$Q61)=0,$E61="M",$BC61&gt;'Tournament Setup'!$B$32),$H61,"")</f>
        <v/>
      </c>
      <c r="BE61" s="1" t="str">
        <f>IF(ISNUMBER(BD61)=TRUE,IF(_xlfn.RANK.EQ(BD61,$BD$2:$BD$111)&lt;='Tournament Setup'!$C$32,_xlfn.RANK.EQ(BD61,$BD$2:$BD$111),""),"")</f>
        <v/>
      </c>
      <c r="BF61" s="31" t="str">
        <f>IF(AND($F61='Tournament Setup'!$A$32,SUM($O61,$S61)=0,$E61="F",$BC61&gt;'Tournament Setup'!$B$32),$H61,"")</f>
        <v/>
      </c>
      <c r="BG61" s="12" t="str">
        <f>IF(ISNUMBER(BF61)=TRUE,IF(_xlfn.RANK.EQ(BF61,$BF$2:$BF$111)&lt;='Tournament Setup'!$D$32,_xlfn.RANK.EQ(BF61,$BF$2:$BF$111),""),"")</f>
        <v/>
      </c>
      <c r="BH61" s="30" t="str">
        <f>IF(AND($F61='Tournament Setup'!$A$33,$I61&lt;&gt;0),$I61,"")</f>
        <v/>
      </c>
      <c r="BI61" s="47" t="str">
        <f>IF(ISNUMBER(BH61),IF(COUNTIFS(BI$1:BI60,_xlfn.RANK.EQ(BH61,BH$2:BH$111,0))&gt;0,_xlfn.MAXIFS(BI$1:BI60,BH$1:BH60,BH61)+1,_xlfn.RANK.EQ(BH61,BH$2:BH$111,0)),"")</f>
        <v/>
      </c>
      <c r="BJ61" s="1" t="str">
        <f>IF(ISNUMBER(BH61)=TRUE,IF(_xlfn.RANK.EQ(BH61,$BH$2:$BH$111)&lt;='Tournament Setup'!$B$46,_xlfn.RANK.EQ(BH61,$BH$2:$BH$111),""),"")</f>
        <v/>
      </c>
      <c r="BK61" s="30" t="str">
        <f>IF(AND($F61='Tournament Setup'!$A$33,SUM($O61,$Q61,$S61)=0),$H61,"")</f>
        <v/>
      </c>
      <c r="BL61" s="47" t="str">
        <f>IF(ISNUMBER(BK61),IF(COUNTIFS(BL$1:BL60,_xlfn.RANK.EQ(BK61,BK$2:BK$111,0))&gt;0,_xlfn.MAXIFS(BL$1:BL60,BK$1:BK60,BK61)+1,_xlfn.RANK.EQ(BK61,BK$2:BK$111,0)),"")</f>
        <v/>
      </c>
      <c r="BM61" s="1" t="str">
        <f>IF(ISNUMBER(BK61)=TRUE,IF(_xlfn.RANK.EQ(BK61,$BK$2:$BK$111)&lt;='Tournament Setup'!$B$33,_xlfn.RANK.EQ(BK61,$BK$2:$BK$111),""),"")</f>
        <v/>
      </c>
      <c r="BN61" s="31" t="str">
        <f>IF(AND($F61='Tournament Setup'!$A$33,SUM($O61,$Q61)=0,$E61="M",$BM61&gt;'Tournament Setup'!$B$33),$H61,"")</f>
        <v/>
      </c>
      <c r="BO61" s="1" t="str">
        <f>IF(ISNUMBER(BN61)=TRUE,IF(_xlfn.RANK.EQ(BN61,$BN$2:$BN$111)&lt;='Tournament Setup'!$C$33,_xlfn.RANK.EQ(BN61,$BN$2:$BN$111),""),"")</f>
        <v/>
      </c>
      <c r="BP61" s="31" t="str">
        <f>IF(AND($F61='Tournament Setup'!$A$33,SUM($O61,$S61)=0,$E61="F",$BM61&gt;'Tournament Setup'!$B$33),$H61,"")</f>
        <v/>
      </c>
      <c r="BQ61" s="12" t="str">
        <f>IF(ISNUMBER(BP61)=TRUE,IF(_xlfn.RANK.EQ(BP61,$BP$2:$BP$111)&lt;='Tournament Setup'!$D$33,_xlfn.RANK.EQ(BP61,$BP$2:$BP$111),""),"")</f>
        <v/>
      </c>
      <c r="BR61" s="30" t="str">
        <f>IF($G61='Tournament Setup'!$A$38,$H61,"")</f>
        <v/>
      </c>
      <c r="BS61" s="47" t="str">
        <f>IF(ISNUMBER(BR61),IF(COUNTIFS(BS$1:BS60,_xlfn.RANK.EQ(BR61,BR$2:BR$111,0))&gt;0,_xlfn.MAXIFS(BS$1:BS60,BR$1:BR60,BR61)+1,_xlfn.RANK.EQ(BR61,BR$2:BR$111,0)),"")</f>
        <v/>
      </c>
      <c r="BT61" s="1" t="str">
        <f>IF(ISNUMBER(BR61)=TRUE,IF(_xlfn.RANK.EQ(BR61,$BR$2:$BR$111)&lt;='Tournament Setup'!$B$38,_xlfn.RANK.EQ(BR61,$BR$2:$BR$111),""),"")</f>
        <v/>
      </c>
      <c r="BU61" s="31" t="str">
        <f>IF(AND($G61='Tournament Setup'!$A$38,$E61="M",$BT61&gt;'Tournament Setup'!$B$38),$H61,"")</f>
        <v/>
      </c>
      <c r="BV61" s="1" t="str">
        <f>IF(ISNUMBER(BU61)=TRUE,IF(_xlfn.RANK.EQ(BU61,$BU$2:$BU$111)&lt;='Tournament Setup'!$C$38,_xlfn.RANK.EQ(BU61,$BU$2:$BU$111),""),"")</f>
        <v/>
      </c>
      <c r="BW61" s="31" t="str">
        <f>IF(AND($G61='Tournament Setup'!$A$38,$E61="F",$BT61&gt;'Tournament Setup'!$B$38),$H61,"")</f>
        <v/>
      </c>
      <c r="BX61" s="12" t="str">
        <f>IF(ISNUMBER(BW61)=TRUE,IF(_xlfn.RANK.EQ(BW61,$BW$2:$BW$111)&lt;='Tournament Setup'!$D$38,_xlfn.RANK.EQ(BW61,$BW$2:$BW$111),""),"")</f>
        <v/>
      </c>
      <c r="BY61" s="30" t="str">
        <f>IF($G61='Tournament Setup'!$A$39,$H61,"")</f>
        <v/>
      </c>
      <c r="BZ61" s="47" t="str">
        <f>IF(ISNUMBER(BY61),IF(COUNTIFS(BZ$1:BZ60,_xlfn.RANK.EQ(BY61,BY$2:BY$111,0))&gt;0,_xlfn.MAXIFS(BZ$1:BZ60,BY$1:BY60,BY61)+1,_xlfn.RANK.EQ(BY61,BY$2:BY$111,0)),"")</f>
        <v/>
      </c>
      <c r="CA61" s="1" t="str">
        <f>IF(ISNUMBER(BY61)=TRUE,IF(_xlfn.RANK.EQ(BY61,$BY$2:$BY$111)&lt;='Tournament Setup'!$B$39,_xlfn.RANK.EQ(BY61,$BY$2:$BY$111),""),"")</f>
        <v/>
      </c>
      <c r="CB61" s="31" t="str">
        <f>IF(AND($G61='Tournament Setup'!$A$39,$E61="M",$CA61&gt;'Tournament Setup'!$B$39),$H61,"")</f>
        <v/>
      </c>
      <c r="CC61" s="1" t="str">
        <f>IF(ISNUMBER(CB61)=TRUE,IF(_xlfn.RANK.EQ(CB61,$CB$2:$CB$111)&lt;='Tournament Setup'!$C$39,_xlfn.RANK.EQ(CB61,$CB$2:$CB$111),""),"")</f>
        <v/>
      </c>
      <c r="CD61" s="31" t="str">
        <f>IF(AND($G61='Tournament Setup'!$A$39,$E61="F",$CA61&gt;'Tournament Setup'!$B$39),$H61,"")</f>
        <v/>
      </c>
      <c r="CE61" s="12" t="str">
        <f>IF(ISNUMBER(CD61)=TRUE,IF(_xlfn.RANK.EQ(CD61,$CD$2:$CD$111)&lt;='Tournament Setup'!$D$39,_xlfn.RANK.EQ(CD61,$CD$2:$CD$111),""),"")</f>
        <v/>
      </c>
      <c r="CF61" s="30" t="str">
        <f>IF($G61='Tournament Setup'!$A$40,$H61,"")</f>
        <v/>
      </c>
      <c r="CG61" s="47" t="str">
        <f>IF(ISNUMBER(CF61),IF(COUNTIFS(CG$1:CG60,_xlfn.RANK.EQ(CF61,CF$2:CF$111,0))&gt;0,_xlfn.MAXIFS(CG$1:CG60,CF$1:CF60,CF61)+1,_xlfn.RANK.EQ(CF61,CF$2:CF$111,0)),"")</f>
        <v/>
      </c>
      <c r="CH61" s="1" t="str">
        <f>IF(ISNUMBER(CF61)=TRUE,IF(_xlfn.RANK.EQ(CF61,$CF$2:$CF$111)&lt;='Tournament Setup'!$B$40,_xlfn.RANK.EQ(CF61,$CF$2:$CF$111),""),"")</f>
        <v/>
      </c>
      <c r="CI61" s="31" t="str">
        <f>IF(AND($G61='Tournament Setup'!$A$40,$E61="M",$CH61&gt;'Tournament Setup'!$B$40),$H61,"")</f>
        <v/>
      </c>
      <c r="CJ61" s="1" t="str">
        <f>IF(ISNUMBER(CI61)=TRUE,IF(_xlfn.RANK.EQ(CI61,$CI$2:$CI$111)&lt;='Tournament Setup'!$C$40,_xlfn.RANK.EQ(CI61,$CI$2:$CI$111),""),"")</f>
        <v/>
      </c>
      <c r="CK61" s="31" t="str">
        <f>IF(AND($G61='Tournament Setup'!$A$40,$E61="F",$CH61&gt;'Tournament Setup'!$B$40),$H61,"")</f>
        <v/>
      </c>
      <c r="CL61" s="12" t="str">
        <f>IF(ISNUMBER(CK61)=TRUE,IF(_xlfn.RANK.EQ(CK61,$CK$2:$CK$111)&lt;='Tournament Setup'!$D$40,_xlfn.RANK.EQ(CK61,$CK$2:$CK$111),""),"")</f>
        <v/>
      </c>
      <c r="CM61" s="30" t="str">
        <f>IF($G61='Tournament Setup'!$A$41,$H61,"")</f>
        <v/>
      </c>
      <c r="CN61" s="47" t="str">
        <f>IF(ISNUMBER(CM61),IF(COUNTIFS(CN$1:CN60,_xlfn.RANK.EQ(CM61,CM$2:CM$111,0))&gt;0,_xlfn.MAXIFS(CN$1:CN60,CM$1:CM60,CM61)+1,_xlfn.RANK.EQ(CM61,CM$2:CM$111,0)),"")</f>
        <v/>
      </c>
      <c r="CO61" s="1" t="str">
        <f>IF(ISNUMBER(CM61)=TRUE,IF(_xlfn.RANK.EQ(CM61,$CM$2:$CM$111)&lt;='Tournament Setup'!$B$41,_xlfn.RANK.EQ(CM61,$CM$2:$CM$111),""),"")</f>
        <v/>
      </c>
      <c r="CP61" s="31" t="str">
        <f>IF(AND($G61='Tournament Setup'!$A$41,$E61="M",$CO61&gt;'Tournament Setup'!$B$41),$H61,"")</f>
        <v/>
      </c>
      <c r="CQ61" s="1" t="str">
        <f>IF(ISNUMBER(CP61)=TRUE,IF(_xlfn.RANK.EQ(CP61,$CP$2:$CP$111)&lt;='Tournament Setup'!$C$41,_xlfn.RANK.EQ(CP61,$CP$2:$CP$111),""),"")</f>
        <v/>
      </c>
      <c r="CR61" s="31" t="str">
        <f>IF(AND($G61='Tournament Setup'!$A$41,$E61="F",$CO61&gt;'Tournament Setup'!$B$41),$H61,"")</f>
        <v/>
      </c>
      <c r="CS61" s="12" t="str">
        <f>IF(ISNUMBER(CR61)=TRUE,IF(_xlfn.RANK.EQ(CR61,$CR$2:$CR$111)&lt;='Tournament Setup'!$D$41,_xlfn.RANK.EQ(CR61,$CR$2:$CR$111),""),"")</f>
        <v/>
      </c>
    </row>
    <row r="62" spans="1:97" x14ac:dyDescent="0.3">
      <c r="B62" t="str">
        <f>IFERROR(INDEX('Tournament List'!$B:$B,MATCH($A62,'Tournament List'!$A:$A,0)),"")</f>
        <v/>
      </c>
      <c r="C62" t="str">
        <f>IFERROR(INDEX('Tournament List'!$C:$C,MATCH($A62,'Tournament List'!$A:$A,0)),"")</f>
        <v/>
      </c>
      <c r="D62" t="str">
        <f t="shared" si="5"/>
        <v xml:space="preserve"> </v>
      </c>
      <c r="E62" s="1" t="str">
        <f>IFERROR(INDEX('Tournament List'!F:F,MATCH($A62,'Tournament List'!$A:$A,0)),"")</f>
        <v/>
      </c>
      <c r="F62" t="str">
        <f>IFERROR(INDEX('Tournament List'!M:M,MATCH($A62,'Tournament List'!$A:$A,0)),"")</f>
        <v/>
      </c>
      <c r="G62" s="1" t="str">
        <f>IFERROR(INDEX('Tournament List'!W:W,MATCH($A62,'Tournament List'!$A:$A,0)),"")</f>
        <v/>
      </c>
      <c r="H62" s="129" t="str">
        <f>IFERROR(INDEX('Tournament List'!Z:Z,MATCH($A62,'Tournament List'!$A:$A,0)),"")</f>
        <v/>
      </c>
      <c r="I62" s="152" t="str">
        <f>IFERROR(INDEX('Tournament List'!T:T,MATCH($A62,'Tournament List'!$A:$A,0)),"")</f>
        <v/>
      </c>
      <c r="J62" s="56" t="str">
        <f>IF(ISNUMBER(I62),IF(COUNTIFS(J$1:J61,_xlfn.RANK.EQ(I62,I$2:I$111,0))&gt;0,_xlfn.MAXIFS(J$1:J61,I$1:I61,I62)+1,_xlfn.RANK.EQ(I62,I$2:I$111,0)),"")</f>
        <v/>
      </c>
      <c r="K62" s="11" t="str">
        <f t="shared" si="6"/>
        <v/>
      </c>
      <c r="L62" s="56" t="str">
        <f>IF(ISNUMBER(H62),IF(COUNTIFS(L$1:L61,_xlfn.RANK.EQ(H62,H$2:H$111,0))&gt;0,_xlfn.MAXIFS(L$1:L61,H$1:H61,H62)+1,_xlfn.RANK.EQ(H62,H$2:H$111,0)),"")</f>
        <v/>
      </c>
      <c r="M62" s="151" t="str">
        <f t="shared" si="7"/>
        <v/>
      </c>
      <c r="N62" s="47" t="str">
        <f>IF(ISNUMBER(M62),IF(COUNTIFS(N$1:N61,_xlfn.RANK.EQ(M62,M$2:M$111,0))&gt;0,_xlfn.MAXIFS(N$1:N61,M$1:M61,M62)+1,_xlfn.RANK.EQ(M62,M$2:M$111,0)),"")</f>
        <v/>
      </c>
      <c r="O62" s="1" t="str">
        <f>IF(ISNUMBER(M62)=TRUE,IF(_xlfn.RANK.EQ(M62,$M$2:$M$111)&lt;='Tournament Setup'!$B$23,_xlfn.RANK.EQ(M62,$M$2:$M$111),""),"")</f>
        <v/>
      </c>
      <c r="P62" s="150" t="str">
        <f t="shared" si="8"/>
        <v/>
      </c>
      <c r="Q62" s="1" t="str">
        <f>IF(ISNUMBER(P62)=TRUE,IF(_xlfn.RANK.EQ(P62,$P$2:$P$111)&lt;='Tournament Setup'!$B$24,_xlfn.RANK.EQ(P62,$P$2:$P$111),""),"")</f>
        <v/>
      </c>
      <c r="R62" s="150" t="str">
        <f t="shared" si="9"/>
        <v/>
      </c>
      <c r="S62" s="12" t="str">
        <f>IF(ISNUMBER(R62)=TRUE,IF(_xlfn.RANK.EQ(R62,$R$2:$R$111)&lt;='Tournament Setup'!$B$25,_xlfn.RANK.EQ(R62,$R$2:$R$111),""),"")</f>
        <v/>
      </c>
      <c r="T62" s="152" t="str">
        <f>IF(AND($F62='Tournament Setup'!$A$29,$I62&lt;&gt;0),$I62,"")</f>
        <v/>
      </c>
      <c r="U62" s="47" t="str">
        <f>IF(ISNUMBER(T62),IF(COUNTIFS(U$1:U61,_xlfn.RANK.EQ(T62,T$2:T$111,0))&gt;0,_xlfn.MAXIFS(U$1:U61,T$1:T61,T62)+1,_xlfn.RANK.EQ(T62,T$2:T$111,0)),"")</f>
        <v/>
      </c>
      <c r="V62" s="1" t="str">
        <f>IF(ISNUMBER(T62)=TRUE,IF(_xlfn.RANK.EQ(T62,$T$3:$T$112)&lt;='Tournament Setup'!$B$46,_xlfn.RANK.EQ(T62,$T$2:$T$111),""),"")</f>
        <v/>
      </c>
      <c r="W62" s="30" t="str">
        <f>IF(AND($F62='Tournament Setup'!$A$29,SUM($O62,$Q62,$S62)=0),$H62,"")</f>
        <v/>
      </c>
      <c r="X62" s="47" t="str">
        <f>IF(ISNUMBER(W62),IF(COUNTIFS(X$1:X61,_xlfn.RANK.EQ(W62,W$2:W$111,0))&gt;0,_xlfn.MAXIFS(X$1:X61,W$1:W61,W62)+1,_xlfn.RANK.EQ(W62,W$2:W$111,0)),"")</f>
        <v/>
      </c>
      <c r="Y62" s="1" t="str">
        <f>IF(ISNUMBER(W62)=TRUE,IF(_xlfn.RANK.EQ(W62,$W$2:$W$111)&lt;='Tournament Setup'!$B$29,_xlfn.RANK.EQ(W62,$W$2:$W$111),""),"")</f>
        <v/>
      </c>
      <c r="Z62" s="31" t="str">
        <f>IF(AND($F62='Tournament Setup'!$A$29,SUM($O62,$Q62)=0,$E62="M",$Y62&gt;'Tournament Setup'!$B$29),$H62,"")</f>
        <v/>
      </c>
      <c r="AA62" s="1" t="str">
        <f>IF(ISNUMBER(Z62)=TRUE,IF(_xlfn.RANK.EQ(Z62,$Z$2:$Z$111)&lt;='Tournament Setup'!$C$29,_xlfn.RANK.EQ(Z62,$Z$2:$Z$111),""),"")</f>
        <v/>
      </c>
      <c r="AB62" s="31" t="str">
        <f>IF(AND($F62='Tournament Setup'!$A$29,SUM($O62,$S62)=0,$E62="F",$Y62&gt;'Tournament Setup'!$B$29),$H62,"")</f>
        <v/>
      </c>
      <c r="AC62" s="12" t="str">
        <f>IF(ISNUMBER(AB62)=TRUE,IF(_xlfn.RANK.EQ(AB62,$AB$2:$AB$111)&lt;='Tournament Setup'!$D$29,_xlfn.RANK.EQ(AB62,$AB$2:$AB$111),""),"")</f>
        <v/>
      </c>
      <c r="AD62" s="30" t="str">
        <f>IF(AND($F62='Tournament Setup'!$A$30,$I62&lt;&gt;0),$I62,"")</f>
        <v/>
      </c>
      <c r="AE62" s="47" t="str">
        <f>IF(ISNUMBER(AD62),IF(COUNTIFS(AE$1:AE61,_xlfn.RANK.EQ(AD62,AD$2:AD$111,0))&gt;0,_xlfn.MAXIFS(AE$1:AE61,AD$1:AD61,AD62)+1,_xlfn.RANK.EQ(AD62,AD$2:AD$111,0)),"")</f>
        <v/>
      </c>
      <c r="AF62" s="1" t="str">
        <f>IF(ISNUMBER(AD62)=TRUE,IF(_xlfn.RANK.EQ(AD62,$AD$2:$AD$111)&lt;='Tournament Setup'!$B$46,_xlfn.RANK.EQ(AD62,$AD$2:$AD$111),""),"")</f>
        <v/>
      </c>
      <c r="AG62" s="30" t="str">
        <f>IF(AND($F62='Tournament Setup'!$A$30,SUM($O62,$Q62,$S62)=0),$H62,"")</f>
        <v/>
      </c>
      <c r="AH62" s="47" t="str">
        <f>IF(ISNUMBER(AG62),IF(COUNTIFS(AH$1:AH61,_xlfn.RANK.EQ(AG62,AG$2:AG$111,0))&gt;0,_xlfn.MAXIFS(AH$1:AH61,AG$1:AG61,AG62)+1,_xlfn.RANK.EQ(AG62,AG$2:AG$111,0)),"")</f>
        <v/>
      </c>
      <c r="AI62" s="1" t="str">
        <f>IF(ISNUMBER(AG62)=TRUE,IF(_xlfn.RANK.EQ(AG62,$AG$2:$AG$111)&lt;='Tournament Setup'!$B$30,_xlfn.RANK.EQ(AG62,$AG$2:$AG$111),""),"")</f>
        <v/>
      </c>
      <c r="AJ62" s="31" t="str">
        <f>IF(AND($F62='Tournament Setup'!$A$30,SUM($O62,$Q62)=0,$E62="M",$AI62&gt;'Tournament Setup'!$B$30),$H62,"")</f>
        <v/>
      </c>
      <c r="AK62" s="1" t="str">
        <f>IF(ISNUMBER(AJ62)=TRUE,IF(_xlfn.RANK.EQ(AJ62,$AJ$2:$AJ$111)&lt;='Tournament Setup'!$C$30,_xlfn.RANK.EQ(AJ62,$AJ$2:$AJ$111),""),"")</f>
        <v/>
      </c>
      <c r="AL62" s="31" t="str">
        <f>IF(AND($F62='Tournament Setup'!$A$30,SUM($O62,$S62)=0,$E62="F",$AI62&gt;'Tournament Setup'!$B$30),$H62,"")</f>
        <v/>
      </c>
      <c r="AM62" s="12" t="str">
        <f>IF(ISNUMBER(AL62)=TRUE,IF(_xlfn.RANK.EQ(AL62,$AL$2:$AL$111)&lt;='Tournament Setup'!$D$30,_xlfn.RANK.EQ(AL62,$AL$2:$AL$111),""),"")</f>
        <v/>
      </c>
      <c r="AN62" s="30" t="str">
        <f>IF(AND($F62='Tournament Setup'!$A$31,$I62&lt;&gt;0),$I62,"")</f>
        <v/>
      </c>
      <c r="AO62" s="47" t="str">
        <f>IF(ISNUMBER(AN62),IF(COUNTIFS(AO$1:AO61,_xlfn.RANK.EQ(AN62,AN$2:AN$111,0))&gt;0,_xlfn.MAXIFS(AO$1:AO61,AN$1:AN61,AN62)+1,_xlfn.RANK.EQ(AN62,AN$2:AN$111,0)),"")</f>
        <v/>
      </c>
      <c r="AP62" s="1" t="str">
        <f>IF(ISNUMBER(AN62)=TRUE,IF(_xlfn.RANK.EQ(AN62,$AN$2:$AN$111)&lt;='Tournament Setup'!$B$46,_xlfn.RANK.EQ(AN62,$AN$2:$AN$111),""),"")</f>
        <v/>
      </c>
      <c r="AQ62" s="30" t="str">
        <f>IF(AND($F62='Tournament Setup'!$A$31,SUM($O62,$Q62,$S62)=0),$H62,"")</f>
        <v/>
      </c>
      <c r="AR62" s="47" t="str">
        <f>IF(ISNUMBER(AQ62),IF(COUNTIFS(AR$1:AR61,_xlfn.RANK.EQ(AQ62,AQ$2:AQ$111,0))&gt;0,_xlfn.MAXIFS(AR$1:AR61,AQ$1:AQ61,AQ62)+1,_xlfn.RANK.EQ(AQ62,AQ$2:AQ$111,0)),"")</f>
        <v/>
      </c>
      <c r="AS62" s="1" t="str">
        <f>IF(ISNUMBER(AQ62)=TRUE,IF(_xlfn.RANK.EQ(AQ62,$AQ$2:$AQ$111)&lt;='Tournament Setup'!$B$31,_xlfn.RANK.EQ(AQ62,$AQ$2:$AQ$111),""),"")</f>
        <v/>
      </c>
      <c r="AT62" s="31" t="str">
        <f>IF(AND($F62='Tournament Setup'!$A$31,SUM($O62,$Q62)=0,$E62="M",$AS62&gt;'Tournament Setup'!$B$31),$H62,"")</f>
        <v/>
      </c>
      <c r="AU62" s="1" t="str">
        <f>IF(ISNUMBER(AT62)=TRUE,IF(_xlfn.RANK.EQ(AT62,$AT$2:$AT$111)&lt;='Tournament Setup'!$C$31,_xlfn.RANK.EQ(AT62,$AT$2:$AT$111),""),"")</f>
        <v/>
      </c>
      <c r="AV62" s="31" t="str">
        <f>IF(AND($F62='Tournament Setup'!$A$31,SUM($O62,$S62)=0,$E62="F",$AS62&gt;'Tournament Setup'!$B$31),$H62,"")</f>
        <v/>
      </c>
      <c r="AW62" s="12" t="str">
        <f>IF(ISNUMBER(AV62)=TRUE,IF(_xlfn.RANK.EQ(AV62,$AV$2:$AV$111)&lt;='Tournament Setup'!$D$31,_xlfn.RANK.EQ(AV62,$AV$2:$AV$111),""),"")</f>
        <v/>
      </c>
      <c r="AX62" s="30" t="str">
        <f>IF(AND($F62='Tournament Setup'!$A$32,$I62&lt;&gt;0),$I62,"")</f>
        <v/>
      </c>
      <c r="AY62" s="47" t="str">
        <f>IF(ISNUMBER(AX62),IF(COUNTIFS(AY$1:AY61,_xlfn.RANK.EQ(AX62,AX$2:AX$111,0))&gt;0,_xlfn.MAXIFS(AY$1:AY61,AX$1:AX61,AX62)+1,_xlfn.RANK.EQ(AX62,AX$2:AX$111,0)),"")</f>
        <v/>
      </c>
      <c r="AZ62" s="1" t="str">
        <f>IF(ISNUMBER(AX62)=TRUE,IF(_xlfn.RANK.EQ(AX62,$AX$2:$AX$111)&lt;='Tournament Setup'!$B$46,_xlfn.RANK.EQ(AX62,$AX$2:$AX$111),""),"")</f>
        <v/>
      </c>
      <c r="BA62" s="30" t="str">
        <f>IF(AND($F62='Tournament Setup'!$A$32,SUM($O62,$Q62,$S62)=0),$H62,"")</f>
        <v/>
      </c>
      <c r="BB62" s="47" t="str">
        <f>IF(ISNUMBER(BA62),IF(COUNTIFS(BB$1:BB61,_xlfn.RANK.EQ(BA62,BA$2:BA$111,0))&gt;0,_xlfn.MAXIFS(BB$1:BB61,BA$1:BA61,BA62)+1,_xlfn.RANK.EQ(BA62,BA$2:BA$111,0)),"")</f>
        <v/>
      </c>
      <c r="BC62" s="1" t="str">
        <f>IF(ISNUMBER(BA62)=TRUE,IF(_xlfn.RANK.EQ(BA62,$BA$2:$BA$111)&lt;='Tournament Setup'!$B$32,_xlfn.RANK.EQ(BA62,$BA$2:$BA$111),""),"")</f>
        <v/>
      </c>
      <c r="BD62" s="31" t="str">
        <f>IF(AND($F62='Tournament Setup'!$A$32,SUM($O62,$Q62)=0,$E62="M",$BC62&gt;'Tournament Setup'!$B$32),$H62,"")</f>
        <v/>
      </c>
      <c r="BE62" s="1" t="str">
        <f>IF(ISNUMBER(BD62)=TRUE,IF(_xlfn.RANK.EQ(BD62,$BD$2:$BD$111)&lt;='Tournament Setup'!$C$32,_xlfn.RANK.EQ(BD62,$BD$2:$BD$111),""),"")</f>
        <v/>
      </c>
      <c r="BF62" s="31" t="str">
        <f>IF(AND($F62='Tournament Setup'!$A$32,SUM($O62,$S62)=0,$E62="F",$BC62&gt;'Tournament Setup'!$B$32),$H62,"")</f>
        <v/>
      </c>
      <c r="BG62" s="12" t="str">
        <f>IF(ISNUMBER(BF62)=TRUE,IF(_xlfn.RANK.EQ(BF62,$BF$2:$BF$111)&lt;='Tournament Setup'!$D$32,_xlfn.RANK.EQ(BF62,$BF$2:$BF$111),""),"")</f>
        <v/>
      </c>
      <c r="BH62" s="30" t="str">
        <f>IF(AND($F62='Tournament Setup'!$A$33,$I62&lt;&gt;0),$I62,"")</f>
        <v/>
      </c>
      <c r="BI62" s="47" t="str">
        <f>IF(ISNUMBER(BH62),IF(COUNTIFS(BI$1:BI61,_xlfn.RANK.EQ(BH62,BH$2:BH$111,0))&gt;0,_xlfn.MAXIFS(BI$1:BI61,BH$1:BH61,BH62)+1,_xlfn.RANK.EQ(BH62,BH$2:BH$111,0)),"")</f>
        <v/>
      </c>
      <c r="BJ62" s="1" t="str">
        <f>IF(ISNUMBER(BH62)=TRUE,IF(_xlfn.RANK.EQ(BH62,$BH$2:$BH$111)&lt;='Tournament Setup'!$B$46,_xlfn.RANK.EQ(BH62,$BH$2:$BH$111),""),"")</f>
        <v/>
      </c>
      <c r="BK62" s="30" t="str">
        <f>IF(AND($F62='Tournament Setup'!$A$33,SUM($O62,$Q62,$S62)=0),$H62,"")</f>
        <v/>
      </c>
      <c r="BL62" s="47" t="str">
        <f>IF(ISNUMBER(BK62),IF(COUNTIFS(BL$1:BL61,_xlfn.RANK.EQ(BK62,BK$2:BK$111,0))&gt;0,_xlfn.MAXIFS(BL$1:BL61,BK$1:BK61,BK62)+1,_xlfn.RANK.EQ(BK62,BK$2:BK$111,0)),"")</f>
        <v/>
      </c>
      <c r="BM62" s="1" t="str">
        <f>IF(ISNUMBER(BK62)=TRUE,IF(_xlfn.RANK.EQ(BK62,$BK$2:$BK$111)&lt;='Tournament Setup'!$B$33,_xlfn.RANK.EQ(BK62,$BK$2:$BK$111),""),"")</f>
        <v/>
      </c>
      <c r="BN62" s="31" t="str">
        <f>IF(AND($F62='Tournament Setup'!$A$33,SUM($O62,$Q62)=0,$E62="M",$BM62&gt;'Tournament Setup'!$B$33),$H62,"")</f>
        <v/>
      </c>
      <c r="BO62" s="1" t="str">
        <f>IF(ISNUMBER(BN62)=TRUE,IF(_xlfn.RANK.EQ(BN62,$BN$2:$BN$111)&lt;='Tournament Setup'!$C$33,_xlfn.RANK.EQ(BN62,$BN$2:$BN$111),""),"")</f>
        <v/>
      </c>
      <c r="BP62" s="31" t="str">
        <f>IF(AND($F62='Tournament Setup'!$A$33,SUM($O62,$S62)=0,$E62="F",$BM62&gt;'Tournament Setup'!$B$33),$H62,"")</f>
        <v/>
      </c>
      <c r="BQ62" s="12" t="str">
        <f>IF(ISNUMBER(BP62)=TRUE,IF(_xlfn.RANK.EQ(BP62,$BP$2:$BP$111)&lt;='Tournament Setup'!$D$33,_xlfn.RANK.EQ(BP62,$BP$2:$BP$111),""),"")</f>
        <v/>
      </c>
      <c r="BR62" s="30" t="str">
        <f>IF($G62='Tournament Setup'!$A$38,$H62,"")</f>
        <v/>
      </c>
      <c r="BS62" s="47" t="str">
        <f>IF(ISNUMBER(BR62),IF(COUNTIFS(BS$1:BS61,_xlfn.RANK.EQ(BR62,BR$2:BR$111,0))&gt;0,_xlfn.MAXIFS(BS$1:BS61,BR$1:BR61,BR62)+1,_xlfn.RANK.EQ(BR62,BR$2:BR$111,0)),"")</f>
        <v/>
      </c>
      <c r="BT62" s="1" t="str">
        <f>IF(ISNUMBER(BR62)=TRUE,IF(_xlfn.RANK.EQ(BR62,$BR$2:$BR$111)&lt;='Tournament Setup'!$B$38,_xlfn.RANK.EQ(BR62,$BR$2:$BR$111),""),"")</f>
        <v/>
      </c>
      <c r="BU62" s="31" t="str">
        <f>IF(AND($G62='Tournament Setup'!$A$38,$E62="M",$BT62&gt;'Tournament Setup'!$B$38),$H62,"")</f>
        <v/>
      </c>
      <c r="BV62" s="1" t="str">
        <f>IF(ISNUMBER(BU62)=TRUE,IF(_xlfn.RANK.EQ(BU62,$BU$2:$BU$111)&lt;='Tournament Setup'!$C$38,_xlfn.RANK.EQ(BU62,$BU$2:$BU$111),""),"")</f>
        <v/>
      </c>
      <c r="BW62" s="31" t="str">
        <f>IF(AND($G62='Tournament Setup'!$A$38,$E62="F",$BT62&gt;'Tournament Setup'!$B$38),$H62,"")</f>
        <v/>
      </c>
      <c r="BX62" s="12" t="str">
        <f>IF(ISNUMBER(BW62)=TRUE,IF(_xlfn.RANK.EQ(BW62,$BW$2:$BW$111)&lt;='Tournament Setup'!$D$38,_xlfn.RANK.EQ(BW62,$BW$2:$BW$111),""),"")</f>
        <v/>
      </c>
      <c r="BY62" s="30" t="str">
        <f>IF($G62='Tournament Setup'!$A$39,$H62,"")</f>
        <v/>
      </c>
      <c r="BZ62" s="47" t="str">
        <f>IF(ISNUMBER(BY62),IF(COUNTIFS(BZ$1:BZ61,_xlfn.RANK.EQ(BY62,BY$2:BY$111,0))&gt;0,_xlfn.MAXIFS(BZ$1:BZ61,BY$1:BY61,BY62)+1,_xlfn.RANK.EQ(BY62,BY$2:BY$111,0)),"")</f>
        <v/>
      </c>
      <c r="CA62" s="1" t="str">
        <f>IF(ISNUMBER(BY62)=TRUE,IF(_xlfn.RANK.EQ(BY62,$BY$2:$BY$111)&lt;='Tournament Setup'!$B$39,_xlfn.RANK.EQ(BY62,$BY$2:$BY$111),""),"")</f>
        <v/>
      </c>
      <c r="CB62" s="31" t="str">
        <f>IF(AND($G62='Tournament Setup'!$A$39,$E62="M",$CA62&gt;'Tournament Setup'!$B$39),$H62,"")</f>
        <v/>
      </c>
      <c r="CC62" s="1" t="str">
        <f>IF(ISNUMBER(CB62)=TRUE,IF(_xlfn.RANK.EQ(CB62,$CB$2:$CB$111)&lt;='Tournament Setup'!$C$39,_xlfn.RANK.EQ(CB62,$CB$2:$CB$111),""),"")</f>
        <v/>
      </c>
      <c r="CD62" s="31" t="str">
        <f>IF(AND($G62='Tournament Setup'!$A$39,$E62="F",$CA62&gt;'Tournament Setup'!$B$39),$H62,"")</f>
        <v/>
      </c>
      <c r="CE62" s="12" t="str">
        <f>IF(ISNUMBER(CD62)=TRUE,IF(_xlfn.RANK.EQ(CD62,$CD$2:$CD$111)&lt;='Tournament Setup'!$D$39,_xlfn.RANK.EQ(CD62,$CD$2:$CD$111),""),"")</f>
        <v/>
      </c>
      <c r="CF62" s="30" t="str">
        <f>IF($G62='Tournament Setup'!$A$40,$H62,"")</f>
        <v/>
      </c>
      <c r="CG62" s="47" t="str">
        <f>IF(ISNUMBER(CF62),IF(COUNTIFS(CG$1:CG61,_xlfn.RANK.EQ(CF62,CF$2:CF$111,0))&gt;0,_xlfn.MAXIFS(CG$1:CG61,CF$1:CF61,CF62)+1,_xlfn.RANK.EQ(CF62,CF$2:CF$111,0)),"")</f>
        <v/>
      </c>
      <c r="CH62" s="1" t="str">
        <f>IF(ISNUMBER(CF62)=TRUE,IF(_xlfn.RANK.EQ(CF62,$CF$2:$CF$111)&lt;='Tournament Setup'!$B$40,_xlfn.RANK.EQ(CF62,$CF$2:$CF$111),""),"")</f>
        <v/>
      </c>
      <c r="CI62" s="31" t="str">
        <f>IF(AND($G62='Tournament Setup'!$A$40,$E62="M",$CH62&gt;'Tournament Setup'!$B$40),$H62,"")</f>
        <v/>
      </c>
      <c r="CJ62" s="1" t="str">
        <f>IF(ISNUMBER(CI62)=TRUE,IF(_xlfn.RANK.EQ(CI62,$CI$2:$CI$111)&lt;='Tournament Setup'!$C$40,_xlfn.RANK.EQ(CI62,$CI$2:$CI$111),""),"")</f>
        <v/>
      </c>
      <c r="CK62" s="31" t="str">
        <f>IF(AND($G62='Tournament Setup'!$A$40,$E62="F",$CH62&gt;'Tournament Setup'!$B$40),$H62,"")</f>
        <v/>
      </c>
      <c r="CL62" s="12" t="str">
        <f>IF(ISNUMBER(CK62)=TRUE,IF(_xlfn.RANK.EQ(CK62,$CK$2:$CK$111)&lt;='Tournament Setup'!$D$40,_xlfn.RANK.EQ(CK62,$CK$2:$CK$111),""),"")</f>
        <v/>
      </c>
      <c r="CM62" s="30" t="str">
        <f>IF($G62='Tournament Setup'!$A$41,$H62,"")</f>
        <v/>
      </c>
      <c r="CN62" s="47" t="str">
        <f>IF(ISNUMBER(CM62),IF(COUNTIFS(CN$1:CN61,_xlfn.RANK.EQ(CM62,CM$2:CM$111,0))&gt;0,_xlfn.MAXIFS(CN$1:CN61,CM$1:CM61,CM62)+1,_xlfn.RANK.EQ(CM62,CM$2:CM$111,0)),"")</f>
        <v/>
      </c>
      <c r="CO62" s="1" t="str">
        <f>IF(ISNUMBER(CM62)=TRUE,IF(_xlfn.RANK.EQ(CM62,$CM$2:$CM$111)&lt;='Tournament Setup'!$B$41,_xlfn.RANK.EQ(CM62,$CM$2:$CM$111),""),"")</f>
        <v/>
      </c>
      <c r="CP62" s="31" t="str">
        <f>IF(AND($G62='Tournament Setup'!$A$41,$E62="M",$CO62&gt;'Tournament Setup'!$B$41),$H62,"")</f>
        <v/>
      </c>
      <c r="CQ62" s="1" t="str">
        <f>IF(ISNUMBER(CP62)=TRUE,IF(_xlfn.RANK.EQ(CP62,$CP$2:$CP$111)&lt;='Tournament Setup'!$C$41,_xlfn.RANK.EQ(CP62,$CP$2:$CP$111),""),"")</f>
        <v/>
      </c>
      <c r="CR62" s="31" t="str">
        <f>IF(AND($G62='Tournament Setup'!$A$41,$E62="F",$CO62&gt;'Tournament Setup'!$B$41),$H62,"")</f>
        <v/>
      </c>
      <c r="CS62" s="12" t="str">
        <f>IF(ISNUMBER(CR62)=TRUE,IF(_xlfn.RANK.EQ(CR62,$CR$2:$CR$111)&lt;='Tournament Setup'!$D$41,_xlfn.RANK.EQ(CR62,$CR$2:$CR$111),""),"")</f>
        <v/>
      </c>
    </row>
    <row r="63" spans="1:97" x14ac:dyDescent="0.3">
      <c r="B63" t="str">
        <f>IFERROR(INDEX('Tournament List'!$B:$B,MATCH($A63,'Tournament List'!$A:$A,0)),"")</f>
        <v/>
      </c>
      <c r="C63" t="str">
        <f>IFERROR(INDEX('Tournament List'!$C:$C,MATCH($A63,'Tournament List'!$A:$A,0)),"")</f>
        <v/>
      </c>
      <c r="D63" t="str">
        <f t="shared" si="5"/>
        <v xml:space="preserve"> </v>
      </c>
      <c r="E63" s="1" t="str">
        <f>IFERROR(INDEX('Tournament List'!F:F,MATCH($A63,'Tournament List'!$A:$A,0)),"")</f>
        <v/>
      </c>
      <c r="F63" t="str">
        <f>IFERROR(INDEX('Tournament List'!M:M,MATCH($A63,'Tournament List'!$A:$A,0)),"")</f>
        <v/>
      </c>
      <c r="G63" s="1" t="str">
        <f>IFERROR(INDEX('Tournament List'!W:W,MATCH($A63,'Tournament List'!$A:$A,0)),"")</f>
        <v/>
      </c>
      <c r="H63" s="129" t="str">
        <f>IFERROR(INDEX('Tournament List'!Z:Z,MATCH($A63,'Tournament List'!$A:$A,0)),"")</f>
        <v/>
      </c>
      <c r="I63" s="152" t="str">
        <f>IFERROR(INDEX('Tournament List'!T:T,MATCH($A63,'Tournament List'!$A:$A,0)),"")</f>
        <v/>
      </c>
      <c r="J63" s="56" t="str">
        <f>IF(ISNUMBER(I63),IF(COUNTIFS(J$1:J62,_xlfn.RANK.EQ(I63,I$2:I$111,0))&gt;0,_xlfn.MAXIFS(J$1:J62,I$1:I62,I63)+1,_xlfn.RANK.EQ(I63,I$2:I$111,0)),"")</f>
        <v/>
      </c>
      <c r="K63" s="11" t="str">
        <f t="shared" si="6"/>
        <v/>
      </c>
      <c r="L63" s="56" t="str">
        <f>IF(ISNUMBER(H63),IF(COUNTIFS(L$1:L62,_xlfn.RANK.EQ(H63,H$2:H$111,0))&gt;0,_xlfn.MAXIFS(L$1:L62,H$1:H62,H63)+1,_xlfn.RANK.EQ(H63,H$2:H$111,0)),"")</f>
        <v/>
      </c>
      <c r="M63" s="151" t="str">
        <f t="shared" si="7"/>
        <v/>
      </c>
      <c r="N63" s="47" t="str">
        <f>IF(ISNUMBER(M63),IF(COUNTIFS(N$1:N62,_xlfn.RANK.EQ(M63,M$2:M$111,0))&gt;0,_xlfn.MAXIFS(N$1:N62,M$1:M62,M63)+1,_xlfn.RANK.EQ(M63,M$2:M$111,0)),"")</f>
        <v/>
      </c>
      <c r="O63" s="1" t="str">
        <f>IF(ISNUMBER(M63)=TRUE,IF(_xlfn.RANK.EQ(M63,$M$2:$M$111)&lt;='Tournament Setup'!$B$23,_xlfn.RANK.EQ(M63,$M$2:$M$111),""),"")</f>
        <v/>
      </c>
      <c r="P63" s="150" t="str">
        <f t="shared" si="8"/>
        <v/>
      </c>
      <c r="Q63" s="1" t="str">
        <f>IF(ISNUMBER(P63)=TRUE,IF(_xlfn.RANK.EQ(P63,$P$2:$P$111)&lt;='Tournament Setup'!$B$24,_xlfn.RANK.EQ(P63,$P$2:$P$111),""),"")</f>
        <v/>
      </c>
      <c r="R63" s="150" t="str">
        <f t="shared" si="9"/>
        <v/>
      </c>
      <c r="S63" s="12" t="str">
        <f>IF(ISNUMBER(R63)=TRUE,IF(_xlfn.RANK.EQ(R63,$R$2:$R$111)&lt;='Tournament Setup'!$B$25,_xlfn.RANK.EQ(R63,$R$2:$R$111),""),"")</f>
        <v/>
      </c>
      <c r="T63" s="152" t="str">
        <f>IF(AND($F63='Tournament Setup'!$A$29,$I63&lt;&gt;0),$I63,"")</f>
        <v/>
      </c>
      <c r="U63" s="47" t="str">
        <f>IF(ISNUMBER(T63),IF(COUNTIFS(U$1:U62,_xlfn.RANK.EQ(T63,T$2:T$111,0))&gt;0,_xlfn.MAXIFS(U$1:U62,T$1:T62,T63)+1,_xlfn.RANK.EQ(T63,T$2:T$111,0)),"")</f>
        <v/>
      </c>
      <c r="V63" s="1" t="str">
        <f>IF(ISNUMBER(T63)=TRUE,IF(_xlfn.RANK.EQ(T63,$T$3:$T$112)&lt;='Tournament Setup'!$B$46,_xlfn.RANK.EQ(T63,$T$2:$T$111),""),"")</f>
        <v/>
      </c>
      <c r="W63" s="30" t="str">
        <f>IF(AND($F63='Tournament Setup'!$A$29,SUM($O63,$Q63,$S63)=0),$H63,"")</f>
        <v/>
      </c>
      <c r="X63" s="47" t="str">
        <f>IF(ISNUMBER(W63),IF(COUNTIFS(X$1:X62,_xlfn.RANK.EQ(W63,W$2:W$111,0))&gt;0,_xlfn.MAXIFS(X$1:X62,W$1:W62,W63)+1,_xlfn.RANK.EQ(W63,W$2:W$111,0)),"")</f>
        <v/>
      </c>
      <c r="Y63" s="1" t="str">
        <f>IF(ISNUMBER(W63)=TRUE,IF(_xlfn.RANK.EQ(W63,$W$2:$W$111)&lt;='Tournament Setup'!$B$29,_xlfn.RANK.EQ(W63,$W$2:$W$111),""),"")</f>
        <v/>
      </c>
      <c r="Z63" s="31" t="str">
        <f>IF(AND($F63='Tournament Setup'!$A$29,SUM($O63,$Q63)=0,$E63="M",$Y63&gt;'Tournament Setup'!$B$29),$H63,"")</f>
        <v/>
      </c>
      <c r="AA63" s="1" t="str">
        <f>IF(ISNUMBER(Z63)=TRUE,IF(_xlfn.RANK.EQ(Z63,$Z$2:$Z$111)&lt;='Tournament Setup'!$C$29,_xlfn.RANK.EQ(Z63,$Z$2:$Z$111),""),"")</f>
        <v/>
      </c>
      <c r="AB63" s="31" t="str">
        <f>IF(AND($F63='Tournament Setup'!$A$29,SUM($O63,$S63)=0,$E63="F",$Y63&gt;'Tournament Setup'!$B$29),$H63,"")</f>
        <v/>
      </c>
      <c r="AC63" s="12" t="str">
        <f>IF(ISNUMBER(AB63)=TRUE,IF(_xlfn.RANK.EQ(AB63,$AB$2:$AB$111)&lt;='Tournament Setup'!$D$29,_xlfn.RANK.EQ(AB63,$AB$2:$AB$111),""),"")</f>
        <v/>
      </c>
      <c r="AD63" s="30" t="str">
        <f>IF(AND($F63='Tournament Setup'!$A$30,$I63&lt;&gt;0),$I63,"")</f>
        <v/>
      </c>
      <c r="AE63" s="47" t="str">
        <f>IF(ISNUMBER(AD63),IF(COUNTIFS(AE$1:AE62,_xlfn.RANK.EQ(AD63,AD$2:AD$111,0))&gt;0,_xlfn.MAXIFS(AE$1:AE62,AD$1:AD62,AD63)+1,_xlfn.RANK.EQ(AD63,AD$2:AD$111,0)),"")</f>
        <v/>
      </c>
      <c r="AF63" s="1" t="str">
        <f>IF(ISNUMBER(AD63)=TRUE,IF(_xlfn.RANK.EQ(AD63,$AD$2:$AD$111)&lt;='Tournament Setup'!$B$46,_xlfn.RANK.EQ(AD63,$AD$2:$AD$111),""),"")</f>
        <v/>
      </c>
      <c r="AG63" s="30" t="str">
        <f>IF(AND($F63='Tournament Setup'!$A$30,SUM($O63,$Q63,$S63)=0),$H63,"")</f>
        <v/>
      </c>
      <c r="AH63" s="47" t="str">
        <f>IF(ISNUMBER(AG63),IF(COUNTIFS(AH$1:AH62,_xlfn.RANK.EQ(AG63,AG$2:AG$111,0))&gt;0,_xlfn.MAXIFS(AH$1:AH62,AG$1:AG62,AG63)+1,_xlfn.RANK.EQ(AG63,AG$2:AG$111,0)),"")</f>
        <v/>
      </c>
      <c r="AI63" s="1" t="str">
        <f>IF(ISNUMBER(AG63)=TRUE,IF(_xlfn.RANK.EQ(AG63,$AG$2:$AG$111)&lt;='Tournament Setup'!$B$30,_xlfn.RANK.EQ(AG63,$AG$2:$AG$111),""),"")</f>
        <v/>
      </c>
      <c r="AJ63" s="31" t="str">
        <f>IF(AND($F63='Tournament Setup'!$A$30,SUM($O63,$Q63)=0,$E63="M",$AI63&gt;'Tournament Setup'!$B$30),$H63,"")</f>
        <v/>
      </c>
      <c r="AK63" s="1" t="str">
        <f>IF(ISNUMBER(AJ63)=TRUE,IF(_xlfn.RANK.EQ(AJ63,$AJ$2:$AJ$111)&lt;='Tournament Setup'!$C$30,_xlfn.RANK.EQ(AJ63,$AJ$2:$AJ$111),""),"")</f>
        <v/>
      </c>
      <c r="AL63" s="31" t="str">
        <f>IF(AND($F63='Tournament Setup'!$A$30,SUM($O63,$S63)=0,$E63="F",$AI63&gt;'Tournament Setup'!$B$30),$H63,"")</f>
        <v/>
      </c>
      <c r="AM63" s="12" t="str">
        <f>IF(ISNUMBER(AL63)=TRUE,IF(_xlfn.RANK.EQ(AL63,$AL$2:$AL$111)&lt;='Tournament Setup'!$D$30,_xlfn.RANK.EQ(AL63,$AL$2:$AL$111),""),"")</f>
        <v/>
      </c>
      <c r="AN63" s="30" t="str">
        <f>IF(AND($F63='Tournament Setup'!$A$31,$I63&lt;&gt;0),$I63,"")</f>
        <v/>
      </c>
      <c r="AO63" s="47" t="str">
        <f>IF(ISNUMBER(AN63),IF(COUNTIFS(AO$1:AO62,_xlfn.RANK.EQ(AN63,AN$2:AN$111,0))&gt;0,_xlfn.MAXIFS(AO$1:AO62,AN$1:AN62,AN63)+1,_xlfn.RANK.EQ(AN63,AN$2:AN$111,0)),"")</f>
        <v/>
      </c>
      <c r="AP63" s="1" t="str">
        <f>IF(ISNUMBER(AN63)=TRUE,IF(_xlfn.RANK.EQ(AN63,$AN$2:$AN$111)&lt;='Tournament Setup'!$B$46,_xlfn.RANK.EQ(AN63,$AN$2:$AN$111),""),"")</f>
        <v/>
      </c>
      <c r="AQ63" s="30" t="str">
        <f>IF(AND($F63='Tournament Setup'!$A$31,SUM($O63,$Q63,$S63)=0),$H63,"")</f>
        <v/>
      </c>
      <c r="AR63" s="47" t="str">
        <f>IF(ISNUMBER(AQ63),IF(COUNTIFS(AR$1:AR62,_xlfn.RANK.EQ(AQ63,AQ$2:AQ$111,0))&gt;0,_xlfn.MAXIFS(AR$1:AR62,AQ$1:AQ62,AQ63)+1,_xlfn.RANK.EQ(AQ63,AQ$2:AQ$111,0)),"")</f>
        <v/>
      </c>
      <c r="AS63" s="1" t="str">
        <f>IF(ISNUMBER(AQ63)=TRUE,IF(_xlfn.RANK.EQ(AQ63,$AQ$2:$AQ$111)&lt;='Tournament Setup'!$B$31,_xlfn.RANK.EQ(AQ63,$AQ$2:$AQ$111),""),"")</f>
        <v/>
      </c>
      <c r="AT63" s="31" t="str">
        <f>IF(AND($F63='Tournament Setup'!$A$31,SUM($O63,$Q63)=0,$E63="M",$AS63&gt;'Tournament Setup'!$B$31),$H63,"")</f>
        <v/>
      </c>
      <c r="AU63" s="1" t="str">
        <f>IF(ISNUMBER(AT63)=TRUE,IF(_xlfn.RANK.EQ(AT63,$AT$2:$AT$111)&lt;='Tournament Setup'!$C$31,_xlfn.RANK.EQ(AT63,$AT$2:$AT$111),""),"")</f>
        <v/>
      </c>
      <c r="AV63" s="31" t="str">
        <f>IF(AND($F63='Tournament Setup'!$A$31,SUM($O63,$S63)=0,$E63="F",$AS63&gt;'Tournament Setup'!$B$31),$H63,"")</f>
        <v/>
      </c>
      <c r="AW63" s="12" t="str">
        <f>IF(ISNUMBER(AV63)=TRUE,IF(_xlfn.RANK.EQ(AV63,$AV$2:$AV$111)&lt;='Tournament Setup'!$D$31,_xlfn.RANK.EQ(AV63,$AV$2:$AV$111),""),"")</f>
        <v/>
      </c>
      <c r="AX63" s="30" t="str">
        <f>IF(AND($F63='Tournament Setup'!$A$32,$I63&lt;&gt;0),$I63,"")</f>
        <v/>
      </c>
      <c r="AY63" s="47" t="str">
        <f>IF(ISNUMBER(AX63),IF(COUNTIFS(AY$1:AY62,_xlfn.RANK.EQ(AX63,AX$2:AX$111,0))&gt;0,_xlfn.MAXIFS(AY$1:AY62,AX$1:AX62,AX63)+1,_xlfn.RANK.EQ(AX63,AX$2:AX$111,0)),"")</f>
        <v/>
      </c>
      <c r="AZ63" s="1" t="str">
        <f>IF(ISNUMBER(AX63)=TRUE,IF(_xlfn.RANK.EQ(AX63,$AX$2:$AX$111)&lt;='Tournament Setup'!$B$46,_xlfn.RANK.EQ(AX63,$AX$2:$AX$111),""),"")</f>
        <v/>
      </c>
      <c r="BA63" s="30" t="str">
        <f>IF(AND($F63='Tournament Setup'!$A$32,SUM($O63,$Q63,$S63)=0),$H63,"")</f>
        <v/>
      </c>
      <c r="BB63" s="47" t="str">
        <f>IF(ISNUMBER(BA63),IF(COUNTIFS(BB$1:BB62,_xlfn.RANK.EQ(BA63,BA$2:BA$111,0))&gt;0,_xlfn.MAXIFS(BB$1:BB62,BA$1:BA62,BA63)+1,_xlfn.RANK.EQ(BA63,BA$2:BA$111,0)),"")</f>
        <v/>
      </c>
      <c r="BC63" s="1" t="str">
        <f>IF(ISNUMBER(BA63)=TRUE,IF(_xlfn.RANK.EQ(BA63,$BA$2:$BA$111)&lt;='Tournament Setup'!$B$32,_xlfn.RANK.EQ(BA63,$BA$2:$BA$111),""),"")</f>
        <v/>
      </c>
      <c r="BD63" s="31" t="str">
        <f>IF(AND($F63='Tournament Setup'!$A$32,SUM($O63,$Q63)=0,$E63="M",$BC63&gt;'Tournament Setup'!$B$32),$H63,"")</f>
        <v/>
      </c>
      <c r="BE63" s="1" t="str">
        <f>IF(ISNUMBER(BD63)=TRUE,IF(_xlfn.RANK.EQ(BD63,$BD$2:$BD$111)&lt;='Tournament Setup'!$C$32,_xlfn.RANK.EQ(BD63,$BD$2:$BD$111),""),"")</f>
        <v/>
      </c>
      <c r="BF63" s="31" t="str">
        <f>IF(AND($F63='Tournament Setup'!$A$32,SUM($O63,$S63)=0,$E63="F",$BC63&gt;'Tournament Setup'!$B$32),$H63,"")</f>
        <v/>
      </c>
      <c r="BG63" s="12" t="str">
        <f>IF(ISNUMBER(BF63)=TRUE,IF(_xlfn.RANK.EQ(BF63,$BF$2:$BF$111)&lt;='Tournament Setup'!$D$32,_xlfn.RANK.EQ(BF63,$BF$2:$BF$111),""),"")</f>
        <v/>
      </c>
      <c r="BH63" s="30" t="str">
        <f>IF(AND($F63='Tournament Setup'!$A$33,$I63&lt;&gt;0),$I63,"")</f>
        <v/>
      </c>
      <c r="BI63" s="47" t="str">
        <f>IF(ISNUMBER(BH63),IF(COUNTIFS(BI$1:BI62,_xlfn.RANK.EQ(BH63,BH$2:BH$111,0))&gt;0,_xlfn.MAXIFS(BI$1:BI62,BH$1:BH62,BH63)+1,_xlfn.RANK.EQ(BH63,BH$2:BH$111,0)),"")</f>
        <v/>
      </c>
      <c r="BJ63" s="1" t="str">
        <f>IF(ISNUMBER(BH63)=TRUE,IF(_xlfn.RANK.EQ(BH63,$BH$2:$BH$111)&lt;='Tournament Setup'!$B$46,_xlfn.RANK.EQ(BH63,$BH$2:$BH$111),""),"")</f>
        <v/>
      </c>
      <c r="BK63" s="30" t="str">
        <f>IF(AND($F63='Tournament Setup'!$A$33,SUM($O63,$Q63,$S63)=0),$H63,"")</f>
        <v/>
      </c>
      <c r="BL63" s="47" t="str">
        <f>IF(ISNUMBER(BK63),IF(COUNTIFS(BL$1:BL62,_xlfn.RANK.EQ(BK63,BK$2:BK$111,0))&gt;0,_xlfn.MAXIFS(BL$1:BL62,BK$1:BK62,BK63)+1,_xlfn.RANK.EQ(BK63,BK$2:BK$111,0)),"")</f>
        <v/>
      </c>
      <c r="BM63" s="1" t="str">
        <f>IF(ISNUMBER(BK63)=TRUE,IF(_xlfn.RANK.EQ(BK63,$BK$2:$BK$111)&lt;='Tournament Setup'!$B$33,_xlfn.RANK.EQ(BK63,$BK$2:$BK$111),""),"")</f>
        <v/>
      </c>
      <c r="BN63" s="31" t="str">
        <f>IF(AND($F63='Tournament Setup'!$A$33,SUM($O63,$Q63)=0,$E63="M",$BM63&gt;'Tournament Setup'!$B$33),$H63,"")</f>
        <v/>
      </c>
      <c r="BO63" s="1" t="str">
        <f>IF(ISNUMBER(BN63)=TRUE,IF(_xlfn.RANK.EQ(BN63,$BN$2:$BN$111)&lt;='Tournament Setup'!$C$33,_xlfn.RANK.EQ(BN63,$BN$2:$BN$111),""),"")</f>
        <v/>
      </c>
      <c r="BP63" s="31" t="str">
        <f>IF(AND($F63='Tournament Setup'!$A$33,SUM($O63,$S63)=0,$E63="F",$BM63&gt;'Tournament Setup'!$B$33),$H63,"")</f>
        <v/>
      </c>
      <c r="BQ63" s="12" t="str">
        <f>IF(ISNUMBER(BP63)=TRUE,IF(_xlfn.RANK.EQ(BP63,$BP$2:$BP$111)&lt;='Tournament Setup'!$D$33,_xlfn.RANK.EQ(BP63,$BP$2:$BP$111),""),"")</f>
        <v/>
      </c>
      <c r="BR63" s="30" t="str">
        <f>IF($G63='Tournament Setup'!$A$38,$H63,"")</f>
        <v/>
      </c>
      <c r="BS63" s="47" t="str">
        <f>IF(ISNUMBER(BR63),IF(COUNTIFS(BS$1:BS62,_xlfn.RANK.EQ(BR63,BR$2:BR$111,0))&gt;0,_xlfn.MAXIFS(BS$1:BS62,BR$1:BR62,BR63)+1,_xlfn.RANK.EQ(BR63,BR$2:BR$111,0)),"")</f>
        <v/>
      </c>
      <c r="BT63" s="1" t="str">
        <f>IF(ISNUMBER(BR63)=TRUE,IF(_xlfn.RANK.EQ(BR63,$BR$2:$BR$111)&lt;='Tournament Setup'!$B$38,_xlfn.RANK.EQ(BR63,$BR$2:$BR$111),""),"")</f>
        <v/>
      </c>
      <c r="BU63" s="31" t="str">
        <f>IF(AND($G63='Tournament Setup'!$A$38,$E63="M",$BT63&gt;'Tournament Setup'!$B$38),$H63,"")</f>
        <v/>
      </c>
      <c r="BV63" s="1" t="str">
        <f>IF(ISNUMBER(BU63)=TRUE,IF(_xlfn.RANK.EQ(BU63,$BU$2:$BU$111)&lt;='Tournament Setup'!$C$38,_xlfn.RANK.EQ(BU63,$BU$2:$BU$111),""),"")</f>
        <v/>
      </c>
      <c r="BW63" s="31" t="str">
        <f>IF(AND($G63='Tournament Setup'!$A$38,$E63="F",$BT63&gt;'Tournament Setup'!$B$38),$H63,"")</f>
        <v/>
      </c>
      <c r="BX63" s="12" t="str">
        <f>IF(ISNUMBER(BW63)=TRUE,IF(_xlfn.RANK.EQ(BW63,$BW$2:$BW$111)&lt;='Tournament Setup'!$D$38,_xlfn.RANK.EQ(BW63,$BW$2:$BW$111),""),"")</f>
        <v/>
      </c>
      <c r="BY63" s="30" t="str">
        <f>IF($G63='Tournament Setup'!$A$39,$H63,"")</f>
        <v/>
      </c>
      <c r="BZ63" s="47" t="str">
        <f>IF(ISNUMBER(BY63),IF(COUNTIFS(BZ$1:BZ62,_xlfn.RANK.EQ(BY63,BY$2:BY$111,0))&gt;0,_xlfn.MAXIFS(BZ$1:BZ62,BY$1:BY62,BY63)+1,_xlfn.RANK.EQ(BY63,BY$2:BY$111,0)),"")</f>
        <v/>
      </c>
      <c r="CA63" s="1" t="str">
        <f>IF(ISNUMBER(BY63)=TRUE,IF(_xlfn.RANK.EQ(BY63,$BY$2:$BY$111)&lt;='Tournament Setup'!$B$39,_xlfn.RANK.EQ(BY63,$BY$2:$BY$111),""),"")</f>
        <v/>
      </c>
      <c r="CB63" s="31" t="str">
        <f>IF(AND($G63='Tournament Setup'!$A$39,$E63="M",$CA63&gt;'Tournament Setup'!$B$39),$H63,"")</f>
        <v/>
      </c>
      <c r="CC63" s="1" t="str">
        <f>IF(ISNUMBER(CB63)=TRUE,IF(_xlfn.RANK.EQ(CB63,$CB$2:$CB$111)&lt;='Tournament Setup'!$C$39,_xlfn.RANK.EQ(CB63,$CB$2:$CB$111),""),"")</f>
        <v/>
      </c>
      <c r="CD63" s="31" t="str">
        <f>IF(AND($G63='Tournament Setup'!$A$39,$E63="F",$CA63&gt;'Tournament Setup'!$B$39),$H63,"")</f>
        <v/>
      </c>
      <c r="CE63" s="12" t="str">
        <f>IF(ISNUMBER(CD63)=TRUE,IF(_xlfn.RANK.EQ(CD63,$CD$2:$CD$111)&lt;='Tournament Setup'!$D$39,_xlfn.RANK.EQ(CD63,$CD$2:$CD$111),""),"")</f>
        <v/>
      </c>
      <c r="CF63" s="30" t="str">
        <f>IF($G63='Tournament Setup'!$A$40,$H63,"")</f>
        <v/>
      </c>
      <c r="CG63" s="47" t="str">
        <f>IF(ISNUMBER(CF63),IF(COUNTIFS(CG$1:CG62,_xlfn.RANK.EQ(CF63,CF$2:CF$111,0))&gt;0,_xlfn.MAXIFS(CG$1:CG62,CF$1:CF62,CF63)+1,_xlfn.RANK.EQ(CF63,CF$2:CF$111,0)),"")</f>
        <v/>
      </c>
      <c r="CH63" s="1" t="str">
        <f>IF(ISNUMBER(CF63)=TRUE,IF(_xlfn.RANK.EQ(CF63,$CF$2:$CF$111)&lt;='Tournament Setup'!$B$40,_xlfn.RANK.EQ(CF63,$CF$2:$CF$111),""),"")</f>
        <v/>
      </c>
      <c r="CI63" s="31" t="str">
        <f>IF(AND($G63='Tournament Setup'!$A$40,$E63="M",$CH63&gt;'Tournament Setup'!$B$40),$H63,"")</f>
        <v/>
      </c>
      <c r="CJ63" s="1" t="str">
        <f>IF(ISNUMBER(CI63)=TRUE,IF(_xlfn.RANK.EQ(CI63,$CI$2:$CI$111)&lt;='Tournament Setup'!$C$40,_xlfn.RANK.EQ(CI63,$CI$2:$CI$111),""),"")</f>
        <v/>
      </c>
      <c r="CK63" s="31" t="str">
        <f>IF(AND($G63='Tournament Setup'!$A$40,$E63="F",$CH63&gt;'Tournament Setup'!$B$40),$H63,"")</f>
        <v/>
      </c>
      <c r="CL63" s="12" t="str">
        <f>IF(ISNUMBER(CK63)=TRUE,IF(_xlfn.RANK.EQ(CK63,$CK$2:$CK$111)&lt;='Tournament Setup'!$D$40,_xlfn.RANK.EQ(CK63,$CK$2:$CK$111),""),"")</f>
        <v/>
      </c>
      <c r="CM63" s="30" t="str">
        <f>IF($G63='Tournament Setup'!$A$41,$H63,"")</f>
        <v/>
      </c>
      <c r="CN63" s="47" t="str">
        <f>IF(ISNUMBER(CM63),IF(COUNTIFS(CN$1:CN62,_xlfn.RANK.EQ(CM63,CM$2:CM$111,0))&gt;0,_xlfn.MAXIFS(CN$1:CN62,CM$1:CM62,CM63)+1,_xlfn.RANK.EQ(CM63,CM$2:CM$111,0)),"")</f>
        <v/>
      </c>
      <c r="CO63" s="1" t="str">
        <f>IF(ISNUMBER(CM63)=TRUE,IF(_xlfn.RANK.EQ(CM63,$CM$2:$CM$111)&lt;='Tournament Setup'!$B$41,_xlfn.RANK.EQ(CM63,$CM$2:$CM$111),""),"")</f>
        <v/>
      </c>
      <c r="CP63" s="31" t="str">
        <f>IF(AND($G63='Tournament Setup'!$A$41,$E63="M",$CO63&gt;'Tournament Setup'!$B$41),$H63,"")</f>
        <v/>
      </c>
      <c r="CQ63" s="1" t="str">
        <f>IF(ISNUMBER(CP63)=TRUE,IF(_xlfn.RANK.EQ(CP63,$CP$2:$CP$111)&lt;='Tournament Setup'!$C$41,_xlfn.RANK.EQ(CP63,$CP$2:$CP$111),""),"")</f>
        <v/>
      </c>
      <c r="CR63" s="31" t="str">
        <f>IF(AND($G63='Tournament Setup'!$A$41,$E63="F",$CO63&gt;'Tournament Setup'!$B$41),$H63,"")</f>
        <v/>
      </c>
      <c r="CS63" s="12" t="str">
        <f>IF(ISNUMBER(CR63)=TRUE,IF(_xlfn.RANK.EQ(CR63,$CR$2:$CR$111)&lt;='Tournament Setup'!$D$41,_xlfn.RANK.EQ(CR63,$CR$2:$CR$111),""),"")</f>
        <v/>
      </c>
    </row>
    <row r="64" spans="1:97" x14ac:dyDescent="0.3">
      <c r="B64" t="str">
        <f>IFERROR(INDEX('Tournament List'!$B:$B,MATCH($A64,'Tournament List'!$A:$A,0)),"")</f>
        <v/>
      </c>
      <c r="C64" t="str">
        <f>IFERROR(INDEX('Tournament List'!$C:$C,MATCH($A64,'Tournament List'!$A:$A,0)),"")</f>
        <v/>
      </c>
      <c r="D64" t="str">
        <f t="shared" si="5"/>
        <v xml:space="preserve"> </v>
      </c>
      <c r="E64" s="1" t="str">
        <f>IFERROR(INDEX('Tournament List'!F:F,MATCH($A64,'Tournament List'!$A:$A,0)),"")</f>
        <v/>
      </c>
      <c r="F64" t="str">
        <f>IFERROR(INDEX('Tournament List'!M:M,MATCH($A64,'Tournament List'!$A:$A,0)),"")</f>
        <v/>
      </c>
      <c r="G64" s="1" t="str">
        <f>IFERROR(INDEX('Tournament List'!W:W,MATCH($A64,'Tournament List'!$A:$A,0)),"")</f>
        <v/>
      </c>
      <c r="H64" s="129" t="str">
        <f>IFERROR(INDEX('Tournament List'!Z:Z,MATCH($A64,'Tournament List'!$A:$A,0)),"")</f>
        <v/>
      </c>
      <c r="I64" s="152" t="str">
        <f>IFERROR(INDEX('Tournament List'!T:T,MATCH($A64,'Tournament List'!$A:$A,0)),"")</f>
        <v/>
      </c>
      <c r="J64" s="56" t="str">
        <f>IF(ISNUMBER(I64),IF(COUNTIFS(J$1:J63,_xlfn.RANK.EQ(I64,I$2:I$111,0))&gt;0,_xlfn.MAXIFS(J$1:J63,I$1:I63,I64)+1,_xlfn.RANK.EQ(I64,I$2:I$111,0)),"")</f>
        <v/>
      </c>
      <c r="K64" s="11" t="str">
        <f t="shared" si="6"/>
        <v/>
      </c>
      <c r="L64" s="56" t="str">
        <f>IF(ISNUMBER(H64),IF(COUNTIFS(L$1:L63,_xlfn.RANK.EQ(H64,H$2:H$111,0))&gt;0,_xlfn.MAXIFS(L$1:L63,H$1:H63,H64)+1,_xlfn.RANK.EQ(H64,H$2:H$111,0)),"")</f>
        <v/>
      </c>
      <c r="M64" s="151" t="str">
        <f t="shared" si="7"/>
        <v/>
      </c>
      <c r="N64" s="47" t="str">
        <f>IF(ISNUMBER(M64),IF(COUNTIFS(N$1:N63,_xlfn.RANK.EQ(M64,M$2:M$111,0))&gt;0,_xlfn.MAXIFS(N$1:N63,M$1:M63,M64)+1,_xlfn.RANK.EQ(M64,M$2:M$111,0)),"")</f>
        <v/>
      </c>
      <c r="O64" s="1" t="str">
        <f>IF(ISNUMBER(M64)=TRUE,IF(_xlfn.RANK.EQ(M64,$M$2:$M$111)&lt;='Tournament Setup'!$B$23,_xlfn.RANK.EQ(M64,$M$2:$M$111),""),"")</f>
        <v/>
      </c>
      <c r="P64" s="150" t="str">
        <f t="shared" si="8"/>
        <v/>
      </c>
      <c r="Q64" s="1" t="str">
        <f>IF(ISNUMBER(P64)=TRUE,IF(_xlfn.RANK.EQ(P64,$P$2:$P$111)&lt;='Tournament Setup'!$B$24,_xlfn.RANK.EQ(P64,$P$2:$P$111),""),"")</f>
        <v/>
      </c>
      <c r="R64" s="150" t="str">
        <f t="shared" si="9"/>
        <v/>
      </c>
      <c r="S64" s="12" t="str">
        <f>IF(ISNUMBER(R64)=TRUE,IF(_xlfn.RANK.EQ(R64,$R$2:$R$111)&lt;='Tournament Setup'!$B$25,_xlfn.RANK.EQ(R64,$R$2:$R$111),""),"")</f>
        <v/>
      </c>
      <c r="T64" s="152" t="str">
        <f>IF(AND($F64='Tournament Setup'!$A$29,$I64&lt;&gt;0),$I64,"")</f>
        <v/>
      </c>
      <c r="U64" s="47" t="str">
        <f>IF(ISNUMBER(T64),IF(COUNTIFS(U$1:U63,_xlfn.RANK.EQ(T64,T$2:T$111,0))&gt;0,_xlfn.MAXIFS(U$1:U63,T$1:T63,T64)+1,_xlfn.RANK.EQ(T64,T$2:T$111,0)),"")</f>
        <v/>
      </c>
      <c r="V64" s="1" t="str">
        <f>IF(ISNUMBER(T64)=TRUE,IF(_xlfn.RANK.EQ(T64,$T$3:$T$112)&lt;='Tournament Setup'!$B$46,_xlfn.RANK.EQ(T64,$T$2:$T$111),""),"")</f>
        <v/>
      </c>
      <c r="W64" s="30" t="str">
        <f>IF(AND($F64='Tournament Setup'!$A$29,SUM($O64,$Q64,$S64)=0),$H64,"")</f>
        <v/>
      </c>
      <c r="X64" s="47" t="str">
        <f>IF(ISNUMBER(W64),IF(COUNTIFS(X$1:X63,_xlfn.RANK.EQ(W64,W$2:W$111,0))&gt;0,_xlfn.MAXIFS(X$1:X63,W$1:W63,W64)+1,_xlfn.RANK.EQ(W64,W$2:W$111,0)),"")</f>
        <v/>
      </c>
      <c r="Y64" s="1" t="str">
        <f>IF(ISNUMBER(W64)=TRUE,IF(_xlfn.RANK.EQ(W64,$W$2:$W$111)&lt;='Tournament Setup'!$B$29,_xlfn.RANK.EQ(W64,$W$2:$W$111),""),"")</f>
        <v/>
      </c>
      <c r="Z64" s="31" t="str">
        <f>IF(AND($F64='Tournament Setup'!$A$29,SUM($O64,$Q64)=0,$E64="M",$Y64&gt;'Tournament Setup'!$B$29),$H64,"")</f>
        <v/>
      </c>
      <c r="AA64" s="1" t="str">
        <f>IF(ISNUMBER(Z64)=TRUE,IF(_xlfn.RANK.EQ(Z64,$Z$2:$Z$111)&lt;='Tournament Setup'!$C$29,_xlfn.RANK.EQ(Z64,$Z$2:$Z$111),""),"")</f>
        <v/>
      </c>
      <c r="AB64" s="31" t="str">
        <f>IF(AND($F64='Tournament Setup'!$A$29,SUM($O64,$S64)=0,$E64="F",$Y64&gt;'Tournament Setup'!$B$29),$H64,"")</f>
        <v/>
      </c>
      <c r="AC64" s="12" t="str">
        <f>IF(ISNUMBER(AB64)=TRUE,IF(_xlfn.RANK.EQ(AB64,$AB$2:$AB$111)&lt;='Tournament Setup'!$D$29,_xlfn.RANK.EQ(AB64,$AB$2:$AB$111),""),"")</f>
        <v/>
      </c>
      <c r="AD64" s="30" t="str">
        <f>IF(AND($F64='Tournament Setup'!$A$30,$I64&lt;&gt;0),$I64,"")</f>
        <v/>
      </c>
      <c r="AE64" s="47" t="str">
        <f>IF(ISNUMBER(AD64),IF(COUNTIFS(AE$1:AE63,_xlfn.RANK.EQ(AD64,AD$2:AD$111,0))&gt;0,_xlfn.MAXIFS(AE$1:AE63,AD$1:AD63,AD64)+1,_xlfn.RANK.EQ(AD64,AD$2:AD$111,0)),"")</f>
        <v/>
      </c>
      <c r="AF64" s="1" t="str">
        <f>IF(ISNUMBER(AD64)=TRUE,IF(_xlfn.RANK.EQ(AD64,$AD$2:$AD$111)&lt;='Tournament Setup'!$B$46,_xlfn.RANK.EQ(AD64,$AD$2:$AD$111),""),"")</f>
        <v/>
      </c>
      <c r="AG64" s="30" t="str">
        <f>IF(AND($F64='Tournament Setup'!$A$30,SUM($O64,$Q64,$S64)=0),$H64,"")</f>
        <v/>
      </c>
      <c r="AH64" s="47" t="str">
        <f>IF(ISNUMBER(AG64),IF(COUNTIFS(AH$1:AH63,_xlfn.RANK.EQ(AG64,AG$2:AG$111,0))&gt;0,_xlfn.MAXIFS(AH$1:AH63,AG$1:AG63,AG64)+1,_xlfn.RANK.EQ(AG64,AG$2:AG$111,0)),"")</f>
        <v/>
      </c>
      <c r="AI64" s="1" t="str">
        <f>IF(ISNUMBER(AG64)=TRUE,IF(_xlfn.RANK.EQ(AG64,$AG$2:$AG$111)&lt;='Tournament Setup'!$B$30,_xlfn.RANK.EQ(AG64,$AG$2:$AG$111),""),"")</f>
        <v/>
      </c>
      <c r="AJ64" s="31" t="str">
        <f>IF(AND($F64='Tournament Setup'!$A$30,SUM($O64,$Q64)=0,$E64="M",$AI64&gt;'Tournament Setup'!$B$30),$H64,"")</f>
        <v/>
      </c>
      <c r="AK64" s="1" t="str">
        <f>IF(ISNUMBER(AJ64)=TRUE,IF(_xlfn.RANK.EQ(AJ64,$AJ$2:$AJ$111)&lt;='Tournament Setup'!$C$30,_xlfn.RANK.EQ(AJ64,$AJ$2:$AJ$111),""),"")</f>
        <v/>
      </c>
      <c r="AL64" s="31" t="str">
        <f>IF(AND($F64='Tournament Setup'!$A$30,SUM($O64,$S64)=0,$E64="F",$AI64&gt;'Tournament Setup'!$B$30),$H64,"")</f>
        <v/>
      </c>
      <c r="AM64" s="12" t="str">
        <f>IF(ISNUMBER(AL64)=TRUE,IF(_xlfn.RANK.EQ(AL64,$AL$2:$AL$111)&lt;='Tournament Setup'!$D$30,_xlfn.RANK.EQ(AL64,$AL$2:$AL$111),""),"")</f>
        <v/>
      </c>
      <c r="AN64" s="30" t="str">
        <f>IF(AND($F64='Tournament Setup'!$A$31,$I64&lt;&gt;0),$I64,"")</f>
        <v/>
      </c>
      <c r="AO64" s="47" t="str">
        <f>IF(ISNUMBER(AN64),IF(COUNTIFS(AO$1:AO63,_xlfn.RANK.EQ(AN64,AN$2:AN$111,0))&gt;0,_xlfn.MAXIFS(AO$1:AO63,AN$1:AN63,AN64)+1,_xlfn.RANK.EQ(AN64,AN$2:AN$111,0)),"")</f>
        <v/>
      </c>
      <c r="AP64" s="1" t="str">
        <f>IF(ISNUMBER(AN64)=TRUE,IF(_xlfn.RANK.EQ(AN64,$AN$2:$AN$111)&lt;='Tournament Setup'!$B$46,_xlfn.RANK.EQ(AN64,$AN$2:$AN$111),""),"")</f>
        <v/>
      </c>
      <c r="AQ64" s="30" t="str">
        <f>IF(AND($F64='Tournament Setup'!$A$31,SUM($O64,$Q64,$S64)=0),$H64,"")</f>
        <v/>
      </c>
      <c r="AR64" s="47" t="str">
        <f>IF(ISNUMBER(AQ64),IF(COUNTIFS(AR$1:AR63,_xlfn.RANK.EQ(AQ64,AQ$2:AQ$111,0))&gt;0,_xlfn.MAXIFS(AR$1:AR63,AQ$1:AQ63,AQ64)+1,_xlfn.RANK.EQ(AQ64,AQ$2:AQ$111,0)),"")</f>
        <v/>
      </c>
      <c r="AS64" s="1" t="str">
        <f>IF(ISNUMBER(AQ64)=TRUE,IF(_xlfn.RANK.EQ(AQ64,$AQ$2:$AQ$111)&lt;='Tournament Setup'!$B$31,_xlfn.RANK.EQ(AQ64,$AQ$2:$AQ$111),""),"")</f>
        <v/>
      </c>
      <c r="AT64" s="31" t="str">
        <f>IF(AND($F64='Tournament Setup'!$A$31,SUM($O64,$Q64)=0,$E64="M",$AS64&gt;'Tournament Setup'!$B$31),$H64,"")</f>
        <v/>
      </c>
      <c r="AU64" s="1" t="str">
        <f>IF(ISNUMBER(AT64)=TRUE,IF(_xlfn.RANK.EQ(AT64,$AT$2:$AT$111)&lt;='Tournament Setup'!$C$31,_xlfn.RANK.EQ(AT64,$AT$2:$AT$111),""),"")</f>
        <v/>
      </c>
      <c r="AV64" s="31" t="str">
        <f>IF(AND($F64='Tournament Setup'!$A$31,SUM($O64,$S64)=0,$E64="F",$AS64&gt;'Tournament Setup'!$B$31),$H64,"")</f>
        <v/>
      </c>
      <c r="AW64" s="12" t="str">
        <f>IF(ISNUMBER(AV64)=TRUE,IF(_xlfn.RANK.EQ(AV64,$AV$2:$AV$111)&lt;='Tournament Setup'!$D$31,_xlfn.RANK.EQ(AV64,$AV$2:$AV$111),""),"")</f>
        <v/>
      </c>
      <c r="AX64" s="30" t="str">
        <f>IF(AND($F64='Tournament Setup'!$A$32,$I64&lt;&gt;0),$I64,"")</f>
        <v/>
      </c>
      <c r="AY64" s="47" t="str">
        <f>IF(ISNUMBER(AX64),IF(COUNTIFS(AY$1:AY63,_xlfn.RANK.EQ(AX64,AX$2:AX$111,0))&gt;0,_xlfn.MAXIFS(AY$1:AY63,AX$1:AX63,AX64)+1,_xlfn.RANK.EQ(AX64,AX$2:AX$111,0)),"")</f>
        <v/>
      </c>
      <c r="AZ64" s="1" t="str">
        <f>IF(ISNUMBER(AX64)=TRUE,IF(_xlfn.RANK.EQ(AX64,$AX$2:$AX$111)&lt;='Tournament Setup'!$B$46,_xlfn.RANK.EQ(AX64,$AX$2:$AX$111),""),"")</f>
        <v/>
      </c>
      <c r="BA64" s="30" t="str">
        <f>IF(AND($F64='Tournament Setup'!$A$32,SUM($O64,$Q64,$S64)=0),$H64,"")</f>
        <v/>
      </c>
      <c r="BB64" s="47" t="str">
        <f>IF(ISNUMBER(BA64),IF(COUNTIFS(BB$1:BB63,_xlfn.RANK.EQ(BA64,BA$2:BA$111,0))&gt;0,_xlfn.MAXIFS(BB$1:BB63,BA$1:BA63,BA64)+1,_xlfn.RANK.EQ(BA64,BA$2:BA$111,0)),"")</f>
        <v/>
      </c>
      <c r="BC64" s="1" t="str">
        <f>IF(ISNUMBER(BA64)=TRUE,IF(_xlfn.RANK.EQ(BA64,$BA$2:$BA$111)&lt;='Tournament Setup'!$B$32,_xlfn.RANK.EQ(BA64,$BA$2:$BA$111),""),"")</f>
        <v/>
      </c>
      <c r="BD64" s="31" t="str">
        <f>IF(AND($F64='Tournament Setup'!$A$32,SUM($O64,$Q64)=0,$E64="M",$BC64&gt;'Tournament Setup'!$B$32),$H64,"")</f>
        <v/>
      </c>
      <c r="BE64" s="1" t="str">
        <f>IF(ISNUMBER(BD64)=TRUE,IF(_xlfn.RANK.EQ(BD64,$BD$2:$BD$111)&lt;='Tournament Setup'!$C$32,_xlfn.RANK.EQ(BD64,$BD$2:$BD$111),""),"")</f>
        <v/>
      </c>
      <c r="BF64" s="31" t="str">
        <f>IF(AND($F64='Tournament Setup'!$A$32,SUM($O64,$S64)=0,$E64="F",$BC64&gt;'Tournament Setup'!$B$32),$H64,"")</f>
        <v/>
      </c>
      <c r="BG64" s="12" t="str">
        <f>IF(ISNUMBER(BF64)=TRUE,IF(_xlfn.RANK.EQ(BF64,$BF$2:$BF$111)&lt;='Tournament Setup'!$D$32,_xlfn.RANK.EQ(BF64,$BF$2:$BF$111),""),"")</f>
        <v/>
      </c>
      <c r="BH64" s="30" t="str">
        <f>IF(AND($F64='Tournament Setup'!$A$33,$I64&lt;&gt;0),$I64,"")</f>
        <v/>
      </c>
      <c r="BI64" s="47" t="str">
        <f>IF(ISNUMBER(BH64),IF(COUNTIFS(BI$1:BI63,_xlfn.RANK.EQ(BH64,BH$2:BH$111,0))&gt;0,_xlfn.MAXIFS(BI$1:BI63,BH$1:BH63,BH64)+1,_xlfn.RANK.EQ(BH64,BH$2:BH$111,0)),"")</f>
        <v/>
      </c>
      <c r="BJ64" s="1" t="str">
        <f>IF(ISNUMBER(BH64)=TRUE,IF(_xlfn.RANK.EQ(BH64,$BH$2:$BH$111)&lt;='Tournament Setup'!$B$46,_xlfn.RANK.EQ(BH64,$BH$2:$BH$111),""),"")</f>
        <v/>
      </c>
      <c r="BK64" s="30" t="str">
        <f>IF(AND($F64='Tournament Setup'!$A$33,SUM($O64,$Q64,$S64)=0),$H64,"")</f>
        <v/>
      </c>
      <c r="BL64" s="47" t="str">
        <f>IF(ISNUMBER(BK64),IF(COUNTIFS(BL$1:BL63,_xlfn.RANK.EQ(BK64,BK$2:BK$111,0))&gt;0,_xlfn.MAXIFS(BL$1:BL63,BK$1:BK63,BK64)+1,_xlfn.RANK.EQ(BK64,BK$2:BK$111,0)),"")</f>
        <v/>
      </c>
      <c r="BM64" s="1" t="str">
        <f>IF(ISNUMBER(BK64)=TRUE,IF(_xlfn.RANK.EQ(BK64,$BK$2:$BK$111)&lt;='Tournament Setup'!$B$33,_xlfn.RANK.EQ(BK64,$BK$2:$BK$111),""),"")</f>
        <v/>
      </c>
      <c r="BN64" s="31" t="str">
        <f>IF(AND($F64='Tournament Setup'!$A$33,SUM($O64,$Q64)=0,$E64="M",$BM64&gt;'Tournament Setup'!$B$33),$H64,"")</f>
        <v/>
      </c>
      <c r="BO64" s="1" t="str">
        <f>IF(ISNUMBER(BN64)=TRUE,IF(_xlfn.RANK.EQ(BN64,$BN$2:$BN$111)&lt;='Tournament Setup'!$C$33,_xlfn.RANK.EQ(BN64,$BN$2:$BN$111),""),"")</f>
        <v/>
      </c>
      <c r="BP64" s="31" t="str">
        <f>IF(AND($F64='Tournament Setup'!$A$33,SUM($O64,$S64)=0,$E64="F",$BM64&gt;'Tournament Setup'!$B$33),$H64,"")</f>
        <v/>
      </c>
      <c r="BQ64" s="12" t="str">
        <f>IF(ISNUMBER(BP64)=TRUE,IF(_xlfn.RANK.EQ(BP64,$BP$2:$BP$111)&lt;='Tournament Setup'!$D$33,_xlfn.RANK.EQ(BP64,$BP$2:$BP$111),""),"")</f>
        <v/>
      </c>
      <c r="BR64" s="30" t="str">
        <f>IF($G64='Tournament Setup'!$A$38,$H64,"")</f>
        <v/>
      </c>
      <c r="BS64" s="47" t="str">
        <f>IF(ISNUMBER(BR64),IF(COUNTIFS(BS$1:BS63,_xlfn.RANK.EQ(BR64,BR$2:BR$111,0))&gt;0,_xlfn.MAXIFS(BS$1:BS63,BR$1:BR63,BR64)+1,_xlfn.RANK.EQ(BR64,BR$2:BR$111,0)),"")</f>
        <v/>
      </c>
      <c r="BT64" s="1" t="str">
        <f>IF(ISNUMBER(BR64)=TRUE,IF(_xlfn.RANK.EQ(BR64,$BR$2:$BR$111)&lt;='Tournament Setup'!$B$38,_xlfn.RANK.EQ(BR64,$BR$2:$BR$111),""),"")</f>
        <v/>
      </c>
      <c r="BU64" s="31" t="str">
        <f>IF(AND($G64='Tournament Setup'!$A$38,$E64="M",$BT64&gt;'Tournament Setup'!$B$38),$H64,"")</f>
        <v/>
      </c>
      <c r="BV64" s="1" t="str">
        <f>IF(ISNUMBER(BU64)=TRUE,IF(_xlfn.RANK.EQ(BU64,$BU$2:$BU$111)&lt;='Tournament Setup'!$C$38,_xlfn.RANK.EQ(BU64,$BU$2:$BU$111),""),"")</f>
        <v/>
      </c>
      <c r="BW64" s="31" t="str">
        <f>IF(AND($G64='Tournament Setup'!$A$38,$E64="F",$BT64&gt;'Tournament Setup'!$B$38),$H64,"")</f>
        <v/>
      </c>
      <c r="BX64" s="12" t="str">
        <f>IF(ISNUMBER(BW64)=TRUE,IF(_xlfn.RANK.EQ(BW64,$BW$2:$BW$111)&lt;='Tournament Setup'!$D$38,_xlfn.RANK.EQ(BW64,$BW$2:$BW$111),""),"")</f>
        <v/>
      </c>
      <c r="BY64" s="30" t="str">
        <f>IF($G64='Tournament Setup'!$A$39,$H64,"")</f>
        <v/>
      </c>
      <c r="BZ64" s="47" t="str">
        <f>IF(ISNUMBER(BY64),IF(COUNTIFS(BZ$1:BZ63,_xlfn.RANK.EQ(BY64,BY$2:BY$111,0))&gt;0,_xlfn.MAXIFS(BZ$1:BZ63,BY$1:BY63,BY64)+1,_xlfn.RANK.EQ(BY64,BY$2:BY$111,0)),"")</f>
        <v/>
      </c>
      <c r="CA64" s="1" t="str">
        <f>IF(ISNUMBER(BY64)=TRUE,IF(_xlfn.RANK.EQ(BY64,$BY$2:$BY$111)&lt;='Tournament Setup'!$B$39,_xlfn.RANK.EQ(BY64,$BY$2:$BY$111),""),"")</f>
        <v/>
      </c>
      <c r="CB64" s="31" t="str">
        <f>IF(AND($G64='Tournament Setup'!$A$39,$E64="M",$CA64&gt;'Tournament Setup'!$B$39),$H64,"")</f>
        <v/>
      </c>
      <c r="CC64" s="1" t="str">
        <f>IF(ISNUMBER(CB64)=TRUE,IF(_xlfn.RANK.EQ(CB64,$CB$2:$CB$111)&lt;='Tournament Setup'!$C$39,_xlfn.RANK.EQ(CB64,$CB$2:$CB$111),""),"")</f>
        <v/>
      </c>
      <c r="CD64" s="31" t="str">
        <f>IF(AND($G64='Tournament Setup'!$A$39,$E64="F",$CA64&gt;'Tournament Setup'!$B$39),$H64,"")</f>
        <v/>
      </c>
      <c r="CE64" s="12" t="str">
        <f>IF(ISNUMBER(CD64)=TRUE,IF(_xlfn.RANK.EQ(CD64,$CD$2:$CD$111)&lt;='Tournament Setup'!$D$39,_xlfn.RANK.EQ(CD64,$CD$2:$CD$111),""),"")</f>
        <v/>
      </c>
      <c r="CF64" s="30" t="str">
        <f>IF($G64='Tournament Setup'!$A$40,$H64,"")</f>
        <v/>
      </c>
      <c r="CG64" s="47" t="str">
        <f>IF(ISNUMBER(CF64),IF(COUNTIFS(CG$1:CG63,_xlfn.RANK.EQ(CF64,CF$2:CF$111,0))&gt;0,_xlfn.MAXIFS(CG$1:CG63,CF$1:CF63,CF64)+1,_xlfn.RANK.EQ(CF64,CF$2:CF$111,0)),"")</f>
        <v/>
      </c>
      <c r="CH64" s="1" t="str">
        <f>IF(ISNUMBER(CF64)=TRUE,IF(_xlfn.RANK.EQ(CF64,$CF$2:$CF$111)&lt;='Tournament Setup'!$B$40,_xlfn.RANK.EQ(CF64,$CF$2:$CF$111),""),"")</f>
        <v/>
      </c>
      <c r="CI64" s="31" t="str">
        <f>IF(AND($G64='Tournament Setup'!$A$40,$E64="M",$CH64&gt;'Tournament Setup'!$B$40),$H64,"")</f>
        <v/>
      </c>
      <c r="CJ64" s="1" t="str">
        <f>IF(ISNUMBER(CI64)=TRUE,IF(_xlfn.RANK.EQ(CI64,$CI$2:$CI$111)&lt;='Tournament Setup'!$C$40,_xlfn.RANK.EQ(CI64,$CI$2:$CI$111),""),"")</f>
        <v/>
      </c>
      <c r="CK64" s="31" t="str">
        <f>IF(AND($G64='Tournament Setup'!$A$40,$E64="F",$CH64&gt;'Tournament Setup'!$B$40),$H64,"")</f>
        <v/>
      </c>
      <c r="CL64" s="12" t="str">
        <f>IF(ISNUMBER(CK64)=TRUE,IF(_xlfn.RANK.EQ(CK64,$CK$2:$CK$111)&lt;='Tournament Setup'!$D$40,_xlfn.RANK.EQ(CK64,$CK$2:$CK$111),""),"")</f>
        <v/>
      </c>
      <c r="CM64" s="30" t="str">
        <f>IF($G64='Tournament Setup'!$A$41,$H64,"")</f>
        <v/>
      </c>
      <c r="CN64" s="47" t="str">
        <f>IF(ISNUMBER(CM64),IF(COUNTIFS(CN$1:CN63,_xlfn.RANK.EQ(CM64,CM$2:CM$111,0))&gt;0,_xlfn.MAXIFS(CN$1:CN63,CM$1:CM63,CM64)+1,_xlfn.RANK.EQ(CM64,CM$2:CM$111,0)),"")</f>
        <v/>
      </c>
      <c r="CO64" s="1" t="str">
        <f>IF(ISNUMBER(CM64)=TRUE,IF(_xlfn.RANK.EQ(CM64,$CM$2:$CM$111)&lt;='Tournament Setup'!$B$41,_xlfn.RANK.EQ(CM64,$CM$2:$CM$111),""),"")</f>
        <v/>
      </c>
      <c r="CP64" s="31" t="str">
        <f>IF(AND($G64='Tournament Setup'!$A$41,$E64="M",$CO64&gt;'Tournament Setup'!$B$41),$H64,"")</f>
        <v/>
      </c>
      <c r="CQ64" s="1" t="str">
        <f>IF(ISNUMBER(CP64)=TRUE,IF(_xlfn.RANK.EQ(CP64,$CP$2:$CP$111)&lt;='Tournament Setup'!$C$41,_xlfn.RANK.EQ(CP64,$CP$2:$CP$111),""),"")</f>
        <v/>
      </c>
      <c r="CR64" s="31" t="str">
        <f>IF(AND($G64='Tournament Setup'!$A$41,$E64="F",$CO64&gt;'Tournament Setup'!$B$41),$H64,"")</f>
        <v/>
      </c>
      <c r="CS64" s="12" t="str">
        <f>IF(ISNUMBER(CR64)=TRUE,IF(_xlfn.RANK.EQ(CR64,$CR$2:$CR$111)&lt;='Tournament Setup'!$D$41,_xlfn.RANK.EQ(CR64,$CR$2:$CR$111),""),"")</f>
        <v/>
      </c>
    </row>
    <row r="65" spans="2:97" x14ac:dyDescent="0.3">
      <c r="B65" t="str">
        <f>IFERROR(INDEX('Tournament List'!$B:$B,MATCH($A65,'Tournament List'!$A:$A,0)),"")</f>
        <v/>
      </c>
      <c r="C65" t="str">
        <f>IFERROR(INDEX('Tournament List'!$C:$C,MATCH($A65,'Tournament List'!$A:$A,0)),"")</f>
        <v/>
      </c>
      <c r="D65" t="str">
        <f t="shared" si="5"/>
        <v xml:space="preserve"> </v>
      </c>
      <c r="E65" s="1" t="str">
        <f>IFERROR(INDEX('Tournament List'!F:F,MATCH($A65,'Tournament List'!$A:$A,0)),"")</f>
        <v/>
      </c>
      <c r="F65" t="str">
        <f>IFERROR(INDEX('Tournament List'!M:M,MATCH($A65,'Tournament List'!$A:$A,0)),"")</f>
        <v/>
      </c>
      <c r="G65" s="1" t="str">
        <f>IFERROR(INDEX('Tournament List'!W:W,MATCH($A65,'Tournament List'!$A:$A,0)),"")</f>
        <v/>
      </c>
      <c r="H65" s="129" t="str">
        <f>IFERROR(INDEX('Tournament List'!Z:Z,MATCH($A65,'Tournament List'!$A:$A,0)),"")</f>
        <v/>
      </c>
      <c r="I65" s="152" t="str">
        <f>IFERROR(INDEX('Tournament List'!T:T,MATCH($A65,'Tournament List'!$A:$A,0)),"")</f>
        <v/>
      </c>
      <c r="J65" s="56" t="str">
        <f>IF(ISNUMBER(I65),IF(COUNTIFS(J$1:J64,_xlfn.RANK.EQ(I65,I$2:I$111,0))&gt;0,_xlfn.MAXIFS(J$1:J64,I$1:I64,I65)+1,_xlfn.RANK.EQ(I65,I$2:I$111,0)),"")</f>
        <v/>
      </c>
      <c r="K65" s="11" t="str">
        <f t="shared" si="6"/>
        <v/>
      </c>
      <c r="L65" s="56" t="str">
        <f>IF(ISNUMBER(H65),IF(COUNTIFS(L$1:L64,_xlfn.RANK.EQ(H65,H$2:H$111,0))&gt;0,_xlfn.MAXIFS(L$1:L64,H$1:H64,H65)+1,_xlfn.RANK.EQ(H65,H$2:H$111,0)),"")</f>
        <v/>
      </c>
      <c r="M65" s="151" t="str">
        <f t="shared" si="7"/>
        <v/>
      </c>
      <c r="N65" s="47" t="str">
        <f>IF(ISNUMBER(M65),IF(COUNTIFS(N$1:N64,_xlfn.RANK.EQ(M65,M$2:M$111,0))&gt;0,_xlfn.MAXIFS(N$1:N64,M$1:M64,M65)+1,_xlfn.RANK.EQ(M65,M$2:M$111,0)),"")</f>
        <v/>
      </c>
      <c r="O65" s="1" t="str">
        <f>IF(ISNUMBER(M65)=TRUE,IF(_xlfn.RANK.EQ(M65,$M$2:$M$111)&lt;='Tournament Setup'!$B$23,_xlfn.RANK.EQ(M65,$M$2:$M$111),""),"")</f>
        <v/>
      </c>
      <c r="P65" s="150" t="str">
        <f t="shared" si="8"/>
        <v/>
      </c>
      <c r="Q65" s="1" t="str">
        <f>IF(ISNUMBER(P65)=TRUE,IF(_xlfn.RANK.EQ(P65,$P$2:$P$111)&lt;='Tournament Setup'!$B$24,_xlfn.RANK.EQ(P65,$P$2:$P$111),""),"")</f>
        <v/>
      </c>
      <c r="R65" s="150" t="str">
        <f t="shared" si="9"/>
        <v/>
      </c>
      <c r="S65" s="12" t="str">
        <f>IF(ISNUMBER(R65)=TRUE,IF(_xlfn.RANK.EQ(R65,$R$2:$R$111)&lt;='Tournament Setup'!$B$25,_xlfn.RANK.EQ(R65,$R$2:$R$111),""),"")</f>
        <v/>
      </c>
      <c r="T65" s="152" t="str">
        <f>IF(AND($F65='Tournament Setup'!$A$29,$I65&lt;&gt;0),$I65,"")</f>
        <v/>
      </c>
      <c r="U65" s="47" t="str">
        <f>IF(ISNUMBER(T65),IF(COUNTIFS(U$1:U64,_xlfn.RANK.EQ(T65,T$2:T$111,0))&gt;0,_xlfn.MAXIFS(U$1:U64,T$1:T64,T65)+1,_xlfn.RANK.EQ(T65,T$2:T$111,0)),"")</f>
        <v/>
      </c>
      <c r="V65" s="1" t="str">
        <f>IF(ISNUMBER(T65)=TRUE,IF(_xlfn.RANK.EQ(T65,$T$3:$T$112)&lt;='Tournament Setup'!$B$46,_xlfn.RANK.EQ(T65,$T$2:$T$111),""),"")</f>
        <v/>
      </c>
      <c r="W65" s="30" t="str">
        <f>IF(AND($F65='Tournament Setup'!$A$29,SUM($O65,$Q65,$S65)=0),$H65,"")</f>
        <v/>
      </c>
      <c r="X65" s="47" t="str">
        <f>IF(ISNUMBER(W65),IF(COUNTIFS(X$1:X64,_xlfn.RANK.EQ(W65,W$2:W$111,0))&gt;0,_xlfn.MAXIFS(X$1:X64,W$1:W64,W65)+1,_xlfn.RANK.EQ(W65,W$2:W$111,0)),"")</f>
        <v/>
      </c>
      <c r="Y65" s="1" t="str">
        <f>IF(ISNUMBER(W65)=TRUE,IF(_xlfn.RANK.EQ(W65,$W$2:$W$111)&lt;='Tournament Setup'!$B$29,_xlfn.RANK.EQ(W65,$W$2:$W$111),""),"")</f>
        <v/>
      </c>
      <c r="Z65" s="31" t="str">
        <f>IF(AND($F65='Tournament Setup'!$A$29,SUM($O65,$Q65)=0,$E65="M",$Y65&gt;'Tournament Setup'!$B$29),$H65,"")</f>
        <v/>
      </c>
      <c r="AA65" s="1" t="str">
        <f>IF(ISNUMBER(Z65)=TRUE,IF(_xlfn.RANK.EQ(Z65,$Z$2:$Z$111)&lt;='Tournament Setup'!$C$29,_xlfn.RANK.EQ(Z65,$Z$2:$Z$111),""),"")</f>
        <v/>
      </c>
      <c r="AB65" s="31" t="str">
        <f>IF(AND($F65='Tournament Setup'!$A$29,SUM($O65,$S65)=0,$E65="F",$Y65&gt;'Tournament Setup'!$B$29),$H65,"")</f>
        <v/>
      </c>
      <c r="AC65" s="12" t="str">
        <f>IF(ISNUMBER(AB65)=TRUE,IF(_xlfn.RANK.EQ(AB65,$AB$2:$AB$111)&lt;='Tournament Setup'!$D$29,_xlfn.RANK.EQ(AB65,$AB$2:$AB$111),""),"")</f>
        <v/>
      </c>
      <c r="AD65" s="30" t="str">
        <f>IF(AND($F65='Tournament Setup'!$A$30,$I65&lt;&gt;0),$I65,"")</f>
        <v/>
      </c>
      <c r="AE65" s="47" t="str">
        <f>IF(ISNUMBER(AD65),IF(COUNTIFS(AE$1:AE64,_xlfn.RANK.EQ(AD65,AD$2:AD$111,0))&gt;0,_xlfn.MAXIFS(AE$1:AE64,AD$1:AD64,AD65)+1,_xlfn.RANK.EQ(AD65,AD$2:AD$111,0)),"")</f>
        <v/>
      </c>
      <c r="AF65" s="1" t="str">
        <f>IF(ISNUMBER(AD65)=TRUE,IF(_xlfn.RANK.EQ(AD65,$AD$2:$AD$111)&lt;='Tournament Setup'!$B$46,_xlfn.RANK.EQ(AD65,$AD$2:$AD$111),""),"")</f>
        <v/>
      </c>
      <c r="AG65" s="30" t="str">
        <f>IF(AND($F65='Tournament Setup'!$A$30,SUM($O65,$Q65,$S65)=0),$H65,"")</f>
        <v/>
      </c>
      <c r="AH65" s="47" t="str">
        <f>IF(ISNUMBER(AG65),IF(COUNTIFS(AH$1:AH64,_xlfn.RANK.EQ(AG65,AG$2:AG$111,0))&gt;0,_xlfn.MAXIFS(AH$1:AH64,AG$1:AG64,AG65)+1,_xlfn.RANK.EQ(AG65,AG$2:AG$111,0)),"")</f>
        <v/>
      </c>
      <c r="AI65" s="1" t="str">
        <f>IF(ISNUMBER(AG65)=TRUE,IF(_xlfn.RANK.EQ(AG65,$AG$2:$AG$111)&lt;='Tournament Setup'!$B$30,_xlfn.RANK.EQ(AG65,$AG$2:$AG$111),""),"")</f>
        <v/>
      </c>
      <c r="AJ65" s="31" t="str">
        <f>IF(AND($F65='Tournament Setup'!$A$30,SUM($O65,$Q65)=0,$E65="M",$AI65&gt;'Tournament Setup'!$B$30),$H65,"")</f>
        <v/>
      </c>
      <c r="AK65" s="1" t="str">
        <f>IF(ISNUMBER(AJ65)=TRUE,IF(_xlfn.RANK.EQ(AJ65,$AJ$2:$AJ$111)&lt;='Tournament Setup'!$C$30,_xlfn.RANK.EQ(AJ65,$AJ$2:$AJ$111),""),"")</f>
        <v/>
      </c>
      <c r="AL65" s="31" t="str">
        <f>IF(AND($F65='Tournament Setup'!$A$30,SUM($O65,$S65)=0,$E65="F",$AI65&gt;'Tournament Setup'!$B$30),$H65,"")</f>
        <v/>
      </c>
      <c r="AM65" s="12" t="str">
        <f>IF(ISNUMBER(AL65)=TRUE,IF(_xlfn.RANK.EQ(AL65,$AL$2:$AL$111)&lt;='Tournament Setup'!$D$30,_xlfn.RANK.EQ(AL65,$AL$2:$AL$111),""),"")</f>
        <v/>
      </c>
      <c r="AN65" s="30" t="str">
        <f>IF(AND($F65='Tournament Setup'!$A$31,$I65&lt;&gt;0),$I65,"")</f>
        <v/>
      </c>
      <c r="AO65" s="47" t="str">
        <f>IF(ISNUMBER(AN65),IF(COUNTIFS(AO$1:AO64,_xlfn.RANK.EQ(AN65,AN$2:AN$111,0))&gt;0,_xlfn.MAXIFS(AO$1:AO64,AN$1:AN64,AN65)+1,_xlfn.RANK.EQ(AN65,AN$2:AN$111,0)),"")</f>
        <v/>
      </c>
      <c r="AP65" s="1" t="str">
        <f>IF(ISNUMBER(AN65)=TRUE,IF(_xlfn.RANK.EQ(AN65,$AN$2:$AN$111)&lt;='Tournament Setup'!$B$46,_xlfn.RANK.EQ(AN65,$AN$2:$AN$111),""),"")</f>
        <v/>
      </c>
      <c r="AQ65" s="30" t="str">
        <f>IF(AND($F65='Tournament Setup'!$A$31,SUM($O65,$Q65,$S65)=0),$H65,"")</f>
        <v/>
      </c>
      <c r="AR65" s="47" t="str">
        <f>IF(ISNUMBER(AQ65),IF(COUNTIFS(AR$1:AR64,_xlfn.RANK.EQ(AQ65,AQ$2:AQ$111,0))&gt;0,_xlfn.MAXIFS(AR$1:AR64,AQ$1:AQ64,AQ65)+1,_xlfn.RANK.EQ(AQ65,AQ$2:AQ$111,0)),"")</f>
        <v/>
      </c>
      <c r="AS65" s="1" t="str">
        <f>IF(ISNUMBER(AQ65)=TRUE,IF(_xlfn.RANK.EQ(AQ65,$AQ$2:$AQ$111)&lt;='Tournament Setup'!$B$31,_xlfn.RANK.EQ(AQ65,$AQ$2:$AQ$111),""),"")</f>
        <v/>
      </c>
      <c r="AT65" s="31" t="str">
        <f>IF(AND($F65='Tournament Setup'!$A$31,SUM($O65,$Q65)=0,$E65="M",$AS65&gt;'Tournament Setup'!$B$31),$H65,"")</f>
        <v/>
      </c>
      <c r="AU65" s="1" t="str">
        <f>IF(ISNUMBER(AT65)=TRUE,IF(_xlfn.RANK.EQ(AT65,$AT$2:$AT$111)&lt;='Tournament Setup'!$C$31,_xlfn.RANK.EQ(AT65,$AT$2:$AT$111),""),"")</f>
        <v/>
      </c>
      <c r="AV65" s="31" t="str">
        <f>IF(AND($F65='Tournament Setup'!$A$31,SUM($O65,$S65)=0,$E65="F",$AS65&gt;'Tournament Setup'!$B$31),$H65,"")</f>
        <v/>
      </c>
      <c r="AW65" s="12" t="str">
        <f>IF(ISNUMBER(AV65)=TRUE,IF(_xlfn.RANK.EQ(AV65,$AV$2:$AV$111)&lt;='Tournament Setup'!$D$31,_xlfn.RANK.EQ(AV65,$AV$2:$AV$111),""),"")</f>
        <v/>
      </c>
      <c r="AX65" s="30" t="str">
        <f>IF(AND($F65='Tournament Setup'!$A$32,$I65&lt;&gt;0),$I65,"")</f>
        <v/>
      </c>
      <c r="AY65" s="47" t="str">
        <f>IF(ISNUMBER(AX65),IF(COUNTIFS(AY$1:AY64,_xlfn.RANK.EQ(AX65,AX$2:AX$111,0))&gt;0,_xlfn.MAXIFS(AY$1:AY64,AX$1:AX64,AX65)+1,_xlfn.RANK.EQ(AX65,AX$2:AX$111,0)),"")</f>
        <v/>
      </c>
      <c r="AZ65" s="1" t="str">
        <f>IF(ISNUMBER(AX65)=TRUE,IF(_xlfn.RANK.EQ(AX65,$AX$2:$AX$111)&lt;='Tournament Setup'!$B$46,_xlfn.RANK.EQ(AX65,$AX$2:$AX$111),""),"")</f>
        <v/>
      </c>
      <c r="BA65" s="30" t="str">
        <f>IF(AND($F65='Tournament Setup'!$A$32,SUM($O65,$Q65,$S65)=0),$H65,"")</f>
        <v/>
      </c>
      <c r="BB65" s="47" t="str">
        <f>IF(ISNUMBER(BA65),IF(COUNTIFS(BB$1:BB64,_xlfn.RANK.EQ(BA65,BA$2:BA$111,0))&gt;0,_xlfn.MAXIFS(BB$1:BB64,BA$1:BA64,BA65)+1,_xlfn.RANK.EQ(BA65,BA$2:BA$111,0)),"")</f>
        <v/>
      </c>
      <c r="BC65" s="1" t="str">
        <f>IF(ISNUMBER(BA65)=TRUE,IF(_xlfn.RANK.EQ(BA65,$BA$2:$BA$111)&lt;='Tournament Setup'!$B$32,_xlfn.RANK.EQ(BA65,$BA$2:$BA$111),""),"")</f>
        <v/>
      </c>
      <c r="BD65" s="31" t="str">
        <f>IF(AND($F65='Tournament Setup'!$A$32,SUM($O65,$Q65)=0,$E65="M",$BC65&gt;'Tournament Setup'!$B$32),$H65,"")</f>
        <v/>
      </c>
      <c r="BE65" s="1" t="str">
        <f>IF(ISNUMBER(BD65)=TRUE,IF(_xlfn.RANK.EQ(BD65,$BD$2:$BD$111)&lt;='Tournament Setup'!$C$32,_xlfn.RANK.EQ(BD65,$BD$2:$BD$111),""),"")</f>
        <v/>
      </c>
      <c r="BF65" s="31" t="str">
        <f>IF(AND($F65='Tournament Setup'!$A$32,SUM($O65,$S65)=0,$E65="F",$BC65&gt;'Tournament Setup'!$B$32),$H65,"")</f>
        <v/>
      </c>
      <c r="BG65" s="12" t="str">
        <f>IF(ISNUMBER(BF65)=TRUE,IF(_xlfn.RANK.EQ(BF65,$BF$2:$BF$111)&lt;='Tournament Setup'!$D$32,_xlfn.RANK.EQ(BF65,$BF$2:$BF$111),""),"")</f>
        <v/>
      </c>
      <c r="BH65" s="30" t="str">
        <f>IF(AND($F65='Tournament Setup'!$A$33,$I65&lt;&gt;0),$I65,"")</f>
        <v/>
      </c>
      <c r="BI65" s="47" t="str">
        <f>IF(ISNUMBER(BH65),IF(COUNTIFS(BI$1:BI64,_xlfn.RANK.EQ(BH65,BH$2:BH$111,0))&gt;0,_xlfn.MAXIFS(BI$1:BI64,BH$1:BH64,BH65)+1,_xlfn.RANK.EQ(BH65,BH$2:BH$111,0)),"")</f>
        <v/>
      </c>
      <c r="BJ65" s="1" t="str">
        <f>IF(ISNUMBER(BH65)=TRUE,IF(_xlfn.RANK.EQ(BH65,$BH$2:$BH$111)&lt;='Tournament Setup'!$B$46,_xlfn.RANK.EQ(BH65,$BH$2:$BH$111),""),"")</f>
        <v/>
      </c>
      <c r="BK65" s="30" t="str">
        <f>IF(AND($F65='Tournament Setup'!$A$33,SUM($O65,$Q65,$S65)=0),$H65,"")</f>
        <v/>
      </c>
      <c r="BL65" s="47" t="str">
        <f>IF(ISNUMBER(BK65),IF(COUNTIFS(BL$1:BL64,_xlfn.RANK.EQ(BK65,BK$2:BK$111,0))&gt;0,_xlfn.MAXIFS(BL$1:BL64,BK$1:BK64,BK65)+1,_xlfn.RANK.EQ(BK65,BK$2:BK$111,0)),"")</f>
        <v/>
      </c>
      <c r="BM65" s="1" t="str">
        <f>IF(ISNUMBER(BK65)=TRUE,IF(_xlfn.RANK.EQ(BK65,$BK$2:$BK$111)&lt;='Tournament Setup'!$B$33,_xlfn.RANK.EQ(BK65,$BK$2:$BK$111),""),"")</f>
        <v/>
      </c>
      <c r="BN65" s="31" t="str">
        <f>IF(AND($F65='Tournament Setup'!$A$33,SUM($O65,$Q65)=0,$E65="M",$BM65&gt;'Tournament Setup'!$B$33),$H65,"")</f>
        <v/>
      </c>
      <c r="BO65" s="1" t="str">
        <f>IF(ISNUMBER(BN65)=TRUE,IF(_xlfn.RANK.EQ(BN65,$BN$2:$BN$111)&lt;='Tournament Setup'!$C$33,_xlfn.RANK.EQ(BN65,$BN$2:$BN$111),""),"")</f>
        <v/>
      </c>
      <c r="BP65" s="31" t="str">
        <f>IF(AND($F65='Tournament Setup'!$A$33,SUM($O65,$S65)=0,$E65="F",$BM65&gt;'Tournament Setup'!$B$33),$H65,"")</f>
        <v/>
      </c>
      <c r="BQ65" s="12" t="str">
        <f>IF(ISNUMBER(BP65)=TRUE,IF(_xlfn.RANK.EQ(BP65,$BP$2:$BP$111)&lt;='Tournament Setup'!$D$33,_xlfn.RANK.EQ(BP65,$BP$2:$BP$111),""),"")</f>
        <v/>
      </c>
      <c r="BR65" s="30" t="str">
        <f>IF($G65='Tournament Setup'!$A$38,$H65,"")</f>
        <v/>
      </c>
      <c r="BS65" s="47" t="str">
        <f>IF(ISNUMBER(BR65),IF(COUNTIFS(BS$1:BS64,_xlfn.RANK.EQ(BR65,BR$2:BR$111,0))&gt;0,_xlfn.MAXIFS(BS$1:BS64,BR$1:BR64,BR65)+1,_xlfn.RANK.EQ(BR65,BR$2:BR$111,0)),"")</f>
        <v/>
      </c>
      <c r="BT65" s="1" t="str">
        <f>IF(ISNUMBER(BR65)=TRUE,IF(_xlfn.RANK.EQ(BR65,$BR$2:$BR$111)&lt;='Tournament Setup'!$B$38,_xlfn.RANK.EQ(BR65,$BR$2:$BR$111),""),"")</f>
        <v/>
      </c>
      <c r="BU65" s="31" t="str">
        <f>IF(AND($G65='Tournament Setup'!$A$38,$E65="M",$BT65&gt;'Tournament Setup'!$B$38),$H65,"")</f>
        <v/>
      </c>
      <c r="BV65" s="1" t="str">
        <f>IF(ISNUMBER(BU65)=TRUE,IF(_xlfn.RANK.EQ(BU65,$BU$2:$BU$111)&lt;='Tournament Setup'!$C$38,_xlfn.RANK.EQ(BU65,$BU$2:$BU$111),""),"")</f>
        <v/>
      </c>
      <c r="BW65" s="31" t="str">
        <f>IF(AND($G65='Tournament Setup'!$A$38,$E65="F",$BT65&gt;'Tournament Setup'!$B$38),$H65,"")</f>
        <v/>
      </c>
      <c r="BX65" s="12" t="str">
        <f>IF(ISNUMBER(BW65)=TRUE,IF(_xlfn.RANK.EQ(BW65,$BW$2:$BW$111)&lt;='Tournament Setup'!$D$38,_xlfn.RANK.EQ(BW65,$BW$2:$BW$111),""),"")</f>
        <v/>
      </c>
      <c r="BY65" s="30" t="str">
        <f>IF($G65='Tournament Setup'!$A$39,$H65,"")</f>
        <v/>
      </c>
      <c r="BZ65" s="47" t="str">
        <f>IF(ISNUMBER(BY65),IF(COUNTIFS(BZ$1:BZ64,_xlfn.RANK.EQ(BY65,BY$2:BY$111,0))&gt;0,_xlfn.MAXIFS(BZ$1:BZ64,BY$1:BY64,BY65)+1,_xlfn.RANK.EQ(BY65,BY$2:BY$111,0)),"")</f>
        <v/>
      </c>
      <c r="CA65" s="1" t="str">
        <f>IF(ISNUMBER(BY65)=TRUE,IF(_xlfn.RANK.EQ(BY65,$BY$2:$BY$111)&lt;='Tournament Setup'!$B$39,_xlfn.RANK.EQ(BY65,$BY$2:$BY$111),""),"")</f>
        <v/>
      </c>
      <c r="CB65" s="31" t="str">
        <f>IF(AND($G65='Tournament Setup'!$A$39,$E65="M",$CA65&gt;'Tournament Setup'!$B$39),$H65,"")</f>
        <v/>
      </c>
      <c r="CC65" s="1" t="str">
        <f>IF(ISNUMBER(CB65)=TRUE,IF(_xlfn.RANK.EQ(CB65,$CB$2:$CB$111)&lt;='Tournament Setup'!$C$39,_xlfn.RANK.EQ(CB65,$CB$2:$CB$111),""),"")</f>
        <v/>
      </c>
      <c r="CD65" s="31" t="str">
        <f>IF(AND($G65='Tournament Setup'!$A$39,$E65="F",$CA65&gt;'Tournament Setup'!$B$39),$H65,"")</f>
        <v/>
      </c>
      <c r="CE65" s="12" t="str">
        <f>IF(ISNUMBER(CD65)=TRUE,IF(_xlfn.RANK.EQ(CD65,$CD$2:$CD$111)&lt;='Tournament Setup'!$D$39,_xlfn.RANK.EQ(CD65,$CD$2:$CD$111),""),"")</f>
        <v/>
      </c>
      <c r="CF65" s="30" t="str">
        <f>IF($G65='Tournament Setup'!$A$40,$H65,"")</f>
        <v/>
      </c>
      <c r="CG65" s="47" t="str">
        <f>IF(ISNUMBER(CF65),IF(COUNTIFS(CG$1:CG64,_xlfn.RANK.EQ(CF65,CF$2:CF$111,0))&gt;0,_xlfn.MAXIFS(CG$1:CG64,CF$1:CF64,CF65)+1,_xlfn.RANK.EQ(CF65,CF$2:CF$111,0)),"")</f>
        <v/>
      </c>
      <c r="CH65" s="1" t="str">
        <f>IF(ISNUMBER(CF65)=TRUE,IF(_xlfn.RANK.EQ(CF65,$CF$2:$CF$111)&lt;='Tournament Setup'!$B$40,_xlfn.RANK.EQ(CF65,$CF$2:$CF$111),""),"")</f>
        <v/>
      </c>
      <c r="CI65" s="31" t="str">
        <f>IF(AND($G65='Tournament Setup'!$A$40,$E65="M",$CH65&gt;'Tournament Setup'!$B$40),$H65,"")</f>
        <v/>
      </c>
      <c r="CJ65" s="1" t="str">
        <f>IF(ISNUMBER(CI65)=TRUE,IF(_xlfn.RANK.EQ(CI65,$CI$2:$CI$111)&lt;='Tournament Setup'!$C$40,_xlfn.RANK.EQ(CI65,$CI$2:$CI$111),""),"")</f>
        <v/>
      </c>
      <c r="CK65" s="31" t="str">
        <f>IF(AND($G65='Tournament Setup'!$A$40,$E65="F",$CH65&gt;'Tournament Setup'!$B$40),$H65,"")</f>
        <v/>
      </c>
      <c r="CL65" s="12" t="str">
        <f>IF(ISNUMBER(CK65)=TRUE,IF(_xlfn.RANK.EQ(CK65,$CK$2:$CK$111)&lt;='Tournament Setup'!$D$40,_xlfn.RANK.EQ(CK65,$CK$2:$CK$111),""),"")</f>
        <v/>
      </c>
      <c r="CM65" s="30" t="str">
        <f>IF($G65='Tournament Setup'!$A$41,$H65,"")</f>
        <v/>
      </c>
      <c r="CN65" s="47" t="str">
        <f>IF(ISNUMBER(CM65),IF(COUNTIFS(CN$1:CN64,_xlfn.RANK.EQ(CM65,CM$2:CM$111,0))&gt;0,_xlfn.MAXIFS(CN$1:CN64,CM$1:CM64,CM65)+1,_xlfn.RANK.EQ(CM65,CM$2:CM$111,0)),"")</f>
        <v/>
      </c>
      <c r="CO65" s="1" t="str">
        <f>IF(ISNUMBER(CM65)=TRUE,IF(_xlfn.RANK.EQ(CM65,$CM$2:$CM$111)&lt;='Tournament Setup'!$B$41,_xlfn.RANK.EQ(CM65,$CM$2:$CM$111),""),"")</f>
        <v/>
      </c>
      <c r="CP65" s="31" t="str">
        <f>IF(AND($G65='Tournament Setup'!$A$41,$E65="M",$CO65&gt;'Tournament Setup'!$B$41),$H65,"")</f>
        <v/>
      </c>
      <c r="CQ65" s="1" t="str">
        <f>IF(ISNUMBER(CP65)=TRUE,IF(_xlfn.RANK.EQ(CP65,$CP$2:$CP$111)&lt;='Tournament Setup'!$C$41,_xlfn.RANK.EQ(CP65,$CP$2:$CP$111),""),"")</f>
        <v/>
      </c>
      <c r="CR65" s="31" t="str">
        <f>IF(AND($G65='Tournament Setup'!$A$41,$E65="F",$CO65&gt;'Tournament Setup'!$B$41),$H65,"")</f>
        <v/>
      </c>
      <c r="CS65" s="12" t="str">
        <f>IF(ISNUMBER(CR65)=TRUE,IF(_xlfn.RANK.EQ(CR65,$CR$2:$CR$111)&lt;='Tournament Setup'!$D$41,_xlfn.RANK.EQ(CR65,$CR$2:$CR$111),""),"")</f>
        <v/>
      </c>
    </row>
    <row r="66" spans="2:97" x14ac:dyDescent="0.3">
      <c r="B66" t="str">
        <f>IFERROR(INDEX('Tournament List'!$B:$B,MATCH($A66,'Tournament List'!$A:$A,0)),"")</f>
        <v/>
      </c>
      <c r="C66" t="str">
        <f>IFERROR(INDEX('Tournament List'!$C:$C,MATCH($A66,'Tournament List'!$A:$A,0)),"")</f>
        <v/>
      </c>
      <c r="D66" t="str">
        <f t="shared" si="5"/>
        <v xml:space="preserve"> </v>
      </c>
      <c r="E66" s="1" t="str">
        <f>IFERROR(INDEX('Tournament List'!F:F,MATCH($A66,'Tournament List'!$A:$A,0)),"")</f>
        <v/>
      </c>
      <c r="F66" t="str">
        <f>IFERROR(INDEX('Tournament List'!M:M,MATCH($A66,'Tournament List'!$A:$A,0)),"")</f>
        <v/>
      </c>
      <c r="G66" s="1" t="str">
        <f>IFERROR(INDEX('Tournament List'!W:W,MATCH($A66,'Tournament List'!$A:$A,0)),"")</f>
        <v/>
      </c>
      <c r="H66" s="129" t="str">
        <f>IFERROR(INDEX('Tournament List'!Z:Z,MATCH($A66,'Tournament List'!$A:$A,0)),"")</f>
        <v/>
      </c>
      <c r="I66" s="152" t="str">
        <f>IFERROR(INDEX('Tournament List'!T:T,MATCH($A66,'Tournament List'!$A:$A,0)),"")</f>
        <v/>
      </c>
      <c r="J66" s="56" t="str">
        <f>IF(ISNUMBER(I66),IF(COUNTIFS(J$1:J55,_xlfn.RANK.EQ(I66,I$2:I$111,0))&gt;0,_xlfn.MAXIFS(J$1:J55,I$1:I55,I66)+1,_xlfn.RANK.EQ(I66,I$2:I$111,0)),"")</f>
        <v/>
      </c>
      <c r="K66" s="11" t="str">
        <f t="shared" si="6"/>
        <v/>
      </c>
      <c r="L66" s="56" t="str">
        <f>IF(ISNUMBER(H66),IF(COUNTIFS(L$1:L55,_xlfn.RANK.EQ(H66,H$2:H$111,0))&gt;0,_xlfn.MAXIFS(L$1:L55,H$1:H55,H66)+1,_xlfn.RANK.EQ(H66,H$2:H$111,0)),"")</f>
        <v/>
      </c>
      <c r="M66" s="151" t="str">
        <f t="shared" si="7"/>
        <v/>
      </c>
      <c r="N66" s="47" t="str">
        <f>IF(ISNUMBER(M66),IF(COUNTIFS(N$1:N55,_xlfn.RANK.EQ(M66,M$2:M$111,0))&gt;0,_xlfn.MAXIFS(N$1:N55,M$1:M55,M66)+1,_xlfn.RANK.EQ(M66,M$2:M$111,0)),"")</f>
        <v/>
      </c>
      <c r="O66" s="1" t="str">
        <f>IF(ISNUMBER(M66)=TRUE,IF(_xlfn.RANK.EQ(M66,$M$2:$M$111)&lt;='Tournament Setup'!$B$23,_xlfn.RANK.EQ(M66,$M$2:$M$111),""),"")</f>
        <v/>
      </c>
      <c r="P66" s="150" t="str">
        <f t="shared" si="8"/>
        <v/>
      </c>
      <c r="Q66" s="1" t="str">
        <f>IF(ISNUMBER(P66)=TRUE,IF(_xlfn.RANK.EQ(P66,$P$2:$P$111)&lt;='Tournament Setup'!$B$24,_xlfn.RANK.EQ(P66,$P$2:$P$111),""),"")</f>
        <v/>
      </c>
      <c r="R66" s="150" t="str">
        <f t="shared" si="9"/>
        <v/>
      </c>
      <c r="S66" s="12" t="str">
        <f>IF(ISNUMBER(R66)=TRUE,IF(_xlfn.RANK.EQ(R66,$R$2:$R$111)&lt;='Tournament Setup'!$B$25,_xlfn.RANK.EQ(R66,$R$2:$R$111),""),"")</f>
        <v/>
      </c>
      <c r="T66" s="152" t="str">
        <f>IF(AND($F66='Tournament Setup'!$A$29,$I66&lt;&gt;0),$I66,"")</f>
        <v/>
      </c>
      <c r="U66" s="47" t="str">
        <f>IF(ISNUMBER(T66),IF(COUNTIFS(U$1:U55,_xlfn.RANK.EQ(T66,T$2:T$111,0))&gt;0,_xlfn.MAXIFS(U$1:U55,T$1:T55,T66)+1,_xlfn.RANK.EQ(T66,T$2:T$111,0)),"")</f>
        <v/>
      </c>
      <c r="V66" s="1" t="str">
        <f>IF(ISNUMBER(T66)=TRUE,IF(_xlfn.RANK.EQ(T66,$T$3:$T$112)&lt;='Tournament Setup'!$B$46,_xlfn.RANK.EQ(T66,$T$2:$T$111),""),"")</f>
        <v/>
      </c>
      <c r="W66" s="30" t="str">
        <f>IF(AND($F66='Tournament Setup'!$A$29,SUM($O66,$Q66,$S66)=0),$H66,"")</f>
        <v/>
      </c>
      <c r="X66" s="47" t="str">
        <f>IF(ISNUMBER(W66),IF(COUNTIFS(X$1:X55,_xlfn.RANK.EQ(W66,W$2:W$111,0))&gt;0,_xlfn.MAXIFS(X$1:X55,W$1:W55,W66)+1,_xlfn.RANK.EQ(W66,W$2:W$111,0)),"")</f>
        <v/>
      </c>
      <c r="Y66" s="1" t="str">
        <f>IF(ISNUMBER(W66)=TRUE,IF(_xlfn.RANK.EQ(W66,$W$2:$W$111)&lt;='Tournament Setup'!$B$29,_xlfn.RANK.EQ(W66,$W$2:$W$111),""),"")</f>
        <v/>
      </c>
      <c r="Z66" s="31" t="str">
        <f>IF(AND($F66='Tournament Setup'!$A$29,SUM($O66,$Q66)=0,$E66="M",$Y66&gt;'Tournament Setup'!$B$29),$H66,"")</f>
        <v/>
      </c>
      <c r="AA66" s="1" t="str">
        <f>IF(ISNUMBER(Z66)=TRUE,IF(_xlfn.RANK.EQ(Z66,$Z$2:$Z$111)&lt;='Tournament Setup'!$C$29,_xlfn.RANK.EQ(Z66,$Z$2:$Z$111),""),"")</f>
        <v/>
      </c>
      <c r="AB66" s="31" t="str">
        <f>IF(AND($F66='Tournament Setup'!$A$29,SUM($O66,$S66)=0,$E66="F",$Y66&gt;'Tournament Setup'!$B$29),$H66,"")</f>
        <v/>
      </c>
      <c r="AC66" s="12" t="str">
        <f>IF(ISNUMBER(AB66)=TRUE,IF(_xlfn.RANK.EQ(AB66,$AB$2:$AB$111)&lt;='Tournament Setup'!$D$29,_xlfn.RANK.EQ(AB66,$AB$2:$AB$111),""),"")</f>
        <v/>
      </c>
      <c r="AD66" s="30" t="str">
        <f>IF(AND($F66='Tournament Setup'!$A$30,$I66&lt;&gt;0),$I66,"")</f>
        <v/>
      </c>
      <c r="AE66" s="47" t="str">
        <f>IF(ISNUMBER(AD66),IF(COUNTIFS(AE$1:AE55,_xlfn.RANK.EQ(AD66,AD$2:AD$111,0))&gt;0,_xlfn.MAXIFS(AE$1:AE55,AD$1:AD55,AD66)+1,_xlfn.RANK.EQ(AD66,AD$2:AD$111,0)),"")</f>
        <v/>
      </c>
      <c r="AF66" s="1" t="str">
        <f>IF(ISNUMBER(AD66)=TRUE,IF(_xlfn.RANK.EQ(AD66,$AD$2:$AD$111)&lt;='Tournament Setup'!$B$46,_xlfn.RANK.EQ(AD66,$AD$2:$AD$111),""),"")</f>
        <v/>
      </c>
      <c r="AG66" s="30" t="str">
        <f>IF(AND($F66='Tournament Setup'!$A$30,SUM($O66,$Q66,$S66)=0),$H66,"")</f>
        <v/>
      </c>
      <c r="AH66" s="47" t="str">
        <f>IF(ISNUMBER(AG66),IF(COUNTIFS(AH$1:AH55,_xlfn.RANK.EQ(AG66,AG$2:AG$111,0))&gt;0,_xlfn.MAXIFS(AH$1:AH55,AG$1:AG55,AG66)+1,_xlfn.RANK.EQ(AG66,AG$2:AG$111,0)),"")</f>
        <v/>
      </c>
      <c r="AI66" s="1" t="str">
        <f>IF(ISNUMBER(AG66)=TRUE,IF(_xlfn.RANK.EQ(AG66,$AG$2:$AG$111)&lt;='Tournament Setup'!$B$30,_xlfn.RANK.EQ(AG66,$AG$2:$AG$111),""),"")</f>
        <v/>
      </c>
      <c r="AJ66" s="31" t="str">
        <f>IF(AND($F66='Tournament Setup'!$A$30,SUM($O66,$Q66)=0,$E66="M",$AI66&gt;'Tournament Setup'!$B$30),$H66,"")</f>
        <v/>
      </c>
      <c r="AK66" s="1" t="str">
        <f>IF(ISNUMBER(AJ66)=TRUE,IF(_xlfn.RANK.EQ(AJ66,$AJ$2:$AJ$111)&lt;='Tournament Setup'!$C$30,_xlfn.RANK.EQ(AJ66,$AJ$2:$AJ$111),""),"")</f>
        <v/>
      </c>
      <c r="AL66" s="31" t="str">
        <f>IF(AND($F66='Tournament Setup'!$A$30,SUM($O66,$S66)=0,$E66="F",$AI66&gt;'Tournament Setup'!$B$30),$H66,"")</f>
        <v/>
      </c>
      <c r="AM66" s="12" t="str">
        <f>IF(ISNUMBER(AL66)=TRUE,IF(_xlfn.RANK.EQ(AL66,$AL$2:$AL$111)&lt;='Tournament Setup'!$D$30,_xlfn.RANK.EQ(AL66,$AL$2:$AL$111),""),"")</f>
        <v/>
      </c>
      <c r="AN66" s="30" t="str">
        <f>IF(AND($F66='Tournament Setup'!$A$31,$I66&lt;&gt;0),$I66,"")</f>
        <v/>
      </c>
      <c r="AO66" s="47" t="str">
        <f>IF(ISNUMBER(AN66),IF(COUNTIFS(AO$1:AO55,_xlfn.RANK.EQ(AN66,AN$2:AN$111,0))&gt;0,_xlfn.MAXIFS(AO$1:AO55,AN$1:AN55,AN66)+1,_xlfn.RANK.EQ(AN66,AN$2:AN$111,0)),"")</f>
        <v/>
      </c>
      <c r="AP66" s="1" t="str">
        <f>IF(ISNUMBER(AN66)=TRUE,IF(_xlfn.RANK.EQ(AN66,$AN$2:$AN$111)&lt;='Tournament Setup'!$B$46,_xlfn.RANK.EQ(AN66,$AN$2:$AN$111),""),"")</f>
        <v/>
      </c>
      <c r="AQ66" s="30" t="str">
        <f>IF(AND($F66='Tournament Setup'!$A$31,SUM($O66,$Q66,$S66)=0),$H66,"")</f>
        <v/>
      </c>
      <c r="AR66" s="47" t="str">
        <f>IF(ISNUMBER(AQ66),IF(COUNTIFS(AR$1:AR55,_xlfn.RANK.EQ(AQ66,AQ$2:AQ$111,0))&gt;0,_xlfn.MAXIFS(AR$1:AR55,AQ$1:AQ55,AQ66)+1,_xlfn.RANK.EQ(AQ66,AQ$2:AQ$111,0)),"")</f>
        <v/>
      </c>
      <c r="AS66" s="1" t="str">
        <f>IF(ISNUMBER(AQ66)=TRUE,IF(_xlfn.RANK.EQ(AQ66,$AQ$2:$AQ$111)&lt;='Tournament Setup'!$B$31,_xlfn.RANK.EQ(AQ66,$AQ$2:$AQ$111),""),"")</f>
        <v/>
      </c>
      <c r="AT66" s="31" t="str">
        <f>IF(AND($F66='Tournament Setup'!$A$31,SUM($O66,$Q66)=0,$E66="M",$AS66&gt;'Tournament Setup'!$B$31),$H66,"")</f>
        <v/>
      </c>
      <c r="AU66" s="1" t="str">
        <f>IF(ISNUMBER(AT66)=TRUE,IF(_xlfn.RANK.EQ(AT66,$AT$2:$AT$111)&lt;='Tournament Setup'!$C$31,_xlfn.RANK.EQ(AT66,$AT$2:$AT$111),""),"")</f>
        <v/>
      </c>
      <c r="AV66" s="31" t="str">
        <f>IF(AND($F66='Tournament Setup'!$A$31,SUM($O66,$S66)=0,$E66="F",$AS66&gt;'Tournament Setup'!$B$31),$H66,"")</f>
        <v/>
      </c>
      <c r="AW66" s="12" t="str">
        <f>IF(ISNUMBER(AV66)=TRUE,IF(_xlfn.RANK.EQ(AV66,$AV$2:$AV$111)&lt;='Tournament Setup'!$D$31,_xlfn.RANK.EQ(AV66,$AV$2:$AV$111),""),"")</f>
        <v/>
      </c>
      <c r="AX66" s="30" t="str">
        <f>IF(AND($F66='Tournament Setup'!$A$32,$I66&lt;&gt;0),$I66,"")</f>
        <v/>
      </c>
      <c r="AY66" s="47" t="str">
        <f>IF(ISNUMBER(AX66),IF(COUNTIFS(AY$1:AY55,_xlfn.RANK.EQ(AX66,AX$2:AX$111,0))&gt;0,_xlfn.MAXIFS(AY$1:AY55,AX$1:AX55,AX66)+1,_xlfn.RANK.EQ(AX66,AX$2:AX$111,0)),"")</f>
        <v/>
      </c>
      <c r="AZ66" s="1" t="str">
        <f>IF(ISNUMBER(AX66)=TRUE,IF(_xlfn.RANK.EQ(AX66,$AX$2:$AX$111)&lt;='Tournament Setup'!$B$46,_xlfn.RANK.EQ(AX66,$AX$2:$AX$111),""),"")</f>
        <v/>
      </c>
      <c r="BA66" s="30" t="str">
        <f>IF(AND($F66='Tournament Setup'!$A$32,SUM($O66,$Q66,$S66)=0),$H66,"")</f>
        <v/>
      </c>
      <c r="BB66" s="47" t="str">
        <f>IF(ISNUMBER(BA66),IF(COUNTIFS(BB$1:BB55,_xlfn.RANK.EQ(BA66,BA$2:BA$111,0))&gt;0,_xlfn.MAXIFS(BB$1:BB55,BA$1:BA55,BA66)+1,_xlfn.RANK.EQ(BA66,BA$2:BA$111,0)),"")</f>
        <v/>
      </c>
      <c r="BC66" s="1" t="str">
        <f>IF(ISNUMBER(BA66)=TRUE,IF(_xlfn.RANK.EQ(BA66,$BA$2:$BA$111)&lt;='Tournament Setup'!$B$32,_xlfn.RANK.EQ(BA66,$BA$2:$BA$111),""),"")</f>
        <v/>
      </c>
      <c r="BD66" s="31" t="str">
        <f>IF(AND($F66='Tournament Setup'!$A$32,SUM($O66,$Q66)=0,$E66="M",$BC66&gt;'Tournament Setup'!$B$32),$H66,"")</f>
        <v/>
      </c>
      <c r="BE66" s="1" t="str">
        <f>IF(ISNUMBER(BD66)=TRUE,IF(_xlfn.RANK.EQ(BD66,$BD$2:$BD$111)&lt;='Tournament Setup'!$C$32,_xlfn.RANK.EQ(BD66,$BD$2:$BD$111),""),"")</f>
        <v/>
      </c>
      <c r="BF66" s="31" t="str">
        <f>IF(AND($F66='Tournament Setup'!$A$32,SUM($O66,$S66)=0,$E66="F",$BC66&gt;'Tournament Setup'!$B$32),$H66,"")</f>
        <v/>
      </c>
      <c r="BG66" s="12" t="str">
        <f>IF(ISNUMBER(BF66)=TRUE,IF(_xlfn.RANK.EQ(BF66,$BF$2:$BF$111)&lt;='Tournament Setup'!$D$32,_xlfn.RANK.EQ(BF66,$BF$2:$BF$111),""),"")</f>
        <v/>
      </c>
      <c r="BH66" s="30" t="str">
        <f>IF(AND($F66='Tournament Setup'!$A$33,$I66&lt;&gt;0),$I66,"")</f>
        <v/>
      </c>
      <c r="BI66" s="47" t="str">
        <f>IF(ISNUMBER(BH66),IF(COUNTIFS(BI$1:BI55,_xlfn.RANK.EQ(BH66,BH$2:BH$111,0))&gt;0,_xlfn.MAXIFS(BI$1:BI55,BH$1:BH55,BH66)+1,_xlfn.RANK.EQ(BH66,BH$2:BH$111,0)),"")</f>
        <v/>
      </c>
      <c r="BJ66" s="1" t="str">
        <f>IF(ISNUMBER(BH66)=TRUE,IF(_xlfn.RANK.EQ(BH66,$BH$2:$BH$111)&lt;='Tournament Setup'!$B$46,_xlfn.RANK.EQ(BH66,$BH$2:$BH$111),""),"")</f>
        <v/>
      </c>
      <c r="BK66" s="30" t="str">
        <f>IF(AND($F66='Tournament Setup'!$A$33,SUM($O66,$Q66,$S66)=0),$H66,"")</f>
        <v/>
      </c>
      <c r="BL66" s="47" t="str">
        <f>IF(ISNUMBER(BK66),IF(COUNTIFS(BL$1:BL55,_xlfn.RANK.EQ(BK66,BK$2:BK$111,0))&gt;0,_xlfn.MAXIFS(BL$1:BL55,BK$1:BK55,BK66)+1,_xlfn.RANK.EQ(BK66,BK$2:BK$111,0)),"")</f>
        <v/>
      </c>
      <c r="BM66" s="1" t="str">
        <f>IF(ISNUMBER(BK66)=TRUE,IF(_xlfn.RANK.EQ(BK66,$BK$2:$BK$111)&lt;='Tournament Setup'!$B$33,_xlfn.RANK.EQ(BK66,$BK$2:$BK$111),""),"")</f>
        <v/>
      </c>
      <c r="BN66" s="31" t="str">
        <f>IF(AND($F66='Tournament Setup'!$A$33,SUM($O66,$Q66)=0,$E66="M",$BM66&gt;'Tournament Setup'!$B$33),$H66,"")</f>
        <v/>
      </c>
      <c r="BO66" s="1" t="str">
        <f>IF(ISNUMBER(BN66)=TRUE,IF(_xlfn.RANK.EQ(BN66,$BN$2:$BN$111)&lt;='Tournament Setup'!$C$33,_xlfn.RANK.EQ(BN66,$BN$2:$BN$111),""),"")</f>
        <v/>
      </c>
      <c r="BP66" s="31" t="str">
        <f>IF(AND($F66='Tournament Setup'!$A$33,SUM($O66,$S66)=0,$E66="F",$BM66&gt;'Tournament Setup'!$B$33),$H66,"")</f>
        <v/>
      </c>
      <c r="BQ66" s="12" t="str">
        <f>IF(ISNUMBER(BP66)=TRUE,IF(_xlfn.RANK.EQ(BP66,$BP$2:$BP$111)&lt;='Tournament Setup'!$D$33,_xlfn.RANK.EQ(BP66,$BP$2:$BP$111),""),"")</f>
        <v/>
      </c>
      <c r="BR66" s="30" t="str">
        <f>IF($G66='Tournament Setup'!$A$38,$H66,"")</f>
        <v/>
      </c>
      <c r="BS66" s="47" t="str">
        <f>IF(ISNUMBER(BR66),IF(COUNTIFS(BS$1:BS55,_xlfn.RANK.EQ(BR66,BR$2:BR$111,0))&gt;0,_xlfn.MAXIFS(BS$1:BS55,BR$1:BR55,BR66)+1,_xlfn.RANK.EQ(BR66,BR$2:BR$111,0)),"")</f>
        <v/>
      </c>
      <c r="BT66" s="1" t="str">
        <f>IF(ISNUMBER(BR66)=TRUE,IF(_xlfn.RANK.EQ(BR66,$BR$2:$BR$111)&lt;='Tournament Setup'!$B$38,_xlfn.RANK.EQ(BR66,$BR$2:$BR$111),""),"")</f>
        <v/>
      </c>
      <c r="BU66" s="31" t="str">
        <f>IF(AND($G66='Tournament Setup'!$A$38,$E66="M",$BT66&gt;'Tournament Setup'!$B$38),$H66,"")</f>
        <v/>
      </c>
      <c r="BV66" s="1" t="str">
        <f>IF(ISNUMBER(BU66)=TRUE,IF(_xlfn.RANK.EQ(BU66,$BU$2:$BU$111)&lt;='Tournament Setup'!$C$38,_xlfn.RANK.EQ(BU66,$BU$2:$BU$111),""),"")</f>
        <v/>
      </c>
      <c r="BW66" s="31" t="str">
        <f>IF(AND($G66='Tournament Setup'!$A$38,$E66="F",$BT66&gt;'Tournament Setup'!$B$38),$H66,"")</f>
        <v/>
      </c>
      <c r="BX66" s="12" t="str">
        <f>IF(ISNUMBER(BW66)=TRUE,IF(_xlfn.RANK.EQ(BW66,$BW$2:$BW$111)&lt;='Tournament Setup'!$D$38,_xlfn.RANK.EQ(BW66,$BW$2:$BW$111),""),"")</f>
        <v/>
      </c>
      <c r="BY66" s="30" t="str">
        <f>IF($G66='Tournament Setup'!$A$39,$H66,"")</f>
        <v/>
      </c>
      <c r="BZ66" s="47" t="str">
        <f>IF(ISNUMBER(BY66),IF(COUNTIFS(BZ$1:BZ55,_xlfn.RANK.EQ(BY66,BY$2:BY$111,0))&gt;0,_xlfn.MAXIFS(BZ$1:BZ55,BY$1:BY55,BY66)+1,_xlfn.RANK.EQ(BY66,BY$2:BY$111,0)),"")</f>
        <v/>
      </c>
      <c r="CA66" s="1" t="str">
        <f>IF(ISNUMBER(BY66)=TRUE,IF(_xlfn.RANK.EQ(BY66,$BY$2:$BY$111)&lt;='Tournament Setup'!$B$39,_xlfn.RANK.EQ(BY66,$BY$2:$BY$111),""),"")</f>
        <v/>
      </c>
      <c r="CB66" s="31" t="str">
        <f>IF(AND($G66='Tournament Setup'!$A$39,$E66="M",$CA66&gt;'Tournament Setup'!$B$39),$H66,"")</f>
        <v/>
      </c>
      <c r="CC66" s="1" t="str">
        <f>IF(ISNUMBER(CB66)=TRUE,IF(_xlfn.RANK.EQ(CB66,$CB$2:$CB$111)&lt;='Tournament Setup'!$C$39,_xlfn.RANK.EQ(CB66,$CB$2:$CB$111),""),"")</f>
        <v/>
      </c>
      <c r="CD66" s="31" t="str">
        <f>IF(AND($G66='Tournament Setup'!$A$39,$E66="F",$CA66&gt;'Tournament Setup'!$B$39),$H66,"")</f>
        <v/>
      </c>
      <c r="CE66" s="12" t="str">
        <f>IF(ISNUMBER(CD66)=TRUE,IF(_xlfn.RANK.EQ(CD66,$CD$2:$CD$111)&lt;='Tournament Setup'!$D$39,_xlfn.RANK.EQ(CD66,$CD$2:$CD$111),""),"")</f>
        <v/>
      </c>
      <c r="CF66" s="30" t="str">
        <f>IF($G66='Tournament Setup'!$A$40,$H66,"")</f>
        <v/>
      </c>
      <c r="CG66" s="47" t="str">
        <f>IF(ISNUMBER(CF66),IF(COUNTIFS(CG$1:CG55,_xlfn.RANK.EQ(CF66,CF$2:CF$111,0))&gt;0,_xlfn.MAXIFS(CG$1:CG55,CF$1:CF55,CF66)+1,_xlfn.RANK.EQ(CF66,CF$2:CF$111,0)),"")</f>
        <v/>
      </c>
      <c r="CH66" s="1" t="str">
        <f>IF(ISNUMBER(CF66)=TRUE,IF(_xlfn.RANK.EQ(CF66,$CF$2:$CF$111)&lt;='Tournament Setup'!$B$40,_xlfn.RANK.EQ(CF66,$CF$2:$CF$111),""),"")</f>
        <v/>
      </c>
      <c r="CI66" s="31" t="str">
        <f>IF(AND($G66='Tournament Setup'!$A$40,$E66="M",$CH66&gt;'Tournament Setup'!$B$40),$H66,"")</f>
        <v/>
      </c>
      <c r="CJ66" s="1" t="str">
        <f>IF(ISNUMBER(CI66)=TRUE,IF(_xlfn.RANK.EQ(CI66,$CI$2:$CI$111)&lt;='Tournament Setup'!$C$40,_xlfn.RANK.EQ(CI66,$CI$2:$CI$111),""),"")</f>
        <v/>
      </c>
      <c r="CK66" s="31" t="str">
        <f>IF(AND($G66='Tournament Setup'!$A$40,$E66="F",$CH66&gt;'Tournament Setup'!$B$40),$H66,"")</f>
        <v/>
      </c>
      <c r="CL66" s="12" t="str">
        <f>IF(ISNUMBER(CK66)=TRUE,IF(_xlfn.RANK.EQ(CK66,$CK$2:$CK$111)&lt;='Tournament Setup'!$D$40,_xlfn.RANK.EQ(CK66,$CK$2:$CK$111),""),"")</f>
        <v/>
      </c>
      <c r="CM66" s="30" t="str">
        <f>IF($G66='Tournament Setup'!$A$41,$H66,"")</f>
        <v/>
      </c>
      <c r="CN66" s="47" t="str">
        <f>IF(ISNUMBER(CM66),IF(COUNTIFS(CN$1:CN55,_xlfn.RANK.EQ(CM66,CM$2:CM$111,0))&gt;0,_xlfn.MAXIFS(CN$1:CN55,CM$1:CM55,CM66)+1,_xlfn.RANK.EQ(CM66,CM$2:CM$111,0)),"")</f>
        <v/>
      </c>
      <c r="CO66" s="1" t="str">
        <f>IF(ISNUMBER(CM66)=TRUE,IF(_xlfn.RANK.EQ(CM66,$CM$2:$CM$111)&lt;='Tournament Setup'!$B$41,_xlfn.RANK.EQ(CM66,$CM$2:$CM$111),""),"")</f>
        <v/>
      </c>
      <c r="CP66" s="31" t="str">
        <f>IF(AND($G66='Tournament Setup'!$A$41,$E66="M",$CO66&gt;'Tournament Setup'!$B$41),$H66,"")</f>
        <v/>
      </c>
      <c r="CQ66" s="1" t="str">
        <f>IF(ISNUMBER(CP66)=TRUE,IF(_xlfn.RANK.EQ(CP66,$CP$2:$CP$111)&lt;='Tournament Setup'!$C$41,_xlfn.RANK.EQ(CP66,$CP$2:$CP$111),""),"")</f>
        <v/>
      </c>
      <c r="CR66" s="31" t="str">
        <f>IF(AND($G66='Tournament Setup'!$A$41,$E66="F",$CO66&gt;'Tournament Setup'!$B$41),$H66,"")</f>
        <v/>
      </c>
      <c r="CS66" s="12" t="str">
        <f>IF(ISNUMBER(CR66)=TRUE,IF(_xlfn.RANK.EQ(CR66,$CR$2:$CR$111)&lt;='Tournament Setup'!$D$41,_xlfn.RANK.EQ(CR66,$CR$2:$CR$111),""),"")</f>
        <v/>
      </c>
    </row>
    <row r="67" spans="2:97" x14ac:dyDescent="0.3">
      <c r="B67" t="str">
        <f>IFERROR(INDEX('Tournament List'!$B:$B,MATCH($A67,'Tournament List'!$A:$A,0)),"")</f>
        <v/>
      </c>
      <c r="C67" t="str">
        <f>IFERROR(INDEX('Tournament List'!$C:$C,MATCH($A67,'Tournament List'!$A:$A,0)),"")</f>
        <v/>
      </c>
      <c r="D67" t="str">
        <f t="shared" si="5"/>
        <v xml:space="preserve"> </v>
      </c>
      <c r="E67" s="1" t="str">
        <f>IFERROR(INDEX('Tournament List'!F:F,MATCH($A67,'Tournament List'!$A:$A,0)),"")</f>
        <v/>
      </c>
      <c r="F67" t="str">
        <f>IFERROR(INDEX('Tournament List'!M:M,MATCH($A67,'Tournament List'!$A:$A,0)),"")</f>
        <v/>
      </c>
      <c r="G67" s="1" t="str">
        <f>IFERROR(INDEX('Tournament List'!W:W,MATCH($A67,'Tournament List'!$A:$A,0)),"")</f>
        <v/>
      </c>
      <c r="H67" s="129" t="str">
        <f>IFERROR(INDEX('Tournament List'!Z:Z,MATCH($A67,'Tournament List'!$A:$A,0)),"")</f>
        <v/>
      </c>
      <c r="I67" s="152" t="str">
        <f>IFERROR(INDEX('Tournament List'!T:T,MATCH($A67,'Tournament List'!$A:$A,0)),"")</f>
        <v/>
      </c>
      <c r="J67" s="56" t="str">
        <f>IF(ISNUMBER(I67),IF(COUNTIFS(J$1:J66,_xlfn.RANK.EQ(I67,I$2:I$111,0))&gt;0,_xlfn.MAXIFS(J$1:J66,I$1:I66,I67)+1,_xlfn.RANK.EQ(I67,I$2:I$111,0)),"")</f>
        <v/>
      </c>
      <c r="K67" s="11" t="str">
        <f t="shared" si="6"/>
        <v/>
      </c>
      <c r="L67" s="56" t="str">
        <f>IF(ISNUMBER(H67),IF(COUNTIFS(L$1:L66,_xlfn.RANK.EQ(H67,H$2:H$111,0))&gt;0,_xlfn.MAXIFS(L$1:L66,H$1:H66,H67)+1,_xlfn.RANK.EQ(H67,H$2:H$111,0)),"")</f>
        <v/>
      </c>
      <c r="M67" s="151" t="str">
        <f t="shared" si="7"/>
        <v/>
      </c>
      <c r="N67" s="47" t="str">
        <f>IF(ISNUMBER(M67),IF(COUNTIFS(N$1:N66,_xlfn.RANK.EQ(M67,M$2:M$111,0))&gt;0,_xlfn.MAXIFS(N$1:N66,M$1:M66,M67)+1,_xlfn.RANK.EQ(M67,M$2:M$111,0)),"")</f>
        <v/>
      </c>
      <c r="O67" s="1" t="str">
        <f>IF(ISNUMBER(M67)=TRUE,IF(_xlfn.RANK.EQ(M67,$M$2:$M$111)&lt;='Tournament Setup'!$B$23,_xlfn.RANK.EQ(M67,$M$2:$M$111),""),"")</f>
        <v/>
      </c>
      <c r="P67" s="150" t="str">
        <f t="shared" si="8"/>
        <v/>
      </c>
      <c r="Q67" s="1" t="str">
        <f>IF(ISNUMBER(P67)=TRUE,IF(_xlfn.RANK.EQ(P67,$P$2:$P$111)&lt;='Tournament Setup'!$B$24,_xlfn.RANK.EQ(P67,$P$2:$P$111),""),"")</f>
        <v/>
      </c>
      <c r="R67" s="150" t="str">
        <f t="shared" si="9"/>
        <v/>
      </c>
      <c r="S67" s="12" t="str">
        <f>IF(ISNUMBER(R67)=TRUE,IF(_xlfn.RANK.EQ(R67,$R$2:$R$111)&lt;='Tournament Setup'!$B$25,_xlfn.RANK.EQ(R67,$R$2:$R$111),""),"")</f>
        <v/>
      </c>
      <c r="T67" s="152" t="str">
        <f>IF(AND($F67='Tournament Setup'!$A$29,$I67&lt;&gt;0),$I67,"")</f>
        <v/>
      </c>
      <c r="U67" s="47" t="str">
        <f>IF(ISNUMBER(T67),IF(COUNTIFS(U$1:U66,_xlfn.RANK.EQ(T67,T$2:T$111,0))&gt;0,_xlfn.MAXIFS(U$1:U66,T$1:T66,T67)+1,_xlfn.RANK.EQ(T67,T$2:T$111,0)),"")</f>
        <v/>
      </c>
      <c r="V67" s="1" t="str">
        <f>IF(ISNUMBER(T67)=TRUE,IF(_xlfn.RANK.EQ(T67,$T$3:$T$112)&lt;='Tournament Setup'!$B$46,_xlfn.RANK.EQ(T67,$T$2:$T$111),""),"")</f>
        <v/>
      </c>
      <c r="W67" s="30" t="str">
        <f>IF(AND($F67='Tournament Setup'!$A$29,SUM($O67,$Q67,$S67)=0),$H67,"")</f>
        <v/>
      </c>
      <c r="X67" s="47" t="str">
        <f>IF(ISNUMBER(W67),IF(COUNTIFS(X$1:X66,_xlfn.RANK.EQ(W67,W$2:W$111,0))&gt;0,_xlfn.MAXIFS(X$1:X66,W$1:W66,W67)+1,_xlfn.RANK.EQ(W67,W$2:W$111,0)),"")</f>
        <v/>
      </c>
      <c r="Y67" s="1" t="str">
        <f>IF(ISNUMBER(W67)=TRUE,IF(_xlfn.RANK.EQ(W67,$W$2:$W$111)&lt;='Tournament Setup'!$B$29,_xlfn.RANK.EQ(W67,$W$2:$W$111),""),"")</f>
        <v/>
      </c>
      <c r="Z67" s="31" t="str">
        <f>IF(AND($F67='Tournament Setup'!$A$29,SUM($O67,$Q67)=0,$E67="M",$Y67&gt;'Tournament Setup'!$B$29),$H67,"")</f>
        <v/>
      </c>
      <c r="AA67" s="1" t="str">
        <f>IF(ISNUMBER(Z67)=TRUE,IF(_xlfn.RANK.EQ(Z67,$Z$2:$Z$111)&lt;='Tournament Setup'!$C$29,_xlfn.RANK.EQ(Z67,$Z$2:$Z$111),""),"")</f>
        <v/>
      </c>
      <c r="AB67" s="31" t="str">
        <f>IF(AND($F67='Tournament Setup'!$A$29,SUM($O67,$S67)=0,$E67="F",$Y67&gt;'Tournament Setup'!$B$29),$H67,"")</f>
        <v/>
      </c>
      <c r="AC67" s="12" t="str">
        <f>IF(ISNUMBER(AB67)=TRUE,IF(_xlfn.RANK.EQ(AB67,$AB$2:$AB$111)&lt;='Tournament Setup'!$D$29,_xlfn.RANK.EQ(AB67,$AB$2:$AB$111),""),"")</f>
        <v/>
      </c>
      <c r="AD67" s="30" t="str">
        <f>IF(AND($F67='Tournament Setup'!$A$30,$I67&lt;&gt;0),$I67,"")</f>
        <v/>
      </c>
      <c r="AE67" s="47" t="str">
        <f>IF(ISNUMBER(AD67),IF(COUNTIFS(AE$1:AE66,_xlfn.RANK.EQ(AD67,AD$2:AD$111,0))&gt;0,_xlfn.MAXIFS(AE$1:AE66,AD$1:AD66,AD67)+1,_xlfn.RANK.EQ(AD67,AD$2:AD$111,0)),"")</f>
        <v/>
      </c>
      <c r="AF67" s="1" t="str">
        <f>IF(ISNUMBER(AD67)=TRUE,IF(_xlfn.RANK.EQ(AD67,$AD$2:$AD$111)&lt;='Tournament Setup'!$B$46,_xlfn.RANK.EQ(AD67,$AD$2:$AD$111),""),"")</f>
        <v/>
      </c>
      <c r="AG67" s="30" t="str">
        <f>IF(AND($F67='Tournament Setup'!$A$30,SUM($O67,$Q67,$S67)=0),$H67,"")</f>
        <v/>
      </c>
      <c r="AH67" s="47" t="str">
        <f>IF(ISNUMBER(AG67),IF(COUNTIFS(AH$1:AH66,_xlfn.RANK.EQ(AG67,AG$2:AG$111,0))&gt;0,_xlfn.MAXIFS(AH$1:AH66,AG$1:AG66,AG67)+1,_xlfn.RANK.EQ(AG67,AG$2:AG$111,0)),"")</f>
        <v/>
      </c>
      <c r="AI67" s="1" t="str">
        <f>IF(ISNUMBER(AG67)=TRUE,IF(_xlfn.RANK.EQ(AG67,$AG$2:$AG$111)&lt;='Tournament Setup'!$B$30,_xlfn.RANK.EQ(AG67,$AG$2:$AG$111),""),"")</f>
        <v/>
      </c>
      <c r="AJ67" s="31" t="str">
        <f>IF(AND($F67='Tournament Setup'!$A$30,SUM($O67,$Q67)=0,$E67="M",$AI67&gt;'Tournament Setup'!$B$30),$H67,"")</f>
        <v/>
      </c>
      <c r="AK67" s="1" t="str">
        <f>IF(ISNUMBER(AJ67)=TRUE,IF(_xlfn.RANK.EQ(AJ67,$AJ$2:$AJ$111)&lt;='Tournament Setup'!$C$30,_xlfn.RANK.EQ(AJ67,$AJ$2:$AJ$111),""),"")</f>
        <v/>
      </c>
      <c r="AL67" s="31" t="str">
        <f>IF(AND($F67='Tournament Setup'!$A$30,SUM($O67,$S67)=0,$E67="F",$AI67&gt;'Tournament Setup'!$B$30),$H67,"")</f>
        <v/>
      </c>
      <c r="AM67" s="12" t="str">
        <f>IF(ISNUMBER(AL67)=TRUE,IF(_xlfn.RANK.EQ(AL67,$AL$2:$AL$111)&lt;='Tournament Setup'!$D$30,_xlfn.RANK.EQ(AL67,$AL$2:$AL$111),""),"")</f>
        <v/>
      </c>
      <c r="AN67" s="30" t="str">
        <f>IF(AND($F67='Tournament Setup'!$A$31,$I67&lt;&gt;0),$I67,"")</f>
        <v/>
      </c>
      <c r="AO67" s="47" t="str">
        <f>IF(ISNUMBER(AN67),IF(COUNTIFS(AO$1:AO66,_xlfn.RANK.EQ(AN67,AN$2:AN$111,0))&gt;0,_xlfn.MAXIFS(AO$1:AO66,AN$1:AN66,AN67)+1,_xlfn.RANK.EQ(AN67,AN$2:AN$111,0)),"")</f>
        <v/>
      </c>
      <c r="AP67" s="1" t="str">
        <f>IF(ISNUMBER(AN67)=TRUE,IF(_xlfn.RANK.EQ(AN67,$AN$2:$AN$111)&lt;='Tournament Setup'!$B$46,_xlfn.RANK.EQ(AN67,$AN$2:$AN$111),""),"")</f>
        <v/>
      </c>
      <c r="AQ67" s="30" t="str">
        <f>IF(AND($F67='Tournament Setup'!$A$31,SUM($O67,$Q67,$S67)=0),$H67,"")</f>
        <v/>
      </c>
      <c r="AR67" s="47" t="str">
        <f>IF(ISNUMBER(AQ67),IF(COUNTIFS(AR$1:AR66,_xlfn.RANK.EQ(AQ67,AQ$2:AQ$111,0))&gt;0,_xlfn.MAXIFS(AR$1:AR66,AQ$1:AQ66,AQ67)+1,_xlfn.RANK.EQ(AQ67,AQ$2:AQ$111,0)),"")</f>
        <v/>
      </c>
      <c r="AS67" s="1" t="str">
        <f>IF(ISNUMBER(AQ67)=TRUE,IF(_xlfn.RANK.EQ(AQ67,$AQ$2:$AQ$111)&lt;='Tournament Setup'!$B$31,_xlfn.RANK.EQ(AQ67,$AQ$2:$AQ$111),""),"")</f>
        <v/>
      </c>
      <c r="AT67" s="31" t="str">
        <f>IF(AND($F67='Tournament Setup'!$A$31,SUM($O67,$Q67)=0,$E67="M",$AS67&gt;'Tournament Setup'!$B$31),$H67,"")</f>
        <v/>
      </c>
      <c r="AU67" s="1" t="str">
        <f>IF(ISNUMBER(AT67)=TRUE,IF(_xlfn.RANK.EQ(AT67,$AT$2:$AT$111)&lt;='Tournament Setup'!$C$31,_xlfn.RANK.EQ(AT67,$AT$2:$AT$111),""),"")</f>
        <v/>
      </c>
      <c r="AV67" s="31" t="str">
        <f>IF(AND($F67='Tournament Setup'!$A$31,SUM($O67,$S67)=0,$E67="F",$AS67&gt;'Tournament Setup'!$B$31),$H67,"")</f>
        <v/>
      </c>
      <c r="AW67" s="12" t="str">
        <f>IF(ISNUMBER(AV67)=TRUE,IF(_xlfn.RANK.EQ(AV67,$AV$2:$AV$111)&lt;='Tournament Setup'!$D$31,_xlfn.RANK.EQ(AV67,$AV$2:$AV$111),""),"")</f>
        <v/>
      </c>
      <c r="AX67" s="30" t="str">
        <f>IF(AND($F67='Tournament Setup'!$A$32,$I67&lt;&gt;0),$I67,"")</f>
        <v/>
      </c>
      <c r="AY67" s="47" t="str">
        <f>IF(ISNUMBER(AX67),IF(COUNTIFS(AY$1:AY66,_xlfn.RANK.EQ(AX67,AX$2:AX$111,0))&gt;0,_xlfn.MAXIFS(AY$1:AY66,AX$1:AX66,AX67)+1,_xlfn.RANK.EQ(AX67,AX$2:AX$111,0)),"")</f>
        <v/>
      </c>
      <c r="AZ67" s="1" t="str">
        <f>IF(ISNUMBER(AX67)=TRUE,IF(_xlfn.RANK.EQ(AX67,$AX$2:$AX$111)&lt;='Tournament Setup'!$B$46,_xlfn.RANK.EQ(AX67,$AX$2:$AX$111),""),"")</f>
        <v/>
      </c>
      <c r="BA67" s="30" t="str">
        <f>IF(AND($F67='Tournament Setup'!$A$32,SUM($O67,$Q67,$S67)=0),$H67,"")</f>
        <v/>
      </c>
      <c r="BB67" s="47" t="str">
        <f>IF(ISNUMBER(BA67),IF(COUNTIFS(BB$1:BB66,_xlfn.RANK.EQ(BA67,BA$2:BA$111,0))&gt;0,_xlfn.MAXIFS(BB$1:BB66,BA$1:BA66,BA67)+1,_xlfn.RANK.EQ(BA67,BA$2:BA$111,0)),"")</f>
        <v/>
      </c>
      <c r="BC67" s="1" t="str">
        <f>IF(ISNUMBER(BA67)=TRUE,IF(_xlfn.RANK.EQ(BA67,$BA$2:$BA$111)&lt;='Tournament Setup'!$B$32,_xlfn.RANK.EQ(BA67,$BA$2:$BA$111),""),"")</f>
        <v/>
      </c>
      <c r="BD67" s="31" t="str">
        <f>IF(AND($F67='Tournament Setup'!$A$32,SUM($O67,$Q67)=0,$E67="M",$BC67&gt;'Tournament Setup'!$B$32),$H67,"")</f>
        <v/>
      </c>
      <c r="BE67" s="1" t="str">
        <f>IF(ISNUMBER(BD67)=TRUE,IF(_xlfn.RANK.EQ(BD67,$BD$2:$BD$111)&lt;='Tournament Setup'!$C$32,_xlfn.RANK.EQ(BD67,$BD$2:$BD$111),""),"")</f>
        <v/>
      </c>
      <c r="BF67" s="31" t="str">
        <f>IF(AND($F67='Tournament Setup'!$A$32,SUM($O67,$S67)=0,$E67="F",$BC67&gt;'Tournament Setup'!$B$32),$H67,"")</f>
        <v/>
      </c>
      <c r="BG67" s="12" t="str">
        <f>IF(ISNUMBER(BF67)=TRUE,IF(_xlfn.RANK.EQ(BF67,$BF$2:$BF$111)&lt;='Tournament Setup'!$D$32,_xlfn.RANK.EQ(BF67,$BF$2:$BF$111),""),"")</f>
        <v/>
      </c>
      <c r="BH67" s="30" t="str">
        <f>IF(AND($F67='Tournament Setup'!$A$33,$I67&lt;&gt;0),$I67,"")</f>
        <v/>
      </c>
      <c r="BI67" s="47" t="str">
        <f>IF(ISNUMBER(BH67),IF(COUNTIFS(BI$1:BI66,_xlfn.RANK.EQ(BH67,BH$2:BH$111,0))&gt;0,_xlfn.MAXIFS(BI$1:BI66,BH$1:BH66,BH67)+1,_xlfn.RANK.EQ(BH67,BH$2:BH$111,0)),"")</f>
        <v/>
      </c>
      <c r="BJ67" s="1" t="str">
        <f>IF(ISNUMBER(BH67)=TRUE,IF(_xlfn.RANK.EQ(BH67,$BH$2:$BH$111)&lt;='Tournament Setup'!$B$46,_xlfn.RANK.EQ(BH67,$BH$2:$BH$111),""),"")</f>
        <v/>
      </c>
      <c r="BK67" s="30" t="str">
        <f>IF(AND($F67='Tournament Setup'!$A$33,SUM($O67,$Q67,$S67)=0),$H67,"")</f>
        <v/>
      </c>
      <c r="BL67" s="47" t="str">
        <f>IF(ISNUMBER(BK67),IF(COUNTIFS(BL$1:BL66,_xlfn.RANK.EQ(BK67,BK$2:BK$111,0))&gt;0,_xlfn.MAXIFS(BL$1:BL66,BK$1:BK66,BK67)+1,_xlfn.RANK.EQ(BK67,BK$2:BK$111,0)),"")</f>
        <v/>
      </c>
      <c r="BM67" s="1" t="str">
        <f>IF(ISNUMBER(BK67)=TRUE,IF(_xlfn.RANK.EQ(BK67,$BK$2:$BK$111)&lt;='Tournament Setup'!$B$33,_xlfn.RANK.EQ(BK67,$BK$2:$BK$111),""),"")</f>
        <v/>
      </c>
      <c r="BN67" s="31" t="str">
        <f>IF(AND($F67='Tournament Setup'!$A$33,SUM($O67,$Q67)=0,$E67="M",$BM67&gt;'Tournament Setup'!$B$33),$H67,"")</f>
        <v/>
      </c>
      <c r="BO67" s="1" t="str">
        <f>IF(ISNUMBER(BN67)=TRUE,IF(_xlfn.RANK.EQ(BN67,$BN$2:$BN$111)&lt;='Tournament Setup'!$C$33,_xlfn.RANK.EQ(BN67,$BN$2:$BN$111),""),"")</f>
        <v/>
      </c>
      <c r="BP67" s="31" t="str">
        <f>IF(AND($F67='Tournament Setup'!$A$33,SUM($O67,$S67)=0,$E67="F",$BM67&gt;'Tournament Setup'!$B$33),$H67,"")</f>
        <v/>
      </c>
      <c r="BQ67" s="12" t="str">
        <f>IF(ISNUMBER(BP67)=TRUE,IF(_xlfn.RANK.EQ(BP67,$BP$2:$BP$111)&lt;='Tournament Setup'!$D$33,_xlfn.RANK.EQ(BP67,$BP$2:$BP$111),""),"")</f>
        <v/>
      </c>
      <c r="BR67" s="30" t="str">
        <f>IF($G67='Tournament Setup'!$A$38,$H67,"")</f>
        <v/>
      </c>
      <c r="BS67" s="47" t="str">
        <f>IF(ISNUMBER(BR67),IF(COUNTIFS(BS$1:BS66,_xlfn.RANK.EQ(BR67,BR$2:BR$111,0))&gt;0,_xlfn.MAXIFS(BS$1:BS66,BR$1:BR66,BR67)+1,_xlfn.RANK.EQ(BR67,BR$2:BR$111,0)),"")</f>
        <v/>
      </c>
      <c r="BT67" s="1" t="str">
        <f>IF(ISNUMBER(BR67)=TRUE,IF(_xlfn.RANK.EQ(BR67,$BR$2:$BR$111)&lt;='Tournament Setup'!$B$38,_xlfn.RANK.EQ(BR67,$BR$2:$BR$111),""),"")</f>
        <v/>
      </c>
      <c r="BU67" s="31" t="str">
        <f>IF(AND($G67='Tournament Setup'!$A$38,$E67="M",$BT67&gt;'Tournament Setup'!$B$38),$H67,"")</f>
        <v/>
      </c>
      <c r="BV67" s="1" t="str">
        <f>IF(ISNUMBER(BU67)=TRUE,IF(_xlfn.RANK.EQ(BU67,$BU$2:$BU$111)&lt;='Tournament Setup'!$C$38,_xlfn.RANK.EQ(BU67,$BU$2:$BU$111),""),"")</f>
        <v/>
      </c>
      <c r="BW67" s="31" t="str">
        <f>IF(AND($G67='Tournament Setup'!$A$38,$E67="F",$BT67&gt;'Tournament Setup'!$B$38),$H67,"")</f>
        <v/>
      </c>
      <c r="BX67" s="12" t="str">
        <f>IF(ISNUMBER(BW67)=TRUE,IF(_xlfn.RANK.EQ(BW67,$BW$2:$BW$111)&lt;='Tournament Setup'!$D$38,_xlfn.RANK.EQ(BW67,$BW$2:$BW$111),""),"")</f>
        <v/>
      </c>
      <c r="BY67" s="30" t="str">
        <f>IF($G67='Tournament Setup'!$A$39,$H67,"")</f>
        <v/>
      </c>
      <c r="BZ67" s="47" t="str">
        <f>IF(ISNUMBER(BY67),IF(COUNTIFS(BZ$1:BZ66,_xlfn.RANK.EQ(BY67,BY$2:BY$111,0))&gt;0,_xlfn.MAXIFS(BZ$1:BZ66,BY$1:BY66,BY67)+1,_xlfn.RANK.EQ(BY67,BY$2:BY$111,0)),"")</f>
        <v/>
      </c>
      <c r="CA67" s="1" t="str">
        <f>IF(ISNUMBER(BY67)=TRUE,IF(_xlfn.RANK.EQ(BY67,$BY$2:$BY$111)&lt;='Tournament Setup'!$B$39,_xlfn.RANK.EQ(BY67,$BY$2:$BY$111),""),"")</f>
        <v/>
      </c>
      <c r="CB67" s="31" t="str">
        <f>IF(AND($G67='Tournament Setup'!$A$39,$E67="M",$CA67&gt;'Tournament Setup'!$B$39),$H67,"")</f>
        <v/>
      </c>
      <c r="CC67" s="1" t="str">
        <f>IF(ISNUMBER(CB67)=TRUE,IF(_xlfn.RANK.EQ(CB67,$CB$2:$CB$111)&lt;='Tournament Setup'!$C$39,_xlfn.RANK.EQ(CB67,$CB$2:$CB$111),""),"")</f>
        <v/>
      </c>
      <c r="CD67" s="31" t="str">
        <f>IF(AND($G67='Tournament Setup'!$A$39,$E67="F",$CA67&gt;'Tournament Setup'!$B$39),$H67,"")</f>
        <v/>
      </c>
      <c r="CE67" s="12" t="str">
        <f>IF(ISNUMBER(CD67)=TRUE,IF(_xlfn.RANK.EQ(CD67,$CD$2:$CD$111)&lt;='Tournament Setup'!$D$39,_xlfn.RANK.EQ(CD67,$CD$2:$CD$111),""),"")</f>
        <v/>
      </c>
      <c r="CF67" s="30" t="str">
        <f>IF($G67='Tournament Setup'!$A$40,$H67,"")</f>
        <v/>
      </c>
      <c r="CG67" s="47" t="str">
        <f>IF(ISNUMBER(CF67),IF(COUNTIFS(CG$1:CG66,_xlfn.RANK.EQ(CF67,CF$2:CF$111,0))&gt;0,_xlfn.MAXIFS(CG$1:CG66,CF$1:CF66,CF67)+1,_xlfn.RANK.EQ(CF67,CF$2:CF$111,0)),"")</f>
        <v/>
      </c>
      <c r="CH67" s="1" t="str">
        <f>IF(ISNUMBER(CF67)=TRUE,IF(_xlfn.RANK.EQ(CF67,$CF$2:$CF$111)&lt;='Tournament Setup'!$B$40,_xlfn.RANK.EQ(CF67,$CF$2:$CF$111),""),"")</f>
        <v/>
      </c>
      <c r="CI67" s="31" t="str">
        <f>IF(AND($G67='Tournament Setup'!$A$40,$E67="M",$CH67&gt;'Tournament Setup'!$B$40),$H67,"")</f>
        <v/>
      </c>
      <c r="CJ67" s="1" t="str">
        <f>IF(ISNUMBER(CI67)=TRUE,IF(_xlfn.RANK.EQ(CI67,$CI$2:$CI$111)&lt;='Tournament Setup'!$C$40,_xlfn.RANK.EQ(CI67,$CI$2:$CI$111),""),"")</f>
        <v/>
      </c>
      <c r="CK67" s="31" t="str">
        <f>IF(AND($G67='Tournament Setup'!$A$40,$E67="F",$CH67&gt;'Tournament Setup'!$B$40),$H67,"")</f>
        <v/>
      </c>
      <c r="CL67" s="12" t="str">
        <f>IF(ISNUMBER(CK67)=TRUE,IF(_xlfn.RANK.EQ(CK67,$CK$2:$CK$111)&lt;='Tournament Setup'!$D$40,_xlfn.RANK.EQ(CK67,$CK$2:$CK$111),""),"")</f>
        <v/>
      </c>
      <c r="CM67" s="30" t="str">
        <f>IF($G67='Tournament Setup'!$A$41,$H67,"")</f>
        <v/>
      </c>
      <c r="CN67" s="47" t="str">
        <f>IF(ISNUMBER(CM67),IF(COUNTIFS(CN$1:CN66,_xlfn.RANK.EQ(CM67,CM$2:CM$111,0))&gt;0,_xlfn.MAXIFS(CN$1:CN66,CM$1:CM66,CM67)+1,_xlfn.RANK.EQ(CM67,CM$2:CM$111,0)),"")</f>
        <v/>
      </c>
      <c r="CO67" s="1" t="str">
        <f>IF(ISNUMBER(CM67)=TRUE,IF(_xlfn.RANK.EQ(CM67,$CM$2:$CM$111)&lt;='Tournament Setup'!$B$41,_xlfn.RANK.EQ(CM67,$CM$2:$CM$111),""),"")</f>
        <v/>
      </c>
      <c r="CP67" s="31" t="str">
        <f>IF(AND($G67='Tournament Setup'!$A$41,$E67="M",$CO67&gt;'Tournament Setup'!$B$41),$H67,"")</f>
        <v/>
      </c>
      <c r="CQ67" s="1" t="str">
        <f>IF(ISNUMBER(CP67)=TRUE,IF(_xlfn.RANK.EQ(CP67,$CP$2:$CP$111)&lt;='Tournament Setup'!$C$41,_xlfn.RANK.EQ(CP67,$CP$2:$CP$111),""),"")</f>
        <v/>
      </c>
      <c r="CR67" s="31" t="str">
        <f>IF(AND($G67='Tournament Setup'!$A$41,$E67="F",$CO67&gt;'Tournament Setup'!$B$41),$H67,"")</f>
        <v/>
      </c>
      <c r="CS67" s="12" t="str">
        <f>IF(ISNUMBER(CR67)=TRUE,IF(_xlfn.RANK.EQ(CR67,$CR$2:$CR$111)&lt;='Tournament Setup'!$D$41,_xlfn.RANK.EQ(CR67,$CR$2:$CR$111),""),"")</f>
        <v/>
      </c>
    </row>
    <row r="68" spans="2:97" x14ac:dyDescent="0.3">
      <c r="B68" t="str">
        <f>IFERROR(INDEX('Tournament List'!$B:$B,MATCH($A68,'Tournament List'!$A:$A,0)),"")</f>
        <v/>
      </c>
      <c r="C68" t="str">
        <f>IFERROR(INDEX('Tournament List'!$C:$C,MATCH($A68,'Tournament List'!$A:$A,0)),"")</f>
        <v/>
      </c>
      <c r="D68" t="str">
        <f t="shared" si="5"/>
        <v xml:space="preserve"> </v>
      </c>
      <c r="E68" s="1" t="str">
        <f>IFERROR(INDEX('Tournament List'!F:F,MATCH($A68,'Tournament List'!$A:$A,0)),"")</f>
        <v/>
      </c>
      <c r="F68" t="str">
        <f>IFERROR(INDEX('Tournament List'!M:M,MATCH($A68,'Tournament List'!$A:$A,0)),"")</f>
        <v/>
      </c>
      <c r="G68" s="1" t="str">
        <f>IFERROR(INDEX('Tournament List'!W:W,MATCH($A68,'Tournament List'!$A:$A,0)),"")</f>
        <v/>
      </c>
      <c r="H68" s="129" t="str">
        <f>IFERROR(INDEX('Tournament List'!Z:Z,MATCH($A68,'Tournament List'!$A:$A,0)),"")</f>
        <v/>
      </c>
      <c r="I68" s="152" t="str">
        <f>IFERROR(INDEX('Tournament List'!T:T,MATCH($A68,'Tournament List'!$A:$A,0)),"")</f>
        <v/>
      </c>
      <c r="J68" s="56" t="str">
        <f>IF(ISNUMBER(I68),IF(COUNTIFS(J$1:J67,_xlfn.RANK.EQ(I68,I$2:I$111,0))&gt;0,_xlfn.MAXIFS(J$1:J67,I$1:I67,I68)+1,_xlfn.RANK.EQ(I68,I$2:I$111,0)),"")</f>
        <v/>
      </c>
      <c r="K68" s="11" t="str">
        <f t="shared" si="6"/>
        <v/>
      </c>
      <c r="L68" s="56" t="str">
        <f>IF(ISNUMBER(H68),IF(COUNTIFS(L$1:L67,_xlfn.RANK.EQ(H68,H$2:H$111,0))&gt;0,_xlfn.MAXIFS(L$1:L67,H$1:H67,H68)+1,_xlfn.RANK.EQ(H68,H$2:H$111,0)),"")</f>
        <v/>
      </c>
      <c r="M68" s="151" t="str">
        <f t="shared" si="7"/>
        <v/>
      </c>
      <c r="N68" s="47" t="str">
        <f>IF(ISNUMBER(M68),IF(COUNTIFS(N$1:N67,_xlfn.RANK.EQ(M68,M$2:M$111,0))&gt;0,_xlfn.MAXIFS(N$1:N67,M$1:M67,M68)+1,_xlfn.RANK.EQ(M68,M$2:M$111,0)),"")</f>
        <v/>
      </c>
      <c r="O68" s="1" t="str">
        <f>IF(ISNUMBER(M68)=TRUE,IF(_xlfn.RANK.EQ(M68,$M$2:$M$111)&lt;='Tournament Setup'!$B$23,_xlfn.RANK.EQ(M68,$M$2:$M$111),""),"")</f>
        <v/>
      </c>
      <c r="P68" s="150" t="str">
        <f t="shared" si="8"/>
        <v/>
      </c>
      <c r="Q68" s="1" t="str">
        <f>IF(ISNUMBER(P68)=TRUE,IF(_xlfn.RANK.EQ(P68,$P$2:$P$111)&lt;='Tournament Setup'!$B$24,_xlfn.RANK.EQ(P68,$P$2:$P$111),""),"")</f>
        <v/>
      </c>
      <c r="R68" s="150" t="str">
        <f t="shared" si="9"/>
        <v/>
      </c>
      <c r="S68" s="12" t="str">
        <f>IF(ISNUMBER(R68)=TRUE,IF(_xlfn.RANK.EQ(R68,$R$2:$R$111)&lt;='Tournament Setup'!$B$25,_xlfn.RANK.EQ(R68,$R$2:$R$111),""),"")</f>
        <v/>
      </c>
      <c r="T68" s="152" t="str">
        <f>IF(AND($F68='Tournament Setup'!$A$29,$I68&lt;&gt;0),$I68,"")</f>
        <v/>
      </c>
      <c r="U68" s="47" t="str">
        <f>IF(ISNUMBER(T68),IF(COUNTIFS(U$1:U67,_xlfn.RANK.EQ(T68,T$2:T$111,0))&gt;0,_xlfn.MAXIFS(U$1:U67,T$1:T67,T68)+1,_xlfn.RANK.EQ(T68,T$2:T$111,0)),"")</f>
        <v/>
      </c>
      <c r="V68" s="1" t="str">
        <f>IF(ISNUMBER(T68)=TRUE,IF(_xlfn.RANK.EQ(T68,$T$3:$T$112)&lt;='Tournament Setup'!$B$46,_xlfn.RANK.EQ(T68,$T$2:$T$111),""),"")</f>
        <v/>
      </c>
      <c r="W68" s="30" t="str">
        <f>IF(AND($F68='Tournament Setup'!$A$29,SUM($O68,$Q68,$S68)=0),$H68,"")</f>
        <v/>
      </c>
      <c r="X68" s="47" t="str">
        <f>IF(ISNUMBER(W68),IF(COUNTIFS(X$1:X67,_xlfn.RANK.EQ(W68,W$2:W$111,0))&gt;0,_xlfn.MAXIFS(X$1:X67,W$1:W67,W68)+1,_xlfn.RANK.EQ(W68,W$2:W$111,0)),"")</f>
        <v/>
      </c>
      <c r="Y68" s="1" t="str">
        <f>IF(ISNUMBER(W68)=TRUE,IF(_xlfn.RANK.EQ(W68,$W$2:$W$111)&lt;='Tournament Setup'!$B$29,_xlfn.RANK.EQ(W68,$W$2:$W$111),""),"")</f>
        <v/>
      </c>
      <c r="Z68" s="31" t="str">
        <f>IF(AND($F68='Tournament Setup'!$A$29,SUM($O68,$Q68)=0,$E68="M",$Y68&gt;'Tournament Setup'!$B$29),$H68,"")</f>
        <v/>
      </c>
      <c r="AA68" s="1" t="str">
        <f>IF(ISNUMBER(Z68)=TRUE,IF(_xlfn.RANK.EQ(Z68,$Z$2:$Z$111)&lt;='Tournament Setup'!$C$29,_xlfn.RANK.EQ(Z68,$Z$2:$Z$111),""),"")</f>
        <v/>
      </c>
      <c r="AB68" s="31" t="str">
        <f>IF(AND($F68='Tournament Setup'!$A$29,SUM($O68,$S68)=0,$E68="F",$Y68&gt;'Tournament Setup'!$B$29),$H68,"")</f>
        <v/>
      </c>
      <c r="AC68" s="12" t="str">
        <f>IF(ISNUMBER(AB68)=TRUE,IF(_xlfn.RANK.EQ(AB68,$AB$2:$AB$111)&lt;='Tournament Setup'!$D$29,_xlfn.RANK.EQ(AB68,$AB$2:$AB$111),""),"")</f>
        <v/>
      </c>
      <c r="AD68" s="30" t="str">
        <f>IF(AND($F68='Tournament Setup'!$A$30,$I68&lt;&gt;0),$I68,"")</f>
        <v/>
      </c>
      <c r="AE68" s="47" t="str">
        <f>IF(ISNUMBER(AD68),IF(COUNTIFS(AE$1:AE67,_xlfn.RANK.EQ(AD68,AD$2:AD$111,0))&gt;0,_xlfn.MAXIFS(AE$1:AE67,AD$1:AD67,AD68)+1,_xlfn.RANK.EQ(AD68,AD$2:AD$111,0)),"")</f>
        <v/>
      </c>
      <c r="AF68" s="1" t="str">
        <f>IF(ISNUMBER(AD68)=TRUE,IF(_xlfn.RANK.EQ(AD68,$AD$2:$AD$111)&lt;='Tournament Setup'!$B$46,_xlfn.RANK.EQ(AD68,$AD$2:$AD$111),""),"")</f>
        <v/>
      </c>
      <c r="AG68" s="30" t="str">
        <f>IF(AND($F68='Tournament Setup'!$A$30,SUM($O68,$Q68,$S68)=0),$H68,"")</f>
        <v/>
      </c>
      <c r="AH68" s="47" t="str">
        <f>IF(ISNUMBER(AG68),IF(COUNTIFS(AH$1:AH67,_xlfn.RANK.EQ(AG68,AG$2:AG$111,0))&gt;0,_xlfn.MAXIFS(AH$1:AH67,AG$1:AG67,AG68)+1,_xlfn.RANK.EQ(AG68,AG$2:AG$111,0)),"")</f>
        <v/>
      </c>
      <c r="AI68" s="1" t="str">
        <f>IF(ISNUMBER(AG68)=TRUE,IF(_xlfn.RANK.EQ(AG68,$AG$2:$AG$111)&lt;='Tournament Setup'!$B$30,_xlfn.RANK.EQ(AG68,$AG$2:$AG$111),""),"")</f>
        <v/>
      </c>
      <c r="AJ68" s="31" t="str">
        <f>IF(AND($F68='Tournament Setup'!$A$30,SUM($O68,$Q68)=0,$E68="M",$AI68&gt;'Tournament Setup'!$B$30),$H68,"")</f>
        <v/>
      </c>
      <c r="AK68" s="1" t="str">
        <f>IF(ISNUMBER(AJ68)=TRUE,IF(_xlfn.RANK.EQ(AJ68,$AJ$2:$AJ$111)&lt;='Tournament Setup'!$C$30,_xlfn.RANK.EQ(AJ68,$AJ$2:$AJ$111),""),"")</f>
        <v/>
      </c>
      <c r="AL68" s="31" t="str">
        <f>IF(AND($F68='Tournament Setup'!$A$30,SUM($O68,$S68)=0,$E68="F",$AI68&gt;'Tournament Setup'!$B$30),$H68,"")</f>
        <v/>
      </c>
      <c r="AM68" s="12" t="str">
        <f>IF(ISNUMBER(AL68)=TRUE,IF(_xlfn.RANK.EQ(AL68,$AL$2:$AL$111)&lt;='Tournament Setup'!$D$30,_xlfn.RANK.EQ(AL68,$AL$2:$AL$111),""),"")</f>
        <v/>
      </c>
      <c r="AN68" s="30" t="str">
        <f>IF(AND($F68='Tournament Setup'!$A$31,$I68&lt;&gt;0),$I68,"")</f>
        <v/>
      </c>
      <c r="AO68" s="47" t="str">
        <f>IF(ISNUMBER(AN68),IF(COUNTIFS(AO$1:AO67,_xlfn.RANK.EQ(AN68,AN$2:AN$111,0))&gt;0,_xlfn.MAXIFS(AO$1:AO67,AN$1:AN67,AN68)+1,_xlfn.RANK.EQ(AN68,AN$2:AN$111,0)),"")</f>
        <v/>
      </c>
      <c r="AP68" s="1" t="str">
        <f>IF(ISNUMBER(AN68)=TRUE,IF(_xlfn.RANK.EQ(AN68,$AN$2:$AN$111)&lt;='Tournament Setup'!$B$46,_xlfn.RANK.EQ(AN68,$AN$2:$AN$111),""),"")</f>
        <v/>
      </c>
      <c r="AQ68" s="30" t="str">
        <f>IF(AND($F68='Tournament Setup'!$A$31,SUM($O68,$Q68,$S68)=0),$H68,"")</f>
        <v/>
      </c>
      <c r="AR68" s="47" t="str">
        <f>IF(ISNUMBER(AQ68),IF(COUNTIFS(AR$1:AR67,_xlfn.RANK.EQ(AQ68,AQ$2:AQ$111,0))&gt;0,_xlfn.MAXIFS(AR$1:AR67,AQ$1:AQ67,AQ68)+1,_xlfn.RANK.EQ(AQ68,AQ$2:AQ$111,0)),"")</f>
        <v/>
      </c>
      <c r="AS68" s="1" t="str">
        <f>IF(ISNUMBER(AQ68)=TRUE,IF(_xlfn.RANK.EQ(AQ68,$AQ$2:$AQ$111)&lt;='Tournament Setup'!$B$31,_xlfn.RANK.EQ(AQ68,$AQ$2:$AQ$111),""),"")</f>
        <v/>
      </c>
      <c r="AT68" s="31" t="str">
        <f>IF(AND($F68='Tournament Setup'!$A$31,SUM($O68,$Q68)=0,$E68="M",$AS68&gt;'Tournament Setup'!$B$31),$H68,"")</f>
        <v/>
      </c>
      <c r="AU68" s="1" t="str">
        <f>IF(ISNUMBER(AT68)=TRUE,IF(_xlfn.RANK.EQ(AT68,$AT$2:$AT$111)&lt;='Tournament Setup'!$C$31,_xlfn.RANK.EQ(AT68,$AT$2:$AT$111),""),"")</f>
        <v/>
      </c>
      <c r="AV68" s="31" t="str">
        <f>IF(AND($F68='Tournament Setup'!$A$31,SUM($O68,$S68)=0,$E68="F",$AS68&gt;'Tournament Setup'!$B$31),$H68,"")</f>
        <v/>
      </c>
      <c r="AW68" s="12" t="str">
        <f>IF(ISNUMBER(AV68)=TRUE,IF(_xlfn.RANK.EQ(AV68,$AV$2:$AV$111)&lt;='Tournament Setup'!$D$31,_xlfn.RANK.EQ(AV68,$AV$2:$AV$111),""),"")</f>
        <v/>
      </c>
      <c r="AX68" s="30" t="str">
        <f>IF(AND($F68='Tournament Setup'!$A$32,$I68&lt;&gt;0),$I68,"")</f>
        <v/>
      </c>
      <c r="AY68" s="47" t="str">
        <f>IF(ISNUMBER(AX68),IF(COUNTIFS(AY$1:AY67,_xlfn.RANK.EQ(AX68,AX$2:AX$111,0))&gt;0,_xlfn.MAXIFS(AY$1:AY67,AX$1:AX67,AX68)+1,_xlfn.RANK.EQ(AX68,AX$2:AX$111,0)),"")</f>
        <v/>
      </c>
      <c r="AZ68" s="1" t="str">
        <f>IF(ISNUMBER(AX68)=TRUE,IF(_xlfn.RANK.EQ(AX68,$AX$2:$AX$111)&lt;='Tournament Setup'!$B$46,_xlfn.RANK.EQ(AX68,$AX$2:$AX$111),""),"")</f>
        <v/>
      </c>
      <c r="BA68" s="30" t="str">
        <f>IF(AND($F68='Tournament Setup'!$A$32,SUM($O68,$Q68,$S68)=0),$H68,"")</f>
        <v/>
      </c>
      <c r="BB68" s="47" t="str">
        <f>IF(ISNUMBER(BA68),IF(COUNTIFS(BB$1:BB67,_xlfn.RANK.EQ(BA68,BA$2:BA$111,0))&gt;0,_xlfn.MAXIFS(BB$1:BB67,BA$1:BA67,BA68)+1,_xlfn.RANK.EQ(BA68,BA$2:BA$111,0)),"")</f>
        <v/>
      </c>
      <c r="BC68" s="1" t="str">
        <f>IF(ISNUMBER(BA68)=TRUE,IF(_xlfn.RANK.EQ(BA68,$BA$2:$BA$111)&lt;='Tournament Setup'!$B$32,_xlfn.RANK.EQ(BA68,$BA$2:$BA$111),""),"")</f>
        <v/>
      </c>
      <c r="BD68" s="31" t="str">
        <f>IF(AND($F68='Tournament Setup'!$A$32,SUM($O68,$Q68)=0,$E68="M",$BC68&gt;'Tournament Setup'!$B$32),$H68,"")</f>
        <v/>
      </c>
      <c r="BE68" s="1" t="str">
        <f>IF(ISNUMBER(BD68)=TRUE,IF(_xlfn.RANK.EQ(BD68,$BD$2:$BD$111)&lt;='Tournament Setup'!$C$32,_xlfn.RANK.EQ(BD68,$BD$2:$BD$111),""),"")</f>
        <v/>
      </c>
      <c r="BF68" s="31" t="str">
        <f>IF(AND($F68='Tournament Setup'!$A$32,SUM($O68,$S68)=0,$E68="F",$BC68&gt;'Tournament Setup'!$B$32),$H68,"")</f>
        <v/>
      </c>
      <c r="BG68" s="12" t="str">
        <f>IF(ISNUMBER(BF68)=TRUE,IF(_xlfn.RANK.EQ(BF68,$BF$2:$BF$111)&lt;='Tournament Setup'!$D$32,_xlfn.RANK.EQ(BF68,$BF$2:$BF$111),""),"")</f>
        <v/>
      </c>
      <c r="BH68" s="30" t="str">
        <f>IF(AND($F68='Tournament Setup'!$A$33,$I68&lt;&gt;0),$I68,"")</f>
        <v/>
      </c>
      <c r="BI68" s="47" t="str">
        <f>IF(ISNUMBER(BH68),IF(COUNTIFS(BI$1:BI67,_xlfn.RANK.EQ(BH68,BH$2:BH$111,0))&gt;0,_xlfn.MAXIFS(BI$1:BI67,BH$1:BH67,BH68)+1,_xlfn.RANK.EQ(BH68,BH$2:BH$111,0)),"")</f>
        <v/>
      </c>
      <c r="BJ68" s="1" t="str">
        <f>IF(ISNUMBER(BH68)=TRUE,IF(_xlfn.RANK.EQ(BH68,$BH$2:$BH$111)&lt;='Tournament Setup'!$B$46,_xlfn.RANK.EQ(BH68,$BH$2:$BH$111),""),"")</f>
        <v/>
      </c>
      <c r="BK68" s="30" t="str">
        <f>IF(AND($F68='Tournament Setup'!$A$33,SUM($O68,$Q68,$S68)=0),$H68,"")</f>
        <v/>
      </c>
      <c r="BL68" s="47" t="str">
        <f>IF(ISNUMBER(BK68),IF(COUNTIFS(BL$1:BL67,_xlfn.RANK.EQ(BK68,BK$2:BK$111,0))&gt;0,_xlfn.MAXIFS(BL$1:BL67,BK$1:BK67,BK68)+1,_xlfn.RANK.EQ(BK68,BK$2:BK$111,0)),"")</f>
        <v/>
      </c>
      <c r="BM68" s="1" t="str">
        <f>IF(ISNUMBER(BK68)=TRUE,IF(_xlfn.RANK.EQ(BK68,$BK$2:$BK$111)&lt;='Tournament Setup'!$B$33,_xlfn.RANK.EQ(BK68,$BK$2:$BK$111),""),"")</f>
        <v/>
      </c>
      <c r="BN68" s="31" t="str">
        <f>IF(AND($F68='Tournament Setup'!$A$33,SUM($O68,$Q68)=0,$E68="M",$BM68&gt;'Tournament Setup'!$B$33),$H68,"")</f>
        <v/>
      </c>
      <c r="BO68" s="1" t="str">
        <f>IF(ISNUMBER(BN68)=TRUE,IF(_xlfn.RANK.EQ(BN68,$BN$2:$BN$111)&lt;='Tournament Setup'!$C$33,_xlfn.RANK.EQ(BN68,$BN$2:$BN$111),""),"")</f>
        <v/>
      </c>
      <c r="BP68" s="31" t="str">
        <f>IF(AND($F68='Tournament Setup'!$A$33,SUM($O68,$S68)=0,$E68="F",$BM68&gt;'Tournament Setup'!$B$33),$H68,"")</f>
        <v/>
      </c>
      <c r="BQ68" s="12" t="str">
        <f>IF(ISNUMBER(BP68)=TRUE,IF(_xlfn.RANK.EQ(BP68,$BP$2:$BP$111)&lt;='Tournament Setup'!$D$33,_xlfn.RANK.EQ(BP68,$BP$2:$BP$111),""),"")</f>
        <v/>
      </c>
      <c r="BR68" s="30" t="str">
        <f>IF($G68='Tournament Setup'!$A$38,$H68,"")</f>
        <v/>
      </c>
      <c r="BS68" s="47" t="str">
        <f>IF(ISNUMBER(BR68),IF(COUNTIFS(BS$1:BS67,_xlfn.RANK.EQ(BR68,BR$2:BR$111,0))&gt;0,_xlfn.MAXIFS(BS$1:BS67,BR$1:BR67,BR68)+1,_xlfn.RANK.EQ(BR68,BR$2:BR$111,0)),"")</f>
        <v/>
      </c>
      <c r="BT68" s="1" t="str">
        <f>IF(ISNUMBER(BR68)=TRUE,IF(_xlfn.RANK.EQ(BR68,$BR$2:$BR$111)&lt;='Tournament Setup'!$B$38,_xlfn.RANK.EQ(BR68,$BR$2:$BR$111),""),"")</f>
        <v/>
      </c>
      <c r="BU68" s="31" t="str">
        <f>IF(AND($G68='Tournament Setup'!$A$38,$E68="M",$BT68&gt;'Tournament Setup'!$B$38),$H68,"")</f>
        <v/>
      </c>
      <c r="BV68" s="1" t="str">
        <f>IF(ISNUMBER(BU68)=TRUE,IF(_xlfn.RANK.EQ(BU68,$BU$2:$BU$111)&lt;='Tournament Setup'!$C$38,_xlfn.RANK.EQ(BU68,$BU$2:$BU$111),""),"")</f>
        <v/>
      </c>
      <c r="BW68" s="31" t="str">
        <f>IF(AND($G68='Tournament Setup'!$A$38,$E68="F",$BT68&gt;'Tournament Setup'!$B$38),$H68,"")</f>
        <v/>
      </c>
      <c r="BX68" s="12" t="str">
        <f>IF(ISNUMBER(BW68)=TRUE,IF(_xlfn.RANK.EQ(BW68,$BW$2:$BW$111)&lt;='Tournament Setup'!$D$38,_xlfn.RANK.EQ(BW68,$BW$2:$BW$111),""),"")</f>
        <v/>
      </c>
      <c r="BY68" s="30" t="str">
        <f>IF($G68='Tournament Setup'!$A$39,$H68,"")</f>
        <v/>
      </c>
      <c r="BZ68" s="47" t="str">
        <f>IF(ISNUMBER(BY68),IF(COUNTIFS(BZ$1:BZ67,_xlfn.RANK.EQ(BY68,BY$2:BY$111,0))&gt;0,_xlfn.MAXIFS(BZ$1:BZ67,BY$1:BY67,BY68)+1,_xlfn.RANK.EQ(BY68,BY$2:BY$111,0)),"")</f>
        <v/>
      </c>
      <c r="CA68" s="1" t="str">
        <f>IF(ISNUMBER(BY68)=TRUE,IF(_xlfn.RANK.EQ(BY68,$BY$2:$BY$111)&lt;='Tournament Setup'!$B$39,_xlfn.RANK.EQ(BY68,$BY$2:$BY$111),""),"")</f>
        <v/>
      </c>
      <c r="CB68" s="31" t="str">
        <f>IF(AND($G68='Tournament Setup'!$A$39,$E68="M",$CA68&gt;'Tournament Setup'!$B$39),$H68,"")</f>
        <v/>
      </c>
      <c r="CC68" s="1" t="str">
        <f>IF(ISNUMBER(CB68)=TRUE,IF(_xlfn.RANK.EQ(CB68,$CB$2:$CB$111)&lt;='Tournament Setup'!$C$39,_xlfn.RANK.EQ(CB68,$CB$2:$CB$111),""),"")</f>
        <v/>
      </c>
      <c r="CD68" s="31" t="str">
        <f>IF(AND($G68='Tournament Setup'!$A$39,$E68="F",$CA68&gt;'Tournament Setup'!$B$39),$H68,"")</f>
        <v/>
      </c>
      <c r="CE68" s="12" t="str">
        <f>IF(ISNUMBER(CD68)=TRUE,IF(_xlfn.RANK.EQ(CD68,$CD$2:$CD$111)&lt;='Tournament Setup'!$D$39,_xlfn.RANK.EQ(CD68,$CD$2:$CD$111),""),"")</f>
        <v/>
      </c>
      <c r="CF68" s="30" t="str">
        <f>IF($G68='Tournament Setup'!$A$40,$H68,"")</f>
        <v/>
      </c>
      <c r="CG68" s="47" t="str">
        <f>IF(ISNUMBER(CF68),IF(COUNTIFS(CG$1:CG67,_xlfn.RANK.EQ(CF68,CF$2:CF$111,0))&gt;0,_xlfn.MAXIFS(CG$1:CG67,CF$1:CF67,CF68)+1,_xlfn.RANK.EQ(CF68,CF$2:CF$111,0)),"")</f>
        <v/>
      </c>
      <c r="CH68" s="1" t="str">
        <f>IF(ISNUMBER(CF68)=TRUE,IF(_xlfn.RANK.EQ(CF68,$CF$2:$CF$111)&lt;='Tournament Setup'!$B$40,_xlfn.RANK.EQ(CF68,$CF$2:$CF$111),""),"")</f>
        <v/>
      </c>
      <c r="CI68" s="31" t="str">
        <f>IF(AND($G68='Tournament Setup'!$A$40,$E68="M",$CH68&gt;'Tournament Setup'!$B$40),$H68,"")</f>
        <v/>
      </c>
      <c r="CJ68" s="1" t="str">
        <f>IF(ISNUMBER(CI68)=TRUE,IF(_xlfn.RANK.EQ(CI68,$CI$2:$CI$111)&lt;='Tournament Setup'!$C$40,_xlfn.RANK.EQ(CI68,$CI$2:$CI$111),""),"")</f>
        <v/>
      </c>
      <c r="CK68" s="31" t="str">
        <f>IF(AND($G68='Tournament Setup'!$A$40,$E68="F",$CH68&gt;'Tournament Setup'!$B$40),$H68,"")</f>
        <v/>
      </c>
      <c r="CL68" s="12" t="str">
        <f>IF(ISNUMBER(CK68)=TRUE,IF(_xlfn.RANK.EQ(CK68,$CK$2:$CK$111)&lt;='Tournament Setup'!$D$40,_xlfn.RANK.EQ(CK68,$CK$2:$CK$111),""),"")</f>
        <v/>
      </c>
      <c r="CM68" s="30" t="str">
        <f>IF($G68='Tournament Setup'!$A$41,$H68,"")</f>
        <v/>
      </c>
      <c r="CN68" s="47" t="str">
        <f>IF(ISNUMBER(CM68),IF(COUNTIFS(CN$1:CN67,_xlfn.RANK.EQ(CM68,CM$2:CM$111,0))&gt;0,_xlfn.MAXIFS(CN$1:CN67,CM$1:CM67,CM68)+1,_xlfn.RANK.EQ(CM68,CM$2:CM$111,0)),"")</f>
        <v/>
      </c>
      <c r="CO68" s="1" t="str">
        <f>IF(ISNUMBER(CM68)=TRUE,IF(_xlfn.RANK.EQ(CM68,$CM$2:$CM$111)&lt;='Tournament Setup'!$B$41,_xlfn.RANK.EQ(CM68,$CM$2:$CM$111),""),"")</f>
        <v/>
      </c>
      <c r="CP68" s="31" t="str">
        <f>IF(AND($G68='Tournament Setup'!$A$41,$E68="M",$CO68&gt;'Tournament Setup'!$B$41),$H68,"")</f>
        <v/>
      </c>
      <c r="CQ68" s="1" t="str">
        <f>IF(ISNUMBER(CP68)=TRUE,IF(_xlfn.RANK.EQ(CP68,$CP$2:$CP$111)&lt;='Tournament Setup'!$C$41,_xlfn.RANK.EQ(CP68,$CP$2:$CP$111),""),"")</f>
        <v/>
      </c>
      <c r="CR68" s="31" t="str">
        <f>IF(AND($G68='Tournament Setup'!$A$41,$E68="F",$CO68&gt;'Tournament Setup'!$B$41),$H68,"")</f>
        <v/>
      </c>
      <c r="CS68" s="12" t="str">
        <f>IF(ISNUMBER(CR68)=TRUE,IF(_xlfn.RANK.EQ(CR68,$CR$2:$CR$111)&lt;='Tournament Setup'!$D$41,_xlfn.RANK.EQ(CR68,$CR$2:$CR$111),""),"")</f>
        <v/>
      </c>
    </row>
    <row r="69" spans="2:97" x14ac:dyDescent="0.3">
      <c r="B69" t="str">
        <f>IFERROR(INDEX('Tournament List'!$B:$B,MATCH($A69,'Tournament List'!$A:$A,0)),"")</f>
        <v/>
      </c>
      <c r="C69" t="str">
        <f>IFERROR(INDEX('Tournament List'!$C:$C,MATCH($A69,'Tournament List'!$A:$A,0)),"")</f>
        <v/>
      </c>
      <c r="D69" t="str">
        <f t="shared" si="5"/>
        <v xml:space="preserve"> </v>
      </c>
      <c r="E69" s="1" t="str">
        <f>IFERROR(INDEX('Tournament List'!F:F,MATCH($A69,'Tournament List'!$A:$A,0)),"")</f>
        <v/>
      </c>
      <c r="F69" t="str">
        <f>IFERROR(INDEX('Tournament List'!M:M,MATCH($A69,'Tournament List'!$A:$A,0)),"")</f>
        <v/>
      </c>
      <c r="G69" s="1" t="str">
        <f>IFERROR(INDEX('Tournament List'!W:W,MATCH($A69,'Tournament List'!$A:$A,0)),"")</f>
        <v/>
      </c>
      <c r="H69" s="129" t="str">
        <f>IFERROR(INDEX('Tournament List'!Z:Z,MATCH($A69,'Tournament List'!$A:$A,0)),"")</f>
        <v/>
      </c>
      <c r="I69" s="152" t="str">
        <f>IFERROR(INDEX('Tournament List'!T:T,MATCH($A69,'Tournament List'!$A:$A,0)),"")</f>
        <v/>
      </c>
      <c r="J69" s="56" t="str">
        <f>IF(ISNUMBER(I69),IF(COUNTIFS(J$1:J68,_xlfn.RANK.EQ(I69,I$2:I$111,0))&gt;0,_xlfn.MAXIFS(J$1:J68,I$1:I68,I69)+1,_xlfn.RANK.EQ(I69,I$2:I$111,0)),"")</f>
        <v/>
      </c>
      <c r="K69" s="11" t="str">
        <f t="shared" si="6"/>
        <v/>
      </c>
      <c r="L69" s="56" t="str">
        <f>IF(ISNUMBER(H69),IF(COUNTIFS(L$1:L68,_xlfn.RANK.EQ(H69,H$2:H$111,0))&gt;0,_xlfn.MAXIFS(L$1:L68,H$1:H68,H69)+1,_xlfn.RANK.EQ(H69,H$2:H$111,0)),"")</f>
        <v/>
      </c>
      <c r="M69" s="151" t="str">
        <f t="shared" si="7"/>
        <v/>
      </c>
      <c r="N69" s="47" t="str">
        <f>IF(ISNUMBER(M69),IF(COUNTIFS(N$1:N68,_xlfn.RANK.EQ(M69,M$2:M$111,0))&gt;0,_xlfn.MAXIFS(N$1:N68,M$1:M68,M69)+1,_xlfn.RANK.EQ(M69,M$2:M$111,0)),"")</f>
        <v/>
      </c>
      <c r="O69" s="1" t="str">
        <f>IF(ISNUMBER(M69)=TRUE,IF(_xlfn.RANK.EQ(M69,$M$2:$M$111)&lt;='Tournament Setup'!$B$23,_xlfn.RANK.EQ(M69,$M$2:$M$111),""),"")</f>
        <v/>
      </c>
      <c r="P69" s="150" t="str">
        <f t="shared" si="8"/>
        <v/>
      </c>
      <c r="Q69" s="1" t="str">
        <f>IF(ISNUMBER(P69)=TRUE,IF(_xlfn.RANK.EQ(P69,$P$2:$P$111)&lt;='Tournament Setup'!$B$24,_xlfn.RANK.EQ(P69,$P$2:$P$111),""),"")</f>
        <v/>
      </c>
      <c r="R69" s="150" t="str">
        <f t="shared" si="9"/>
        <v/>
      </c>
      <c r="S69" s="12" t="str">
        <f>IF(ISNUMBER(R69)=TRUE,IF(_xlfn.RANK.EQ(R69,$R$2:$R$111)&lt;='Tournament Setup'!$B$25,_xlfn.RANK.EQ(R69,$R$2:$R$111),""),"")</f>
        <v/>
      </c>
      <c r="T69" s="152" t="str">
        <f>IF(AND($F69='Tournament Setup'!$A$29,$I69&lt;&gt;0),$I69,"")</f>
        <v/>
      </c>
      <c r="U69" s="47" t="str">
        <f>IF(ISNUMBER(T69),IF(COUNTIFS(U$1:U68,_xlfn.RANK.EQ(T69,T$2:T$111,0))&gt;0,_xlfn.MAXIFS(U$1:U68,T$1:T68,T69)+1,_xlfn.RANK.EQ(T69,T$2:T$111,0)),"")</f>
        <v/>
      </c>
      <c r="V69" s="1" t="str">
        <f>IF(ISNUMBER(T69)=TRUE,IF(_xlfn.RANK.EQ(T69,$T$3:$T$112)&lt;='Tournament Setup'!$B$46,_xlfn.RANK.EQ(T69,$T$2:$T$111),""),"")</f>
        <v/>
      </c>
      <c r="W69" s="30" t="str">
        <f>IF(AND($F69='Tournament Setup'!$A$29,SUM($O69,$Q69,$S69)=0),$H69,"")</f>
        <v/>
      </c>
      <c r="X69" s="47" t="str">
        <f>IF(ISNUMBER(W69),IF(COUNTIFS(X$1:X68,_xlfn.RANK.EQ(W69,W$2:W$111,0))&gt;0,_xlfn.MAXIFS(X$1:X68,W$1:W68,W69)+1,_xlfn.RANK.EQ(W69,W$2:W$111,0)),"")</f>
        <v/>
      </c>
      <c r="Y69" s="1" t="str">
        <f>IF(ISNUMBER(W69)=TRUE,IF(_xlfn.RANK.EQ(W69,$W$2:$W$111)&lt;='Tournament Setup'!$B$29,_xlfn.RANK.EQ(W69,$W$2:$W$111),""),"")</f>
        <v/>
      </c>
      <c r="Z69" s="31" t="str">
        <f>IF(AND($F69='Tournament Setup'!$A$29,SUM($O69,$Q69)=0,$E69="M",$Y69&gt;'Tournament Setup'!$B$29),$H69,"")</f>
        <v/>
      </c>
      <c r="AA69" s="1" t="str">
        <f>IF(ISNUMBER(Z69)=TRUE,IF(_xlfn.RANK.EQ(Z69,$Z$2:$Z$111)&lt;='Tournament Setup'!$C$29,_xlfn.RANK.EQ(Z69,$Z$2:$Z$111),""),"")</f>
        <v/>
      </c>
      <c r="AB69" s="31" t="str">
        <f>IF(AND($F69='Tournament Setup'!$A$29,SUM($O69,$S69)=0,$E69="F",$Y69&gt;'Tournament Setup'!$B$29),$H69,"")</f>
        <v/>
      </c>
      <c r="AC69" s="12" t="str">
        <f>IF(ISNUMBER(AB69)=TRUE,IF(_xlfn.RANK.EQ(AB69,$AB$2:$AB$111)&lt;='Tournament Setup'!$D$29,_xlfn.RANK.EQ(AB69,$AB$2:$AB$111),""),"")</f>
        <v/>
      </c>
      <c r="AD69" s="30" t="str">
        <f>IF(AND($F69='Tournament Setup'!$A$30,$I69&lt;&gt;0),$I69,"")</f>
        <v/>
      </c>
      <c r="AE69" s="47" t="str">
        <f>IF(ISNUMBER(AD69),IF(COUNTIFS(AE$1:AE68,_xlfn.RANK.EQ(AD69,AD$2:AD$111,0))&gt;0,_xlfn.MAXIFS(AE$1:AE68,AD$1:AD68,AD69)+1,_xlfn.RANK.EQ(AD69,AD$2:AD$111,0)),"")</f>
        <v/>
      </c>
      <c r="AF69" s="1" t="str">
        <f>IF(ISNUMBER(AD69)=TRUE,IF(_xlfn.RANK.EQ(AD69,$AD$2:$AD$111)&lt;='Tournament Setup'!$B$46,_xlfn.RANK.EQ(AD69,$AD$2:$AD$111),""),"")</f>
        <v/>
      </c>
      <c r="AG69" s="30" t="str">
        <f>IF(AND($F69='Tournament Setup'!$A$30,SUM($O69,$Q69,$S69)=0),$H69,"")</f>
        <v/>
      </c>
      <c r="AH69" s="47" t="str">
        <f>IF(ISNUMBER(AG69),IF(COUNTIFS(AH$1:AH68,_xlfn.RANK.EQ(AG69,AG$2:AG$111,0))&gt;0,_xlfn.MAXIFS(AH$1:AH68,AG$1:AG68,AG69)+1,_xlfn.RANK.EQ(AG69,AG$2:AG$111,0)),"")</f>
        <v/>
      </c>
      <c r="AI69" s="1" t="str">
        <f>IF(ISNUMBER(AG69)=TRUE,IF(_xlfn.RANK.EQ(AG69,$AG$2:$AG$111)&lt;='Tournament Setup'!$B$30,_xlfn.RANK.EQ(AG69,$AG$2:$AG$111),""),"")</f>
        <v/>
      </c>
      <c r="AJ69" s="31" t="str">
        <f>IF(AND($F69='Tournament Setup'!$A$30,SUM($O69,$Q69)=0,$E69="M",$AI69&gt;'Tournament Setup'!$B$30),$H69,"")</f>
        <v/>
      </c>
      <c r="AK69" s="1" t="str">
        <f>IF(ISNUMBER(AJ69)=TRUE,IF(_xlfn.RANK.EQ(AJ69,$AJ$2:$AJ$111)&lt;='Tournament Setup'!$C$30,_xlfn.RANK.EQ(AJ69,$AJ$2:$AJ$111),""),"")</f>
        <v/>
      </c>
      <c r="AL69" s="31" t="str">
        <f>IF(AND($F69='Tournament Setup'!$A$30,SUM($O69,$S69)=0,$E69="F",$AI69&gt;'Tournament Setup'!$B$30),$H69,"")</f>
        <v/>
      </c>
      <c r="AM69" s="12" t="str">
        <f>IF(ISNUMBER(AL69)=TRUE,IF(_xlfn.RANK.EQ(AL69,$AL$2:$AL$111)&lt;='Tournament Setup'!$D$30,_xlfn.RANK.EQ(AL69,$AL$2:$AL$111),""),"")</f>
        <v/>
      </c>
      <c r="AN69" s="30" t="str">
        <f>IF(AND($F69='Tournament Setup'!$A$31,$I69&lt;&gt;0),$I69,"")</f>
        <v/>
      </c>
      <c r="AO69" s="47" t="str">
        <f>IF(ISNUMBER(AN69),IF(COUNTIFS(AO$1:AO68,_xlfn.RANK.EQ(AN69,AN$2:AN$111,0))&gt;0,_xlfn.MAXIFS(AO$1:AO68,AN$1:AN68,AN69)+1,_xlfn.RANK.EQ(AN69,AN$2:AN$111,0)),"")</f>
        <v/>
      </c>
      <c r="AP69" s="1" t="str">
        <f>IF(ISNUMBER(AN69)=TRUE,IF(_xlfn.RANK.EQ(AN69,$AN$2:$AN$111)&lt;='Tournament Setup'!$B$46,_xlfn.RANK.EQ(AN69,$AN$2:$AN$111),""),"")</f>
        <v/>
      </c>
      <c r="AQ69" s="30" t="str">
        <f>IF(AND($F69='Tournament Setup'!$A$31,SUM($O69,$Q69,$S69)=0),$H69,"")</f>
        <v/>
      </c>
      <c r="AR69" s="47" t="str">
        <f>IF(ISNUMBER(AQ69),IF(COUNTIFS(AR$1:AR68,_xlfn.RANK.EQ(AQ69,AQ$2:AQ$111,0))&gt;0,_xlfn.MAXIFS(AR$1:AR68,AQ$1:AQ68,AQ69)+1,_xlfn.RANK.EQ(AQ69,AQ$2:AQ$111,0)),"")</f>
        <v/>
      </c>
      <c r="AS69" s="1" t="str">
        <f>IF(ISNUMBER(AQ69)=TRUE,IF(_xlfn.RANK.EQ(AQ69,$AQ$2:$AQ$111)&lt;='Tournament Setup'!$B$31,_xlfn.RANK.EQ(AQ69,$AQ$2:$AQ$111),""),"")</f>
        <v/>
      </c>
      <c r="AT69" s="31" t="str">
        <f>IF(AND($F69='Tournament Setup'!$A$31,SUM($O69,$Q69)=0,$E69="M",$AS69&gt;'Tournament Setup'!$B$31),$H69,"")</f>
        <v/>
      </c>
      <c r="AU69" s="1" t="str">
        <f>IF(ISNUMBER(AT69)=TRUE,IF(_xlfn.RANK.EQ(AT69,$AT$2:$AT$111)&lt;='Tournament Setup'!$C$31,_xlfn.RANK.EQ(AT69,$AT$2:$AT$111),""),"")</f>
        <v/>
      </c>
      <c r="AV69" s="31" t="str">
        <f>IF(AND($F69='Tournament Setup'!$A$31,SUM($O69,$S69)=0,$E69="F",$AS69&gt;'Tournament Setup'!$B$31),$H69,"")</f>
        <v/>
      </c>
      <c r="AW69" s="12" t="str">
        <f>IF(ISNUMBER(AV69)=TRUE,IF(_xlfn.RANK.EQ(AV69,$AV$2:$AV$111)&lt;='Tournament Setup'!$D$31,_xlfn.RANK.EQ(AV69,$AV$2:$AV$111),""),"")</f>
        <v/>
      </c>
      <c r="AX69" s="30" t="str">
        <f>IF(AND($F69='Tournament Setup'!$A$32,$I69&lt;&gt;0),$I69,"")</f>
        <v/>
      </c>
      <c r="AY69" s="47" t="str">
        <f>IF(ISNUMBER(AX69),IF(COUNTIFS(AY$1:AY68,_xlfn.RANK.EQ(AX69,AX$2:AX$111,0))&gt;0,_xlfn.MAXIFS(AY$1:AY68,AX$1:AX68,AX69)+1,_xlfn.RANK.EQ(AX69,AX$2:AX$111,0)),"")</f>
        <v/>
      </c>
      <c r="AZ69" s="1" t="str">
        <f>IF(ISNUMBER(AX69)=TRUE,IF(_xlfn.RANK.EQ(AX69,$AX$2:$AX$111)&lt;='Tournament Setup'!$B$46,_xlfn.RANK.EQ(AX69,$AX$2:$AX$111),""),"")</f>
        <v/>
      </c>
      <c r="BA69" s="30" t="str">
        <f>IF(AND($F69='Tournament Setup'!$A$32,SUM($O69,$Q69,$S69)=0),$H69,"")</f>
        <v/>
      </c>
      <c r="BB69" s="47" t="str">
        <f>IF(ISNUMBER(BA69),IF(COUNTIFS(BB$1:BB68,_xlfn.RANK.EQ(BA69,BA$2:BA$111,0))&gt;0,_xlfn.MAXIFS(BB$1:BB68,BA$1:BA68,BA69)+1,_xlfn.RANK.EQ(BA69,BA$2:BA$111,0)),"")</f>
        <v/>
      </c>
      <c r="BC69" s="1" t="str">
        <f>IF(ISNUMBER(BA69)=TRUE,IF(_xlfn.RANK.EQ(BA69,$BA$2:$BA$111)&lt;='Tournament Setup'!$B$32,_xlfn.RANK.EQ(BA69,$BA$2:$BA$111),""),"")</f>
        <v/>
      </c>
      <c r="BD69" s="31" t="str">
        <f>IF(AND($F69='Tournament Setup'!$A$32,SUM($O69,$Q69)=0,$E69="M",$BC69&gt;'Tournament Setup'!$B$32),$H69,"")</f>
        <v/>
      </c>
      <c r="BE69" s="1" t="str">
        <f>IF(ISNUMBER(BD69)=TRUE,IF(_xlfn.RANK.EQ(BD69,$BD$2:$BD$111)&lt;='Tournament Setup'!$C$32,_xlfn.RANK.EQ(BD69,$BD$2:$BD$111),""),"")</f>
        <v/>
      </c>
      <c r="BF69" s="31" t="str">
        <f>IF(AND($F69='Tournament Setup'!$A$32,SUM($O69,$S69)=0,$E69="F",$BC69&gt;'Tournament Setup'!$B$32),$H69,"")</f>
        <v/>
      </c>
      <c r="BG69" s="12" t="str">
        <f>IF(ISNUMBER(BF69)=TRUE,IF(_xlfn.RANK.EQ(BF69,$BF$2:$BF$111)&lt;='Tournament Setup'!$D$32,_xlfn.RANK.EQ(BF69,$BF$2:$BF$111),""),"")</f>
        <v/>
      </c>
      <c r="BH69" s="30" t="str">
        <f>IF(AND($F69='Tournament Setup'!$A$33,$I69&lt;&gt;0),$I69,"")</f>
        <v/>
      </c>
      <c r="BI69" s="47" t="str">
        <f>IF(ISNUMBER(BH69),IF(COUNTIFS(BI$1:BI68,_xlfn.RANK.EQ(BH69,BH$2:BH$111,0))&gt;0,_xlfn.MAXIFS(BI$1:BI68,BH$1:BH68,BH69)+1,_xlfn.RANK.EQ(BH69,BH$2:BH$111,0)),"")</f>
        <v/>
      </c>
      <c r="BJ69" s="1" t="str">
        <f>IF(ISNUMBER(BH69)=TRUE,IF(_xlfn.RANK.EQ(BH69,$BH$2:$BH$111)&lt;='Tournament Setup'!$B$46,_xlfn.RANK.EQ(BH69,$BH$2:$BH$111),""),"")</f>
        <v/>
      </c>
      <c r="BK69" s="30" t="str">
        <f>IF(AND($F69='Tournament Setup'!$A$33,SUM($O69,$Q69,$S69)=0),$H69,"")</f>
        <v/>
      </c>
      <c r="BL69" s="47" t="str">
        <f>IF(ISNUMBER(BK69),IF(COUNTIFS(BL$1:BL68,_xlfn.RANK.EQ(BK69,BK$2:BK$111,0))&gt;0,_xlfn.MAXIFS(BL$1:BL68,BK$1:BK68,BK69)+1,_xlfn.RANK.EQ(BK69,BK$2:BK$111,0)),"")</f>
        <v/>
      </c>
      <c r="BM69" s="1" t="str">
        <f>IF(ISNUMBER(BK69)=TRUE,IF(_xlfn.RANK.EQ(BK69,$BK$2:$BK$111)&lt;='Tournament Setup'!$B$33,_xlfn.RANK.EQ(BK69,$BK$2:$BK$111),""),"")</f>
        <v/>
      </c>
      <c r="BN69" s="31" t="str">
        <f>IF(AND($F69='Tournament Setup'!$A$33,SUM($O69,$Q69)=0,$E69="M",$BM69&gt;'Tournament Setup'!$B$33),$H69,"")</f>
        <v/>
      </c>
      <c r="BO69" s="1" t="str">
        <f>IF(ISNUMBER(BN69)=TRUE,IF(_xlfn.RANK.EQ(BN69,$BN$2:$BN$111)&lt;='Tournament Setup'!$C$33,_xlfn.RANK.EQ(BN69,$BN$2:$BN$111),""),"")</f>
        <v/>
      </c>
      <c r="BP69" s="31" t="str">
        <f>IF(AND($F69='Tournament Setup'!$A$33,SUM($O69,$S69)=0,$E69="F",$BM69&gt;'Tournament Setup'!$B$33),$H69,"")</f>
        <v/>
      </c>
      <c r="BQ69" s="12" t="str">
        <f>IF(ISNUMBER(BP69)=TRUE,IF(_xlfn.RANK.EQ(BP69,$BP$2:$BP$111)&lt;='Tournament Setup'!$D$33,_xlfn.RANK.EQ(BP69,$BP$2:$BP$111),""),"")</f>
        <v/>
      </c>
      <c r="BR69" s="30" t="str">
        <f>IF($G69='Tournament Setup'!$A$38,$H69,"")</f>
        <v/>
      </c>
      <c r="BS69" s="47" t="str">
        <f>IF(ISNUMBER(BR69),IF(COUNTIFS(BS$1:BS68,_xlfn.RANK.EQ(BR69,BR$2:BR$111,0))&gt;0,_xlfn.MAXIFS(BS$1:BS68,BR$1:BR68,BR69)+1,_xlfn.RANK.EQ(BR69,BR$2:BR$111,0)),"")</f>
        <v/>
      </c>
      <c r="BT69" s="1" t="str">
        <f>IF(ISNUMBER(BR69)=TRUE,IF(_xlfn.RANK.EQ(BR69,$BR$2:$BR$111)&lt;='Tournament Setup'!$B$38,_xlfn.RANK.EQ(BR69,$BR$2:$BR$111),""),"")</f>
        <v/>
      </c>
      <c r="BU69" s="31" t="str">
        <f>IF(AND($G69='Tournament Setup'!$A$38,$E69="M",$BT69&gt;'Tournament Setup'!$B$38),$H69,"")</f>
        <v/>
      </c>
      <c r="BV69" s="1" t="str">
        <f>IF(ISNUMBER(BU69)=TRUE,IF(_xlfn.RANK.EQ(BU69,$BU$2:$BU$111)&lt;='Tournament Setup'!$C$38,_xlfn.RANK.EQ(BU69,$BU$2:$BU$111),""),"")</f>
        <v/>
      </c>
      <c r="BW69" s="31" t="str">
        <f>IF(AND($G69='Tournament Setup'!$A$38,$E69="F",$BT69&gt;'Tournament Setup'!$B$38),$H69,"")</f>
        <v/>
      </c>
      <c r="BX69" s="12" t="str">
        <f>IF(ISNUMBER(BW69)=TRUE,IF(_xlfn.RANK.EQ(BW69,$BW$2:$BW$111)&lt;='Tournament Setup'!$D$38,_xlfn.RANK.EQ(BW69,$BW$2:$BW$111),""),"")</f>
        <v/>
      </c>
      <c r="BY69" s="30" t="str">
        <f>IF($G69='Tournament Setup'!$A$39,$H69,"")</f>
        <v/>
      </c>
      <c r="BZ69" s="47" t="str">
        <f>IF(ISNUMBER(BY69),IF(COUNTIFS(BZ$1:BZ68,_xlfn.RANK.EQ(BY69,BY$2:BY$111,0))&gt;0,_xlfn.MAXIFS(BZ$1:BZ68,BY$1:BY68,BY69)+1,_xlfn.RANK.EQ(BY69,BY$2:BY$111,0)),"")</f>
        <v/>
      </c>
      <c r="CA69" s="1" t="str">
        <f>IF(ISNUMBER(BY69)=TRUE,IF(_xlfn.RANK.EQ(BY69,$BY$2:$BY$111)&lt;='Tournament Setup'!$B$39,_xlfn.RANK.EQ(BY69,$BY$2:$BY$111),""),"")</f>
        <v/>
      </c>
      <c r="CB69" s="31" t="str">
        <f>IF(AND($G69='Tournament Setup'!$A$39,$E69="M",$CA69&gt;'Tournament Setup'!$B$39),$H69,"")</f>
        <v/>
      </c>
      <c r="CC69" s="1" t="str">
        <f>IF(ISNUMBER(CB69)=TRUE,IF(_xlfn.RANK.EQ(CB69,$CB$2:$CB$111)&lt;='Tournament Setup'!$C$39,_xlfn.RANK.EQ(CB69,$CB$2:$CB$111),""),"")</f>
        <v/>
      </c>
      <c r="CD69" s="31" t="str">
        <f>IF(AND($G69='Tournament Setup'!$A$39,$E69="F",$CA69&gt;'Tournament Setup'!$B$39),$H69,"")</f>
        <v/>
      </c>
      <c r="CE69" s="12" t="str">
        <f>IF(ISNUMBER(CD69)=TRUE,IF(_xlfn.RANK.EQ(CD69,$CD$2:$CD$111)&lt;='Tournament Setup'!$D$39,_xlfn.RANK.EQ(CD69,$CD$2:$CD$111),""),"")</f>
        <v/>
      </c>
      <c r="CF69" s="30" t="str">
        <f>IF($G69='Tournament Setup'!$A$40,$H69,"")</f>
        <v/>
      </c>
      <c r="CG69" s="47" t="str">
        <f>IF(ISNUMBER(CF69),IF(COUNTIFS(CG$1:CG68,_xlfn.RANK.EQ(CF69,CF$2:CF$111,0))&gt;0,_xlfn.MAXIFS(CG$1:CG68,CF$1:CF68,CF69)+1,_xlfn.RANK.EQ(CF69,CF$2:CF$111,0)),"")</f>
        <v/>
      </c>
      <c r="CH69" s="1" t="str">
        <f>IF(ISNUMBER(CF69)=TRUE,IF(_xlfn.RANK.EQ(CF69,$CF$2:$CF$111)&lt;='Tournament Setup'!$B$40,_xlfn.RANK.EQ(CF69,$CF$2:$CF$111),""),"")</f>
        <v/>
      </c>
      <c r="CI69" s="31" t="str">
        <f>IF(AND($G69='Tournament Setup'!$A$40,$E69="M",$CH69&gt;'Tournament Setup'!$B$40),$H69,"")</f>
        <v/>
      </c>
      <c r="CJ69" s="1" t="str">
        <f>IF(ISNUMBER(CI69)=TRUE,IF(_xlfn.RANK.EQ(CI69,$CI$2:$CI$111)&lt;='Tournament Setup'!$C$40,_xlfn.RANK.EQ(CI69,$CI$2:$CI$111),""),"")</f>
        <v/>
      </c>
      <c r="CK69" s="31" t="str">
        <f>IF(AND($G69='Tournament Setup'!$A$40,$E69="F",$CH69&gt;'Tournament Setup'!$B$40),$H69,"")</f>
        <v/>
      </c>
      <c r="CL69" s="12" t="str">
        <f>IF(ISNUMBER(CK69)=TRUE,IF(_xlfn.RANK.EQ(CK69,$CK$2:$CK$111)&lt;='Tournament Setup'!$D$40,_xlfn.RANK.EQ(CK69,$CK$2:$CK$111),""),"")</f>
        <v/>
      </c>
      <c r="CM69" s="30" t="str">
        <f>IF($G69='Tournament Setup'!$A$41,$H69,"")</f>
        <v/>
      </c>
      <c r="CN69" s="47" t="str">
        <f>IF(ISNUMBER(CM69),IF(COUNTIFS(CN$1:CN68,_xlfn.RANK.EQ(CM69,CM$2:CM$111,0))&gt;0,_xlfn.MAXIFS(CN$1:CN68,CM$1:CM68,CM69)+1,_xlfn.RANK.EQ(CM69,CM$2:CM$111,0)),"")</f>
        <v/>
      </c>
      <c r="CO69" s="1" t="str">
        <f>IF(ISNUMBER(CM69)=TRUE,IF(_xlfn.RANK.EQ(CM69,$CM$2:$CM$111)&lt;='Tournament Setup'!$B$41,_xlfn.RANK.EQ(CM69,$CM$2:$CM$111),""),"")</f>
        <v/>
      </c>
      <c r="CP69" s="31" t="str">
        <f>IF(AND($G69='Tournament Setup'!$A$41,$E69="M",$CO69&gt;'Tournament Setup'!$B$41),$H69,"")</f>
        <v/>
      </c>
      <c r="CQ69" s="1" t="str">
        <f>IF(ISNUMBER(CP69)=TRUE,IF(_xlfn.RANK.EQ(CP69,$CP$2:$CP$111)&lt;='Tournament Setup'!$C$41,_xlfn.RANK.EQ(CP69,$CP$2:$CP$111),""),"")</f>
        <v/>
      </c>
      <c r="CR69" s="31" t="str">
        <f>IF(AND($G69='Tournament Setup'!$A$41,$E69="F",$CO69&gt;'Tournament Setup'!$B$41),$H69,"")</f>
        <v/>
      </c>
      <c r="CS69" s="12" t="str">
        <f>IF(ISNUMBER(CR69)=TRUE,IF(_xlfn.RANK.EQ(CR69,$CR$2:$CR$111)&lt;='Tournament Setup'!$D$41,_xlfn.RANK.EQ(CR69,$CR$2:$CR$111),""),"")</f>
        <v/>
      </c>
    </row>
    <row r="70" spans="2:97" x14ac:dyDescent="0.3">
      <c r="B70" t="str">
        <f>IFERROR(INDEX('Tournament List'!$B:$B,MATCH($A70,'Tournament List'!$A:$A,0)),"")</f>
        <v/>
      </c>
      <c r="C70" t="str">
        <f>IFERROR(INDEX('Tournament List'!$C:$C,MATCH($A70,'Tournament List'!$A:$A,0)),"")</f>
        <v/>
      </c>
      <c r="D70" t="str">
        <f t="shared" si="5"/>
        <v xml:space="preserve"> </v>
      </c>
      <c r="E70" s="1" t="str">
        <f>IFERROR(INDEX('Tournament List'!F:F,MATCH($A70,'Tournament List'!$A:$A,0)),"")</f>
        <v/>
      </c>
      <c r="F70" t="str">
        <f>IFERROR(INDEX('Tournament List'!M:M,MATCH($A70,'Tournament List'!$A:$A,0)),"")</f>
        <v/>
      </c>
      <c r="G70" s="1" t="str">
        <f>IFERROR(INDEX('Tournament List'!W:W,MATCH($A70,'Tournament List'!$A:$A,0)),"")</f>
        <v/>
      </c>
      <c r="H70" s="129" t="str">
        <f>IFERROR(INDEX('Tournament List'!Z:Z,MATCH($A70,'Tournament List'!$A:$A,0)),"")</f>
        <v/>
      </c>
      <c r="I70" s="152" t="str">
        <f>IFERROR(INDEX('Tournament List'!T:T,MATCH($A70,'Tournament List'!$A:$A,0)),"")</f>
        <v/>
      </c>
      <c r="J70" s="56" t="str">
        <f>IF(ISNUMBER(I70),IF(COUNTIFS(J$1:J69,_xlfn.RANK.EQ(I70,I$2:I$111,0))&gt;0,_xlfn.MAXIFS(J$1:J69,I$1:I69,I70)+1,_xlfn.RANK.EQ(I70,I$2:I$111,0)),"")</f>
        <v/>
      </c>
      <c r="K70" s="11" t="str">
        <f t="shared" si="6"/>
        <v/>
      </c>
      <c r="L70" s="56" t="str">
        <f>IF(ISNUMBER(H70),IF(COUNTIFS(L$1:L69,_xlfn.RANK.EQ(H70,H$2:H$111,0))&gt;0,_xlfn.MAXIFS(L$1:L69,H$1:H69,H70)+1,_xlfn.RANK.EQ(H70,H$2:H$111,0)),"")</f>
        <v/>
      </c>
      <c r="M70" s="151" t="str">
        <f t="shared" si="7"/>
        <v/>
      </c>
      <c r="N70" s="47" t="str">
        <f>IF(ISNUMBER(M70),IF(COUNTIFS(N$1:N69,_xlfn.RANK.EQ(M70,M$2:M$111,0))&gt;0,_xlfn.MAXIFS(N$1:N69,M$1:M69,M70)+1,_xlfn.RANK.EQ(M70,M$2:M$111,0)),"")</f>
        <v/>
      </c>
      <c r="O70" s="1" t="str">
        <f>IF(ISNUMBER(M70)=TRUE,IF(_xlfn.RANK.EQ(M70,$M$2:$M$111)&lt;='Tournament Setup'!$B$23,_xlfn.RANK.EQ(M70,$M$2:$M$111),""),"")</f>
        <v/>
      </c>
      <c r="P70" s="150" t="str">
        <f t="shared" si="8"/>
        <v/>
      </c>
      <c r="Q70" s="1" t="str">
        <f>IF(ISNUMBER(P70)=TRUE,IF(_xlfn.RANK.EQ(P70,$P$2:$P$111)&lt;='Tournament Setup'!$B$24,_xlfn.RANK.EQ(P70,$P$2:$P$111),""),"")</f>
        <v/>
      </c>
      <c r="R70" s="150" t="str">
        <f t="shared" si="9"/>
        <v/>
      </c>
      <c r="S70" s="12" t="str">
        <f>IF(ISNUMBER(R70)=TRUE,IF(_xlfn.RANK.EQ(R70,$R$2:$R$111)&lt;='Tournament Setup'!$B$25,_xlfn.RANK.EQ(R70,$R$2:$R$111),""),"")</f>
        <v/>
      </c>
      <c r="T70" s="152" t="str">
        <f>IF(AND($F70='Tournament Setup'!$A$29,$I70&lt;&gt;0),$I70,"")</f>
        <v/>
      </c>
      <c r="U70" s="47" t="str">
        <f>IF(ISNUMBER(T70),IF(COUNTIFS(U$1:U69,_xlfn.RANK.EQ(T70,T$2:T$111,0))&gt;0,_xlfn.MAXIFS(U$1:U69,T$1:T69,T70)+1,_xlfn.RANK.EQ(T70,T$2:T$111,0)),"")</f>
        <v/>
      </c>
      <c r="V70" s="1" t="str">
        <f>IF(ISNUMBER(T70)=TRUE,IF(_xlfn.RANK.EQ(T70,$T$3:$T$112)&lt;='Tournament Setup'!$B$46,_xlfn.RANK.EQ(T70,$T$2:$T$111),""),"")</f>
        <v/>
      </c>
      <c r="W70" s="30" t="str">
        <f>IF(AND($F70='Tournament Setup'!$A$29,SUM($O70,$Q70,$S70)=0),$H70,"")</f>
        <v/>
      </c>
      <c r="X70" s="47" t="str">
        <f>IF(ISNUMBER(W70),IF(COUNTIFS(X$1:X69,_xlfn.RANK.EQ(W70,W$2:W$111,0))&gt;0,_xlfn.MAXIFS(X$1:X69,W$1:W69,W70)+1,_xlfn.RANK.EQ(W70,W$2:W$111,0)),"")</f>
        <v/>
      </c>
      <c r="Y70" s="1" t="str">
        <f>IF(ISNUMBER(W70)=TRUE,IF(_xlfn.RANK.EQ(W70,$W$2:$W$111)&lt;='Tournament Setup'!$B$29,_xlfn.RANK.EQ(W70,$W$2:$W$111),""),"")</f>
        <v/>
      </c>
      <c r="Z70" s="31" t="str">
        <f>IF(AND($F70='Tournament Setup'!$A$29,SUM($O70,$Q70)=0,$E70="M",$Y70&gt;'Tournament Setup'!$B$29),$H70,"")</f>
        <v/>
      </c>
      <c r="AA70" s="1" t="str">
        <f>IF(ISNUMBER(Z70)=TRUE,IF(_xlfn.RANK.EQ(Z70,$Z$2:$Z$111)&lt;='Tournament Setup'!$C$29,_xlfn.RANK.EQ(Z70,$Z$2:$Z$111),""),"")</f>
        <v/>
      </c>
      <c r="AB70" s="31" t="str">
        <f>IF(AND($F70='Tournament Setup'!$A$29,SUM($O70,$S70)=0,$E70="F",$Y70&gt;'Tournament Setup'!$B$29),$H70,"")</f>
        <v/>
      </c>
      <c r="AC70" s="12" t="str">
        <f>IF(ISNUMBER(AB70)=TRUE,IF(_xlfn.RANK.EQ(AB70,$AB$2:$AB$111)&lt;='Tournament Setup'!$D$29,_xlfn.RANK.EQ(AB70,$AB$2:$AB$111),""),"")</f>
        <v/>
      </c>
      <c r="AD70" s="30" t="str">
        <f>IF(AND($F70='Tournament Setup'!$A$30,$I70&lt;&gt;0),$I70,"")</f>
        <v/>
      </c>
      <c r="AE70" s="47" t="str">
        <f>IF(ISNUMBER(AD70),IF(COUNTIFS(AE$1:AE69,_xlfn.RANK.EQ(AD70,AD$2:AD$111,0))&gt;0,_xlfn.MAXIFS(AE$1:AE69,AD$1:AD69,AD70)+1,_xlfn.RANK.EQ(AD70,AD$2:AD$111,0)),"")</f>
        <v/>
      </c>
      <c r="AF70" s="1" t="str">
        <f>IF(ISNUMBER(AD70)=TRUE,IF(_xlfn.RANK.EQ(AD70,$AD$2:$AD$111)&lt;='Tournament Setup'!$B$46,_xlfn.RANK.EQ(AD70,$AD$2:$AD$111),""),"")</f>
        <v/>
      </c>
      <c r="AG70" s="30" t="str">
        <f>IF(AND($F70='Tournament Setup'!$A$30,SUM($O70,$Q70,$S70)=0),$H70,"")</f>
        <v/>
      </c>
      <c r="AH70" s="47" t="str">
        <f>IF(ISNUMBER(AG70),IF(COUNTIFS(AH$1:AH69,_xlfn.RANK.EQ(AG70,AG$2:AG$111,0))&gt;0,_xlfn.MAXIFS(AH$1:AH69,AG$1:AG69,AG70)+1,_xlfn.RANK.EQ(AG70,AG$2:AG$111,0)),"")</f>
        <v/>
      </c>
      <c r="AI70" s="1" t="str">
        <f>IF(ISNUMBER(AG70)=TRUE,IF(_xlfn.RANK.EQ(AG70,$AG$2:$AG$111)&lt;='Tournament Setup'!$B$30,_xlfn.RANK.EQ(AG70,$AG$2:$AG$111),""),"")</f>
        <v/>
      </c>
      <c r="AJ70" s="31" t="str">
        <f>IF(AND($F70='Tournament Setup'!$A$30,SUM($O70,$Q70)=0,$E70="M",$AI70&gt;'Tournament Setup'!$B$30),$H70,"")</f>
        <v/>
      </c>
      <c r="AK70" s="1" t="str">
        <f>IF(ISNUMBER(AJ70)=TRUE,IF(_xlfn.RANK.EQ(AJ70,$AJ$2:$AJ$111)&lt;='Tournament Setup'!$C$30,_xlfn.RANK.EQ(AJ70,$AJ$2:$AJ$111),""),"")</f>
        <v/>
      </c>
      <c r="AL70" s="31" t="str">
        <f>IF(AND($F70='Tournament Setup'!$A$30,SUM($O70,$S70)=0,$E70="F",$AI70&gt;'Tournament Setup'!$B$30),$H70,"")</f>
        <v/>
      </c>
      <c r="AM70" s="12" t="str">
        <f>IF(ISNUMBER(AL70)=TRUE,IF(_xlfn.RANK.EQ(AL70,$AL$2:$AL$111)&lt;='Tournament Setup'!$D$30,_xlfn.RANK.EQ(AL70,$AL$2:$AL$111),""),"")</f>
        <v/>
      </c>
      <c r="AN70" s="30" t="str">
        <f>IF(AND($F70='Tournament Setup'!$A$31,$I70&lt;&gt;0),$I70,"")</f>
        <v/>
      </c>
      <c r="AO70" s="47" t="str">
        <f>IF(ISNUMBER(AN70),IF(COUNTIFS(AO$1:AO69,_xlfn.RANK.EQ(AN70,AN$2:AN$111,0))&gt;0,_xlfn.MAXIFS(AO$1:AO69,AN$1:AN69,AN70)+1,_xlfn.RANK.EQ(AN70,AN$2:AN$111,0)),"")</f>
        <v/>
      </c>
      <c r="AP70" s="1" t="str">
        <f>IF(ISNUMBER(AN70)=TRUE,IF(_xlfn.RANK.EQ(AN70,$AN$2:$AN$111)&lt;='Tournament Setup'!$B$46,_xlfn.RANK.EQ(AN70,$AN$2:$AN$111),""),"")</f>
        <v/>
      </c>
      <c r="AQ70" s="30" t="str">
        <f>IF(AND($F70='Tournament Setup'!$A$31,SUM($O70,$Q70,$S70)=0),$H70,"")</f>
        <v/>
      </c>
      <c r="AR70" s="47" t="str">
        <f>IF(ISNUMBER(AQ70),IF(COUNTIFS(AR$1:AR69,_xlfn.RANK.EQ(AQ70,AQ$2:AQ$111,0))&gt;0,_xlfn.MAXIFS(AR$1:AR69,AQ$1:AQ69,AQ70)+1,_xlfn.RANK.EQ(AQ70,AQ$2:AQ$111,0)),"")</f>
        <v/>
      </c>
      <c r="AS70" s="1" t="str">
        <f>IF(ISNUMBER(AQ70)=TRUE,IF(_xlfn.RANK.EQ(AQ70,$AQ$2:$AQ$111)&lt;='Tournament Setup'!$B$31,_xlfn.RANK.EQ(AQ70,$AQ$2:$AQ$111),""),"")</f>
        <v/>
      </c>
      <c r="AT70" s="31" t="str">
        <f>IF(AND($F70='Tournament Setup'!$A$31,SUM($O70,$Q70)=0,$E70="M",$AS70&gt;'Tournament Setup'!$B$31),$H70,"")</f>
        <v/>
      </c>
      <c r="AU70" s="1" t="str">
        <f>IF(ISNUMBER(AT70)=TRUE,IF(_xlfn.RANK.EQ(AT70,$AT$2:$AT$111)&lt;='Tournament Setup'!$C$31,_xlfn.RANK.EQ(AT70,$AT$2:$AT$111),""),"")</f>
        <v/>
      </c>
      <c r="AV70" s="31" t="str">
        <f>IF(AND($F70='Tournament Setup'!$A$31,SUM($O70,$S70)=0,$E70="F",$AS70&gt;'Tournament Setup'!$B$31),$H70,"")</f>
        <v/>
      </c>
      <c r="AW70" s="12" t="str">
        <f>IF(ISNUMBER(AV70)=TRUE,IF(_xlfn.RANK.EQ(AV70,$AV$2:$AV$111)&lt;='Tournament Setup'!$D$31,_xlfn.RANK.EQ(AV70,$AV$2:$AV$111),""),"")</f>
        <v/>
      </c>
      <c r="AX70" s="30" t="str">
        <f>IF(AND($F70='Tournament Setup'!$A$32,$I70&lt;&gt;0),$I70,"")</f>
        <v/>
      </c>
      <c r="AY70" s="47" t="str">
        <f>IF(ISNUMBER(AX70),IF(COUNTIFS(AY$1:AY69,_xlfn.RANK.EQ(AX70,AX$2:AX$111,0))&gt;0,_xlfn.MAXIFS(AY$1:AY69,AX$1:AX69,AX70)+1,_xlfn.RANK.EQ(AX70,AX$2:AX$111,0)),"")</f>
        <v/>
      </c>
      <c r="AZ70" s="1" t="str">
        <f>IF(ISNUMBER(AX70)=TRUE,IF(_xlfn.RANK.EQ(AX70,$AX$2:$AX$111)&lt;='Tournament Setup'!$B$46,_xlfn.RANK.EQ(AX70,$AX$2:$AX$111),""),"")</f>
        <v/>
      </c>
      <c r="BA70" s="30" t="str">
        <f>IF(AND($F70='Tournament Setup'!$A$32,SUM($O70,$Q70,$S70)=0),$H70,"")</f>
        <v/>
      </c>
      <c r="BB70" s="47" t="str">
        <f>IF(ISNUMBER(BA70),IF(COUNTIFS(BB$1:BB69,_xlfn.RANK.EQ(BA70,BA$2:BA$111,0))&gt;0,_xlfn.MAXIFS(BB$1:BB69,BA$1:BA69,BA70)+1,_xlfn.RANK.EQ(BA70,BA$2:BA$111,0)),"")</f>
        <v/>
      </c>
      <c r="BC70" s="1" t="str">
        <f>IF(ISNUMBER(BA70)=TRUE,IF(_xlfn.RANK.EQ(BA70,$BA$2:$BA$111)&lt;='Tournament Setup'!$B$32,_xlfn.RANK.EQ(BA70,$BA$2:$BA$111),""),"")</f>
        <v/>
      </c>
      <c r="BD70" s="31" t="str">
        <f>IF(AND($F70='Tournament Setup'!$A$32,SUM($O70,$Q70)=0,$E70="M",$BC70&gt;'Tournament Setup'!$B$32),$H70,"")</f>
        <v/>
      </c>
      <c r="BE70" s="1" t="str">
        <f>IF(ISNUMBER(BD70)=TRUE,IF(_xlfn.RANK.EQ(BD70,$BD$2:$BD$111)&lt;='Tournament Setup'!$C$32,_xlfn.RANK.EQ(BD70,$BD$2:$BD$111),""),"")</f>
        <v/>
      </c>
      <c r="BF70" s="31" t="str">
        <f>IF(AND($F70='Tournament Setup'!$A$32,SUM($O70,$S70)=0,$E70="F",$BC70&gt;'Tournament Setup'!$B$32),$H70,"")</f>
        <v/>
      </c>
      <c r="BG70" s="12" t="str">
        <f>IF(ISNUMBER(BF70)=TRUE,IF(_xlfn.RANK.EQ(BF70,$BF$2:$BF$111)&lt;='Tournament Setup'!$D$32,_xlfn.RANK.EQ(BF70,$BF$2:$BF$111),""),"")</f>
        <v/>
      </c>
      <c r="BH70" s="30" t="str">
        <f>IF(AND($F70='Tournament Setup'!$A$33,$I70&lt;&gt;0),$I70,"")</f>
        <v/>
      </c>
      <c r="BI70" s="47" t="str">
        <f>IF(ISNUMBER(BH70),IF(COUNTIFS(BI$1:BI69,_xlfn.RANK.EQ(BH70,BH$2:BH$111,0))&gt;0,_xlfn.MAXIFS(BI$1:BI69,BH$1:BH69,BH70)+1,_xlfn.RANK.EQ(BH70,BH$2:BH$111,0)),"")</f>
        <v/>
      </c>
      <c r="BJ70" s="1" t="str">
        <f>IF(ISNUMBER(BH70)=TRUE,IF(_xlfn.RANK.EQ(BH70,$BH$2:$BH$111)&lt;='Tournament Setup'!$B$46,_xlfn.RANK.EQ(BH70,$BH$2:$BH$111),""),"")</f>
        <v/>
      </c>
      <c r="BK70" s="30" t="str">
        <f>IF(AND($F70='Tournament Setup'!$A$33,SUM($O70,$Q70,$S70)=0),$H70,"")</f>
        <v/>
      </c>
      <c r="BL70" s="47" t="str">
        <f>IF(ISNUMBER(BK70),IF(COUNTIFS(BL$1:BL69,_xlfn.RANK.EQ(BK70,BK$2:BK$111,0))&gt;0,_xlfn.MAXIFS(BL$1:BL69,BK$1:BK69,BK70)+1,_xlfn.RANK.EQ(BK70,BK$2:BK$111,0)),"")</f>
        <v/>
      </c>
      <c r="BM70" s="1" t="str">
        <f>IF(ISNUMBER(BK70)=TRUE,IF(_xlfn.RANK.EQ(BK70,$BK$2:$BK$111)&lt;='Tournament Setup'!$B$33,_xlfn.RANK.EQ(BK70,$BK$2:$BK$111),""),"")</f>
        <v/>
      </c>
      <c r="BN70" s="31" t="str">
        <f>IF(AND($F70='Tournament Setup'!$A$33,SUM($O70,$Q70)=0,$E70="M",$BM70&gt;'Tournament Setup'!$B$33),$H70,"")</f>
        <v/>
      </c>
      <c r="BO70" s="1" t="str">
        <f>IF(ISNUMBER(BN70)=TRUE,IF(_xlfn.RANK.EQ(BN70,$BN$2:$BN$111)&lt;='Tournament Setup'!$C$33,_xlfn.RANK.EQ(BN70,$BN$2:$BN$111),""),"")</f>
        <v/>
      </c>
      <c r="BP70" s="31" t="str">
        <f>IF(AND($F70='Tournament Setup'!$A$33,SUM($O70,$S70)=0,$E70="F",$BM70&gt;'Tournament Setup'!$B$33),$H70,"")</f>
        <v/>
      </c>
      <c r="BQ70" s="12" t="str">
        <f>IF(ISNUMBER(BP70)=TRUE,IF(_xlfn.RANK.EQ(BP70,$BP$2:$BP$111)&lt;='Tournament Setup'!$D$33,_xlfn.RANK.EQ(BP70,$BP$2:$BP$111),""),"")</f>
        <v/>
      </c>
      <c r="BR70" s="30" t="str">
        <f>IF($G70='Tournament Setup'!$A$38,$H70,"")</f>
        <v/>
      </c>
      <c r="BS70" s="47" t="str">
        <f>IF(ISNUMBER(BR70),IF(COUNTIFS(BS$1:BS69,_xlfn.RANK.EQ(BR70,BR$2:BR$111,0))&gt;0,_xlfn.MAXIFS(BS$1:BS69,BR$1:BR69,BR70)+1,_xlfn.RANK.EQ(BR70,BR$2:BR$111,0)),"")</f>
        <v/>
      </c>
      <c r="BT70" s="1" t="str">
        <f>IF(ISNUMBER(BR70)=TRUE,IF(_xlfn.RANK.EQ(BR70,$BR$2:$BR$111)&lt;='Tournament Setup'!$B$38,_xlfn.RANK.EQ(BR70,$BR$2:$BR$111),""),"")</f>
        <v/>
      </c>
      <c r="BU70" s="31" t="str">
        <f>IF(AND($G70='Tournament Setup'!$A$38,$E70="M",$BT70&gt;'Tournament Setup'!$B$38),$H70,"")</f>
        <v/>
      </c>
      <c r="BV70" s="1" t="str">
        <f>IF(ISNUMBER(BU70)=TRUE,IF(_xlfn.RANK.EQ(BU70,$BU$2:$BU$111)&lt;='Tournament Setup'!$C$38,_xlfn.RANK.EQ(BU70,$BU$2:$BU$111),""),"")</f>
        <v/>
      </c>
      <c r="BW70" s="31" t="str">
        <f>IF(AND($G70='Tournament Setup'!$A$38,$E70="F",$BT70&gt;'Tournament Setup'!$B$38),$H70,"")</f>
        <v/>
      </c>
      <c r="BX70" s="12" t="str">
        <f>IF(ISNUMBER(BW70)=TRUE,IF(_xlfn.RANK.EQ(BW70,$BW$2:$BW$111)&lt;='Tournament Setup'!$D$38,_xlfn.RANK.EQ(BW70,$BW$2:$BW$111),""),"")</f>
        <v/>
      </c>
      <c r="BY70" s="30" t="str">
        <f>IF($G70='Tournament Setup'!$A$39,$H70,"")</f>
        <v/>
      </c>
      <c r="BZ70" s="47" t="str">
        <f>IF(ISNUMBER(BY70),IF(COUNTIFS(BZ$1:BZ69,_xlfn.RANK.EQ(BY70,BY$2:BY$111,0))&gt;0,_xlfn.MAXIFS(BZ$1:BZ69,BY$1:BY69,BY70)+1,_xlfn.RANK.EQ(BY70,BY$2:BY$111,0)),"")</f>
        <v/>
      </c>
      <c r="CA70" s="1" t="str">
        <f>IF(ISNUMBER(BY70)=TRUE,IF(_xlfn.RANK.EQ(BY70,$BY$2:$BY$111)&lt;='Tournament Setup'!$B$39,_xlfn.RANK.EQ(BY70,$BY$2:$BY$111),""),"")</f>
        <v/>
      </c>
      <c r="CB70" s="31" t="str">
        <f>IF(AND($G70='Tournament Setup'!$A$39,$E70="M",$CA70&gt;'Tournament Setup'!$B$39),$H70,"")</f>
        <v/>
      </c>
      <c r="CC70" s="1" t="str">
        <f>IF(ISNUMBER(CB70)=TRUE,IF(_xlfn.RANK.EQ(CB70,$CB$2:$CB$111)&lt;='Tournament Setup'!$C$39,_xlfn.RANK.EQ(CB70,$CB$2:$CB$111),""),"")</f>
        <v/>
      </c>
      <c r="CD70" s="31" t="str">
        <f>IF(AND($G70='Tournament Setup'!$A$39,$E70="F",$CA70&gt;'Tournament Setup'!$B$39),$H70,"")</f>
        <v/>
      </c>
      <c r="CE70" s="12" t="str">
        <f>IF(ISNUMBER(CD70)=TRUE,IF(_xlfn.RANK.EQ(CD70,$CD$2:$CD$111)&lt;='Tournament Setup'!$D$39,_xlfn.RANK.EQ(CD70,$CD$2:$CD$111),""),"")</f>
        <v/>
      </c>
      <c r="CF70" s="30" t="str">
        <f>IF($G70='Tournament Setup'!$A$40,$H70,"")</f>
        <v/>
      </c>
      <c r="CG70" s="47" t="str">
        <f>IF(ISNUMBER(CF70),IF(COUNTIFS(CG$1:CG69,_xlfn.RANK.EQ(CF70,CF$2:CF$111,0))&gt;0,_xlfn.MAXIFS(CG$1:CG69,CF$1:CF69,CF70)+1,_xlfn.RANK.EQ(CF70,CF$2:CF$111,0)),"")</f>
        <v/>
      </c>
      <c r="CH70" s="1" t="str">
        <f>IF(ISNUMBER(CF70)=TRUE,IF(_xlfn.RANK.EQ(CF70,$CF$2:$CF$111)&lt;='Tournament Setup'!$B$40,_xlfn.RANK.EQ(CF70,$CF$2:$CF$111),""),"")</f>
        <v/>
      </c>
      <c r="CI70" s="31" t="str">
        <f>IF(AND($G70='Tournament Setup'!$A$40,$E70="M",$CH70&gt;'Tournament Setup'!$B$40),$H70,"")</f>
        <v/>
      </c>
      <c r="CJ70" s="1" t="str">
        <f>IF(ISNUMBER(CI70)=TRUE,IF(_xlfn.RANK.EQ(CI70,$CI$2:$CI$111)&lt;='Tournament Setup'!$C$40,_xlfn.RANK.EQ(CI70,$CI$2:$CI$111),""),"")</f>
        <v/>
      </c>
      <c r="CK70" s="31" t="str">
        <f>IF(AND($G70='Tournament Setup'!$A$40,$E70="F",$CH70&gt;'Tournament Setup'!$B$40),$H70,"")</f>
        <v/>
      </c>
      <c r="CL70" s="12" t="str">
        <f>IF(ISNUMBER(CK70)=TRUE,IF(_xlfn.RANK.EQ(CK70,$CK$2:$CK$111)&lt;='Tournament Setup'!$D$40,_xlfn.RANK.EQ(CK70,$CK$2:$CK$111),""),"")</f>
        <v/>
      </c>
      <c r="CM70" s="30" t="str">
        <f>IF($G70='Tournament Setup'!$A$41,$H70,"")</f>
        <v/>
      </c>
      <c r="CN70" s="47" t="str">
        <f>IF(ISNUMBER(CM70),IF(COUNTIFS(CN$1:CN69,_xlfn.RANK.EQ(CM70,CM$2:CM$111,0))&gt;0,_xlfn.MAXIFS(CN$1:CN69,CM$1:CM69,CM70)+1,_xlfn.RANK.EQ(CM70,CM$2:CM$111,0)),"")</f>
        <v/>
      </c>
      <c r="CO70" s="1" t="str">
        <f>IF(ISNUMBER(CM70)=TRUE,IF(_xlfn.RANK.EQ(CM70,$CM$2:$CM$111)&lt;='Tournament Setup'!$B$41,_xlfn.RANK.EQ(CM70,$CM$2:$CM$111),""),"")</f>
        <v/>
      </c>
      <c r="CP70" s="31" t="str">
        <f>IF(AND($G70='Tournament Setup'!$A$41,$E70="M",$CO70&gt;'Tournament Setup'!$B$41),$H70,"")</f>
        <v/>
      </c>
      <c r="CQ70" s="1" t="str">
        <f>IF(ISNUMBER(CP70)=TRUE,IF(_xlfn.RANK.EQ(CP70,$CP$2:$CP$111)&lt;='Tournament Setup'!$C$41,_xlfn.RANK.EQ(CP70,$CP$2:$CP$111),""),"")</f>
        <v/>
      </c>
      <c r="CR70" s="31" t="str">
        <f>IF(AND($G70='Tournament Setup'!$A$41,$E70="F",$CO70&gt;'Tournament Setup'!$B$41),$H70,"")</f>
        <v/>
      </c>
      <c r="CS70" s="12" t="str">
        <f>IF(ISNUMBER(CR70)=TRUE,IF(_xlfn.RANK.EQ(CR70,$CR$2:$CR$111)&lt;='Tournament Setup'!$D$41,_xlfn.RANK.EQ(CR70,$CR$2:$CR$111),""),"")</f>
        <v/>
      </c>
    </row>
    <row r="71" spans="2:97" x14ac:dyDescent="0.3">
      <c r="B71" t="str">
        <f>IFERROR(INDEX('Tournament List'!$B:$B,MATCH($A71,'Tournament List'!$A:$A,0)),"")</f>
        <v/>
      </c>
      <c r="C71" t="str">
        <f>IFERROR(INDEX('Tournament List'!$C:$C,MATCH($A71,'Tournament List'!$A:$A,0)),"")</f>
        <v/>
      </c>
      <c r="D71" t="str">
        <f t="shared" si="5"/>
        <v xml:space="preserve"> </v>
      </c>
      <c r="E71" s="1" t="str">
        <f>IFERROR(INDEX('Tournament List'!F:F,MATCH($A71,'Tournament List'!$A:$A,0)),"")</f>
        <v/>
      </c>
      <c r="F71" t="str">
        <f>IFERROR(INDEX('Tournament List'!M:M,MATCH($A71,'Tournament List'!$A:$A,0)),"")</f>
        <v/>
      </c>
      <c r="G71" s="1" t="str">
        <f>IFERROR(INDEX('Tournament List'!W:W,MATCH($A71,'Tournament List'!$A:$A,0)),"")</f>
        <v/>
      </c>
      <c r="H71" s="129" t="str">
        <f>IFERROR(INDEX('Tournament List'!Z:Z,MATCH($A71,'Tournament List'!$A:$A,0)),"")</f>
        <v/>
      </c>
      <c r="I71" s="152" t="str">
        <f>IFERROR(INDEX('Tournament List'!T:T,MATCH($A71,'Tournament List'!$A:$A,0)),"")</f>
        <v/>
      </c>
      <c r="J71" s="56" t="str">
        <f>IF(ISNUMBER(I71),IF(COUNTIFS(J$1:J70,_xlfn.RANK.EQ(I71,I$2:I$111,0))&gt;0,_xlfn.MAXIFS(J$1:J70,I$1:I70,I71)+1,_xlfn.RANK.EQ(I71,I$2:I$111,0)),"")</f>
        <v/>
      </c>
      <c r="K71" s="11" t="str">
        <f t="shared" si="6"/>
        <v/>
      </c>
      <c r="L71" s="56" t="str">
        <f>IF(ISNUMBER(H71),IF(COUNTIFS(L$1:L70,_xlfn.RANK.EQ(H71,H$2:H$111,0))&gt;0,_xlfn.MAXIFS(L$1:L70,H$1:H70,H71)+1,_xlfn.RANK.EQ(H71,H$2:H$111,0)),"")</f>
        <v/>
      </c>
      <c r="M71" s="151" t="str">
        <f t="shared" si="7"/>
        <v/>
      </c>
      <c r="N71" s="47" t="str">
        <f>IF(ISNUMBER(M71),IF(COUNTIFS(N$1:N70,_xlfn.RANK.EQ(M71,M$2:M$111,0))&gt;0,_xlfn.MAXIFS(N$1:N70,M$1:M70,M71)+1,_xlfn.RANK.EQ(M71,M$2:M$111,0)),"")</f>
        <v/>
      </c>
      <c r="O71" s="1" t="str">
        <f>IF(ISNUMBER(M71)=TRUE,IF(_xlfn.RANK.EQ(M71,$M$2:$M$111)&lt;='Tournament Setup'!$B$23,_xlfn.RANK.EQ(M71,$M$2:$M$111),""),"")</f>
        <v/>
      </c>
      <c r="P71" s="150" t="str">
        <f t="shared" si="8"/>
        <v/>
      </c>
      <c r="Q71" s="1" t="str">
        <f>IF(ISNUMBER(P71)=TRUE,IF(_xlfn.RANK.EQ(P71,$P$2:$P$111)&lt;='Tournament Setup'!$B$24,_xlfn.RANK.EQ(P71,$P$2:$P$111),""),"")</f>
        <v/>
      </c>
      <c r="R71" s="150" t="str">
        <f t="shared" si="9"/>
        <v/>
      </c>
      <c r="S71" s="12" t="str">
        <f>IF(ISNUMBER(R71)=TRUE,IF(_xlfn.RANK.EQ(R71,$R$2:$R$111)&lt;='Tournament Setup'!$B$25,_xlfn.RANK.EQ(R71,$R$2:$R$111),""),"")</f>
        <v/>
      </c>
      <c r="T71" s="152" t="str">
        <f>IF(AND($F71='Tournament Setup'!$A$29,$I71&lt;&gt;0),$I71,"")</f>
        <v/>
      </c>
      <c r="U71" s="47" t="str">
        <f>IF(ISNUMBER(T71),IF(COUNTIFS(U$1:U70,_xlfn.RANK.EQ(T71,T$2:T$111,0))&gt;0,_xlfn.MAXIFS(U$1:U70,T$1:T70,T71)+1,_xlfn.RANK.EQ(T71,T$2:T$111,0)),"")</f>
        <v/>
      </c>
      <c r="V71" s="1" t="str">
        <f>IF(ISNUMBER(T71)=TRUE,IF(_xlfn.RANK.EQ(T71,$T$3:$T$112)&lt;='Tournament Setup'!$B$46,_xlfn.RANK.EQ(T71,$T$2:$T$111),""),"")</f>
        <v/>
      </c>
      <c r="W71" s="30" t="str">
        <f>IF(AND($F71='Tournament Setup'!$A$29,SUM($O71,$Q71,$S71)=0),$H71,"")</f>
        <v/>
      </c>
      <c r="X71" s="47" t="str">
        <f>IF(ISNUMBER(W71),IF(COUNTIFS(X$1:X70,_xlfn.RANK.EQ(W71,W$2:W$111,0))&gt;0,_xlfn.MAXIFS(X$1:X70,W$1:W70,W71)+1,_xlfn.RANK.EQ(W71,W$2:W$111,0)),"")</f>
        <v/>
      </c>
      <c r="Y71" s="1" t="str">
        <f>IF(ISNUMBER(W71)=TRUE,IF(_xlfn.RANK.EQ(W71,$W$2:$W$111)&lt;='Tournament Setup'!$B$29,_xlfn.RANK.EQ(W71,$W$2:$W$111),""),"")</f>
        <v/>
      </c>
      <c r="Z71" s="31" t="str">
        <f>IF(AND($F71='Tournament Setup'!$A$29,SUM($O71,$Q71)=0,$E71="M",$Y71&gt;'Tournament Setup'!$B$29),$H71,"")</f>
        <v/>
      </c>
      <c r="AA71" s="1" t="str">
        <f>IF(ISNUMBER(Z71)=TRUE,IF(_xlfn.RANK.EQ(Z71,$Z$2:$Z$111)&lt;='Tournament Setup'!$C$29,_xlfn.RANK.EQ(Z71,$Z$2:$Z$111),""),"")</f>
        <v/>
      </c>
      <c r="AB71" s="31" t="str">
        <f>IF(AND($F71='Tournament Setup'!$A$29,SUM($O71,$S71)=0,$E71="F",$Y71&gt;'Tournament Setup'!$B$29),$H71,"")</f>
        <v/>
      </c>
      <c r="AC71" s="12" t="str">
        <f>IF(ISNUMBER(AB71)=TRUE,IF(_xlfn.RANK.EQ(AB71,$AB$2:$AB$111)&lt;='Tournament Setup'!$D$29,_xlfn.RANK.EQ(AB71,$AB$2:$AB$111),""),"")</f>
        <v/>
      </c>
      <c r="AD71" s="30" t="str">
        <f>IF(AND($F71='Tournament Setup'!$A$30,$I71&lt;&gt;0),$I71,"")</f>
        <v/>
      </c>
      <c r="AE71" s="47" t="str">
        <f>IF(ISNUMBER(AD71),IF(COUNTIFS(AE$1:AE70,_xlfn.RANK.EQ(AD71,AD$2:AD$111,0))&gt;0,_xlfn.MAXIFS(AE$1:AE70,AD$1:AD70,AD71)+1,_xlfn.RANK.EQ(AD71,AD$2:AD$111,0)),"")</f>
        <v/>
      </c>
      <c r="AF71" s="1" t="str">
        <f>IF(ISNUMBER(AD71)=TRUE,IF(_xlfn.RANK.EQ(AD71,$AD$2:$AD$111)&lt;='Tournament Setup'!$B$46,_xlfn.RANK.EQ(AD71,$AD$2:$AD$111),""),"")</f>
        <v/>
      </c>
      <c r="AG71" s="30" t="str">
        <f>IF(AND($F71='Tournament Setup'!$A$30,SUM($O71,$Q71,$S71)=0),$H71,"")</f>
        <v/>
      </c>
      <c r="AH71" s="47" t="str">
        <f>IF(ISNUMBER(AG71),IF(COUNTIFS(AH$1:AH70,_xlfn.RANK.EQ(AG71,AG$2:AG$111,0))&gt;0,_xlfn.MAXIFS(AH$1:AH70,AG$1:AG70,AG71)+1,_xlfn.RANK.EQ(AG71,AG$2:AG$111,0)),"")</f>
        <v/>
      </c>
      <c r="AI71" s="1" t="str">
        <f>IF(ISNUMBER(AG71)=TRUE,IF(_xlfn.RANK.EQ(AG71,$AG$2:$AG$111)&lt;='Tournament Setup'!$B$30,_xlfn.RANK.EQ(AG71,$AG$2:$AG$111),""),"")</f>
        <v/>
      </c>
      <c r="AJ71" s="31" t="str">
        <f>IF(AND($F71='Tournament Setup'!$A$30,SUM($O71,$Q71)=0,$E71="M",$AI71&gt;'Tournament Setup'!$B$30),$H71,"")</f>
        <v/>
      </c>
      <c r="AK71" s="1" t="str">
        <f>IF(ISNUMBER(AJ71)=TRUE,IF(_xlfn.RANK.EQ(AJ71,$AJ$2:$AJ$111)&lt;='Tournament Setup'!$C$30,_xlfn.RANK.EQ(AJ71,$AJ$2:$AJ$111),""),"")</f>
        <v/>
      </c>
      <c r="AL71" s="31" t="str">
        <f>IF(AND($F71='Tournament Setup'!$A$30,SUM($O71,$S71)=0,$E71="F",$AI71&gt;'Tournament Setup'!$B$30),$H71,"")</f>
        <v/>
      </c>
      <c r="AM71" s="12" t="str">
        <f>IF(ISNUMBER(AL71)=TRUE,IF(_xlfn.RANK.EQ(AL71,$AL$2:$AL$111)&lt;='Tournament Setup'!$D$30,_xlfn.RANK.EQ(AL71,$AL$2:$AL$111),""),"")</f>
        <v/>
      </c>
      <c r="AN71" s="30" t="str">
        <f>IF(AND($F71='Tournament Setup'!$A$31,$I71&lt;&gt;0),$I71,"")</f>
        <v/>
      </c>
      <c r="AO71" s="47" t="str">
        <f>IF(ISNUMBER(AN71),IF(COUNTIFS(AO$1:AO70,_xlfn.RANK.EQ(AN71,AN$2:AN$111,0))&gt;0,_xlfn.MAXIFS(AO$1:AO70,AN$1:AN70,AN71)+1,_xlfn.RANK.EQ(AN71,AN$2:AN$111,0)),"")</f>
        <v/>
      </c>
      <c r="AP71" s="1" t="str">
        <f>IF(ISNUMBER(AN71)=TRUE,IF(_xlfn.RANK.EQ(AN71,$AN$2:$AN$111)&lt;='Tournament Setup'!$B$46,_xlfn.RANK.EQ(AN71,$AN$2:$AN$111),""),"")</f>
        <v/>
      </c>
      <c r="AQ71" s="30" t="str">
        <f>IF(AND($F71='Tournament Setup'!$A$31,SUM($O71,$Q71,$S71)=0),$H71,"")</f>
        <v/>
      </c>
      <c r="AR71" s="47" t="str">
        <f>IF(ISNUMBER(AQ71),IF(COUNTIFS(AR$1:AR70,_xlfn.RANK.EQ(AQ71,AQ$2:AQ$111,0))&gt;0,_xlfn.MAXIFS(AR$1:AR70,AQ$1:AQ70,AQ71)+1,_xlfn.RANK.EQ(AQ71,AQ$2:AQ$111,0)),"")</f>
        <v/>
      </c>
      <c r="AS71" s="1" t="str">
        <f>IF(ISNUMBER(AQ71)=TRUE,IF(_xlfn.RANK.EQ(AQ71,$AQ$2:$AQ$111)&lt;='Tournament Setup'!$B$31,_xlfn.RANK.EQ(AQ71,$AQ$2:$AQ$111),""),"")</f>
        <v/>
      </c>
      <c r="AT71" s="31" t="str">
        <f>IF(AND($F71='Tournament Setup'!$A$31,SUM($O71,$Q71)=0,$E71="M",$AS71&gt;'Tournament Setup'!$B$31),$H71,"")</f>
        <v/>
      </c>
      <c r="AU71" s="1" t="str">
        <f>IF(ISNUMBER(AT71)=TRUE,IF(_xlfn.RANK.EQ(AT71,$AT$2:$AT$111)&lt;='Tournament Setup'!$C$31,_xlfn.RANK.EQ(AT71,$AT$2:$AT$111),""),"")</f>
        <v/>
      </c>
      <c r="AV71" s="31" t="str">
        <f>IF(AND($F71='Tournament Setup'!$A$31,SUM($O71,$S71)=0,$E71="F",$AS71&gt;'Tournament Setup'!$B$31),$H71,"")</f>
        <v/>
      </c>
      <c r="AW71" s="12" t="str">
        <f>IF(ISNUMBER(AV71)=TRUE,IF(_xlfn.RANK.EQ(AV71,$AV$2:$AV$111)&lt;='Tournament Setup'!$D$31,_xlfn.RANK.EQ(AV71,$AV$2:$AV$111),""),"")</f>
        <v/>
      </c>
      <c r="AX71" s="30" t="str">
        <f>IF(AND($F71='Tournament Setup'!$A$32,$I71&lt;&gt;0),$I71,"")</f>
        <v/>
      </c>
      <c r="AY71" s="47" t="str">
        <f>IF(ISNUMBER(AX71),IF(COUNTIFS(AY$1:AY70,_xlfn.RANK.EQ(AX71,AX$2:AX$111,0))&gt;0,_xlfn.MAXIFS(AY$1:AY70,AX$1:AX70,AX71)+1,_xlfn.RANK.EQ(AX71,AX$2:AX$111,0)),"")</f>
        <v/>
      </c>
      <c r="AZ71" s="1" t="str">
        <f>IF(ISNUMBER(AX71)=TRUE,IF(_xlfn.RANK.EQ(AX71,$AX$2:$AX$111)&lt;='Tournament Setup'!$B$46,_xlfn.RANK.EQ(AX71,$AX$2:$AX$111),""),"")</f>
        <v/>
      </c>
      <c r="BA71" s="30" t="str">
        <f>IF(AND($F71='Tournament Setup'!$A$32,SUM($O71,$Q71,$S71)=0),$H71,"")</f>
        <v/>
      </c>
      <c r="BB71" s="47" t="str">
        <f>IF(ISNUMBER(BA71),IF(COUNTIFS(BB$1:BB70,_xlfn.RANK.EQ(BA71,BA$2:BA$111,0))&gt;0,_xlfn.MAXIFS(BB$1:BB70,BA$1:BA70,BA71)+1,_xlfn.RANK.EQ(BA71,BA$2:BA$111,0)),"")</f>
        <v/>
      </c>
      <c r="BC71" s="1" t="str">
        <f>IF(ISNUMBER(BA71)=TRUE,IF(_xlfn.RANK.EQ(BA71,$BA$2:$BA$111)&lt;='Tournament Setup'!$B$32,_xlfn.RANK.EQ(BA71,$BA$2:$BA$111),""),"")</f>
        <v/>
      </c>
      <c r="BD71" s="31" t="str">
        <f>IF(AND($F71='Tournament Setup'!$A$32,SUM($O71,$Q71)=0,$E71="M",$BC71&gt;'Tournament Setup'!$B$32),$H71,"")</f>
        <v/>
      </c>
      <c r="BE71" s="1" t="str">
        <f>IF(ISNUMBER(BD71)=TRUE,IF(_xlfn.RANK.EQ(BD71,$BD$2:$BD$111)&lt;='Tournament Setup'!$C$32,_xlfn.RANK.EQ(BD71,$BD$2:$BD$111),""),"")</f>
        <v/>
      </c>
      <c r="BF71" s="31" t="str">
        <f>IF(AND($F71='Tournament Setup'!$A$32,SUM($O71,$S71)=0,$E71="F",$BC71&gt;'Tournament Setup'!$B$32),$H71,"")</f>
        <v/>
      </c>
      <c r="BG71" s="12" t="str">
        <f>IF(ISNUMBER(BF71)=TRUE,IF(_xlfn.RANK.EQ(BF71,$BF$2:$BF$111)&lt;='Tournament Setup'!$D$32,_xlfn.RANK.EQ(BF71,$BF$2:$BF$111),""),"")</f>
        <v/>
      </c>
      <c r="BH71" s="30" t="str">
        <f>IF(AND($F71='Tournament Setup'!$A$33,$I71&lt;&gt;0),$I71,"")</f>
        <v/>
      </c>
      <c r="BI71" s="47" t="str">
        <f>IF(ISNUMBER(BH71),IF(COUNTIFS(BI$1:BI70,_xlfn.RANK.EQ(BH71,BH$2:BH$111,0))&gt;0,_xlfn.MAXIFS(BI$1:BI70,BH$1:BH70,BH71)+1,_xlfn.RANK.EQ(BH71,BH$2:BH$111,0)),"")</f>
        <v/>
      </c>
      <c r="BJ71" s="1" t="str">
        <f>IF(ISNUMBER(BH71)=TRUE,IF(_xlfn.RANK.EQ(BH71,$BH$2:$BH$111)&lt;='Tournament Setup'!$B$46,_xlfn.RANK.EQ(BH71,$BH$2:$BH$111),""),"")</f>
        <v/>
      </c>
      <c r="BK71" s="30" t="str">
        <f>IF(AND($F71='Tournament Setup'!$A$33,SUM($O71,$Q71,$S71)=0),$H71,"")</f>
        <v/>
      </c>
      <c r="BL71" s="47" t="str">
        <f>IF(ISNUMBER(BK71),IF(COUNTIFS(BL$1:BL70,_xlfn.RANK.EQ(BK71,BK$2:BK$111,0))&gt;0,_xlfn.MAXIFS(BL$1:BL70,BK$1:BK70,BK71)+1,_xlfn.RANK.EQ(BK71,BK$2:BK$111,0)),"")</f>
        <v/>
      </c>
      <c r="BM71" s="1" t="str">
        <f>IF(ISNUMBER(BK71)=TRUE,IF(_xlfn.RANK.EQ(BK71,$BK$2:$BK$111)&lt;='Tournament Setup'!$B$33,_xlfn.RANK.EQ(BK71,$BK$2:$BK$111),""),"")</f>
        <v/>
      </c>
      <c r="BN71" s="31" t="str">
        <f>IF(AND($F71='Tournament Setup'!$A$33,SUM($O71,$Q71)=0,$E71="M",$BM71&gt;'Tournament Setup'!$B$33),$H71,"")</f>
        <v/>
      </c>
      <c r="BO71" s="1" t="str">
        <f>IF(ISNUMBER(BN71)=TRUE,IF(_xlfn.RANK.EQ(BN71,$BN$2:$BN$111)&lt;='Tournament Setup'!$C$33,_xlfn.RANK.EQ(BN71,$BN$2:$BN$111),""),"")</f>
        <v/>
      </c>
      <c r="BP71" s="31" t="str">
        <f>IF(AND($F71='Tournament Setup'!$A$33,SUM($O71,$S71)=0,$E71="F",$BM71&gt;'Tournament Setup'!$B$33),$H71,"")</f>
        <v/>
      </c>
      <c r="BQ71" s="12" t="str">
        <f>IF(ISNUMBER(BP71)=TRUE,IF(_xlfn.RANK.EQ(BP71,$BP$2:$BP$111)&lt;='Tournament Setup'!$D$33,_xlfn.RANK.EQ(BP71,$BP$2:$BP$111),""),"")</f>
        <v/>
      </c>
      <c r="BR71" s="30" t="str">
        <f>IF($G71='Tournament Setup'!$A$38,$H71,"")</f>
        <v/>
      </c>
      <c r="BS71" s="47" t="str">
        <f>IF(ISNUMBER(BR71),IF(COUNTIFS(BS$1:BS70,_xlfn.RANK.EQ(BR71,BR$2:BR$111,0))&gt;0,_xlfn.MAXIFS(BS$1:BS70,BR$1:BR70,BR71)+1,_xlfn.RANK.EQ(BR71,BR$2:BR$111,0)),"")</f>
        <v/>
      </c>
      <c r="BT71" s="1" t="str">
        <f>IF(ISNUMBER(BR71)=TRUE,IF(_xlfn.RANK.EQ(BR71,$BR$2:$BR$111)&lt;='Tournament Setup'!$B$38,_xlfn.RANK.EQ(BR71,$BR$2:$BR$111),""),"")</f>
        <v/>
      </c>
      <c r="BU71" s="31" t="str">
        <f>IF(AND($G71='Tournament Setup'!$A$38,$E71="M",$BT71&gt;'Tournament Setup'!$B$38),$H71,"")</f>
        <v/>
      </c>
      <c r="BV71" s="1" t="str">
        <f>IF(ISNUMBER(BU71)=TRUE,IF(_xlfn.RANK.EQ(BU71,$BU$2:$BU$111)&lt;='Tournament Setup'!$C$38,_xlfn.RANK.EQ(BU71,$BU$2:$BU$111),""),"")</f>
        <v/>
      </c>
      <c r="BW71" s="31" t="str">
        <f>IF(AND($G71='Tournament Setup'!$A$38,$E71="F",$BT71&gt;'Tournament Setup'!$B$38),$H71,"")</f>
        <v/>
      </c>
      <c r="BX71" s="12" t="str">
        <f>IF(ISNUMBER(BW71)=TRUE,IF(_xlfn.RANK.EQ(BW71,$BW$2:$BW$111)&lt;='Tournament Setup'!$D$38,_xlfn.RANK.EQ(BW71,$BW$2:$BW$111),""),"")</f>
        <v/>
      </c>
      <c r="BY71" s="30" t="str">
        <f>IF($G71='Tournament Setup'!$A$39,$H71,"")</f>
        <v/>
      </c>
      <c r="BZ71" s="47" t="str">
        <f>IF(ISNUMBER(BY71),IF(COUNTIFS(BZ$1:BZ70,_xlfn.RANK.EQ(BY71,BY$2:BY$111,0))&gt;0,_xlfn.MAXIFS(BZ$1:BZ70,BY$1:BY70,BY71)+1,_xlfn.RANK.EQ(BY71,BY$2:BY$111,0)),"")</f>
        <v/>
      </c>
      <c r="CA71" s="1" t="str">
        <f>IF(ISNUMBER(BY71)=TRUE,IF(_xlfn.RANK.EQ(BY71,$BY$2:$BY$111)&lt;='Tournament Setup'!$B$39,_xlfn.RANK.EQ(BY71,$BY$2:$BY$111),""),"")</f>
        <v/>
      </c>
      <c r="CB71" s="31" t="str">
        <f>IF(AND($G71='Tournament Setup'!$A$39,$E71="M",$CA71&gt;'Tournament Setup'!$B$39),$H71,"")</f>
        <v/>
      </c>
      <c r="CC71" s="1" t="str">
        <f>IF(ISNUMBER(CB71)=TRUE,IF(_xlfn.RANK.EQ(CB71,$CB$2:$CB$111)&lt;='Tournament Setup'!$C$39,_xlfn.RANK.EQ(CB71,$CB$2:$CB$111),""),"")</f>
        <v/>
      </c>
      <c r="CD71" s="31" t="str">
        <f>IF(AND($G71='Tournament Setup'!$A$39,$E71="F",$CA71&gt;'Tournament Setup'!$B$39),$H71,"")</f>
        <v/>
      </c>
      <c r="CE71" s="12" t="str">
        <f>IF(ISNUMBER(CD71)=TRUE,IF(_xlfn.RANK.EQ(CD71,$CD$2:$CD$111)&lt;='Tournament Setup'!$D$39,_xlfn.RANK.EQ(CD71,$CD$2:$CD$111),""),"")</f>
        <v/>
      </c>
      <c r="CF71" s="30" t="str">
        <f>IF($G71='Tournament Setup'!$A$40,$H71,"")</f>
        <v/>
      </c>
      <c r="CG71" s="47" t="str">
        <f>IF(ISNUMBER(CF71),IF(COUNTIFS(CG$1:CG70,_xlfn.RANK.EQ(CF71,CF$2:CF$111,0))&gt;0,_xlfn.MAXIFS(CG$1:CG70,CF$1:CF70,CF71)+1,_xlfn.RANK.EQ(CF71,CF$2:CF$111,0)),"")</f>
        <v/>
      </c>
      <c r="CH71" s="1" t="str">
        <f>IF(ISNUMBER(CF71)=TRUE,IF(_xlfn.RANK.EQ(CF71,$CF$2:$CF$111)&lt;='Tournament Setup'!$B$40,_xlfn.RANK.EQ(CF71,$CF$2:$CF$111),""),"")</f>
        <v/>
      </c>
      <c r="CI71" s="31" t="str">
        <f>IF(AND($G71='Tournament Setup'!$A$40,$E71="M",$CH71&gt;'Tournament Setup'!$B$40),$H71,"")</f>
        <v/>
      </c>
      <c r="CJ71" s="1" t="str">
        <f>IF(ISNUMBER(CI71)=TRUE,IF(_xlfn.RANK.EQ(CI71,$CI$2:$CI$111)&lt;='Tournament Setup'!$C$40,_xlfn.RANK.EQ(CI71,$CI$2:$CI$111),""),"")</f>
        <v/>
      </c>
      <c r="CK71" s="31" t="str">
        <f>IF(AND($G71='Tournament Setup'!$A$40,$E71="F",$CH71&gt;'Tournament Setup'!$B$40),$H71,"")</f>
        <v/>
      </c>
      <c r="CL71" s="12" t="str">
        <f>IF(ISNUMBER(CK71)=TRUE,IF(_xlfn.RANK.EQ(CK71,$CK$2:$CK$111)&lt;='Tournament Setup'!$D$40,_xlfn.RANK.EQ(CK71,$CK$2:$CK$111),""),"")</f>
        <v/>
      </c>
      <c r="CM71" s="30" t="str">
        <f>IF($G71='Tournament Setup'!$A$41,$H71,"")</f>
        <v/>
      </c>
      <c r="CN71" s="47" t="str">
        <f>IF(ISNUMBER(CM71),IF(COUNTIFS(CN$1:CN70,_xlfn.RANK.EQ(CM71,CM$2:CM$111,0))&gt;0,_xlfn.MAXIFS(CN$1:CN70,CM$1:CM70,CM71)+1,_xlfn.RANK.EQ(CM71,CM$2:CM$111,0)),"")</f>
        <v/>
      </c>
      <c r="CO71" s="1" t="str">
        <f>IF(ISNUMBER(CM71)=TRUE,IF(_xlfn.RANK.EQ(CM71,$CM$2:$CM$111)&lt;='Tournament Setup'!$B$41,_xlfn.RANK.EQ(CM71,$CM$2:$CM$111),""),"")</f>
        <v/>
      </c>
      <c r="CP71" s="31" t="str">
        <f>IF(AND($G71='Tournament Setup'!$A$41,$E71="M",$CO71&gt;'Tournament Setup'!$B$41),$H71,"")</f>
        <v/>
      </c>
      <c r="CQ71" s="1" t="str">
        <f>IF(ISNUMBER(CP71)=TRUE,IF(_xlfn.RANK.EQ(CP71,$CP$2:$CP$111)&lt;='Tournament Setup'!$C$41,_xlfn.RANK.EQ(CP71,$CP$2:$CP$111),""),"")</f>
        <v/>
      </c>
      <c r="CR71" s="31" t="str">
        <f>IF(AND($G71='Tournament Setup'!$A$41,$E71="F",$CO71&gt;'Tournament Setup'!$B$41),$H71,"")</f>
        <v/>
      </c>
      <c r="CS71" s="12" t="str">
        <f>IF(ISNUMBER(CR71)=TRUE,IF(_xlfn.RANK.EQ(CR71,$CR$2:$CR$111)&lt;='Tournament Setup'!$D$41,_xlfn.RANK.EQ(CR71,$CR$2:$CR$111),""),"")</f>
        <v/>
      </c>
    </row>
    <row r="72" spans="2:97" x14ac:dyDescent="0.3">
      <c r="B72" t="str">
        <f>IFERROR(INDEX('Tournament List'!$B:$B,MATCH($A72,'Tournament List'!$A:$A,0)),"")</f>
        <v/>
      </c>
      <c r="C72" t="str">
        <f>IFERROR(INDEX('Tournament List'!$C:$C,MATCH($A72,'Tournament List'!$A:$A,0)),"")</f>
        <v/>
      </c>
      <c r="D72" t="str">
        <f t="shared" si="5"/>
        <v xml:space="preserve"> </v>
      </c>
      <c r="E72" s="1" t="str">
        <f>IFERROR(INDEX('Tournament List'!F:F,MATCH($A72,'Tournament List'!$A:$A,0)),"")</f>
        <v/>
      </c>
      <c r="F72" t="str">
        <f>IFERROR(INDEX('Tournament List'!M:M,MATCH($A72,'Tournament List'!$A:$A,0)),"")</f>
        <v/>
      </c>
      <c r="G72" s="1" t="str">
        <f>IFERROR(INDEX('Tournament List'!W:W,MATCH($A72,'Tournament List'!$A:$A,0)),"")</f>
        <v/>
      </c>
      <c r="H72" s="129" t="str">
        <f>IFERROR(INDEX('Tournament List'!Z:Z,MATCH($A72,'Tournament List'!$A:$A,0)),"")</f>
        <v/>
      </c>
      <c r="I72" s="152" t="str">
        <f>IFERROR(INDEX('Tournament List'!T:T,MATCH($A72,'Tournament List'!$A:$A,0)),"")</f>
        <v/>
      </c>
      <c r="J72" s="56" t="str">
        <f>IF(ISNUMBER(I72),IF(COUNTIFS(J$1:J71,_xlfn.RANK.EQ(I72,I$2:I$111,0))&gt;0,_xlfn.MAXIFS(J$1:J71,I$1:I71,I72)+1,_xlfn.RANK.EQ(I72,I$2:I$111,0)),"")</f>
        <v/>
      </c>
      <c r="K72" s="11" t="str">
        <f t="shared" si="6"/>
        <v/>
      </c>
      <c r="L72" s="56" t="str">
        <f>IF(ISNUMBER(H72),IF(COUNTIFS(L$1:L71,_xlfn.RANK.EQ(H72,H$2:H$111,0))&gt;0,_xlfn.MAXIFS(L$1:L71,H$1:H71,H72)+1,_xlfn.RANK.EQ(H72,H$2:H$111,0)),"")</f>
        <v/>
      </c>
      <c r="M72" s="151" t="str">
        <f t="shared" si="7"/>
        <v/>
      </c>
      <c r="N72" s="47" t="str">
        <f>IF(ISNUMBER(M72),IF(COUNTIFS(N$1:N71,_xlfn.RANK.EQ(M72,M$2:M$111,0))&gt;0,_xlfn.MAXIFS(N$1:N71,M$1:M71,M72)+1,_xlfn.RANK.EQ(M72,M$2:M$111,0)),"")</f>
        <v/>
      </c>
      <c r="O72" s="1" t="str">
        <f>IF(ISNUMBER(M72)=TRUE,IF(_xlfn.RANK.EQ(M72,$M$2:$M$111)&lt;='Tournament Setup'!$B$23,_xlfn.RANK.EQ(M72,$M$2:$M$111),""),"")</f>
        <v/>
      </c>
      <c r="P72" s="150" t="str">
        <f t="shared" si="8"/>
        <v/>
      </c>
      <c r="Q72" s="1" t="str">
        <f>IF(ISNUMBER(P72)=TRUE,IF(_xlfn.RANK.EQ(P72,$P$2:$P$111)&lt;='Tournament Setup'!$B$24,_xlfn.RANK.EQ(P72,$P$2:$P$111),""),"")</f>
        <v/>
      </c>
      <c r="R72" s="150" t="str">
        <f t="shared" si="9"/>
        <v/>
      </c>
      <c r="S72" s="12" t="str">
        <f>IF(ISNUMBER(R72)=TRUE,IF(_xlfn.RANK.EQ(R72,$R$2:$R$111)&lt;='Tournament Setup'!$B$25,_xlfn.RANK.EQ(R72,$R$2:$R$111),""),"")</f>
        <v/>
      </c>
      <c r="T72" s="152" t="str">
        <f>IF(AND($F72='Tournament Setup'!$A$29,$I72&lt;&gt;0),$I72,"")</f>
        <v/>
      </c>
      <c r="U72" s="47" t="str">
        <f>IF(ISNUMBER(T72),IF(COUNTIFS(U$1:U71,_xlfn.RANK.EQ(T72,T$2:T$111,0))&gt;0,_xlfn.MAXIFS(U$1:U71,T$1:T71,T72)+1,_xlfn.RANK.EQ(T72,T$2:T$111,0)),"")</f>
        <v/>
      </c>
      <c r="V72" s="1" t="str">
        <f>IF(ISNUMBER(T72)=TRUE,IF(_xlfn.RANK.EQ(T72,$T$3:$T$112)&lt;='Tournament Setup'!$B$46,_xlfn.RANK.EQ(T72,$T$2:$T$111),""),"")</f>
        <v/>
      </c>
      <c r="W72" s="30" t="str">
        <f>IF(AND($F72='Tournament Setup'!$A$29,SUM($O72,$Q72,$S72)=0),$H72,"")</f>
        <v/>
      </c>
      <c r="X72" s="47" t="str">
        <f>IF(ISNUMBER(W72),IF(COUNTIFS(X$1:X71,_xlfn.RANK.EQ(W72,W$2:W$111,0))&gt;0,_xlfn.MAXIFS(X$1:X71,W$1:W71,W72)+1,_xlfn.RANK.EQ(W72,W$2:W$111,0)),"")</f>
        <v/>
      </c>
      <c r="Y72" s="1" t="str">
        <f>IF(ISNUMBER(W72)=TRUE,IF(_xlfn.RANK.EQ(W72,$W$2:$W$111)&lt;='Tournament Setup'!$B$29,_xlfn.RANK.EQ(W72,$W$2:$W$111),""),"")</f>
        <v/>
      </c>
      <c r="Z72" s="31" t="str">
        <f>IF(AND($F72='Tournament Setup'!$A$29,SUM($O72,$Q72)=0,$E72="M",$Y72&gt;'Tournament Setup'!$B$29),$H72,"")</f>
        <v/>
      </c>
      <c r="AA72" s="1" t="str">
        <f>IF(ISNUMBER(Z72)=TRUE,IF(_xlfn.RANK.EQ(Z72,$Z$2:$Z$111)&lt;='Tournament Setup'!$C$29,_xlfn.RANK.EQ(Z72,$Z$2:$Z$111),""),"")</f>
        <v/>
      </c>
      <c r="AB72" s="31" t="str">
        <f>IF(AND($F72='Tournament Setup'!$A$29,SUM($O72,$S72)=0,$E72="F",$Y72&gt;'Tournament Setup'!$B$29),$H72,"")</f>
        <v/>
      </c>
      <c r="AC72" s="12" t="str">
        <f>IF(ISNUMBER(AB72)=TRUE,IF(_xlfn.RANK.EQ(AB72,$AB$2:$AB$111)&lt;='Tournament Setup'!$D$29,_xlfn.RANK.EQ(AB72,$AB$2:$AB$111),""),"")</f>
        <v/>
      </c>
      <c r="AD72" s="30" t="str">
        <f>IF(AND($F72='Tournament Setup'!$A$30,$I72&lt;&gt;0),$I72,"")</f>
        <v/>
      </c>
      <c r="AE72" s="47" t="str">
        <f>IF(ISNUMBER(AD72),IF(COUNTIFS(AE$1:AE71,_xlfn.RANK.EQ(AD72,AD$2:AD$111,0))&gt;0,_xlfn.MAXIFS(AE$1:AE71,AD$1:AD71,AD72)+1,_xlfn.RANK.EQ(AD72,AD$2:AD$111,0)),"")</f>
        <v/>
      </c>
      <c r="AF72" s="1" t="str">
        <f>IF(ISNUMBER(AD72)=TRUE,IF(_xlfn.RANK.EQ(AD72,$AD$2:$AD$111)&lt;='Tournament Setup'!$B$46,_xlfn.RANK.EQ(AD72,$AD$2:$AD$111),""),"")</f>
        <v/>
      </c>
      <c r="AG72" s="30" t="str">
        <f>IF(AND($F72='Tournament Setup'!$A$30,SUM($O72,$Q72,$S72)=0),$H72,"")</f>
        <v/>
      </c>
      <c r="AH72" s="47" t="str">
        <f>IF(ISNUMBER(AG72),IF(COUNTIFS(AH$1:AH71,_xlfn.RANK.EQ(AG72,AG$2:AG$111,0))&gt;0,_xlfn.MAXIFS(AH$1:AH71,AG$1:AG71,AG72)+1,_xlfn.RANK.EQ(AG72,AG$2:AG$111,0)),"")</f>
        <v/>
      </c>
      <c r="AI72" s="1" t="str">
        <f>IF(ISNUMBER(AG72)=TRUE,IF(_xlfn.RANK.EQ(AG72,$AG$2:$AG$111)&lt;='Tournament Setup'!$B$30,_xlfn.RANK.EQ(AG72,$AG$2:$AG$111),""),"")</f>
        <v/>
      </c>
      <c r="AJ72" s="31" t="str">
        <f>IF(AND($F72='Tournament Setup'!$A$30,SUM($O72,$Q72)=0,$E72="M",$AI72&gt;'Tournament Setup'!$B$30),$H72,"")</f>
        <v/>
      </c>
      <c r="AK72" s="1" t="str">
        <f>IF(ISNUMBER(AJ72)=TRUE,IF(_xlfn.RANK.EQ(AJ72,$AJ$2:$AJ$111)&lt;='Tournament Setup'!$C$30,_xlfn.RANK.EQ(AJ72,$AJ$2:$AJ$111),""),"")</f>
        <v/>
      </c>
      <c r="AL72" s="31" t="str">
        <f>IF(AND($F72='Tournament Setup'!$A$30,SUM($O72,$S72)=0,$E72="F",$AI72&gt;'Tournament Setup'!$B$30),$H72,"")</f>
        <v/>
      </c>
      <c r="AM72" s="12" t="str">
        <f>IF(ISNUMBER(AL72)=TRUE,IF(_xlfn.RANK.EQ(AL72,$AL$2:$AL$111)&lt;='Tournament Setup'!$D$30,_xlfn.RANK.EQ(AL72,$AL$2:$AL$111),""),"")</f>
        <v/>
      </c>
      <c r="AN72" s="30" t="str">
        <f>IF(AND($F72='Tournament Setup'!$A$31,$I72&lt;&gt;0),$I72,"")</f>
        <v/>
      </c>
      <c r="AO72" s="47" t="str">
        <f>IF(ISNUMBER(AN72),IF(COUNTIFS(AO$1:AO71,_xlfn.RANK.EQ(AN72,AN$2:AN$111,0))&gt;0,_xlfn.MAXIFS(AO$1:AO71,AN$1:AN71,AN72)+1,_xlfn.RANK.EQ(AN72,AN$2:AN$111,0)),"")</f>
        <v/>
      </c>
      <c r="AP72" s="1" t="str">
        <f>IF(ISNUMBER(AN72)=TRUE,IF(_xlfn.RANK.EQ(AN72,$AN$2:$AN$111)&lt;='Tournament Setup'!$B$46,_xlfn.RANK.EQ(AN72,$AN$2:$AN$111),""),"")</f>
        <v/>
      </c>
      <c r="AQ72" s="30" t="str">
        <f>IF(AND($F72='Tournament Setup'!$A$31,SUM($O72,$Q72,$S72)=0),$H72,"")</f>
        <v/>
      </c>
      <c r="AR72" s="47" t="str">
        <f>IF(ISNUMBER(AQ72),IF(COUNTIFS(AR$1:AR71,_xlfn.RANK.EQ(AQ72,AQ$2:AQ$111,0))&gt;0,_xlfn.MAXIFS(AR$1:AR71,AQ$1:AQ71,AQ72)+1,_xlfn.RANK.EQ(AQ72,AQ$2:AQ$111,0)),"")</f>
        <v/>
      </c>
      <c r="AS72" s="1" t="str">
        <f>IF(ISNUMBER(AQ72)=TRUE,IF(_xlfn.RANK.EQ(AQ72,$AQ$2:$AQ$111)&lt;='Tournament Setup'!$B$31,_xlfn.RANK.EQ(AQ72,$AQ$2:$AQ$111),""),"")</f>
        <v/>
      </c>
      <c r="AT72" s="31" t="str">
        <f>IF(AND($F72='Tournament Setup'!$A$31,SUM($O72,$Q72)=0,$E72="M",$AS72&gt;'Tournament Setup'!$B$31),$H72,"")</f>
        <v/>
      </c>
      <c r="AU72" s="1" t="str">
        <f>IF(ISNUMBER(AT72)=TRUE,IF(_xlfn.RANK.EQ(AT72,$AT$2:$AT$111)&lt;='Tournament Setup'!$C$31,_xlfn.RANK.EQ(AT72,$AT$2:$AT$111),""),"")</f>
        <v/>
      </c>
      <c r="AV72" s="31" t="str">
        <f>IF(AND($F72='Tournament Setup'!$A$31,SUM($O72,$S72)=0,$E72="F",$AS72&gt;'Tournament Setup'!$B$31),$H72,"")</f>
        <v/>
      </c>
      <c r="AW72" s="12" t="str">
        <f>IF(ISNUMBER(AV72)=TRUE,IF(_xlfn.RANK.EQ(AV72,$AV$2:$AV$111)&lt;='Tournament Setup'!$D$31,_xlfn.RANK.EQ(AV72,$AV$2:$AV$111),""),"")</f>
        <v/>
      </c>
      <c r="AX72" s="30" t="str">
        <f>IF(AND($F72='Tournament Setup'!$A$32,$I72&lt;&gt;0),$I72,"")</f>
        <v/>
      </c>
      <c r="AY72" s="47" t="str">
        <f>IF(ISNUMBER(AX72),IF(COUNTIFS(AY$1:AY71,_xlfn.RANK.EQ(AX72,AX$2:AX$111,0))&gt;0,_xlfn.MAXIFS(AY$1:AY71,AX$1:AX71,AX72)+1,_xlfn.RANK.EQ(AX72,AX$2:AX$111,0)),"")</f>
        <v/>
      </c>
      <c r="AZ72" s="1" t="str">
        <f>IF(ISNUMBER(AX72)=TRUE,IF(_xlfn.RANK.EQ(AX72,$AX$2:$AX$111)&lt;='Tournament Setup'!$B$46,_xlfn.RANK.EQ(AX72,$AX$2:$AX$111),""),"")</f>
        <v/>
      </c>
      <c r="BA72" s="30" t="str">
        <f>IF(AND($F72='Tournament Setup'!$A$32,SUM($O72,$Q72,$S72)=0),$H72,"")</f>
        <v/>
      </c>
      <c r="BB72" s="47" t="str">
        <f>IF(ISNUMBER(BA72),IF(COUNTIFS(BB$1:BB71,_xlfn.RANK.EQ(BA72,BA$2:BA$111,0))&gt;0,_xlfn.MAXIFS(BB$1:BB71,BA$1:BA71,BA72)+1,_xlfn.RANK.EQ(BA72,BA$2:BA$111,0)),"")</f>
        <v/>
      </c>
      <c r="BC72" s="1" t="str">
        <f>IF(ISNUMBER(BA72)=TRUE,IF(_xlfn.RANK.EQ(BA72,$BA$2:$BA$111)&lt;='Tournament Setup'!$B$32,_xlfn.RANK.EQ(BA72,$BA$2:$BA$111),""),"")</f>
        <v/>
      </c>
      <c r="BD72" s="31" t="str">
        <f>IF(AND($F72='Tournament Setup'!$A$32,SUM($O72,$Q72)=0,$E72="M",$BC72&gt;'Tournament Setup'!$B$32),$H72,"")</f>
        <v/>
      </c>
      <c r="BE72" s="1" t="str">
        <f>IF(ISNUMBER(BD72)=TRUE,IF(_xlfn.RANK.EQ(BD72,$BD$2:$BD$111)&lt;='Tournament Setup'!$C$32,_xlfn.RANK.EQ(BD72,$BD$2:$BD$111),""),"")</f>
        <v/>
      </c>
      <c r="BF72" s="31" t="str">
        <f>IF(AND($F72='Tournament Setup'!$A$32,SUM($O72,$S72)=0,$E72="F",$BC72&gt;'Tournament Setup'!$B$32),$H72,"")</f>
        <v/>
      </c>
      <c r="BG72" s="12" t="str">
        <f>IF(ISNUMBER(BF72)=TRUE,IF(_xlfn.RANK.EQ(BF72,$BF$2:$BF$111)&lt;='Tournament Setup'!$D$32,_xlfn.RANK.EQ(BF72,$BF$2:$BF$111),""),"")</f>
        <v/>
      </c>
      <c r="BH72" s="30" t="str">
        <f>IF(AND($F72='Tournament Setup'!$A$33,$I72&lt;&gt;0),$I72,"")</f>
        <v/>
      </c>
      <c r="BI72" s="47" t="str">
        <f>IF(ISNUMBER(BH72),IF(COUNTIFS(BI$1:BI71,_xlfn.RANK.EQ(BH72,BH$2:BH$111,0))&gt;0,_xlfn.MAXIFS(BI$1:BI71,BH$1:BH71,BH72)+1,_xlfn.RANK.EQ(BH72,BH$2:BH$111,0)),"")</f>
        <v/>
      </c>
      <c r="BJ72" s="1" t="str">
        <f>IF(ISNUMBER(BH72)=TRUE,IF(_xlfn.RANK.EQ(BH72,$BH$2:$BH$111)&lt;='Tournament Setup'!$B$46,_xlfn.RANK.EQ(BH72,$BH$2:$BH$111),""),"")</f>
        <v/>
      </c>
      <c r="BK72" s="30" t="str">
        <f>IF(AND($F72='Tournament Setup'!$A$33,SUM($O72,$Q72,$S72)=0),$H72,"")</f>
        <v/>
      </c>
      <c r="BL72" s="47" t="str">
        <f>IF(ISNUMBER(BK72),IF(COUNTIFS(BL$1:BL71,_xlfn.RANK.EQ(BK72,BK$2:BK$111,0))&gt;0,_xlfn.MAXIFS(BL$1:BL71,BK$1:BK71,BK72)+1,_xlfn.RANK.EQ(BK72,BK$2:BK$111,0)),"")</f>
        <v/>
      </c>
      <c r="BM72" s="1" t="str">
        <f>IF(ISNUMBER(BK72)=TRUE,IF(_xlfn.RANK.EQ(BK72,$BK$2:$BK$111)&lt;='Tournament Setup'!$B$33,_xlfn.RANK.EQ(BK72,$BK$2:$BK$111),""),"")</f>
        <v/>
      </c>
      <c r="BN72" s="31" t="str">
        <f>IF(AND($F72='Tournament Setup'!$A$33,SUM($O72,$Q72)=0,$E72="M",$BM72&gt;'Tournament Setup'!$B$33),$H72,"")</f>
        <v/>
      </c>
      <c r="BO72" s="1" t="str">
        <f>IF(ISNUMBER(BN72)=TRUE,IF(_xlfn.RANK.EQ(BN72,$BN$2:$BN$111)&lt;='Tournament Setup'!$C$33,_xlfn.RANK.EQ(BN72,$BN$2:$BN$111),""),"")</f>
        <v/>
      </c>
      <c r="BP72" s="31" t="str">
        <f>IF(AND($F72='Tournament Setup'!$A$33,SUM($O72,$S72)=0,$E72="F",$BM72&gt;'Tournament Setup'!$B$33),$H72,"")</f>
        <v/>
      </c>
      <c r="BQ72" s="12" t="str">
        <f>IF(ISNUMBER(BP72)=TRUE,IF(_xlfn.RANK.EQ(BP72,$BP$2:$BP$111)&lt;='Tournament Setup'!$D$33,_xlfn.RANK.EQ(BP72,$BP$2:$BP$111),""),"")</f>
        <v/>
      </c>
      <c r="BR72" s="30" t="str">
        <f>IF($G72='Tournament Setup'!$A$38,$H72,"")</f>
        <v/>
      </c>
      <c r="BS72" s="47" t="str">
        <f>IF(ISNUMBER(BR72),IF(COUNTIFS(BS$1:BS71,_xlfn.RANK.EQ(BR72,BR$2:BR$111,0))&gt;0,_xlfn.MAXIFS(BS$1:BS71,BR$1:BR71,BR72)+1,_xlfn.RANK.EQ(BR72,BR$2:BR$111,0)),"")</f>
        <v/>
      </c>
      <c r="BT72" s="1" t="str">
        <f>IF(ISNUMBER(BR72)=TRUE,IF(_xlfn.RANK.EQ(BR72,$BR$2:$BR$111)&lt;='Tournament Setup'!$B$38,_xlfn.RANK.EQ(BR72,$BR$2:$BR$111),""),"")</f>
        <v/>
      </c>
      <c r="BU72" s="31" t="str">
        <f>IF(AND($G72='Tournament Setup'!$A$38,$E72="M",$BT72&gt;'Tournament Setup'!$B$38),$H72,"")</f>
        <v/>
      </c>
      <c r="BV72" s="1" t="str">
        <f>IF(ISNUMBER(BU72)=TRUE,IF(_xlfn.RANK.EQ(BU72,$BU$2:$BU$111)&lt;='Tournament Setup'!$C$38,_xlfn.RANK.EQ(BU72,$BU$2:$BU$111),""),"")</f>
        <v/>
      </c>
      <c r="BW72" s="31" t="str">
        <f>IF(AND($G72='Tournament Setup'!$A$38,$E72="F",$BT72&gt;'Tournament Setup'!$B$38),$H72,"")</f>
        <v/>
      </c>
      <c r="BX72" s="12" t="str">
        <f>IF(ISNUMBER(BW72)=TRUE,IF(_xlfn.RANK.EQ(BW72,$BW$2:$BW$111)&lt;='Tournament Setup'!$D$38,_xlfn.RANK.EQ(BW72,$BW$2:$BW$111),""),"")</f>
        <v/>
      </c>
      <c r="BY72" s="30" t="str">
        <f>IF($G72='Tournament Setup'!$A$39,$H72,"")</f>
        <v/>
      </c>
      <c r="BZ72" s="47" t="str">
        <f>IF(ISNUMBER(BY72),IF(COUNTIFS(BZ$1:BZ71,_xlfn.RANK.EQ(BY72,BY$2:BY$111,0))&gt;0,_xlfn.MAXIFS(BZ$1:BZ71,BY$1:BY71,BY72)+1,_xlfn.RANK.EQ(BY72,BY$2:BY$111,0)),"")</f>
        <v/>
      </c>
      <c r="CA72" s="1" t="str">
        <f>IF(ISNUMBER(BY72)=TRUE,IF(_xlfn.RANK.EQ(BY72,$BY$2:$BY$111)&lt;='Tournament Setup'!$B$39,_xlfn.RANK.EQ(BY72,$BY$2:$BY$111),""),"")</f>
        <v/>
      </c>
      <c r="CB72" s="31" t="str">
        <f>IF(AND($G72='Tournament Setup'!$A$39,$E72="M",$CA72&gt;'Tournament Setup'!$B$39),$H72,"")</f>
        <v/>
      </c>
      <c r="CC72" s="1" t="str">
        <f>IF(ISNUMBER(CB72)=TRUE,IF(_xlfn.RANK.EQ(CB72,$CB$2:$CB$111)&lt;='Tournament Setup'!$C$39,_xlfn.RANK.EQ(CB72,$CB$2:$CB$111),""),"")</f>
        <v/>
      </c>
      <c r="CD72" s="31" t="str">
        <f>IF(AND($G72='Tournament Setup'!$A$39,$E72="F",$CA72&gt;'Tournament Setup'!$B$39),$H72,"")</f>
        <v/>
      </c>
      <c r="CE72" s="12" t="str">
        <f>IF(ISNUMBER(CD72)=TRUE,IF(_xlfn.RANK.EQ(CD72,$CD$2:$CD$111)&lt;='Tournament Setup'!$D$39,_xlfn.RANK.EQ(CD72,$CD$2:$CD$111),""),"")</f>
        <v/>
      </c>
      <c r="CF72" s="30" t="str">
        <f>IF($G72='Tournament Setup'!$A$40,$H72,"")</f>
        <v/>
      </c>
      <c r="CG72" s="47" t="str">
        <f>IF(ISNUMBER(CF72),IF(COUNTIFS(CG$1:CG71,_xlfn.RANK.EQ(CF72,CF$2:CF$111,0))&gt;0,_xlfn.MAXIFS(CG$1:CG71,CF$1:CF71,CF72)+1,_xlfn.RANK.EQ(CF72,CF$2:CF$111,0)),"")</f>
        <v/>
      </c>
      <c r="CH72" s="1" t="str">
        <f>IF(ISNUMBER(CF72)=TRUE,IF(_xlfn.RANK.EQ(CF72,$CF$2:$CF$111)&lt;='Tournament Setup'!$B$40,_xlfn.RANK.EQ(CF72,$CF$2:$CF$111),""),"")</f>
        <v/>
      </c>
      <c r="CI72" s="31" t="str">
        <f>IF(AND($G72='Tournament Setup'!$A$40,$E72="M",$CH72&gt;'Tournament Setup'!$B$40),$H72,"")</f>
        <v/>
      </c>
      <c r="CJ72" s="1" t="str">
        <f>IF(ISNUMBER(CI72)=TRUE,IF(_xlfn.RANK.EQ(CI72,$CI$2:$CI$111)&lt;='Tournament Setup'!$C$40,_xlfn.RANK.EQ(CI72,$CI$2:$CI$111),""),"")</f>
        <v/>
      </c>
      <c r="CK72" s="31" t="str">
        <f>IF(AND($G72='Tournament Setup'!$A$40,$E72="F",$CH72&gt;'Tournament Setup'!$B$40),$H72,"")</f>
        <v/>
      </c>
      <c r="CL72" s="12" t="str">
        <f>IF(ISNUMBER(CK72)=TRUE,IF(_xlfn.RANK.EQ(CK72,$CK$2:$CK$111)&lt;='Tournament Setup'!$D$40,_xlfn.RANK.EQ(CK72,$CK$2:$CK$111),""),"")</f>
        <v/>
      </c>
      <c r="CM72" s="30" t="str">
        <f>IF($G72='Tournament Setup'!$A$41,$H72,"")</f>
        <v/>
      </c>
      <c r="CN72" s="47" t="str">
        <f>IF(ISNUMBER(CM72),IF(COUNTIFS(CN$1:CN71,_xlfn.RANK.EQ(CM72,CM$2:CM$111,0))&gt;0,_xlfn.MAXIFS(CN$1:CN71,CM$1:CM71,CM72)+1,_xlfn.RANK.EQ(CM72,CM$2:CM$111,0)),"")</f>
        <v/>
      </c>
      <c r="CO72" s="1" t="str">
        <f>IF(ISNUMBER(CM72)=TRUE,IF(_xlfn.RANK.EQ(CM72,$CM$2:$CM$111)&lt;='Tournament Setup'!$B$41,_xlfn.RANK.EQ(CM72,$CM$2:$CM$111),""),"")</f>
        <v/>
      </c>
      <c r="CP72" s="31" t="str">
        <f>IF(AND($G72='Tournament Setup'!$A$41,$E72="M",$CO72&gt;'Tournament Setup'!$B$41),$H72,"")</f>
        <v/>
      </c>
      <c r="CQ72" s="1" t="str">
        <f>IF(ISNUMBER(CP72)=TRUE,IF(_xlfn.RANK.EQ(CP72,$CP$2:$CP$111)&lt;='Tournament Setup'!$C$41,_xlfn.RANK.EQ(CP72,$CP$2:$CP$111),""),"")</f>
        <v/>
      </c>
      <c r="CR72" s="31" t="str">
        <f>IF(AND($G72='Tournament Setup'!$A$41,$E72="F",$CO72&gt;'Tournament Setup'!$B$41),$H72,"")</f>
        <v/>
      </c>
      <c r="CS72" s="12" t="str">
        <f>IF(ISNUMBER(CR72)=TRUE,IF(_xlfn.RANK.EQ(CR72,$CR$2:$CR$111)&lt;='Tournament Setup'!$D$41,_xlfn.RANK.EQ(CR72,$CR$2:$CR$111),""),"")</f>
        <v/>
      </c>
    </row>
    <row r="73" spans="2:97" x14ac:dyDescent="0.3">
      <c r="B73" t="str">
        <f>IFERROR(INDEX('Tournament List'!$B:$B,MATCH($A73,'Tournament List'!$A:$A,0)),"")</f>
        <v/>
      </c>
      <c r="C73" t="str">
        <f>IFERROR(INDEX('Tournament List'!$C:$C,MATCH($A73,'Tournament List'!$A:$A,0)),"")</f>
        <v/>
      </c>
      <c r="D73" t="str">
        <f t="shared" si="5"/>
        <v xml:space="preserve"> </v>
      </c>
      <c r="E73" s="1" t="str">
        <f>IFERROR(INDEX('Tournament List'!F:F,MATCH($A73,'Tournament List'!$A:$A,0)),"")</f>
        <v/>
      </c>
      <c r="F73" t="str">
        <f>IFERROR(INDEX('Tournament List'!M:M,MATCH($A73,'Tournament List'!$A:$A,0)),"")</f>
        <v/>
      </c>
      <c r="G73" s="1" t="str">
        <f>IFERROR(INDEX('Tournament List'!W:W,MATCH($A73,'Tournament List'!$A:$A,0)),"")</f>
        <v/>
      </c>
      <c r="H73" s="129" t="str">
        <f>IFERROR(INDEX('Tournament List'!Z:Z,MATCH($A73,'Tournament List'!$A:$A,0)),"")</f>
        <v/>
      </c>
      <c r="I73" s="152" t="str">
        <f>IFERROR(INDEX('Tournament List'!T:T,MATCH($A73,'Tournament List'!$A:$A,0)),"")</f>
        <v/>
      </c>
      <c r="J73" s="56" t="str">
        <f>IF(ISNUMBER(I73),IF(COUNTIFS(J$1:J72,_xlfn.RANK.EQ(I73,I$2:I$111,0))&gt;0,_xlfn.MAXIFS(J$1:J72,I$1:I72,I73)+1,_xlfn.RANK.EQ(I73,I$2:I$111,0)),"")</f>
        <v/>
      </c>
      <c r="K73" s="11" t="str">
        <f t="shared" si="6"/>
        <v/>
      </c>
      <c r="L73" s="56" t="str">
        <f>IF(ISNUMBER(H73),IF(COUNTIFS(L$1:L72,_xlfn.RANK.EQ(H73,H$2:H$111,0))&gt;0,_xlfn.MAXIFS(L$1:L72,H$1:H72,H73)+1,_xlfn.RANK.EQ(H73,H$2:H$111,0)),"")</f>
        <v/>
      </c>
      <c r="M73" s="151" t="str">
        <f t="shared" si="7"/>
        <v/>
      </c>
      <c r="N73" s="47" t="str">
        <f>IF(ISNUMBER(M73),IF(COUNTIFS(N$1:N72,_xlfn.RANK.EQ(M73,M$2:M$111,0))&gt;0,_xlfn.MAXIFS(N$1:N72,M$1:M72,M73)+1,_xlfn.RANK.EQ(M73,M$2:M$111,0)),"")</f>
        <v/>
      </c>
      <c r="O73" s="1" t="str">
        <f>IF(ISNUMBER(M73)=TRUE,IF(_xlfn.RANK.EQ(M73,$M$2:$M$111)&lt;='Tournament Setup'!$B$23,_xlfn.RANK.EQ(M73,$M$2:$M$111),""),"")</f>
        <v/>
      </c>
      <c r="P73" s="150" t="str">
        <f t="shared" si="8"/>
        <v/>
      </c>
      <c r="Q73" s="1" t="str">
        <f>IF(ISNUMBER(P73)=TRUE,IF(_xlfn.RANK.EQ(P73,$P$2:$P$111)&lt;='Tournament Setup'!$B$24,_xlfn.RANK.EQ(P73,$P$2:$P$111),""),"")</f>
        <v/>
      </c>
      <c r="R73" s="150" t="str">
        <f t="shared" si="9"/>
        <v/>
      </c>
      <c r="S73" s="12" t="str">
        <f>IF(ISNUMBER(R73)=TRUE,IF(_xlfn.RANK.EQ(R73,$R$2:$R$111)&lt;='Tournament Setup'!$B$25,_xlfn.RANK.EQ(R73,$R$2:$R$111),""),"")</f>
        <v/>
      </c>
      <c r="T73" s="152" t="str">
        <f>IF(AND($F73='Tournament Setup'!$A$29,$I73&lt;&gt;0),$I73,"")</f>
        <v/>
      </c>
      <c r="U73" s="47" t="str">
        <f>IF(ISNUMBER(T73),IF(COUNTIFS(U$1:U72,_xlfn.RANK.EQ(T73,T$2:T$111,0))&gt;0,_xlfn.MAXIFS(U$1:U72,T$1:T72,T73)+1,_xlfn.RANK.EQ(T73,T$2:T$111,0)),"")</f>
        <v/>
      </c>
      <c r="V73" s="1" t="str">
        <f>IF(ISNUMBER(T73)=TRUE,IF(_xlfn.RANK.EQ(T73,$T$3:$T$112)&lt;='Tournament Setup'!$B$46,_xlfn.RANK.EQ(T73,$T$2:$T$111),""),"")</f>
        <v/>
      </c>
      <c r="W73" s="30" t="str">
        <f>IF(AND($F73='Tournament Setup'!$A$29,SUM($O73,$Q73,$S73)=0),$H73,"")</f>
        <v/>
      </c>
      <c r="X73" s="47" t="str">
        <f>IF(ISNUMBER(W73),IF(COUNTIFS(X$1:X72,_xlfn.RANK.EQ(W73,W$2:W$111,0))&gt;0,_xlfn.MAXIFS(X$1:X72,W$1:W72,W73)+1,_xlfn.RANK.EQ(W73,W$2:W$111,0)),"")</f>
        <v/>
      </c>
      <c r="Y73" s="1" t="str">
        <f>IF(ISNUMBER(W73)=TRUE,IF(_xlfn.RANK.EQ(W73,$W$2:$W$111)&lt;='Tournament Setup'!$B$29,_xlfn.RANK.EQ(W73,$W$2:$W$111),""),"")</f>
        <v/>
      </c>
      <c r="Z73" s="31" t="str">
        <f>IF(AND($F73='Tournament Setup'!$A$29,SUM($O73,$Q73)=0,$E73="M",$Y73&gt;'Tournament Setup'!$B$29),$H73,"")</f>
        <v/>
      </c>
      <c r="AA73" s="1" t="str">
        <f>IF(ISNUMBER(Z73)=TRUE,IF(_xlfn.RANK.EQ(Z73,$Z$2:$Z$111)&lt;='Tournament Setup'!$C$29,_xlfn.RANK.EQ(Z73,$Z$2:$Z$111),""),"")</f>
        <v/>
      </c>
      <c r="AB73" s="31" t="str">
        <f>IF(AND($F73='Tournament Setup'!$A$29,SUM($O73,$S73)=0,$E73="F",$Y73&gt;'Tournament Setup'!$B$29),$H73,"")</f>
        <v/>
      </c>
      <c r="AC73" s="12" t="str">
        <f>IF(ISNUMBER(AB73)=TRUE,IF(_xlfn.RANK.EQ(AB73,$AB$2:$AB$111)&lt;='Tournament Setup'!$D$29,_xlfn.RANK.EQ(AB73,$AB$2:$AB$111),""),"")</f>
        <v/>
      </c>
      <c r="AD73" s="30" t="str">
        <f>IF(AND($F73='Tournament Setup'!$A$30,$I73&lt;&gt;0),$I73,"")</f>
        <v/>
      </c>
      <c r="AE73" s="47" t="str">
        <f>IF(ISNUMBER(AD73),IF(COUNTIFS(AE$1:AE72,_xlfn.RANK.EQ(AD73,AD$2:AD$111,0))&gt;0,_xlfn.MAXIFS(AE$1:AE72,AD$1:AD72,AD73)+1,_xlfn.RANK.EQ(AD73,AD$2:AD$111,0)),"")</f>
        <v/>
      </c>
      <c r="AF73" s="1" t="str">
        <f>IF(ISNUMBER(AD73)=TRUE,IF(_xlfn.RANK.EQ(AD73,$AD$2:$AD$111)&lt;='Tournament Setup'!$B$46,_xlfn.RANK.EQ(AD73,$AD$2:$AD$111),""),"")</f>
        <v/>
      </c>
      <c r="AG73" s="30" t="str">
        <f>IF(AND($F73='Tournament Setup'!$A$30,SUM($O73,$Q73,$S73)=0),$H73,"")</f>
        <v/>
      </c>
      <c r="AH73" s="47" t="str">
        <f>IF(ISNUMBER(AG73),IF(COUNTIFS(AH$1:AH72,_xlfn.RANK.EQ(AG73,AG$2:AG$111,0))&gt;0,_xlfn.MAXIFS(AH$1:AH72,AG$1:AG72,AG73)+1,_xlfn.RANK.EQ(AG73,AG$2:AG$111,0)),"")</f>
        <v/>
      </c>
      <c r="AI73" s="1" t="str">
        <f>IF(ISNUMBER(AG73)=TRUE,IF(_xlfn.RANK.EQ(AG73,$AG$2:$AG$111)&lt;='Tournament Setup'!$B$30,_xlfn.RANK.EQ(AG73,$AG$2:$AG$111),""),"")</f>
        <v/>
      </c>
      <c r="AJ73" s="31" t="str">
        <f>IF(AND($F73='Tournament Setup'!$A$30,SUM($O73,$Q73)=0,$E73="M",$AI73&gt;'Tournament Setup'!$B$30),$H73,"")</f>
        <v/>
      </c>
      <c r="AK73" s="1" t="str">
        <f>IF(ISNUMBER(AJ73)=TRUE,IF(_xlfn.RANK.EQ(AJ73,$AJ$2:$AJ$111)&lt;='Tournament Setup'!$C$30,_xlfn.RANK.EQ(AJ73,$AJ$2:$AJ$111),""),"")</f>
        <v/>
      </c>
      <c r="AL73" s="31" t="str">
        <f>IF(AND($F73='Tournament Setup'!$A$30,SUM($O73,$S73)=0,$E73="F",$AI73&gt;'Tournament Setup'!$B$30),$H73,"")</f>
        <v/>
      </c>
      <c r="AM73" s="12" t="str">
        <f>IF(ISNUMBER(AL73)=TRUE,IF(_xlfn.RANK.EQ(AL73,$AL$2:$AL$111)&lt;='Tournament Setup'!$D$30,_xlfn.RANK.EQ(AL73,$AL$2:$AL$111),""),"")</f>
        <v/>
      </c>
      <c r="AN73" s="30" t="str">
        <f>IF(AND($F73='Tournament Setup'!$A$31,$I73&lt;&gt;0),$I73,"")</f>
        <v/>
      </c>
      <c r="AO73" s="47" t="str">
        <f>IF(ISNUMBER(AN73),IF(COUNTIFS(AO$1:AO72,_xlfn.RANK.EQ(AN73,AN$2:AN$111,0))&gt;0,_xlfn.MAXIFS(AO$1:AO72,AN$1:AN72,AN73)+1,_xlfn.RANK.EQ(AN73,AN$2:AN$111,0)),"")</f>
        <v/>
      </c>
      <c r="AP73" s="1" t="str">
        <f>IF(ISNUMBER(AN73)=TRUE,IF(_xlfn.RANK.EQ(AN73,$AN$2:$AN$111)&lt;='Tournament Setup'!$B$46,_xlfn.RANK.EQ(AN73,$AN$2:$AN$111),""),"")</f>
        <v/>
      </c>
      <c r="AQ73" s="30" t="str">
        <f>IF(AND($F73='Tournament Setup'!$A$31,SUM($O73,$Q73,$S73)=0),$H73,"")</f>
        <v/>
      </c>
      <c r="AR73" s="47" t="str">
        <f>IF(ISNUMBER(AQ73),IF(COUNTIFS(AR$1:AR72,_xlfn.RANK.EQ(AQ73,AQ$2:AQ$111,0))&gt;0,_xlfn.MAXIFS(AR$1:AR72,AQ$1:AQ72,AQ73)+1,_xlfn.RANK.EQ(AQ73,AQ$2:AQ$111,0)),"")</f>
        <v/>
      </c>
      <c r="AS73" s="1" t="str">
        <f>IF(ISNUMBER(AQ73)=TRUE,IF(_xlfn.RANK.EQ(AQ73,$AQ$2:$AQ$111)&lt;='Tournament Setup'!$B$31,_xlfn.RANK.EQ(AQ73,$AQ$2:$AQ$111),""),"")</f>
        <v/>
      </c>
      <c r="AT73" s="31" t="str">
        <f>IF(AND($F73='Tournament Setup'!$A$31,SUM($O73,$Q73)=0,$E73="M",$AS73&gt;'Tournament Setup'!$B$31),$H73,"")</f>
        <v/>
      </c>
      <c r="AU73" s="1" t="str">
        <f>IF(ISNUMBER(AT73)=TRUE,IF(_xlfn.RANK.EQ(AT73,$AT$2:$AT$111)&lt;='Tournament Setup'!$C$31,_xlfn.RANK.EQ(AT73,$AT$2:$AT$111),""),"")</f>
        <v/>
      </c>
      <c r="AV73" s="31" t="str">
        <f>IF(AND($F73='Tournament Setup'!$A$31,SUM($O73,$S73)=0,$E73="F",$AS73&gt;'Tournament Setup'!$B$31),$H73,"")</f>
        <v/>
      </c>
      <c r="AW73" s="12" t="str">
        <f>IF(ISNUMBER(AV73)=TRUE,IF(_xlfn.RANK.EQ(AV73,$AV$2:$AV$111)&lt;='Tournament Setup'!$D$31,_xlfn.RANK.EQ(AV73,$AV$2:$AV$111),""),"")</f>
        <v/>
      </c>
      <c r="AX73" s="30" t="str">
        <f>IF(AND($F73='Tournament Setup'!$A$32,$I73&lt;&gt;0),$I73,"")</f>
        <v/>
      </c>
      <c r="AY73" s="47" t="str">
        <f>IF(ISNUMBER(AX73),IF(COUNTIFS(AY$1:AY72,_xlfn.RANK.EQ(AX73,AX$2:AX$111,0))&gt;0,_xlfn.MAXIFS(AY$1:AY72,AX$1:AX72,AX73)+1,_xlfn.RANK.EQ(AX73,AX$2:AX$111,0)),"")</f>
        <v/>
      </c>
      <c r="AZ73" s="1" t="str">
        <f>IF(ISNUMBER(AX73)=TRUE,IF(_xlfn.RANK.EQ(AX73,$AX$2:$AX$111)&lt;='Tournament Setup'!$B$46,_xlfn.RANK.EQ(AX73,$AX$2:$AX$111),""),"")</f>
        <v/>
      </c>
      <c r="BA73" s="30" t="str">
        <f>IF(AND($F73='Tournament Setup'!$A$32,SUM($O73,$Q73,$S73)=0),$H73,"")</f>
        <v/>
      </c>
      <c r="BB73" s="47" t="str">
        <f>IF(ISNUMBER(BA73),IF(COUNTIFS(BB$1:BB72,_xlfn.RANK.EQ(BA73,BA$2:BA$111,0))&gt;0,_xlfn.MAXIFS(BB$1:BB72,BA$1:BA72,BA73)+1,_xlfn.RANK.EQ(BA73,BA$2:BA$111,0)),"")</f>
        <v/>
      </c>
      <c r="BC73" s="1" t="str">
        <f>IF(ISNUMBER(BA73)=TRUE,IF(_xlfn.RANK.EQ(BA73,$BA$2:$BA$111)&lt;='Tournament Setup'!$B$32,_xlfn.RANK.EQ(BA73,$BA$2:$BA$111),""),"")</f>
        <v/>
      </c>
      <c r="BD73" s="31" t="str">
        <f>IF(AND($F73='Tournament Setup'!$A$32,SUM($O73,$Q73)=0,$E73="M",$BC73&gt;'Tournament Setup'!$B$32),$H73,"")</f>
        <v/>
      </c>
      <c r="BE73" s="1" t="str">
        <f>IF(ISNUMBER(BD73)=TRUE,IF(_xlfn.RANK.EQ(BD73,$BD$2:$BD$111)&lt;='Tournament Setup'!$C$32,_xlfn.RANK.EQ(BD73,$BD$2:$BD$111),""),"")</f>
        <v/>
      </c>
      <c r="BF73" s="31" t="str">
        <f>IF(AND($F73='Tournament Setup'!$A$32,SUM($O73,$S73)=0,$E73="F",$BC73&gt;'Tournament Setup'!$B$32),$H73,"")</f>
        <v/>
      </c>
      <c r="BG73" s="12" t="str">
        <f>IF(ISNUMBER(BF73)=TRUE,IF(_xlfn.RANK.EQ(BF73,$BF$2:$BF$111)&lt;='Tournament Setup'!$D$32,_xlfn.RANK.EQ(BF73,$BF$2:$BF$111),""),"")</f>
        <v/>
      </c>
      <c r="BH73" s="30" t="str">
        <f>IF(AND($F73='Tournament Setup'!$A$33,$I73&lt;&gt;0),$I73,"")</f>
        <v/>
      </c>
      <c r="BI73" s="47" t="str">
        <f>IF(ISNUMBER(BH73),IF(COUNTIFS(BI$1:BI72,_xlfn.RANK.EQ(BH73,BH$2:BH$111,0))&gt;0,_xlfn.MAXIFS(BI$1:BI72,BH$1:BH72,BH73)+1,_xlfn.RANK.EQ(BH73,BH$2:BH$111,0)),"")</f>
        <v/>
      </c>
      <c r="BJ73" s="1" t="str">
        <f>IF(ISNUMBER(BH73)=TRUE,IF(_xlfn.RANK.EQ(BH73,$BH$2:$BH$111)&lt;='Tournament Setup'!$B$46,_xlfn.RANK.EQ(BH73,$BH$2:$BH$111),""),"")</f>
        <v/>
      </c>
      <c r="BK73" s="30" t="str">
        <f>IF(AND($F73='Tournament Setup'!$A$33,SUM($O73,$Q73,$S73)=0),$H73,"")</f>
        <v/>
      </c>
      <c r="BL73" s="47" t="str">
        <f>IF(ISNUMBER(BK73),IF(COUNTIFS(BL$1:BL72,_xlfn.RANK.EQ(BK73,BK$2:BK$111,0))&gt;0,_xlfn.MAXIFS(BL$1:BL72,BK$1:BK72,BK73)+1,_xlfn.RANK.EQ(BK73,BK$2:BK$111,0)),"")</f>
        <v/>
      </c>
      <c r="BM73" s="1" t="str">
        <f>IF(ISNUMBER(BK73)=TRUE,IF(_xlfn.RANK.EQ(BK73,$BK$2:$BK$111)&lt;='Tournament Setup'!$B$33,_xlfn.RANK.EQ(BK73,$BK$2:$BK$111),""),"")</f>
        <v/>
      </c>
      <c r="BN73" s="31" t="str">
        <f>IF(AND($F73='Tournament Setup'!$A$33,SUM($O73,$Q73)=0,$E73="M",$BM73&gt;'Tournament Setup'!$B$33),$H73,"")</f>
        <v/>
      </c>
      <c r="BO73" s="1" t="str">
        <f>IF(ISNUMBER(BN73)=TRUE,IF(_xlfn.RANK.EQ(BN73,$BN$2:$BN$111)&lt;='Tournament Setup'!$C$33,_xlfn.RANK.EQ(BN73,$BN$2:$BN$111),""),"")</f>
        <v/>
      </c>
      <c r="BP73" s="31" t="str">
        <f>IF(AND($F73='Tournament Setup'!$A$33,SUM($O73,$S73)=0,$E73="F",$BM73&gt;'Tournament Setup'!$B$33),$H73,"")</f>
        <v/>
      </c>
      <c r="BQ73" s="12" t="str">
        <f>IF(ISNUMBER(BP73)=TRUE,IF(_xlfn.RANK.EQ(BP73,$BP$2:$BP$111)&lt;='Tournament Setup'!$D$33,_xlfn.RANK.EQ(BP73,$BP$2:$BP$111),""),"")</f>
        <v/>
      </c>
      <c r="BR73" s="30" t="str">
        <f>IF($G73='Tournament Setup'!$A$38,$H73,"")</f>
        <v/>
      </c>
      <c r="BS73" s="47" t="str">
        <f>IF(ISNUMBER(BR73),IF(COUNTIFS(BS$1:BS72,_xlfn.RANK.EQ(BR73,BR$2:BR$111,0))&gt;0,_xlfn.MAXIFS(BS$1:BS72,BR$1:BR72,BR73)+1,_xlfn.RANK.EQ(BR73,BR$2:BR$111,0)),"")</f>
        <v/>
      </c>
      <c r="BT73" s="1" t="str">
        <f>IF(ISNUMBER(BR73)=TRUE,IF(_xlfn.RANK.EQ(BR73,$BR$2:$BR$111)&lt;='Tournament Setup'!$B$38,_xlfn.RANK.EQ(BR73,$BR$2:$BR$111),""),"")</f>
        <v/>
      </c>
      <c r="BU73" s="31" t="str">
        <f>IF(AND($G73='Tournament Setup'!$A$38,$E73="M",$BT73&gt;'Tournament Setup'!$B$38),$H73,"")</f>
        <v/>
      </c>
      <c r="BV73" s="1" t="str">
        <f>IF(ISNUMBER(BU73)=TRUE,IF(_xlfn.RANK.EQ(BU73,$BU$2:$BU$111)&lt;='Tournament Setup'!$C$38,_xlfn.RANK.EQ(BU73,$BU$2:$BU$111),""),"")</f>
        <v/>
      </c>
      <c r="BW73" s="31" t="str">
        <f>IF(AND($G73='Tournament Setup'!$A$38,$E73="F",$BT73&gt;'Tournament Setup'!$B$38),$H73,"")</f>
        <v/>
      </c>
      <c r="BX73" s="12" t="str">
        <f>IF(ISNUMBER(BW73)=TRUE,IF(_xlfn.RANK.EQ(BW73,$BW$2:$BW$111)&lt;='Tournament Setup'!$D$38,_xlfn.RANK.EQ(BW73,$BW$2:$BW$111),""),"")</f>
        <v/>
      </c>
      <c r="BY73" s="30" t="str">
        <f>IF($G73='Tournament Setup'!$A$39,$H73,"")</f>
        <v/>
      </c>
      <c r="BZ73" s="47" t="str">
        <f>IF(ISNUMBER(BY73),IF(COUNTIFS(BZ$1:BZ72,_xlfn.RANK.EQ(BY73,BY$2:BY$111,0))&gt;0,_xlfn.MAXIFS(BZ$1:BZ72,BY$1:BY72,BY73)+1,_xlfn.RANK.EQ(BY73,BY$2:BY$111,0)),"")</f>
        <v/>
      </c>
      <c r="CA73" s="1" t="str">
        <f>IF(ISNUMBER(BY73)=TRUE,IF(_xlfn.RANK.EQ(BY73,$BY$2:$BY$111)&lt;='Tournament Setup'!$B$39,_xlfn.RANK.EQ(BY73,$BY$2:$BY$111),""),"")</f>
        <v/>
      </c>
      <c r="CB73" s="31" t="str">
        <f>IF(AND($G73='Tournament Setup'!$A$39,$E73="M",$CA73&gt;'Tournament Setup'!$B$39),$H73,"")</f>
        <v/>
      </c>
      <c r="CC73" s="1" t="str">
        <f>IF(ISNUMBER(CB73)=TRUE,IF(_xlfn.RANK.EQ(CB73,$CB$2:$CB$111)&lt;='Tournament Setup'!$C$39,_xlfn.RANK.EQ(CB73,$CB$2:$CB$111),""),"")</f>
        <v/>
      </c>
      <c r="CD73" s="31" t="str">
        <f>IF(AND($G73='Tournament Setup'!$A$39,$E73="F",$CA73&gt;'Tournament Setup'!$B$39),$H73,"")</f>
        <v/>
      </c>
      <c r="CE73" s="12" t="str">
        <f>IF(ISNUMBER(CD73)=TRUE,IF(_xlfn.RANK.EQ(CD73,$CD$2:$CD$111)&lt;='Tournament Setup'!$D$39,_xlfn.RANK.EQ(CD73,$CD$2:$CD$111),""),"")</f>
        <v/>
      </c>
      <c r="CF73" s="30" t="str">
        <f>IF($G73='Tournament Setup'!$A$40,$H73,"")</f>
        <v/>
      </c>
      <c r="CG73" s="47" t="str">
        <f>IF(ISNUMBER(CF73),IF(COUNTIFS(CG$1:CG72,_xlfn.RANK.EQ(CF73,CF$2:CF$111,0))&gt;0,_xlfn.MAXIFS(CG$1:CG72,CF$1:CF72,CF73)+1,_xlfn.RANK.EQ(CF73,CF$2:CF$111,0)),"")</f>
        <v/>
      </c>
      <c r="CH73" s="1" t="str">
        <f>IF(ISNUMBER(CF73)=TRUE,IF(_xlfn.RANK.EQ(CF73,$CF$2:$CF$111)&lt;='Tournament Setup'!$B$40,_xlfn.RANK.EQ(CF73,$CF$2:$CF$111),""),"")</f>
        <v/>
      </c>
      <c r="CI73" s="31" t="str">
        <f>IF(AND($G73='Tournament Setup'!$A$40,$E73="M",$CH73&gt;'Tournament Setup'!$B$40),$H73,"")</f>
        <v/>
      </c>
      <c r="CJ73" s="1" t="str">
        <f>IF(ISNUMBER(CI73)=TRUE,IF(_xlfn.RANK.EQ(CI73,$CI$2:$CI$111)&lt;='Tournament Setup'!$C$40,_xlfn.RANK.EQ(CI73,$CI$2:$CI$111),""),"")</f>
        <v/>
      </c>
      <c r="CK73" s="31" t="str">
        <f>IF(AND($G73='Tournament Setup'!$A$40,$E73="F",$CH73&gt;'Tournament Setup'!$B$40),$H73,"")</f>
        <v/>
      </c>
      <c r="CL73" s="12" t="str">
        <f>IF(ISNUMBER(CK73)=TRUE,IF(_xlfn.RANK.EQ(CK73,$CK$2:$CK$111)&lt;='Tournament Setup'!$D$40,_xlfn.RANK.EQ(CK73,$CK$2:$CK$111),""),"")</f>
        <v/>
      </c>
      <c r="CM73" s="30" t="str">
        <f>IF($G73='Tournament Setup'!$A$41,$H73,"")</f>
        <v/>
      </c>
      <c r="CN73" s="47" t="str">
        <f>IF(ISNUMBER(CM73),IF(COUNTIFS(CN$1:CN72,_xlfn.RANK.EQ(CM73,CM$2:CM$111,0))&gt;0,_xlfn.MAXIFS(CN$1:CN72,CM$1:CM72,CM73)+1,_xlfn.RANK.EQ(CM73,CM$2:CM$111,0)),"")</f>
        <v/>
      </c>
      <c r="CO73" s="1" t="str">
        <f>IF(ISNUMBER(CM73)=TRUE,IF(_xlfn.RANK.EQ(CM73,$CM$2:$CM$111)&lt;='Tournament Setup'!$B$41,_xlfn.RANK.EQ(CM73,$CM$2:$CM$111),""),"")</f>
        <v/>
      </c>
      <c r="CP73" s="31" t="str">
        <f>IF(AND($G73='Tournament Setup'!$A$41,$E73="M",$CO73&gt;'Tournament Setup'!$B$41),$H73,"")</f>
        <v/>
      </c>
      <c r="CQ73" s="1" t="str">
        <f>IF(ISNUMBER(CP73)=TRUE,IF(_xlfn.RANK.EQ(CP73,$CP$2:$CP$111)&lt;='Tournament Setup'!$C$41,_xlfn.RANK.EQ(CP73,$CP$2:$CP$111),""),"")</f>
        <v/>
      </c>
      <c r="CR73" s="31" t="str">
        <f>IF(AND($G73='Tournament Setup'!$A$41,$E73="F",$CO73&gt;'Tournament Setup'!$B$41),$H73,"")</f>
        <v/>
      </c>
      <c r="CS73" s="12" t="str">
        <f>IF(ISNUMBER(CR73)=TRUE,IF(_xlfn.RANK.EQ(CR73,$CR$2:$CR$111)&lt;='Tournament Setup'!$D$41,_xlfn.RANK.EQ(CR73,$CR$2:$CR$111),""),"")</f>
        <v/>
      </c>
    </row>
    <row r="74" spans="2:97" x14ac:dyDescent="0.3">
      <c r="B74" t="str">
        <f>IFERROR(INDEX('Tournament List'!$B:$B,MATCH($A74,'Tournament List'!$A:$A,0)),"")</f>
        <v/>
      </c>
      <c r="C74" t="str">
        <f>IFERROR(INDEX('Tournament List'!$C:$C,MATCH($A74,'Tournament List'!$A:$A,0)),"")</f>
        <v/>
      </c>
      <c r="D74" t="str">
        <f t="shared" si="5"/>
        <v xml:space="preserve"> </v>
      </c>
      <c r="E74" s="1" t="str">
        <f>IFERROR(INDEX('Tournament List'!F:F,MATCH($A74,'Tournament List'!$A:$A,0)),"")</f>
        <v/>
      </c>
      <c r="F74" t="str">
        <f>IFERROR(INDEX('Tournament List'!M:M,MATCH($A74,'Tournament List'!$A:$A,0)),"")</f>
        <v/>
      </c>
      <c r="G74" s="1" t="str">
        <f>IFERROR(INDEX('Tournament List'!W:W,MATCH($A74,'Tournament List'!$A:$A,0)),"")</f>
        <v/>
      </c>
      <c r="H74" s="129" t="str">
        <f>IFERROR(INDEX('Tournament List'!Z:Z,MATCH($A74,'Tournament List'!$A:$A,0)),"")</f>
        <v/>
      </c>
      <c r="I74" s="152" t="str">
        <f>IFERROR(INDEX('Tournament List'!T:T,MATCH($A74,'Tournament List'!$A:$A,0)),"")</f>
        <v/>
      </c>
      <c r="J74" s="56" t="str">
        <f>IF(ISNUMBER(I74),IF(COUNTIFS(J$1:J73,_xlfn.RANK.EQ(I74,I$2:I$111,0))&gt;0,_xlfn.MAXIFS(J$1:J73,I$1:I73,I74)+1,_xlfn.RANK.EQ(I74,I$2:I$111,0)),"")</f>
        <v/>
      </c>
      <c r="K74" s="11" t="str">
        <f t="shared" si="6"/>
        <v/>
      </c>
      <c r="L74" s="56" t="str">
        <f>IF(ISNUMBER(H74),IF(COUNTIFS(L$1:L73,_xlfn.RANK.EQ(H74,H$2:H$111,0))&gt;0,_xlfn.MAXIFS(L$1:L73,H$1:H73,H74)+1,_xlfn.RANK.EQ(H74,H$2:H$111,0)),"")</f>
        <v/>
      </c>
      <c r="M74" s="151" t="str">
        <f t="shared" si="7"/>
        <v/>
      </c>
      <c r="N74" s="47" t="str">
        <f>IF(ISNUMBER(M74),IF(COUNTIFS(N$1:N73,_xlfn.RANK.EQ(M74,M$2:M$111,0))&gt;0,_xlfn.MAXIFS(N$1:N73,M$1:M73,M74)+1,_xlfn.RANK.EQ(M74,M$2:M$111,0)),"")</f>
        <v/>
      </c>
      <c r="O74" s="1" t="str">
        <f>IF(ISNUMBER(M74)=TRUE,IF(_xlfn.RANK.EQ(M74,$M$2:$M$111)&lt;='Tournament Setup'!$B$23,_xlfn.RANK.EQ(M74,$M$2:$M$111),""),"")</f>
        <v/>
      </c>
      <c r="P74" s="150" t="str">
        <f t="shared" si="8"/>
        <v/>
      </c>
      <c r="Q74" s="1" t="str">
        <f>IF(ISNUMBER(P74)=TRUE,IF(_xlfn.RANK.EQ(P74,$P$2:$P$111)&lt;='Tournament Setup'!$B$24,_xlfn.RANK.EQ(P74,$P$2:$P$111),""),"")</f>
        <v/>
      </c>
      <c r="R74" s="150" t="str">
        <f t="shared" si="9"/>
        <v/>
      </c>
      <c r="S74" s="12" t="str">
        <f>IF(ISNUMBER(R74)=TRUE,IF(_xlfn.RANK.EQ(R74,$R$2:$R$111)&lt;='Tournament Setup'!$B$25,_xlfn.RANK.EQ(R74,$R$2:$R$111),""),"")</f>
        <v/>
      </c>
      <c r="T74" s="152" t="str">
        <f>IF(AND($F74='Tournament Setup'!$A$29,$I74&lt;&gt;0),$I74,"")</f>
        <v/>
      </c>
      <c r="U74" s="47" t="str">
        <f>IF(ISNUMBER(T74),IF(COUNTIFS(U$1:U73,_xlfn.RANK.EQ(T74,T$2:T$111,0))&gt;0,_xlfn.MAXIFS(U$1:U73,T$1:T73,T74)+1,_xlfn.RANK.EQ(T74,T$2:T$111,0)),"")</f>
        <v/>
      </c>
      <c r="V74" s="1" t="str">
        <f>IF(ISNUMBER(T74)=TRUE,IF(_xlfn.RANK.EQ(T74,$T$3:$T$112)&lt;='Tournament Setup'!$B$46,_xlfn.RANK.EQ(T74,$T$2:$T$111),""),"")</f>
        <v/>
      </c>
      <c r="W74" s="30" t="str">
        <f>IF(AND($F74='Tournament Setup'!$A$29,SUM($O74,$Q74,$S74)=0),$H74,"")</f>
        <v/>
      </c>
      <c r="X74" s="47" t="str">
        <f>IF(ISNUMBER(W74),IF(COUNTIFS(X$1:X73,_xlfn.RANK.EQ(W74,W$2:W$111,0))&gt;0,_xlfn.MAXIFS(X$1:X73,W$1:W73,W74)+1,_xlfn.RANK.EQ(W74,W$2:W$111,0)),"")</f>
        <v/>
      </c>
      <c r="Y74" s="1" t="str">
        <f>IF(ISNUMBER(W74)=TRUE,IF(_xlfn.RANK.EQ(W74,$W$2:$W$111)&lt;='Tournament Setup'!$B$29,_xlfn.RANK.EQ(W74,$W$2:$W$111),""),"")</f>
        <v/>
      </c>
      <c r="Z74" s="31" t="str">
        <f>IF(AND($F74='Tournament Setup'!$A$29,SUM($O74,$Q74)=0,$E74="M",$Y74&gt;'Tournament Setup'!$B$29),$H74,"")</f>
        <v/>
      </c>
      <c r="AA74" s="1" t="str">
        <f>IF(ISNUMBER(Z74)=TRUE,IF(_xlfn.RANK.EQ(Z74,$Z$2:$Z$111)&lt;='Tournament Setup'!$C$29,_xlfn.RANK.EQ(Z74,$Z$2:$Z$111),""),"")</f>
        <v/>
      </c>
      <c r="AB74" s="31" t="str">
        <f>IF(AND($F74='Tournament Setup'!$A$29,SUM($O74,$S74)=0,$E74="F",$Y74&gt;'Tournament Setup'!$B$29),$H74,"")</f>
        <v/>
      </c>
      <c r="AC74" s="12" t="str">
        <f>IF(ISNUMBER(AB74)=TRUE,IF(_xlfn.RANK.EQ(AB74,$AB$2:$AB$111)&lt;='Tournament Setup'!$D$29,_xlfn.RANK.EQ(AB74,$AB$2:$AB$111),""),"")</f>
        <v/>
      </c>
      <c r="AD74" s="30" t="str">
        <f>IF(AND($F74='Tournament Setup'!$A$30,$I74&lt;&gt;0),$I74,"")</f>
        <v/>
      </c>
      <c r="AE74" s="47" t="str">
        <f>IF(ISNUMBER(AD74),IF(COUNTIFS(AE$1:AE73,_xlfn.RANK.EQ(AD74,AD$2:AD$111,0))&gt;0,_xlfn.MAXIFS(AE$1:AE73,AD$1:AD73,AD74)+1,_xlfn.RANK.EQ(AD74,AD$2:AD$111,0)),"")</f>
        <v/>
      </c>
      <c r="AF74" s="1" t="str">
        <f>IF(ISNUMBER(AD74)=TRUE,IF(_xlfn.RANK.EQ(AD74,$AD$2:$AD$111)&lt;='Tournament Setup'!$B$46,_xlfn.RANK.EQ(AD74,$AD$2:$AD$111),""),"")</f>
        <v/>
      </c>
      <c r="AG74" s="30" t="str">
        <f>IF(AND($F74='Tournament Setup'!$A$30,SUM($O74,$Q74,$S74)=0),$H74,"")</f>
        <v/>
      </c>
      <c r="AH74" s="47" t="str">
        <f>IF(ISNUMBER(AG74),IF(COUNTIFS(AH$1:AH73,_xlfn.RANK.EQ(AG74,AG$2:AG$111,0))&gt;0,_xlfn.MAXIFS(AH$1:AH73,AG$1:AG73,AG74)+1,_xlfn.RANK.EQ(AG74,AG$2:AG$111,0)),"")</f>
        <v/>
      </c>
      <c r="AI74" s="1" t="str">
        <f>IF(ISNUMBER(AG74)=TRUE,IF(_xlfn.RANK.EQ(AG74,$AG$2:$AG$111)&lt;='Tournament Setup'!$B$30,_xlfn.RANK.EQ(AG74,$AG$2:$AG$111),""),"")</f>
        <v/>
      </c>
      <c r="AJ74" s="31" t="str">
        <f>IF(AND($F74='Tournament Setup'!$A$30,SUM($O74,$Q74)=0,$E74="M",$AI74&gt;'Tournament Setup'!$B$30),$H74,"")</f>
        <v/>
      </c>
      <c r="AK74" s="1" t="str">
        <f>IF(ISNUMBER(AJ74)=TRUE,IF(_xlfn.RANK.EQ(AJ74,$AJ$2:$AJ$111)&lt;='Tournament Setup'!$C$30,_xlfn.RANK.EQ(AJ74,$AJ$2:$AJ$111),""),"")</f>
        <v/>
      </c>
      <c r="AL74" s="31" t="str">
        <f>IF(AND($F74='Tournament Setup'!$A$30,SUM($O74,$S74)=0,$E74="F",$AI74&gt;'Tournament Setup'!$B$30),$H74,"")</f>
        <v/>
      </c>
      <c r="AM74" s="12" t="str">
        <f>IF(ISNUMBER(AL74)=TRUE,IF(_xlfn.RANK.EQ(AL74,$AL$2:$AL$111)&lt;='Tournament Setup'!$D$30,_xlfn.RANK.EQ(AL74,$AL$2:$AL$111),""),"")</f>
        <v/>
      </c>
      <c r="AN74" s="30" t="str">
        <f>IF(AND($F74='Tournament Setup'!$A$31,$I74&lt;&gt;0),$I74,"")</f>
        <v/>
      </c>
      <c r="AO74" s="47" t="str">
        <f>IF(ISNUMBER(AN74),IF(COUNTIFS(AO$1:AO73,_xlfn.RANK.EQ(AN74,AN$2:AN$111,0))&gt;0,_xlfn.MAXIFS(AO$1:AO73,AN$1:AN73,AN74)+1,_xlfn.RANK.EQ(AN74,AN$2:AN$111,0)),"")</f>
        <v/>
      </c>
      <c r="AP74" s="1" t="str">
        <f>IF(ISNUMBER(AN74)=TRUE,IF(_xlfn.RANK.EQ(AN74,$AN$2:$AN$111)&lt;='Tournament Setup'!$B$46,_xlfn.RANK.EQ(AN74,$AN$2:$AN$111),""),"")</f>
        <v/>
      </c>
      <c r="AQ74" s="30" t="str">
        <f>IF(AND($F74='Tournament Setup'!$A$31,SUM($O74,$Q74,$S74)=0),$H74,"")</f>
        <v/>
      </c>
      <c r="AR74" s="47" t="str">
        <f>IF(ISNUMBER(AQ74),IF(COUNTIFS(AR$1:AR73,_xlfn.RANK.EQ(AQ74,AQ$2:AQ$111,0))&gt;0,_xlfn.MAXIFS(AR$1:AR73,AQ$1:AQ73,AQ74)+1,_xlfn.RANK.EQ(AQ74,AQ$2:AQ$111,0)),"")</f>
        <v/>
      </c>
      <c r="AS74" s="1" t="str">
        <f>IF(ISNUMBER(AQ74)=TRUE,IF(_xlfn.RANK.EQ(AQ74,$AQ$2:$AQ$111)&lt;='Tournament Setup'!$B$31,_xlfn.RANK.EQ(AQ74,$AQ$2:$AQ$111),""),"")</f>
        <v/>
      </c>
      <c r="AT74" s="31" t="str">
        <f>IF(AND($F74='Tournament Setup'!$A$31,SUM($O74,$Q74)=0,$E74="M",$AS74&gt;'Tournament Setup'!$B$31),$H74,"")</f>
        <v/>
      </c>
      <c r="AU74" s="1" t="str">
        <f>IF(ISNUMBER(AT74)=TRUE,IF(_xlfn.RANK.EQ(AT74,$AT$2:$AT$111)&lt;='Tournament Setup'!$C$31,_xlfn.RANK.EQ(AT74,$AT$2:$AT$111),""),"")</f>
        <v/>
      </c>
      <c r="AV74" s="31" t="str">
        <f>IF(AND($F74='Tournament Setup'!$A$31,SUM($O74,$S74)=0,$E74="F",$AS74&gt;'Tournament Setup'!$B$31),$H74,"")</f>
        <v/>
      </c>
      <c r="AW74" s="12" t="str">
        <f>IF(ISNUMBER(AV74)=TRUE,IF(_xlfn.RANK.EQ(AV74,$AV$2:$AV$111)&lt;='Tournament Setup'!$D$31,_xlfn.RANK.EQ(AV74,$AV$2:$AV$111),""),"")</f>
        <v/>
      </c>
      <c r="AX74" s="30" t="str">
        <f>IF(AND($F74='Tournament Setup'!$A$32,$I74&lt;&gt;0),$I74,"")</f>
        <v/>
      </c>
      <c r="AY74" s="47" t="str">
        <f>IF(ISNUMBER(AX74),IF(COUNTIFS(AY$1:AY73,_xlfn.RANK.EQ(AX74,AX$2:AX$111,0))&gt;0,_xlfn.MAXIFS(AY$1:AY73,AX$1:AX73,AX74)+1,_xlfn.RANK.EQ(AX74,AX$2:AX$111,0)),"")</f>
        <v/>
      </c>
      <c r="AZ74" s="1" t="str">
        <f>IF(ISNUMBER(AX74)=TRUE,IF(_xlfn.RANK.EQ(AX74,$AX$2:$AX$111)&lt;='Tournament Setup'!$B$46,_xlfn.RANK.EQ(AX74,$AX$2:$AX$111),""),"")</f>
        <v/>
      </c>
      <c r="BA74" s="30" t="str">
        <f>IF(AND($F74='Tournament Setup'!$A$32,SUM($O74,$Q74,$S74)=0),$H74,"")</f>
        <v/>
      </c>
      <c r="BB74" s="47" t="str">
        <f>IF(ISNUMBER(BA74),IF(COUNTIFS(BB$1:BB73,_xlfn.RANK.EQ(BA74,BA$2:BA$111,0))&gt;0,_xlfn.MAXIFS(BB$1:BB73,BA$1:BA73,BA74)+1,_xlfn.RANK.EQ(BA74,BA$2:BA$111,0)),"")</f>
        <v/>
      </c>
      <c r="BC74" s="1" t="str">
        <f>IF(ISNUMBER(BA74)=TRUE,IF(_xlfn.RANK.EQ(BA74,$BA$2:$BA$111)&lt;='Tournament Setup'!$B$32,_xlfn.RANK.EQ(BA74,$BA$2:$BA$111),""),"")</f>
        <v/>
      </c>
      <c r="BD74" s="31" t="str">
        <f>IF(AND($F74='Tournament Setup'!$A$32,SUM($O74,$Q74)=0,$E74="M",$BC74&gt;'Tournament Setup'!$B$32),$H74,"")</f>
        <v/>
      </c>
      <c r="BE74" s="1" t="str">
        <f>IF(ISNUMBER(BD74)=TRUE,IF(_xlfn.RANK.EQ(BD74,$BD$2:$BD$111)&lt;='Tournament Setup'!$C$32,_xlfn.RANK.EQ(BD74,$BD$2:$BD$111),""),"")</f>
        <v/>
      </c>
      <c r="BF74" s="31" t="str">
        <f>IF(AND($F74='Tournament Setup'!$A$32,SUM($O74,$S74)=0,$E74="F",$BC74&gt;'Tournament Setup'!$B$32),$H74,"")</f>
        <v/>
      </c>
      <c r="BG74" s="12" t="str">
        <f>IF(ISNUMBER(BF74)=TRUE,IF(_xlfn.RANK.EQ(BF74,$BF$2:$BF$111)&lt;='Tournament Setup'!$D$32,_xlfn.RANK.EQ(BF74,$BF$2:$BF$111),""),"")</f>
        <v/>
      </c>
      <c r="BH74" s="30" t="str">
        <f>IF(AND($F74='Tournament Setup'!$A$33,$I74&lt;&gt;0),$I74,"")</f>
        <v/>
      </c>
      <c r="BI74" s="47" t="str">
        <f>IF(ISNUMBER(BH74),IF(COUNTIFS(BI$1:BI73,_xlfn.RANK.EQ(BH74,BH$2:BH$111,0))&gt;0,_xlfn.MAXIFS(BI$1:BI73,BH$1:BH73,BH74)+1,_xlfn.RANK.EQ(BH74,BH$2:BH$111,0)),"")</f>
        <v/>
      </c>
      <c r="BJ74" s="1" t="str">
        <f>IF(ISNUMBER(BH74)=TRUE,IF(_xlfn.RANK.EQ(BH74,$BH$2:$BH$111)&lt;='Tournament Setup'!$B$46,_xlfn.RANK.EQ(BH74,$BH$2:$BH$111),""),"")</f>
        <v/>
      </c>
      <c r="BK74" s="30" t="str">
        <f>IF(AND($F74='Tournament Setup'!$A$33,SUM($O74,$Q74,$S74)=0),$H74,"")</f>
        <v/>
      </c>
      <c r="BL74" s="47" t="str">
        <f>IF(ISNUMBER(BK74),IF(COUNTIFS(BL$1:BL73,_xlfn.RANK.EQ(BK74,BK$2:BK$111,0))&gt;0,_xlfn.MAXIFS(BL$1:BL73,BK$1:BK73,BK74)+1,_xlfn.RANK.EQ(BK74,BK$2:BK$111,0)),"")</f>
        <v/>
      </c>
      <c r="BM74" s="1" t="str">
        <f>IF(ISNUMBER(BK74)=TRUE,IF(_xlfn.RANK.EQ(BK74,$BK$2:$BK$111)&lt;='Tournament Setup'!$B$33,_xlfn.RANK.EQ(BK74,$BK$2:$BK$111),""),"")</f>
        <v/>
      </c>
      <c r="BN74" s="31" t="str">
        <f>IF(AND($F74='Tournament Setup'!$A$33,SUM($O74,$Q74)=0,$E74="M",$BM74&gt;'Tournament Setup'!$B$33),$H74,"")</f>
        <v/>
      </c>
      <c r="BO74" s="1" t="str">
        <f>IF(ISNUMBER(BN74)=TRUE,IF(_xlfn.RANK.EQ(BN74,$BN$2:$BN$111)&lt;='Tournament Setup'!$C$33,_xlfn.RANK.EQ(BN74,$BN$2:$BN$111),""),"")</f>
        <v/>
      </c>
      <c r="BP74" s="31" t="str">
        <f>IF(AND($F74='Tournament Setup'!$A$33,SUM($O74,$S74)=0,$E74="F",$BM74&gt;'Tournament Setup'!$B$33),$H74,"")</f>
        <v/>
      </c>
      <c r="BQ74" s="12" t="str">
        <f>IF(ISNUMBER(BP74)=TRUE,IF(_xlfn.RANK.EQ(BP74,$BP$2:$BP$111)&lt;='Tournament Setup'!$D$33,_xlfn.RANK.EQ(BP74,$BP$2:$BP$111),""),"")</f>
        <v/>
      </c>
      <c r="BR74" s="30" t="str">
        <f>IF($G74='Tournament Setup'!$A$38,$H74,"")</f>
        <v/>
      </c>
      <c r="BS74" s="47" t="str">
        <f>IF(ISNUMBER(BR74),IF(COUNTIFS(BS$1:BS73,_xlfn.RANK.EQ(BR74,BR$2:BR$111,0))&gt;0,_xlfn.MAXIFS(BS$1:BS73,BR$1:BR73,BR74)+1,_xlfn.RANK.EQ(BR74,BR$2:BR$111,0)),"")</f>
        <v/>
      </c>
      <c r="BT74" s="1" t="str">
        <f>IF(ISNUMBER(BR74)=TRUE,IF(_xlfn.RANK.EQ(BR74,$BR$2:$BR$111)&lt;='Tournament Setup'!$B$38,_xlfn.RANK.EQ(BR74,$BR$2:$BR$111),""),"")</f>
        <v/>
      </c>
      <c r="BU74" s="31" t="str">
        <f>IF(AND($G74='Tournament Setup'!$A$38,$E74="M",$BT74&gt;'Tournament Setup'!$B$38),$H74,"")</f>
        <v/>
      </c>
      <c r="BV74" s="1" t="str">
        <f>IF(ISNUMBER(BU74)=TRUE,IF(_xlfn.RANK.EQ(BU74,$BU$2:$BU$111)&lt;='Tournament Setup'!$C$38,_xlfn.RANK.EQ(BU74,$BU$2:$BU$111),""),"")</f>
        <v/>
      </c>
      <c r="BW74" s="31" t="str">
        <f>IF(AND($G74='Tournament Setup'!$A$38,$E74="F",$BT74&gt;'Tournament Setup'!$B$38),$H74,"")</f>
        <v/>
      </c>
      <c r="BX74" s="12" t="str">
        <f>IF(ISNUMBER(BW74)=TRUE,IF(_xlfn.RANK.EQ(BW74,$BW$2:$BW$111)&lt;='Tournament Setup'!$D$38,_xlfn.RANK.EQ(BW74,$BW$2:$BW$111),""),"")</f>
        <v/>
      </c>
      <c r="BY74" s="30" t="str">
        <f>IF($G74='Tournament Setup'!$A$39,$H74,"")</f>
        <v/>
      </c>
      <c r="BZ74" s="47" t="str">
        <f>IF(ISNUMBER(BY74),IF(COUNTIFS(BZ$1:BZ73,_xlfn.RANK.EQ(BY74,BY$2:BY$111,0))&gt;0,_xlfn.MAXIFS(BZ$1:BZ73,BY$1:BY73,BY74)+1,_xlfn.RANK.EQ(BY74,BY$2:BY$111,0)),"")</f>
        <v/>
      </c>
      <c r="CA74" s="1" t="str">
        <f>IF(ISNUMBER(BY74)=TRUE,IF(_xlfn.RANK.EQ(BY74,$BY$2:$BY$111)&lt;='Tournament Setup'!$B$39,_xlfn.RANK.EQ(BY74,$BY$2:$BY$111),""),"")</f>
        <v/>
      </c>
      <c r="CB74" s="31" t="str">
        <f>IF(AND($G74='Tournament Setup'!$A$39,$E74="M",$CA74&gt;'Tournament Setup'!$B$39),$H74,"")</f>
        <v/>
      </c>
      <c r="CC74" s="1" t="str">
        <f>IF(ISNUMBER(CB74)=TRUE,IF(_xlfn.RANK.EQ(CB74,$CB$2:$CB$111)&lt;='Tournament Setup'!$C$39,_xlfn.RANK.EQ(CB74,$CB$2:$CB$111),""),"")</f>
        <v/>
      </c>
      <c r="CD74" s="31" t="str">
        <f>IF(AND($G74='Tournament Setup'!$A$39,$E74="F",$CA74&gt;'Tournament Setup'!$B$39),$H74,"")</f>
        <v/>
      </c>
      <c r="CE74" s="12" t="str">
        <f>IF(ISNUMBER(CD74)=TRUE,IF(_xlfn.RANK.EQ(CD74,$CD$2:$CD$111)&lt;='Tournament Setup'!$D$39,_xlfn.RANK.EQ(CD74,$CD$2:$CD$111),""),"")</f>
        <v/>
      </c>
      <c r="CF74" s="30" t="str">
        <f>IF($G74='Tournament Setup'!$A$40,$H74,"")</f>
        <v/>
      </c>
      <c r="CG74" s="47" t="str">
        <f>IF(ISNUMBER(CF74),IF(COUNTIFS(CG$1:CG73,_xlfn.RANK.EQ(CF74,CF$2:CF$111,0))&gt;0,_xlfn.MAXIFS(CG$1:CG73,CF$1:CF73,CF74)+1,_xlfn.RANK.EQ(CF74,CF$2:CF$111,0)),"")</f>
        <v/>
      </c>
      <c r="CH74" s="1" t="str">
        <f>IF(ISNUMBER(CF74)=TRUE,IF(_xlfn.RANK.EQ(CF74,$CF$2:$CF$111)&lt;='Tournament Setup'!$B$40,_xlfn.RANK.EQ(CF74,$CF$2:$CF$111),""),"")</f>
        <v/>
      </c>
      <c r="CI74" s="31" t="str">
        <f>IF(AND($G74='Tournament Setup'!$A$40,$E74="M",$CH74&gt;'Tournament Setup'!$B$40),$H74,"")</f>
        <v/>
      </c>
      <c r="CJ74" s="1" t="str">
        <f>IF(ISNUMBER(CI74)=TRUE,IF(_xlfn.RANK.EQ(CI74,$CI$2:$CI$111)&lt;='Tournament Setup'!$C$40,_xlfn.RANK.EQ(CI74,$CI$2:$CI$111),""),"")</f>
        <v/>
      </c>
      <c r="CK74" s="31" t="str">
        <f>IF(AND($G74='Tournament Setup'!$A$40,$E74="F",$CH74&gt;'Tournament Setup'!$B$40),$H74,"")</f>
        <v/>
      </c>
      <c r="CL74" s="12" t="str">
        <f>IF(ISNUMBER(CK74)=TRUE,IF(_xlfn.RANK.EQ(CK74,$CK$2:$CK$111)&lt;='Tournament Setup'!$D$40,_xlfn.RANK.EQ(CK74,$CK$2:$CK$111),""),"")</f>
        <v/>
      </c>
      <c r="CM74" s="30" t="str">
        <f>IF($G74='Tournament Setup'!$A$41,$H74,"")</f>
        <v/>
      </c>
      <c r="CN74" s="47" t="str">
        <f>IF(ISNUMBER(CM74),IF(COUNTIFS(CN$1:CN73,_xlfn.RANK.EQ(CM74,CM$2:CM$111,0))&gt;0,_xlfn.MAXIFS(CN$1:CN73,CM$1:CM73,CM74)+1,_xlfn.RANK.EQ(CM74,CM$2:CM$111,0)),"")</f>
        <v/>
      </c>
      <c r="CO74" s="1" t="str">
        <f>IF(ISNUMBER(CM74)=TRUE,IF(_xlfn.RANK.EQ(CM74,$CM$2:$CM$111)&lt;='Tournament Setup'!$B$41,_xlfn.RANK.EQ(CM74,$CM$2:$CM$111),""),"")</f>
        <v/>
      </c>
      <c r="CP74" s="31" t="str">
        <f>IF(AND($G74='Tournament Setup'!$A$41,$E74="M",$CO74&gt;'Tournament Setup'!$B$41),$H74,"")</f>
        <v/>
      </c>
      <c r="CQ74" s="1" t="str">
        <f>IF(ISNUMBER(CP74)=TRUE,IF(_xlfn.RANK.EQ(CP74,$CP$2:$CP$111)&lt;='Tournament Setup'!$C$41,_xlfn.RANK.EQ(CP74,$CP$2:$CP$111),""),"")</f>
        <v/>
      </c>
      <c r="CR74" s="31" t="str">
        <f>IF(AND($G74='Tournament Setup'!$A$41,$E74="F",$CO74&gt;'Tournament Setup'!$B$41),$H74,"")</f>
        <v/>
      </c>
      <c r="CS74" s="12" t="str">
        <f>IF(ISNUMBER(CR74)=TRUE,IF(_xlfn.RANK.EQ(CR74,$CR$2:$CR$111)&lt;='Tournament Setup'!$D$41,_xlfn.RANK.EQ(CR74,$CR$2:$CR$111),""),"")</f>
        <v/>
      </c>
    </row>
    <row r="75" spans="2:97" x14ac:dyDescent="0.3">
      <c r="B75" t="str">
        <f>IFERROR(INDEX('Tournament List'!$B:$B,MATCH($A75,'Tournament List'!$A:$A,0)),"")</f>
        <v/>
      </c>
      <c r="C75" t="str">
        <f>IFERROR(INDEX('Tournament List'!$C:$C,MATCH($A75,'Tournament List'!$A:$A,0)),"")</f>
        <v/>
      </c>
      <c r="D75" t="str">
        <f t="shared" si="5"/>
        <v xml:space="preserve"> </v>
      </c>
      <c r="E75" s="1" t="str">
        <f>IFERROR(INDEX('Tournament List'!F:F,MATCH($A75,'Tournament List'!$A:$A,0)),"")</f>
        <v/>
      </c>
      <c r="F75" t="str">
        <f>IFERROR(INDEX('Tournament List'!M:M,MATCH($A75,'Tournament List'!$A:$A,0)),"")</f>
        <v/>
      </c>
      <c r="G75" s="1" t="str">
        <f>IFERROR(INDEX('Tournament List'!W:W,MATCH($A75,'Tournament List'!$A:$A,0)),"")</f>
        <v/>
      </c>
      <c r="H75" s="129" t="str">
        <f>IFERROR(INDEX('Tournament List'!Z:Z,MATCH($A75,'Tournament List'!$A:$A,0)),"")</f>
        <v/>
      </c>
      <c r="I75" s="152" t="str">
        <f>IFERROR(INDEX('Tournament List'!T:T,MATCH($A75,'Tournament List'!$A:$A,0)),"")</f>
        <v/>
      </c>
      <c r="J75" s="56" t="str">
        <f>IF(ISNUMBER(I75),IF(COUNTIFS(J$1:J74,_xlfn.RANK.EQ(I75,I$2:I$111,0))&gt;0,_xlfn.MAXIFS(J$1:J74,I$1:I74,I75)+1,_xlfn.RANK.EQ(I75,I$2:I$111,0)),"")</f>
        <v/>
      </c>
      <c r="K75" s="11" t="str">
        <f t="shared" si="6"/>
        <v/>
      </c>
      <c r="L75" s="56" t="str">
        <f>IF(ISNUMBER(H75),IF(COUNTIFS(L$1:L74,_xlfn.RANK.EQ(H75,H$2:H$111,0))&gt;0,_xlfn.MAXIFS(L$1:L74,H$1:H74,H75)+1,_xlfn.RANK.EQ(H75,H$2:H$111,0)),"")</f>
        <v/>
      </c>
      <c r="M75" s="151" t="str">
        <f t="shared" si="7"/>
        <v/>
      </c>
      <c r="N75" s="47" t="str">
        <f>IF(ISNUMBER(M75),IF(COUNTIFS(N$1:N74,_xlfn.RANK.EQ(M75,M$2:M$111,0))&gt;0,_xlfn.MAXIFS(N$1:N74,M$1:M74,M75)+1,_xlfn.RANK.EQ(M75,M$2:M$111,0)),"")</f>
        <v/>
      </c>
      <c r="O75" s="1" t="str">
        <f>IF(ISNUMBER(M75)=TRUE,IF(_xlfn.RANK.EQ(M75,$M$2:$M$111)&lt;='Tournament Setup'!$B$23,_xlfn.RANK.EQ(M75,$M$2:$M$111),""),"")</f>
        <v/>
      </c>
      <c r="P75" s="150" t="str">
        <f t="shared" si="8"/>
        <v/>
      </c>
      <c r="Q75" s="1" t="str">
        <f>IF(ISNUMBER(P75)=TRUE,IF(_xlfn.RANK.EQ(P75,$P$2:$P$111)&lt;='Tournament Setup'!$B$24,_xlfn.RANK.EQ(P75,$P$2:$P$111),""),"")</f>
        <v/>
      </c>
      <c r="R75" s="150" t="str">
        <f t="shared" si="9"/>
        <v/>
      </c>
      <c r="S75" s="12" t="str">
        <f>IF(ISNUMBER(R75)=TRUE,IF(_xlfn.RANK.EQ(R75,$R$2:$R$111)&lt;='Tournament Setup'!$B$25,_xlfn.RANK.EQ(R75,$R$2:$R$111),""),"")</f>
        <v/>
      </c>
      <c r="T75" s="152" t="str">
        <f>IF(AND($F75='Tournament Setup'!$A$29,$I75&lt;&gt;0),$I75,"")</f>
        <v/>
      </c>
      <c r="U75" s="47" t="str">
        <f>IF(ISNUMBER(T75),IF(COUNTIFS(U$1:U74,_xlfn.RANK.EQ(T75,T$2:T$111,0))&gt;0,_xlfn.MAXIFS(U$1:U74,T$1:T74,T75)+1,_xlfn.RANK.EQ(T75,T$2:T$111,0)),"")</f>
        <v/>
      </c>
      <c r="V75" s="1" t="str">
        <f>IF(ISNUMBER(T75)=TRUE,IF(_xlfn.RANK.EQ(T75,$T$3:$T$112)&lt;='Tournament Setup'!$B$46,_xlfn.RANK.EQ(T75,$T$2:$T$111),""),"")</f>
        <v/>
      </c>
      <c r="W75" s="30" t="str">
        <f>IF(AND($F75='Tournament Setup'!$A$29,SUM($O75,$Q75,$S75)=0),$H75,"")</f>
        <v/>
      </c>
      <c r="X75" s="47" t="str">
        <f>IF(ISNUMBER(W75),IF(COUNTIFS(X$1:X74,_xlfn.RANK.EQ(W75,W$2:W$111,0))&gt;0,_xlfn.MAXIFS(X$1:X74,W$1:W74,W75)+1,_xlfn.RANK.EQ(W75,W$2:W$111,0)),"")</f>
        <v/>
      </c>
      <c r="Y75" s="1" t="str">
        <f>IF(ISNUMBER(W75)=TRUE,IF(_xlfn.RANK.EQ(W75,$W$2:$W$111)&lt;='Tournament Setup'!$B$29,_xlfn.RANK.EQ(W75,$W$2:$W$111),""),"")</f>
        <v/>
      </c>
      <c r="Z75" s="31" t="str">
        <f>IF(AND($F75='Tournament Setup'!$A$29,SUM($O75,$Q75)=0,$E75="M",$Y75&gt;'Tournament Setup'!$B$29),$H75,"")</f>
        <v/>
      </c>
      <c r="AA75" s="1" t="str">
        <f>IF(ISNUMBER(Z75)=TRUE,IF(_xlfn.RANK.EQ(Z75,$Z$2:$Z$111)&lt;='Tournament Setup'!$C$29,_xlfn.RANK.EQ(Z75,$Z$2:$Z$111),""),"")</f>
        <v/>
      </c>
      <c r="AB75" s="31" t="str">
        <f>IF(AND($F75='Tournament Setup'!$A$29,SUM($O75,$S75)=0,$E75="F",$Y75&gt;'Tournament Setup'!$B$29),$H75,"")</f>
        <v/>
      </c>
      <c r="AC75" s="12" t="str">
        <f>IF(ISNUMBER(AB75)=TRUE,IF(_xlfn.RANK.EQ(AB75,$AB$2:$AB$111)&lt;='Tournament Setup'!$D$29,_xlfn.RANK.EQ(AB75,$AB$2:$AB$111),""),"")</f>
        <v/>
      </c>
      <c r="AD75" s="30" t="str">
        <f>IF(AND($F75='Tournament Setup'!$A$30,$I75&lt;&gt;0),$I75,"")</f>
        <v/>
      </c>
      <c r="AE75" s="47" t="str">
        <f>IF(ISNUMBER(AD75),IF(COUNTIFS(AE$1:AE74,_xlfn.RANK.EQ(AD75,AD$2:AD$111,0))&gt;0,_xlfn.MAXIFS(AE$1:AE74,AD$1:AD74,AD75)+1,_xlfn.RANK.EQ(AD75,AD$2:AD$111,0)),"")</f>
        <v/>
      </c>
      <c r="AF75" s="1" t="str">
        <f>IF(ISNUMBER(AD75)=TRUE,IF(_xlfn.RANK.EQ(AD75,$AD$2:$AD$111)&lt;='Tournament Setup'!$B$46,_xlfn.RANK.EQ(AD75,$AD$2:$AD$111),""),"")</f>
        <v/>
      </c>
      <c r="AG75" s="30" t="str">
        <f>IF(AND($F75='Tournament Setup'!$A$30,SUM($O75,$Q75,$S75)=0),$H75,"")</f>
        <v/>
      </c>
      <c r="AH75" s="47" t="str">
        <f>IF(ISNUMBER(AG75),IF(COUNTIFS(AH$1:AH74,_xlfn.RANK.EQ(AG75,AG$2:AG$111,0))&gt;0,_xlfn.MAXIFS(AH$1:AH74,AG$1:AG74,AG75)+1,_xlfn.RANK.EQ(AG75,AG$2:AG$111,0)),"")</f>
        <v/>
      </c>
      <c r="AI75" s="1" t="str">
        <f>IF(ISNUMBER(AG75)=TRUE,IF(_xlfn.RANK.EQ(AG75,$AG$2:$AG$111)&lt;='Tournament Setup'!$B$30,_xlfn.RANK.EQ(AG75,$AG$2:$AG$111),""),"")</f>
        <v/>
      </c>
      <c r="AJ75" s="31" t="str">
        <f>IF(AND($F75='Tournament Setup'!$A$30,SUM($O75,$Q75)=0,$E75="M",$AI75&gt;'Tournament Setup'!$B$30),$H75,"")</f>
        <v/>
      </c>
      <c r="AK75" s="1" t="str">
        <f>IF(ISNUMBER(AJ75)=TRUE,IF(_xlfn.RANK.EQ(AJ75,$AJ$2:$AJ$111)&lt;='Tournament Setup'!$C$30,_xlfn.RANK.EQ(AJ75,$AJ$2:$AJ$111),""),"")</f>
        <v/>
      </c>
      <c r="AL75" s="31" t="str">
        <f>IF(AND($F75='Tournament Setup'!$A$30,SUM($O75,$S75)=0,$E75="F",$AI75&gt;'Tournament Setup'!$B$30),$H75,"")</f>
        <v/>
      </c>
      <c r="AM75" s="12" t="str">
        <f>IF(ISNUMBER(AL75)=TRUE,IF(_xlfn.RANK.EQ(AL75,$AL$2:$AL$111)&lt;='Tournament Setup'!$D$30,_xlfn.RANK.EQ(AL75,$AL$2:$AL$111),""),"")</f>
        <v/>
      </c>
      <c r="AN75" s="30" t="str">
        <f>IF(AND($F75='Tournament Setup'!$A$31,$I75&lt;&gt;0),$I75,"")</f>
        <v/>
      </c>
      <c r="AO75" s="47" t="str">
        <f>IF(ISNUMBER(AN75),IF(COUNTIFS(AO$1:AO74,_xlfn.RANK.EQ(AN75,AN$2:AN$111,0))&gt;0,_xlfn.MAXIFS(AO$1:AO74,AN$1:AN74,AN75)+1,_xlfn.RANK.EQ(AN75,AN$2:AN$111,0)),"")</f>
        <v/>
      </c>
      <c r="AP75" s="1" t="str">
        <f>IF(ISNUMBER(AN75)=TRUE,IF(_xlfn.RANK.EQ(AN75,$AN$2:$AN$111)&lt;='Tournament Setup'!$B$46,_xlfn.RANK.EQ(AN75,$AN$2:$AN$111),""),"")</f>
        <v/>
      </c>
      <c r="AQ75" s="30" t="str">
        <f>IF(AND($F75='Tournament Setup'!$A$31,SUM($O75,$Q75,$S75)=0),$H75,"")</f>
        <v/>
      </c>
      <c r="AR75" s="47" t="str">
        <f>IF(ISNUMBER(AQ75),IF(COUNTIFS(AR$1:AR74,_xlfn.RANK.EQ(AQ75,AQ$2:AQ$111,0))&gt;0,_xlfn.MAXIFS(AR$1:AR74,AQ$1:AQ74,AQ75)+1,_xlfn.RANK.EQ(AQ75,AQ$2:AQ$111,0)),"")</f>
        <v/>
      </c>
      <c r="AS75" s="1" t="str">
        <f>IF(ISNUMBER(AQ75)=TRUE,IF(_xlfn.RANK.EQ(AQ75,$AQ$2:$AQ$111)&lt;='Tournament Setup'!$B$31,_xlfn.RANK.EQ(AQ75,$AQ$2:$AQ$111),""),"")</f>
        <v/>
      </c>
      <c r="AT75" s="31" t="str">
        <f>IF(AND($F75='Tournament Setup'!$A$31,SUM($O75,$Q75)=0,$E75="M",$AS75&gt;'Tournament Setup'!$B$31),$H75,"")</f>
        <v/>
      </c>
      <c r="AU75" s="1" t="str">
        <f>IF(ISNUMBER(AT75)=TRUE,IF(_xlfn.RANK.EQ(AT75,$AT$2:$AT$111)&lt;='Tournament Setup'!$C$31,_xlfn.RANK.EQ(AT75,$AT$2:$AT$111),""),"")</f>
        <v/>
      </c>
      <c r="AV75" s="31" t="str">
        <f>IF(AND($F75='Tournament Setup'!$A$31,SUM($O75,$S75)=0,$E75="F",$AS75&gt;'Tournament Setup'!$B$31),$H75,"")</f>
        <v/>
      </c>
      <c r="AW75" s="12" t="str">
        <f>IF(ISNUMBER(AV75)=TRUE,IF(_xlfn.RANK.EQ(AV75,$AV$2:$AV$111)&lt;='Tournament Setup'!$D$31,_xlfn.RANK.EQ(AV75,$AV$2:$AV$111),""),"")</f>
        <v/>
      </c>
      <c r="AX75" s="30" t="str">
        <f>IF(AND($F75='Tournament Setup'!$A$32,$I75&lt;&gt;0),$I75,"")</f>
        <v/>
      </c>
      <c r="AY75" s="47" t="str">
        <f>IF(ISNUMBER(AX75),IF(COUNTIFS(AY$1:AY74,_xlfn.RANK.EQ(AX75,AX$2:AX$111,0))&gt;0,_xlfn.MAXIFS(AY$1:AY74,AX$1:AX74,AX75)+1,_xlfn.RANK.EQ(AX75,AX$2:AX$111,0)),"")</f>
        <v/>
      </c>
      <c r="AZ75" s="1" t="str">
        <f>IF(ISNUMBER(AX75)=TRUE,IF(_xlfn.RANK.EQ(AX75,$AX$2:$AX$111)&lt;='Tournament Setup'!$B$46,_xlfn.RANK.EQ(AX75,$AX$2:$AX$111),""),"")</f>
        <v/>
      </c>
      <c r="BA75" s="30" t="str">
        <f>IF(AND($F75='Tournament Setup'!$A$32,SUM($O75,$Q75,$S75)=0),$H75,"")</f>
        <v/>
      </c>
      <c r="BB75" s="47" t="str">
        <f>IF(ISNUMBER(BA75),IF(COUNTIFS(BB$1:BB74,_xlfn.RANK.EQ(BA75,BA$2:BA$111,0))&gt;0,_xlfn.MAXIFS(BB$1:BB74,BA$1:BA74,BA75)+1,_xlfn.RANK.EQ(BA75,BA$2:BA$111,0)),"")</f>
        <v/>
      </c>
      <c r="BC75" s="1" t="str">
        <f>IF(ISNUMBER(BA75)=TRUE,IF(_xlfn.RANK.EQ(BA75,$BA$2:$BA$111)&lt;='Tournament Setup'!$B$32,_xlfn.RANK.EQ(BA75,$BA$2:$BA$111),""),"")</f>
        <v/>
      </c>
      <c r="BD75" s="31" t="str">
        <f>IF(AND($F75='Tournament Setup'!$A$32,SUM($O75,$Q75)=0,$E75="M",$BC75&gt;'Tournament Setup'!$B$32),$H75,"")</f>
        <v/>
      </c>
      <c r="BE75" s="1" t="str">
        <f>IF(ISNUMBER(BD75)=TRUE,IF(_xlfn.RANK.EQ(BD75,$BD$2:$BD$111)&lt;='Tournament Setup'!$C$32,_xlfn.RANK.EQ(BD75,$BD$2:$BD$111),""),"")</f>
        <v/>
      </c>
      <c r="BF75" s="31" t="str">
        <f>IF(AND($F75='Tournament Setup'!$A$32,SUM($O75,$S75)=0,$E75="F",$BC75&gt;'Tournament Setup'!$B$32),$H75,"")</f>
        <v/>
      </c>
      <c r="BG75" s="12" t="str">
        <f>IF(ISNUMBER(BF75)=TRUE,IF(_xlfn.RANK.EQ(BF75,$BF$2:$BF$111)&lt;='Tournament Setup'!$D$32,_xlfn.RANK.EQ(BF75,$BF$2:$BF$111),""),"")</f>
        <v/>
      </c>
      <c r="BH75" s="30" t="str">
        <f>IF(AND($F75='Tournament Setup'!$A$33,$I75&lt;&gt;0),$I75,"")</f>
        <v/>
      </c>
      <c r="BI75" s="47" t="str">
        <f>IF(ISNUMBER(BH75),IF(COUNTIFS(BI$1:BI74,_xlfn.RANK.EQ(BH75,BH$2:BH$111,0))&gt;0,_xlfn.MAXIFS(BI$1:BI74,BH$1:BH74,BH75)+1,_xlfn.RANK.EQ(BH75,BH$2:BH$111,0)),"")</f>
        <v/>
      </c>
      <c r="BJ75" s="1" t="str">
        <f>IF(ISNUMBER(BH75)=TRUE,IF(_xlfn.RANK.EQ(BH75,$BH$2:$BH$111)&lt;='Tournament Setup'!$B$46,_xlfn.RANK.EQ(BH75,$BH$2:$BH$111),""),"")</f>
        <v/>
      </c>
      <c r="BK75" s="30" t="str">
        <f>IF(AND($F75='Tournament Setup'!$A$33,SUM($O75,$Q75,$S75)=0),$H75,"")</f>
        <v/>
      </c>
      <c r="BL75" s="47" t="str">
        <f>IF(ISNUMBER(BK75),IF(COUNTIFS(BL$1:BL74,_xlfn.RANK.EQ(BK75,BK$2:BK$111,0))&gt;0,_xlfn.MAXIFS(BL$1:BL74,BK$1:BK74,BK75)+1,_xlfn.RANK.EQ(BK75,BK$2:BK$111,0)),"")</f>
        <v/>
      </c>
      <c r="BM75" s="1" t="str">
        <f>IF(ISNUMBER(BK75)=TRUE,IF(_xlfn.RANK.EQ(BK75,$BK$2:$BK$111)&lt;='Tournament Setup'!$B$33,_xlfn.RANK.EQ(BK75,$BK$2:$BK$111),""),"")</f>
        <v/>
      </c>
      <c r="BN75" s="31" t="str">
        <f>IF(AND($F75='Tournament Setup'!$A$33,SUM($O75,$Q75)=0,$E75="M",$BM75&gt;'Tournament Setup'!$B$33),$H75,"")</f>
        <v/>
      </c>
      <c r="BO75" s="1" t="str">
        <f>IF(ISNUMBER(BN75)=TRUE,IF(_xlfn.RANK.EQ(BN75,$BN$2:$BN$111)&lt;='Tournament Setup'!$C$33,_xlfn.RANK.EQ(BN75,$BN$2:$BN$111),""),"")</f>
        <v/>
      </c>
      <c r="BP75" s="31" t="str">
        <f>IF(AND($F75='Tournament Setup'!$A$33,SUM($O75,$S75)=0,$E75="F",$BM75&gt;'Tournament Setup'!$B$33),$H75,"")</f>
        <v/>
      </c>
      <c r="BQ75" s="12" t="str">
        <f>IF(ISNUMBER(BP75)=TRUE,IF(_xlfn.RANK.EQ(BP75,$BP$2:$BP$111)&lt;='Tournament Setup'!$D$33,_xlfn.RANK.EQ(BP75,$BP$2:$BP$111),""),"")</f>
        <v/>
      </c>
      <c r="BR75" s="30" t="str">
        <f>IF($G75='Tournament Setup'!$A$38,$H75,"")</f>
        <v/>
      </c>
      <c r="BS75" s="47" t="str">
        <f>IF(ISNUMBER(BR75),IF(COUNTIFS(BS$1:BS74,_xlfn.RANK.EQ(BR75,BR$2:BR$111,0))&gt;0,_xlfn.MAXIFS(BS$1:BS74,BR$1:BR74,BR75)+1,_xlfn.RANK.EQ(BR75,BR$2:BR$111,0)),"")</f>
        <v/>
      </c>
      <c r="BT75" s="1" t="str">
        <f>IF(ISNUMBER(BR75)=TRUE,IF(_xlfn.RANK.EQ(BR75,$BR$2:$BR$111)&lt;='Tournament Setup'!$B$38,_xlfn.RANK.EQ(BR75,$BR$2:$BR$111),""),"")</f>
        <v/>
      </c>
      <c r="BU75" s="31" t="str">
        <f>IF(AND($G75='Tournament Setup'!$A$38,$E75="M",$BT75&gt;'Tournament Setup'!$B$38),$H75,"")</f>
        <v/>
      </c>
      <c r="BV75" s="1" t="str">
        <f>IF(ISNUMBER(BU75)=TRUE,IF(_xlfn.RANK.EQ(BU75,$BU$2:$BU$111)&lt;='Tournament Setup'!$C$38,_xlfn.RANK.EQ(BU75,$BU$2:$BU$111),""),"")</f>
        <v/>
      </c>
      <c r="BW75" s="31" t="str">
        <f>IF(AND($G75='Tournament Setup'!$A$38,$E75="F",$BT75&gt;'Tournament Setup'!$B$38),$H75,"")</f>
        <v/>
      </c>
      <c r="BX75" s="12" t="str">
        <f>IF(ISNUMBER(BW75)=TRUE,IF(_xlfn.RANK.EQ(BW75,$BW$2:$BW$111)&lt;='Tournament Setup'!$D$38,_xlfn.RANK.EQ(BW75,$BW$2:$BW$111),""),"")</f>
        <v/>
      </c>
      <c r="BY75" s="30" t="str">
        <f>IF($G75='Tournament Setup'!$A$39,$H75,"")</f>
        <v/>
      </c>
      <c r="BZ75" s="47" t="str">
        <f>IF(ISNUMBER(BY75),IF(COUNTIFS(BZ$1:BZ74,_xlfn.RANK.EQ(BY75,BY$2:BY$111,0))&gt;0,_xlfn.MAXIFS(BZ$1:BZ74,BY$1:BY74,BY75)+1,_xlfn.RANK.EQ(BY75,BY$2:BY$111,0)),"")</f>
        <v/>
      </c>
      <c r="CA75" s="1" t="str">
        <f>IF(ISNUMBER(BY75)=TRUE,IF(_xlfn.RANK.EQ(BY75,$BY$2:$BY$111)&lt;='Tournament Setup'!$B$39,_xlfn.RANK.EQ(BY75,$BY$2:$BY$111),""),"")</f>
        <v/>
      </c>
      <c r="CB75" s="31" t="str">
        <f>IF(AND($G75='Tournament Setup'!$A$39,$E75="M",$CA75&gt;'Tournament Setup'!$B$39),$H75,"")</f>
        <v/>
      </c>
      <c r="CC75" s="1" t="str">
        <f>IF(ISNUMBER(CB75)=TRUE,IF(_xlfn.RANK.EQ(CB75,$CB$2:$CB$111)&lt;='Tournament Setup'!$C$39,_xlfn.RANK.EQ(CB75,$CB$2:$CB$111),""),"")</f>
        <v/>
      </c>
      <c r="CD75" s="31" t="str">
        <f>IF(AND($G75='Tournament Setup'!$A$39,$E75="F",$CA75&gt;'Tournament Setup'!$B$39),$H75,"")</f>
        <v/>
      </c>
      <c r="CE75" s="12" t="str">
        <f>IF(ISNUMBER(CD75)=TRUE,IF(_xlfn.RANK.EQ(CD75,$CD$2:$CD$111)&lt;='Tournament Setup'!$D$39,_xlfn.RANK.EQ(CD75,$CD$2:$CD$111),""),"")</f>
        <v/>
      </c>
      <c r="CF75" s="30" t="str">
        <f>IF($G75='Tournament Setup'!$A$40,$H75,"")</f>
        <v/>
      </c>
      <c r="CG75" s="47" t="str">
        <f>IF(ISNUMBER(CF75),IF(COUNTIFS(CG$1:CG74,_xlfn.RANK.EQ(CF75,CF$2:CF$111,0))&gt;0,_xlfn.MAXIFS(CG$1:CG74,CF$1:CF74,CF75)+1,_xlfn.RANK.EQ(CF75,CF$2:CF$111,0)),"")</f>
        <v/>
      </c>
      <c r="CH75" s="1" t="str">
        <f>IF(ISNUMBER(CF75)=TRUE,IF(_xlfn.RANK.EQ(CF75,$CF$2:$CF$111)&lt;='Tournament Setup'!$B$40,_xlfn.RANK.EQ(CF75,$CF$2:$CF$111),""),"")</f>
        <v/>
      </c>
      <c r="CI75" s="31" t="str">
        <f>IF(AND($G75='Tournament Setup'!$A$40,$E75="M",$CH75&gt;'Tournament Setup'!$B$40),$H75,"")</f>
        <v/>
      </c>
      <c r="CJ75" s="1" t="str">
        <f>IF(ISNUMBER(CI75)=TRUE,IF(_xlfn.RANK.EQ(CI75,$CI$2:$CI$111)&lt;='Tournament Setup'!$C$40,_xlfn.RANK.EQ(CI75,$CI$2:$CI$111),""),"")</f>
        <v/>
      </c>
      <c r="CK75" s="31" t="str">
        <f>IF(AND($G75='Tournament Setup'!$A$40,$E75="F",$CH75&gt;'Tournament Setup'!$B$40),$H75,"")</f>
        <v/>
      </c>
      <c r="CL75" s="12" t="str">
        <f>IF(ISNUMBER(CK75)=TRUE,IF(_xlfn.RANK.EQ(CK75,$CK$2:$CK$111)&lt;='Tournament Setup'!$D$40,_xlfn.RANK.EQ(CK75,$CK$2:$CK$111),""),"")</f>
        <v/>
      </c>
      <c r="CM75" s="30" t="str">
        <f>IF($G75='Tournament Setup'!$A$41,$H75,"")</f>
        <v/>
      </c>
      <c r="CN75" s="47" t="str">
        <f>IF(ISNUMBER(CM75),IF(COUNTIFS(CN$1:CN74,_xlfn.RANK.EQ(CM75,CM$2:CM$111,0))&gt;0,_xlfn.MAXIFS(CN$1:CN74,CM$1:CM74,CM75)+1,_xlfn.RANK.EQ(CM75,CM$2:CM$111,0)),"")</f>
        <v/>
      </c>
      <c r="CO75" s="1" t="str">
        <f>IF(ISNUMBER(CM75)=TRUE,IF(_xlfn.RANK.EQ(CM75,$CM$2:$CM$111)&lt;='Tournament Setup'!$B$41,_xlfn.RANK.EQ(CM75,$CM$2:$CM$111),""),"")</f>
        <v/>
      </c>
      <c r="CP75" s="31" t="str">
        <f>IF(AND($G75='Tournament Setup'!$A$41,$E75="M",$CO75&gt;'Tournament Setup'!$B$41),$H75,"")</f>
        <v/>
      </c>
      <c r="CQ75" s="1" t="str">
        <f>IF(ISNUMBER(CP75)=TRUE,IF(_xlfn.RANK.EQ(CP75,$CP$2:$CP$111)&lt;='Tournament Setup'!$C$41,_xlfn.RANK.EQ(CP75,$CP$2:$CP$111),""),"")</f>
        <v/>
      </c>
      <c r="CR75" s="31" t="str">
        <f>IF(AND($G75='Tournament Setup'!$A$41,$E75="F",$CO75&gt;'Tournament Setup'!$B$41),$H75,"")</f>
        <v/>
      </c>
      <c r="CS75" s="12" t="str">
        <f>IF(ISNUMBER(CR75)=TRUE,IF(_xlfn.RANK.EQ(CR75,$CR$2:$CR$111)&lt;='Tournament Setup'!$D$41,_xlfn.RANK.EQ(CR75,$CR$2:$CR$111),""),"")</f>
        <v/>
      </c>
    </row>
    <row r="76" spans="2:97" x14ac:dyDescent="0.3">
      <c r="B76" t="str">
        <f>IFERROR(INDEX('Tournament List'!$B:$B,MATCH($A76,'Tournament List'!$A:$A,0)),"")</f>
        <v/>
      </c>
      <c r="C76" t="str">
        <f>IFERROR(INDEX('Tournament List'!$C:$C,MATCH($A76,'Tournament List'!$A:$A,0)),"")</f>
        <v/>
      </c>
      <c r="D76" t="str">
        <f t="shared" ref="D76:D103" si="15">B76&amp;" "&amp;C76</f>
        <v xml:space="preserve"> </v>
      </c>
      <c r="E76" s="1" t="str">
        <f>IFERROR(INDEX('Tournament List'!F:F,MATCH($A76,'Tournament List'!$A:$A,0)),"")</f>
        <v/>
      </c>
      <c r="F76" t="str">
        <f>IFERROR(INDEX('Tournament List'!M:M,MATCH($A76,'Tournament List'!$A:$A,0)),"")</f>
        <v/>
      </c>
      <c r="G76" s="1" t="str">
        <f>IFERROR(INDEX('Tournament List'!W:W,MATCH($A76,'Tournament List'!$A:$A,0)),"")</f>
        <v/>
      </c>
      <c r="H76" s="129" t="str">
        <f>IFERROR(INDEX('Tournament List'!Z:Z,MATCH($A76,'Tournament List'!$A:$A,0)),"")</f>
        <v/>
      </c>
      <c r="I76" s="152" t="str">
        <f>IFERROR(INDEX('Tournament List'!T:T,MATCH($A76,'Tournament List'!$A:$A,0)),"")</f>
        <v/>
      </c>
      <c r="J76" s="56" t="str">
        <f>IF(ISNUMBER(I76),IF(COUNTIFS(J$1:J65,_xlfn.RANK.EQ(I76,I$2:I$111,0))&gt;0,_xlfn.MAXIFS(J$1:J65,I$1:I65,I76)+1,_xlfn.RANK.EQ(I76,I$2:I$111,0)),"")</f>
        <v/>
      </c>
      <c r="K76" s="11" t="str">
        <f t="shared" ref="K76:K103" si="16">IF(ISNUMBER(H76)=TRUE,IF(H76&gt;0,_xlfn.RANK.EQ(H76,$H$2:$H$111,0),""),"")</f>
        <v/>
      </c>
      <c r="L76" s="56" t="str">
        <f>IF(ISNUMBER(H76),IF(COUNTIFS(L$1:L65,_xlfn.RANK.EQ(H76,H$2:H$111,0))&gt;0,_xlfn.MAXIFS(L$1:L65,H$1:H65,H76)+1,_xlfn.RANK.EQ(H76,H$2:H$111,0)),"")</f>
        <v/>
      </c>
      <c r="M76" s="151" t="str">
        <f t="shared" ref="M76:M103" si="17">IF(F76&lt;&gt;"Collegiate"=TRUE,$H76,"")</f>
        <v/>
      </c>
      <c r="N76" s="47" t="str">
        <f>IF(ISNUMBER(M76),IF(COUNTIFS(N$1:N65,_xlfn.RANK.EQ(M76,M$2:M$111,0))&gt;0,_xlfn.MAXIFS(N$1:N65,M$1:M65,M76)+1,_xlfn.RANK.EQ(M76,M$2:M$111,0)),"")</f>
        <v/>
      </c>
      <c r="O76" s="1" t="str">
        <f>IF(ISNUMBER(M76)=TRUE,IF(_xlfn.RANK.EQ(M76,$M$2:$M$111)&lt;='Tournament Setup'!$B$23,_xlfn.RANK.EQ(M76,$M$2:$M$111),""),"")</f>
        <v/>
      </c>
      <c r="P76" s="150" t="str">
        <f t="shared" ref="P76:P103" si="18">IF(AND($E76="M",SUM($O76)=0,F76&lt;&gt;"Collegiate")=TRUE,$H76,"")</f>
        <v/>
      </c>
      <c r="Q76" s="1" t="str">
        <f>IF(ISNUMBER(P76)=TRUE,IF(_xlfn.RANK.EQ(P76,$P$2:$P$111)&lt;='Tournament Setup'!$B$24,_xlfn.RANK.EQ(P76,$P$2:$P$111),""),"")</f>
        <v/>
      </c>
      <c r="R76" s="150" t="str">
        <f t="shared" ref="R76:R103" si="19">IF(AND($E76="F",SUM($O76)=0,F76&lt;&gt;"Collegiate")=TRUE,$H76,"")</f>
        <v/>
      </c>
      <c r="S76" s="12" t="str">
        <f>IF(ISNUMBER(R76)=TRUE,IF(_xlfn.RANK.EQ(R76,$R$2:$R$111)&lt;='Tournament Setup'!$B$25,_xlfn.RANK.EQ(R76,$R$2:$R$111),""),"")</f>
        <v/>
      </c>
      <c r="T76" s="152" t="str">
        <f>IF(AND($F76='Tournament Setup'!$A$29,$I76&lt;&gt;0),$I76,"")</f>
        <v/>
      </c>
      <c r="U76" s="47" t="str">
        <f>IF(ISNUMBER(T76),IF(COUNTIFS(U$1:U65,_xlfn.RANK.EQ(T76,T$2:T$111,0))&gt;0,_xlfn.MAXIFS(U$1:U65,T$1:T65,T76)+1,_xlfn.RANK.EQ(T76,T$2:T$111,0)),"")</f>
        <v/>
      </c>
      <c r="V76" s="1" t="str">
        <f>IF(ISNUMBER(T76)=TRUE,IF(_xlfn.RANK.EQ(T76,$T$3:$T$112)&lt;='Tournament Setup'!$B$46,_xlfn.RANK.EQ(T76,$T$2:$T$111),""),"")</f>
        <v/>
      </c>
      <c r="W76" s="30" t="str">
        <f>IF(AND($F76='Tournament Setup'!$A$29,SUM($O76,$Q76,$S76)=0),$H76,"")</f>
        <v/>
      </c>
      <c r="X76" s="47" t="str">
        <f>IF(ISNUMBER(W76),IF(COUNTIFS(X$1:X65,_xlfn.RANK.EQ(W76,W$2:W$111,0))&gt;0,_xlfn.MAXIFS(X$1:X65,W$1:W65,W76)+1,_xlfn.RANK.EQ(W76,W$2:W$111,0)),"")</f>
        <v/>
      </c>
      <c r="Y76" s="1" t="str">
        <f>IF(ISNUMBER(W76)=TRUE,IF(_xlfn.RANK.EQ(W76,$W$2:$W$111)&lt;='Tournament Setup'!$B$29,_xlfn.RANK.EQ(W76,$W$2:$W$111),""),"")</f>
        <v/>
      </c>
      <c r="Z76" s="31" t="str">
        <f>IF(AND($F76='Tournament Setup'!$A$29,SUM($O76,$Q76)=0,$E76="M",$Y76&gt;'Tournament Setup'!$B$29),$H76,"")</f>
        <v/>
      </c>
      <c r="AA76" s="1" t="str">
        <f>IF(ISNUMBER(Z76)=TRUE,IF(_xlfn.RANK.EQ(Z76,$Z$2:$Z$111)&lt;='Tournament Setup'!$C$29,_xlfn.RANK.EQ(Z76,$Z$2:$Z$111),""),"")</f>
        <v/>
      </c>
      <c r="AB76" s="31" t="str">
        <f>IF(AND($F76='Tournament Setup'!$A$29,SUM($O76,$S76)=0,$E76="F",$Y76&gt;'Tournament Setup'!$B$29),$H76,"")</f>
        <v/>
      </c>
      <c r="AC76" s="12" t="str">
        <f>IF(ISNUMBER(AB76)=TRUE,IF(_xlfn.RANK.EQ(AB76,$AB$2:$AB$111)&lt;='Tournament Setup'!$D$29,_xlfn.RANK.EQ(AB76,$AB$2:$AB$111),""),"")</f>
        <v/>
      </c>
      <c r="AD76" s="30" t="str">
        <f>IF(AND($F76='Tournament Setup'!$A$30,$I76&lt;&gt;0),$I76,"")</f>
        <v/>
      </c>
      <c r="AE76" s="47" t="str">
        <f>IF(ISNUMBER(AD76),IF(COUNTIFS(AE$1:AE65,_xlfn.RANK.EQ(AD76,AD$2:AD$111,0))&gt;0,_xlfn.MAXIFS(AE$1:AE65,AD$1:AD65,AD76)+1,_xlfn.RANK.EQ(AD76,AD$2:AD$111,0)),"")</f>
        <v/>
      </c>
      <c r="AF76" s="1" t="str">
        <f>IF(ISNUMBER(AD76)=TRUE,IF(_xlfn.RANK.EQ(AD76,$AD$2:$AD$111)&lt;='Tournament Setup'!$B$46,_xlfn.RANK.EQ(AD76,$AD$2:$AD$111),""),"")</f>
        <v/>
      </c>
      <c r="AG76" s="30" t="str">
        <f>IF(AND($F76='Tournament Setup'!$A$30,SUM($O76,$Q76,$S76)=0),$H76,"")</f>
        <v/>
      </c>
      <c r="AH76" s="47" t="str">
        <f>IF(ISNUMBER(AG76),IF(COUNTIFS(AH$1:AH65,_xlfn.RANK.EQ(AG76,AG$2:AG$111,0))&gt;0,_xlfn.MAXIFS(AH$1:AH65,AG$1:AG65,AG76)+1,_xlfn.RANK.EQ(AG76,AG$2:AG$111,0)),"")</f>
        <v/>
      </c>
      <c r="AI76" s="1" t="str">
        <f>IF(ISNUMBER(AG76)=TRUE,IF(_xlfn.RANK.EQ(AG76,$AG$2:$AG$111)&lt;='Tournament Setup'!$B$30,_xlfn.RANK.EQ(AG76,$AG$2:$AG$111),""),"")</f>
        <v/>
      </c>
      <c r="AJ76" s="31" t="str">
        <f>IF(AND($F76='Tournament Setup'!$A$30,SUM($O76,$Q76)=0,$E76="M",$AI76&gt;'Tournament Setup'!$B$30),$H76,"")</f>
        <v/>
      </c>
      <c r="AK76" s="1" t="str">
        <f>IF(ISNUMBER(AJ76)=TRUE,IF(_xlfn.RANK.EQ(AJ76,$AJ$2:$AJ$111)&lt;='Tournament Setup'!$C$30,_xlfn.RANK.EQ(AJ76,$AJ$2:$AJ$111),""),"")</f>
        <v/>
      </c>
      <c r="AL76" s="31" t="str">
        <f>IF(AND($F76='Tournament Setup'!$A$30,SUM($O76,$S76)=0,$E76="F",$AI76&gt;'Tournament Setup'!$B$30),$H76,"")</f>
        <v/>
      </c>
      <c r="AM76" s="12" t="str">
        <f>IF(ISNUMBER(AL76)=TRUE,IF(_xlfn.RANK.EQ(AL76,$AL$2:$AL$111)&lt;='Tournament Setup'!$D$30,_xlfn.RANK.EQ(AL76,$AL$2:$AL$111),""),"")</f>
        <v/>
      </c>
      <c r="AN76" s="30" t="str">
        <f>IF(AND($F76='Tournament Setup'!$A$31,$I76&lt;&gt;0),$I76,"")</f>
        <v/>
      </c>
      <c r="AO76" s="47" t="str">
        <f>IF(ISNUMBER(AN76),IF(COUNTIFS(AO$1:AO65,_xlfn.RANK.EQ(AN76,AN$2:AN$111,0))&gt;0,_xlfn.MAXIFS(AO$1:AO65,AN$1:AN65,AN76)+1,_xlfn.RANK.EQ(AN76,AN$2:AN$111,0)),"")</f>
        <v/>
      </c>
      <c r="AP76" s="1" t="str">
        <f>IF(ISNUMBER(AN76)=TRUE,IF(_xlfn.RANK.EQ(AN76,$AN$2:$AN$111)&lt;='Tournament Setup'!$B$46,_xlfn.RANK.EQ(AN76,$AN$2:$AN$111),""),"")</f>
        <v/>
      </c>
      <c r="AQ76" s="30" t="str">
        <f>IF(AND($F76='Tournament Setup'!$A$31,SUM($O76,$Q76,$S76)=0),$H76,"")</f>
        <v/>
      </c>
      <c r="AR76" s="47" t="str">
        <f>IF(ISNUMBER(AQ76),IF(COUNTIFS(AR$1:AR65,_xlfn.RANK.EQ(AQ76,AQ$2:AQ$111,0))&gt;0,_xlfn.MAXIFS(AR$1:AR65,AQ$1:AQ65,AQ76)+1,_xlfn.RANK.EQ(AQ76,AQ$2:AQ$111,0)),"")</f>
        <v/>
      </c>
      <c r="AS76" s="1" t="str">
        <f>IF(ISNUMBER(AQ76)=TRUE,IF(_xlfn.RANK.EQ(AQ76,$AQ$2:$AQ$111)&lt;='Tournament Setup'!$B$31,_xlfn.RANK.EQ(AQ76,$AQ$2:$AQ$111),""),"")</f>
        <v/>
      </c>
      <c r="AT76" s="31" t="str">
        <f>IF(AND($F76='Tournament Setup'!$A$31,SUM($O76,$Q76)=0,$E76="M",$AS76&gt;'Tournament Setup'!$B$31),$H76,"")</f>
        <v/>
      </c>
      <c r="AU76" s="1" t="str">
        <f>IF(ISNUMBER(AT76)=TRUE,IF(_xlfn.RANK.EQ(AT76,$AT$2:$AT$111)&lt;='Tournament Setup'!$C$31,_xlfn.RANK.EQ(AT76,$AT$2:$AT$111),""),"")</f>
        <v/>
      </c>
      <c r="AV76" s="31" t="str">
        <f>IF(AND($F76='Tournament Setup'!$A$31,SUM($O76,$S76)=0,$E76="F",$AS76&gt;'Tournament Setup'!$B$31),$H76,"")</f>
        <v/>
      </c>
      <c r="AW76" s="12" t="str">
        <f>IF(ISNUMBER(AV76)=TRUE,IF(_xlfn.RANK.EQ(AV76,$AV$2:$AV$111)&lt;='Tournament Setup'!$D$31,_xlfn.RANK.EQ(AV76,$AV$2:$AV$111),""),"")</f>
        <v/>
      </c>
      <c r="AX76" s="30" t="str">
        <f>IF(AND($F76='Tournament Setup'!$A$32,$I76&lt;&gt;0),$I76,"")</f>
        <v/>
      </c>
      <c r="AY76" s="47" t="str">
        <f>IF(ISNUMBER(AX76),IF(COUNTIFS(AY$1:AY65,_xlfn.RANK.EQ(AX76,AX$2:AX$111,0))&gt;0,_xlfn.MAXIFS(AY$1:AY65,AX$1:AX65,AX76)+1,_xlfn.RANK.EQ(AX76,AX$2:AX$111,0)),"")</f>
        <v/>
      </c>
      <c r="AZ76" s="1" t="str">
        <f>IF(ISNUMBER(AX76)=TRUE,IF(_xlfn.RANK.EQ(AX76,$AX$2:$AX$111)&lt;='Tournament Setup'!$B$46,_xlfn.RANK.EQ(AX76,$AX$2:$AX$111),""),"")</f>
        <v/>
      </c>
      <c r="BA76" s="30" t="str">
        <f>IF(AND($F76='Tournament Setup'!$A$32,SUM($O76,$Q76,$S76)=0),$H76,"")</f>
        <v/>
      </c>
      <c r="BB76" s="47" t="str">
        <f>IF(ISNUMBER(BA76),IF(COUNTIFS(BB$1:BB65,_xlfn.RANK.EQ(BA76,BA$2:BA$111,0))&gt;0,_xlfn.MAXIFS(BB$1:BB65,BA$1:BA65,BA76)+1,_xlfn.RANK.EQ(BA76,BA$2:BA$111,0)),"")</f>
        <v/>
      </c>
      <c r="BC76" s="1" t="str">
        <f>IF(ISNUMBER(BA76)=TRUE,IF(_xlfn.RANK.EQ(BA76,$BA$2:$BA$111)&lt;='Tournament Setup'!$B$32,_xlfn.RANK.EQ(BA76,$BA$2:$BA$111),""),"")</f>
        <v/>
      </c>
      <c r="BD76" s="31" t="str">
        <f>IF(AND($F76='Tournament Setup'!$A$32,SUM($O76,$Q76)=0,$E76="M",$BC76&gt;'Tournament Setup'!$B$32),$H76,"")</f>
        <v/>
      </c>
      <c r="BE76" s="1" t="str">
        <f>IF(ISNUMBER(BD76)=TRUE,IF(_xlfn.RANK.EQ(BD76,$BD$2:$BD$111)&lt;='Tournament Setup'!$C$32,_xlfn.RANK.EQ(BD76,$BD$2:$BD$111),""),"")</f>
        <v/>
      </c>
      <c r="BF76" s="31" t="str">
        <f>IF(AND($F76='Tournament Setup'!$A$32,SUM($O76,$S76)=0,$E76="F",$BC76&gt;'Tournament Setup'!$B$32),$H76,"")</f>
        <v/>
      </c>
      <c r="BG76" s="12" t="str">
        <f>IF(ISNUMBER(BF76)=TRUE,IF(_xlfn.RANK.EQ(BF76,$BF$2:$BF$111)&lt;='Tournament Setup'!$D$32,_xlfn.RANK.EQ(BF76,$BF$2:$BF$111),""),"")</f>
        <v/>
      </c>
      <c r="BH76" s="30" t="str">
        <f>IF(AND($F76='Tournament Setup'!$A$33,$I76&lt;&gt;0),$I76,"")</f>
        <v/>
      </c>
      <c r="BI76" s="47" t="str">
        <f>IF(ISNUMBER(BH76),IF(COUNTIFS(BI$1:BI65,_xlfn.RANK.EQ(BH76,BH$2:BH$111,0))&gt;0,_xlfn.MAXIFS(BI$1:BI65,BH$1:BH65,BH76)+1,_xlfn.RANK.EQ(BH76,BH$2:BH$111,0)),"")</f>
        <v/>
      </c>
      <c r="BJ76" s="1" t="str">
        <f>IF(ISNUMBER(BH76)=TRUE,IF(_xlfn.RANK.EQ(BH76,$BH$2:$BH$111)&lt;='Tournament Setup'!$B$46,_xlfn.RANK.EQ(BH76,$BH$2:$BH$111),""),"")</f>
        <v/>
      </c>
      <c r="BK76" s="30" t="str">
        <f>IF(AND($F76='Tournament Setup'!$A$33,SUM($O76,$Q76,$S76)=0),$H76,"")</f>
        <v/>
      </c>
      <c r="BL76" s="47" t="str">
        <f>IF(ISNUMBER(BK76),IF(COUNTIFS(BL$1:BL65,_xlfn.RANK.EQ(BK76,BK$2:BK$111,0))&gt;0,_xlfn.MAXIFS(BL$1:BL65,BK$1:BK65,BK76)+1,_xlfn.RANK.EQ(BK76,BK$2:BK$111,0)),"")</f>
        <v/>
      </c>
      <c r="BM76" s="1" t="str">
        <f>IF(ISNUMBER(BK76)=TRUE,IF(_xlfn.RANK.EQ(BK76,$BK$2:$BK$111)&lt;='Tournament Setup'!$B$33,_xlfn.RANK.EQ(BK76,$BK$2:$BK$111),""),"")</f>
        <v/>
      </c>
      <c r="BN76" s="31" t="str">
        <f>IF(AND($F76='Tournament Setup'!$A$33,SUM($O76,$Q76)=0,$E76="M",$BM76&gt;'Tournament Setup'!$B$33),$H76,"")</f>
        <v/>
      </c>
      <c r="BO76" s="1" t="str">
        <f>IF(ISNUMBER(BN76)=TRUE,IF(_xlfn.RANK.EQ(BN76,$BN$2:$BN$111)&lt;='Tournament Setup'!$C$33,_xlfn.RANK.EQ(BN76,$BN$2:$BN$111),""),"")</f>
        <v/>
      </c>
      <c r="BP76" s="31" t="str">
        <f>IF(AND($F76='Tournament Setup'!$A$33,SUM($O76,$S76)=0,$E76="F",$BM76&gt;'Tournament Setup'!$B$33),$H76,"")</f>
        <v/>
      </c>
      <c r="BQ76" s="12" t="str">
        <f>IF(ISNUMBER(BP76)=TRUE,IF(_xlfn.RANK.EQ(BP76,$BP$2:$BP$111)&lt;='Tournament Setup'!$D$33,_xlfn.RANK.EQ(BP76,$BP$2:$BP$111),""),"")</f>
        <v/>
      </c>
      <c r="BR76" s="30" t="str">
        <f>IF($G76='Tournament Setup'!$A$38,$H76,"")</f>
        <v/>
      </c>
      <c r="BS76" s="47" t="str">
        <f>IF(ISNUMBER(BR76),IF(COUNTIFS(BS$1:BS65,_xlfn.RANK.EQ(BR76,BR$2:BR$111,0))&gt;0,_xlfn.MAXIFS(BS$1:BS65,BR$1:BR65,BR76)+1,_xlfn.RANK.EQ(BR76,BR$2:BR$111,0)),"")</f>
        <v/>
      </c>
      <c r="BT76" s="1" t="str">
        <f>IF(ISNUMBER(BR76)=TRUE,IF(_xlfn.RANK.EQ(BR76,$BR$2:$BR$111)&lt;='Tournament Setup'!$B$38,_xlfn.RANK.EQ(BR76,$BR$2:$BR$111),""),"")</f>
        <v/>
      </c>
      <c r="BU76" s="31" t="str">
        <f>IF(AND($G76='Tournament Setup'!$A$38,$E76="M",$BT76&gt;'Tournament Setup'!$B$38),$H76,"")</f>
        <v/>
      </c>
      <c r="BV76" s="1" t="str">
        <f>IF(ISNUMBER(BU76)=TRUE,IF(_xlfn.RANK.EQ(BU76,$BU$2:$BU$111)&lt;='Tournament Setup'!$C$38,_xlfn.RANK.EQ(BU76,$BU$2:$BU$111),""),"")</f>
        <v/>
      </c>
      <c r="BW76" s="31" t="str">
        <f>IF(AND($G76='Tournament Setup'!$A$38,$E76="F",$BT76&gt;'Tournament Setup'!$B$38),$H76,"")</f>
        <v/>
      </c>
      <c r="BX76" s="12" t="str">
        <f>IF(ISNUMBER(BW76)=TRUE,IF(_xlfn.RANK.EQ(BW76,$BW$2:$BW$111)&lt;='Tournament Setup'!$D$38,_xlfn.RANK.EQ(BW76,$BW$2:$BW$111),""),"")</f>
        <v/>
      </c>
      <c r="BY76" s="30" t="str">
        <f>IF($G76='Tournament Setup'!$A$39,$H76,"")</f>
        <v/>
      </c>
      <c r="BZ76" s="47" t="str">
        <f>IF(ISNUMBER(BY76),IF(COUNTIFS(BZ$1:BZ65,_xlfn.RANK.EQ(BY76,BY$2:BY$111,0))&gt;0,_xlfn.MAXIFS(BZ$1:BZ65,BY$1:BY65,BY76)+1,_xlfn.RANK.EQ(BY76,BY$2:BY$111,0)),"")</f>
        <v/>
      </c>
      <c r="CA76" s="1" t="str">
        <f>IF(ISNUMBER(BY76)=TRUE,IF(_xlfn.RANK.EQ(BY76,$BY$2:$BY$111)&lt;='Tournament Setup'!$B$39,_xlfn.RANK.EQ(BY76,$BY$2:$BY$111),""),"")</f>
        <v/>
      </c>
      <c r="CB76" s="31" t="str">
        <f>IF(AND($G76='Tournament Setup'!$A$39,$E76="M",$CA76&gt;'Tournament Setup'!$B$39),$H76,"")</f>
        <v/>
      </c>
      <c r="CC76" s="1" t="str">
        <f>IF(ISNUMBER(CB76)=TRUE,IF(_xlfn.RANK.EQ(CB76,$CB$2:$CB$111)&lt;='Tournament Setup'!$C$39,_xlfn.RANK.EQ(CB76,$CB$2:$CB$111),""),"")</f>
        <v/>
      </c>
      <c r="CD76" s="31" t="str">
        <f>IF(AND($G76='Tournament Setup'!$A$39,$E76="F",$CA76&gt;'Tournament Setup'!$B$39),$H76,"")</f>
        <v/>
      </c>
      <c r="CE76" s="12" t="str">
        <f>IF(ISNUMBER(CD76)=TRUE,IF(_xlfn.RANK.EQ(CD76,$CD$2:$CD$111)&lt;='Tournament Setup'!$D$39,_xlfn.RANK.EQ(CD76,$CD$2:$CD$111),""),"")</f>
        <v/>
      </c>
      <c r="CF76" s="30" t="str">
        <f>IF($G76='Tournament Setup'!$A$40,$H76,"")</f>
        <v/>
      </c>
      <c r="CG76" s="47" t="str">
        <f>IF(ISNUMBER(CF76),IF(COUNTIFS(CG$1:CG65,_xlfn.RANK.EQ(CF76,CF$2:CF$111,0))&gt;0,_xlfn.MAXIFS(CG$1:CG65,CF$1:CF65,CF76)+1,_xlfn.RANK.EQ(CF76,CF$2:CF$111,0)),"")</f>
        <v/>
      </c>
      <c r="CH76" s="1" t="str">
        <f>IF(ISNUMBER(CF76)=TRUE,IF(_xlfn.RANK.EQ(CF76,$CF$2:$CF$111)&lt;='Tournament Setup'!$B$40,_xlfn.RANK.EQ(CF76,$CF$2:$CF$111),""),"")</f>
        <v/>
      </c>
      <c r="CI76" s="31" t="str">
        <f>IF(AND($G76='Tournament Setup'!$A$40,$E76="M",$CH76&gt;'Tournament Setup'!$B$40),$H76,"")</f>
        <v/>
      </c>
      <c r="CJ76" s="1" t="str">
        <f>IF(ISNUMBER(CI76)=TRUE,IF(_xlfn.RANK.EQ(CI76,$CI$2:$CI$111)&lt;='Tournament Setup'!$C$40,_xlfn.RANK.EQ(CI76,$CI$2:$CI$111),""),"")</f>
        <v/>
      </c>
      <c r="CK76" s="31" t="str">
        <f>IF(AND($G76='Tournament Setup'!$A$40,$E76="F",$CH76&gt;'Tournament Setup'!$B$40),$H76,"")</f>
        <v/>
      </c>
      <c r="CL76" s="12" t="str">
        <f>IF(ISNUMBER(CK76)=TRUE,IF(_xlfn.RANK.EQ(CK76,$CK$2:$CK$111)&lt;='Tournament Setup'!$D$40,_xlfn.RANK.EQ(CK76,$CK$2:$CK$111),""),"")</f>
        <v/>
      </c>
      <c r="CM76" s="30" t="str">
        <f>IF($G76='Tournament Setup'!$A$41,$H76,"")</f>
        <v/>
      </c>
      <c r="CN76" s="47" t="str">
        <f>IF(ISNUMBER(CM76),IF(COUNTIFS(CN$1:CN65,_xlfn.RANK.EQ(CM76,CM$2:CM$111,0))&gt;0,_xlfn.MAXIFS(CN$1:CN65,CM$1:CM65,CM76)+1,_xlfn.RANK.EQ(CM76,CM$2:CM$111,0)),"")</f>
        <v/>
      </c>
      <c r="CO76" s="1" t="str">
        <f>IF(ISNUMBER(CM76)=TRUE,IF(_xlfn.RANK.EQ(CM76,$CM$2:$CM$111)&lt;='Tournament Setup'!$B$41,_xlfn.RANK.EQ(CM76,$CM$2:$CM$111),""),"")</f>
        <v/>
      </c>
      <c r="CP76" s="31" t="str">
        <f>IF(AND($G76='Tournament Setup'!$A$41,$E76="M",$CO76&gt;'Tournament Setup'!$B$41),$H76,"")</f>
        <v/>
      </c>
      <c r="CQ76" s="1" t="str">
        <f>IF(ISNUMBER(CP76)=TRUE,IF(_xlfn.RANK.EQ(CP76,$CP$2:$CP$111)&lt;='Tournament Setup'!$C$41,_xlfn.RANK.EQ(CP76,$CP$2:$CP$111),""),"")</f>
        <v/>
      </c>
      <c r="CR76" s="31" t="str">
        <f>IF(AND($G76='Tournament Setup'!$A$41,$E76="F",$CO76&gt;'Tournament Setup'!$B$41),$H76,"")</f>
        <v/>
      </c>
      <c r="CS76" s="12" t="str">
        <f>IF(ISNUMBER(CR76)=TRUE,IF(_xlfn.RANK.EQ(CR76,$CR$2:$CR$111)&lt;='Tournament Setup'!$D$41,_xlfn.RANK.EQ(CR76,$CR$2:$CR$111),""),"")</f>
        <v/>
      </c>
    </row>
    <row r="77" spans="2:97" x14ac:dyDescent="0.3">
      <c r="B77" t="str">
        <f>IFERROR(INDEX('Tournament List'!$B:$B,MATCH($A77,'Tournament List'!$A:$A,0)),"")</f>
        <v/>
      </c>
      <c r="C77" t="str">
        <f>IFERROR(INDEX('Tournament List'!$C:$C,MATCH($A77,'Tournament List'!$A:$A,0)),"")</f>
        <v/>
      </c>
      <c r="D77" t="str">
        <f t="shared" si="15"/>
        <v xml:space="preserve"> </v>
      </c>
      <c r="E77" s="1" t="str">
        <f>IFERROR(INDEX('Tournament List'!F:F,MATCH($A77,'Tournament List'!$A:$A,0)),"")</f>
        <v/>
      </c>
      <c r="F77" t="str">
        <f>IFERROR(INDEX('Tournament List'!M:M,MATCH($A77,'Tournament List'!$A:$A,0)),"")</f>
        <v/>
      </c>
      <c r="G77" s="1" t="str">
        <f>IFERROR(INDEX('Tournament List'!W:W,MATCH($A77,'Tournament List'!$A:$A,0)),"")</f>
        <v/>
      </c>
      <c r="H77" s="129" t="str">
        <f>IFERROR(INDEX('Tournament List'!Z:Z,MATCH($A77,'Tournament List'!$A:$A,0)),"")</f>
        <v/>
      </c>
      <c r="I77" s="152" t="str">
        <f>IFERROR(INDEX('Tournament List'!T:T,MATCH($A77,'Tournament List'!$A:$A,0)),"")</f>
        <v/>
      </c>
      <c r="J77" s="56" t="str">
        <f>IF(ISNUMBER(I77),IF(COUNTIFS(J$1:J76,_xlfn.RANK.EQ(I77,I$2:I$111,0))&gt;0,_xlfn.MAXIFS(J$1:J76,I$1:I76,I77)+1,_xlfn.RANK.EQ(I77,I$2:I$111,0)),"")</f>
        <v/>
      </c>
      <c r="K77" s="11" t="str">
        <f t="shared" si="16"/>
        <v/>
      </c>
      <c r="L77" s="56" t="str">
        <f>IF(ISNUMBER(H77),IF(COUNTIFS(L$1:L76,_xlfn.RANK.EQ(H77,H$2:H$111,0))&gt;0,_xlfn.MAXIFS(L$1:L76,H$1:H76,H77)+1,_xlfn.RANK.EQ(H77,H$2:H$111,0)),"")</f>
        <v/>
      </c>
      <c r="M77" s="151" t="str">
        <f t="shared" si="17"/>
        <v/>
      </c>
      <c r="N77" s="47" t="str">
        <f>IF(ISNUMBER(M77),IF(COUNTIFS(N$1:N76,_xlfn.RANK.EQ(M77,M$2:M$111,0))&gt;0,_xlfn.MAXIFS(N$1:N76,M$1:M76,M77)+1,_xlfn.RANK.EQ(M77,M$2:M$111,0)),"")</f>
        <v/>
      </c>
      <c r="O77" s="1" t="str">
        <f>IF(ISNUMBER(M77)=TRUE,IF(_xlfn.RANK.EQ(M77,$M$2:$M$111)&lt;='Tournament Setup'!$B$23,_xlfn.RANK.EQ(M77,$M$2:$M$111),""),"")</f>
        <v/>
      </c>
      <c r="P77" s="150" t="str">
        <f t="shared" si="18"/>
        <v/>
      </c>
      <c r="Q77" s="1" t="str">
        <f>IF(ISNUMBER(P77)=TRUE,IF(_xlfn.RANK.EQ(P77,$P$2:$P$111)&lt;='Tournament Setup'!$B$24,_xlfn.RANK.EQ(P77,$P$2:$P$111),""),"")</f>
        <v/>
      </c>
      <c r="R77" s="150" t="str">
        <f t="shared" si="19"/>
        <v/>
      </c>
      <c r="S77" s="12" t="str">
        <f>IF(ISNUMBER(R77)=TRUE,IF(_xlfn.RANK.EQ(R77,$R$2:$R$111)&lt;='Tournament Setup'!$B$25,_xlfn.RANK.EQ(R77,$R$2:$R$111),""),"")</f>
        <v/>
      </c>
      <c r="T77" s="152" t="str">
        <f>IF(AND($F77='Tournament Setup'!$A$29,$I77&lt;&gt;0),$I77,"")</f>
        <v/>
      </c>
      <c r="U77" s="47" t="str">
        <f>IF(ISNUMBER(T77),IF(COUNTIFS(U$1:U76,_xlfn.RANK.EQ(T77,T$2:T$111,0))&gt;0,_xlfn.MAXIFS(U$1:U76,T$1:T76,T77)+1,_xlfn.RANK.EQ(T77,T$2:T$111,0)),"")</f>
        <v/>
      </c>
      <c r="V77" s="1" t="str">
        <f>IF(ISNUMBER(T77)=TRUE,IF(_xlfn.RANK.EQ(T77,$T$3:$T$112)&lt;='Tournament Setup'!$B$46,_xlfn.RANK.EQ(T77,$T$2:$T$111),""),"")</f>
        <v/>
      </c>
      <c r="W77" s="30" t="str">
        <f>IF(AND($F77='Tournament Setup'!$A$29,SUM($O77,$Q77,$S77)=0),$H77,"")</f>
        <v/>
      </c>
      <c r="X77" s="47" t="str">
        <f>IF(ISNUMBER(W77),IF(COUNTIFS(X$1:X76,_xlfn.RANK.EQ(W77,W$2:W$111,0))&gt;0,_xlfn.MAXIFS(X$1:X76,W$1:W76,W77)+1,_xlfn.RANK.EQ(W77,W$2:W$111,0)),"")</f>
        <v/>
      </c>
      <c r="Y77" s="1" t="str">
        <f>IF(ISNUMBER(W77)=TRUE,IF(_xlfn.RANK.EQ(W77,$W$2:$W$111)&lt;='Tournament Setup'!$B$29,_xlfn.RANK.EQ(W77,$W$2:$W$111),""),"")</f>
        <v/>
      </c>
      <c r="Z77" s="31" t="str">
        <f>IF(AND($F77='Tournament Setup'!$A$29,SUM($O77,$Q77)=0,$E77="M",$Y77&gt;'Tournament Setup'!$B$29),$H77,"")</f>
        <v/>
      </c>
      <c r="AA77" s="1" t="str">
        <f>IF(ISNUMBER(Z77)=TRUE,IF(_xlfn.RANK.EQ(Z77,$Z$2:$Z$111)&lt;='Tournament Setup'!$C$29,_xlfn.RANK.EQ(Z77,$Z$2:$Z$111),""),"")</f>
        <v/>
      </c>
      <c r="AB77" s="31" t="str">
        <f>IF(AND($F77='Tournament Setup'!$A$29,SUM($O77,$S77)=0,$E77="F",$Y77&gt;'Tournament Setup'!$B$29),$H77,"")</f>
        <v/>
      </c>
      <c r="AC77" s="12" t="str">
        <f>IF(ISNUMBER(AB77)=TRUE,IF(_xlfn.RANK.EQ(AB77,$AB$2:$AB$111)&lt;='Tournament Setup'!$D$29,_xlfn.RANK.EQ(AB77,$AB$2:$AB$111),""),"")</f>
        <v/>
      </c>
      <c r="AD77" s="30" t="str">
        <f>IF(AND($F77='Tournament Setup'!$A$30,$I77&lt;&gt;0),$I77,"")</f>
        <v/>
      </c>
      <c r="AE77" s="47" t="str">
        <f>IF(ISNUMBER(AD77),IF(COUNTIFS(AE$1:AE76,_xlfn.RANK.EQ(AD77,AD$2:AD$111,0))&gt;0,_xlfn.MAXIFS(AE$1:AE76,AD$1:AD76,AD77)+1,_xlfn.RANK.EQ(AD77,AD$2:AD$111,0)),"")</f>
        <v/>
      </c>
      <c r="AF77" s="1" t="str">
        <f>IF(ISNUMBER(AD77)=TRUE,IF(_xlfn.RANK.EQ(AD77,$AD$2:$AD$111)&lt;='Tournament Setup'!$B$46,_xlfn.RANK.EQ(AD77,$AD$2:$AD$111),""),"")</f>
        <v/>
      </c>
      <c r="AG77" s="30" t="str">
        <f>IF(AND($F77='Tournament Setup'!$A$30,SUM($O77,$Q77,$S77)=0),$H77,"")</f>
        <v/>
      </c>
      <c r="AH77" s="47" t="str">
        <f>IF(ISNUMBER(AG77),IF(COUNTIFS(AH$1:AH76,_xlfn.RANK.EQ(AG77,AG$2:AG$111,0))&gt;0,_xlfn.MAXIFS(AH$1:AH76,AG$1:AG76,AG77)+1,_xlfn.RANK.EQ(AG77,AG$2:AG$111,0)),"")</f>
        <v/>
      </c>
      <c r="AI77" s="1" t="str">
        <f>IF(ISNUMBER(AG77)=TRUE,IF(_xlfn.RANK.EQ(AG77,$AG$2:$AG$111)&lt;='Tournament Setup'!$B$30,_xlfn.RANK.EQ(AG77,$AG$2:$AG$111),""),"")</f>
        <v/>
      </c>
      <c r="AJ77" s="31" t="str">
        <f>IF(AND($F77='Tournament Setup'!$A$30,SUM($O77,$Q77)=0,$E77="M",$AI77&gt;'Tournament Setup'!$B$30),$H77,"")</f>
        <v/>
      </c>
      <c r="AK77" s="1" t="str">
        <f>IF(ISNUMBER(AJ77)=TRUE,IF(_xlfn.RANK.EQ(AJ77,$AJ$2:$AJ$111)&lt;='Tournament Setup'!$C$30,_xlfn.RANK.EQ(AJ77,$AJ$2:$AJ$111),""),"")</f>
        <v/>
      </c>
      <c r="AL77" s="31" t="str">
        <f>IF(AND($F77='Tournament Setup'!$A$30,SUM($O77,$S77)=0,$E77="F",$AI77&gt;'Tournament Setup'!$B$30),$H77,"")</f>
        <v/>
      </c>
      <c r="AM77" s="12" t="str">
        <f>IF(ISNUMBER(AL77)=TRUE,IF(_xlfn.RANK.EQ(AL77,$AL$2:$AL$111)&lt;='Tournament Setup'!$D$30,_xlfn.RANK.EQ(AL77,$AL$2:$AL$111),""),"")</f>
        <v/>
      </c>
      <c r="AN77" s="30" t="str">
        <f>IF(AND($F77='Tournament Setup'!$A$31,$I77&lt;&gt;0),$I77,"")</f>
        <v/>
      </c>
      <c r="AO77" s="47" t="str">
        <f>IF(ISNUMBER(AN77),IF(COUNTIFS(AO$1:AO76,_xlfn.RANK.EQ(AN77,AN$2:AN$111,0))&gt;0,_xlfn.MAXIFS(AO$1:AO76,AN$1:AN76,AN77)+1,_xlfn.RANK.EQ(AN77,AN$2:AN$111,0)),"")</f>
        <v/>
      </c>
      <c r="AP77" s="1" t="str">
        <f>IF(ISNUMBER(AN77)=TRUE,IF(_xlfn.RANK.EQ(AN77,$AN$2:$AN$111)&lt;='Tournament Setup'!$B$46,_xlfn.RANK.EQ(AN77,$AN$2:$AN$111),""),"")</f>
        <v/>
      </c>
      <c r="AQ77" s="30" t="str">
        <f>IF(AND($F77='Tournament Setup'!$A$31,SUM($O77,$Q77,$S77)=0),$H77,"")</f>
        <v/>
      </c>
      <c r="AR77" s="47" t="str">
        <f>IF(ISNUMBER(AQ77),IF(COUNTIFS(AR$1:AR76,_xlfn.RANK.EQ(AQ77,AQ$2:AQ$111,0))&gt;0,_xlfn.MAXIFS(AR$1:AR76,AQ$1:AQ76,AQ77)+1,_xlfn.RANK.EQ(AQ77,AQ$2:AQ$111,0)),"")</f>
        <v/>
      </c>
      <c r="AS77" s="1" t="str">
        <f>IF(ISNUMBER(AQ77)=TRUE,IF(_xlfn.RANK.EQ(AQ77,$AQ$2:$AQ$111)&lt;='Tournament Setup'!$B$31,_xlfn.RANK.EQ(AQ77,$AQ$2:$AQ$111),""),"")</f>
        <v/>
      </c>
      <c r="AT77" s="31" t="str">
        <f>IF(AND($F77='Tournament Setup'!$A$31,SUM($O77,$Q77)=0,$E77="M",$AS77&gt;'Tournament Setup'!$B$31),$H77,"")</f>
        <v/>
      </c>
      <c r="AU77" s="1" t="str">
        <f>IF(ISNUMBER(AT77)=TRUE,IF(_xlfn.RANK.EQ(AT77,$AT$2:$AT$111)&lt;='Tournament Setup'!$C$31,_xlfn.RANK.EQ(AT77,$AT$2:$AT$111),""),"")</f>
        <v/>
      </c>
      <c r="AV77" s="31" t="str">
        <f>IF(AND($F77='Tournament Setup'!$A$31,SUM($O77,$S77)=0,$E77="F",$AS77&gt;'Tournament Setup'!$B$31),$H77,"")</f>
        <v/>
      </c>
      <c r="AW77" s="12" t="str">
        <f>IF(ISNUMBER(AV77)=TRUE,IF(_xlfn.RANK.EQ(AV77,$AV$2:$AV$111)&lt;='Tournament Setup'!$D$31,_xlfn.RANK.EQ(AV77,$AV$2:$AV$111),""),"")</f>
        <v/>
      </c>
      <c r="AX77" s="30" t="str">
        <f>IF(AND($F77='Tournament Setup'!$A$32,$I77&lt;&gt;0),$I77,"")</f>
        <v/>
      </c>
      <c r="AY77" s="47" t="str">
        <f>IF(ISNUMBER(AX77),IF(COUNTIFS(AY$1:AY76,_xlfn.RANK.EQ(AX77,AX$2:AX$111,0))&gt;0,_xlfn.MAXIFS(AY$1:AY76,AX$1:AX76,AX77)+1,_xlfn.RANK.EQ(AX77,AX$2:AX$111,0)),"")</f>
        <v/>
      </c>
      <c r="AZ77" s="1" t="str">
        <f>IF(ISNUMBER(AX77)=TRUE,IF(_xlfn.RANK.EQ(AX77,$AX$2:$AX$111)&lt;='Tournament Setup'!$B$46,_xlfn.RANK.EQ(AX77,$AX$2:$AX$111),""),"")</f>
        <v/>
      </c>
      <c r="BA77" s="30" t="str">
        <f>IF(AND($F77='Tournament Setup'!$A$32,SUM($O77,$Q77,$S77)=0),$H77,"")</f>
        <v/>
      </c>
      <c r="BB77" s="47" t="str">
        <f>IF(ISNUMBER(BA77),IF(COUNTIFS(BB$1:BB76,_xlfn.RANK.EQ(BA77,BA$2:BA$111,0))&gt;0,_xlfn.MAXIFS(BB$1:BB76,BA$1:BA76,BA77)+1,_xlfn.RANK.EQ(BA77,BA$2:BA$111,0)),"")</f>
        <v/>
      </c>
      <c r="BC77" s="1" t="str">
        <f>IF(ISNUMBER(BA77)=TRUE,IF(_xlfn.RANK.EQ(BA77,$BA$2:$BA$111)&lt;='Tournament Setup'!$B$32,_xlfn.RANK.EQ(BA77,$BA$2:$BA$111),""),"")</f>
        <v/>
      </c>
      <c r="BD77" s="31" t="str">
        <f>IF(AND($F77='Tournament Setup'!$A$32,SUM($O77,$Q77)=0,$E77="M",$BC77&gt;'Tournament Setup'!$B$32),$H77,"")</f>
        <v/>
      </c>
      <c r="BE77" s="1" t="str">
        <f>IF(ISNUMBER(BD77)=TRUE,IF(_xlfn.RANK.EQ(BD77,$BD$2:$BD$111)&lt;='Tournament Setup'!$C$32,_xlfn.RANK.EQ(BD77,$BD$2:$BD$111),""),"")</f>
        <v/>
      </c>
      <c r="BF77" s="31" t="str">
        <f>IF(AND($F77='Tournament Setup'!$A$32,SUM($O77,$S77)=0,$E77="F",$BC77&gt;'Tournament Setup'!$B$32),$H77,"")</f>
        <v/>
      </c>
      <c r="BG77" s="12" t="str">
        <f>IF(ISNUMBER(BF77)=TRUE,IF(_xlfn.RANK.EQ(BF77,$BF$2:$BF$111)&lt;='Tournament Setup'!$D$32,_xlfn.RANK.EQ(BF77,$BF$2:$BF$111),""),"")</f>
        <v/>
      </c>
      <c r="BH77" s="30" t="str">
        <f>IF(AND($F77='Tournament Setup'!$A$33,$I77&lt;&gt;0),$I77,"")</f>
        <v/>
      </c>
      <c r="BI77" s="47" t="str">
        <f>IF(ISNUMBER(BH77),IF(COUNTIFS(BI$1:BI76,_xlfn.RANK.EQ(BH77,BH$2:BH$111,0))&gt;0,_xlfn.MAXIFS(BI$1:BI76,BH$1:BH76,BH77)+1,_xlfn.RANK.EQ(BH77,BH$2:BH$111,0)),"")</f>
        <v/>
      </c>
      <c r="BJ77" s="1" t="str">
        <f>IF(ISNUMBER(BH77)=TRUE,IF(_xlfn.RANK.EQ(BH77,$BH$2:$BH$111)&lt;='Tournament Setup'!$B$46,_xlfn.RANK.EQ(BH77,$BH$2:$BH$111),""),"")</f>
        <v/>
      </c>
      <c r="BK77" s="30" t="str">
        <f>IF(AND($F77='Tournament Setup'!$A$33,SUM($O77,$Q77,$S77)=0),$H77,"")</f>
        <v/>
      </c>
      <c r="BL77" s="47" t="str">
        <f>IF(ISNUMBER(BK77),IF(COUNTIFS(BL$1:BL76,_xlfn.RANK.EQ(BK77,BK$2:BK$111,0))&gt;0,_xlfn.MAXIFS(BL$1:BL76,BK$1:BK76,BK77)+1,_xlfn.RANK.EQ(BK77,BK$2:BK$111,0)),"")</f>
        <v/>
      </c>
      <c r="BM77" s="1" t="str">
        <f>IF(ISNUMBER(BK77)=TRUE,IF(_xlfn.RANK.EQ(BK77,$BK$2:$BK$111)&lt;='Tournament Setup'!$B$33,_xlfn.RANK.EQ(BK77,$BK$2:$BK$111),""),"")</f>
        <v/>
      </c>
      <c r="BN77" s="31" t="str">
        <f>IF(AND($F77='Tournament Setup'!$A$33,SUM($O77,$Q77)=0,$E77="M",$BM77&gt;'Tournament Setup'!$B$33),$H77,"")</f>
        <v/>
      </c>
      <c r="BO77" s="1" t="str">
        <f>IF(ISNUMBER(BN77)=TRUE,IF(_xlfn.RANK.EQ(BN77,$BN$2:$BN$111)&lt;='Tournament Setup'!$C$33,_xlfn.RANK.EQ(BN77,$BN$2:$BN$111),""),"")</f>
        <v/>
      </c>
      <c r="BP77" s="31" t="str">
        <f>IF(AND($F77='Tournament Setup'!$A$33,SUM($O77,$S77)=0,$E77="F",$BM77&gt;'Tournament Setup'!$B$33),$H77,"")</f>
        <v/>
      </c>
      <c r="BQ77" s="12" t="str">
        <f>IF(ISNUMBER(BP77)=TRUE,IF(_xlfn.RANK.EQ(BP77,$BP$2:$BP$111)&lt;='Tournament Setup'!$D$33,_xlfn.RANK.EQ(BP77,$BP$2:$BP$111),""),"")</f>
        <v/>
      </c>
      <c r="BR77" s="30" t="str">
        <f>IF($G77='Tournament Setup'!$A$38,$H77,"")</f>
        <v/>
      </c>
      <c r="BS77" s="47" t="str">
        <f>IF(ISNUMBER(BR77),IF(COUNTIFS(BS$1:BS76,_xlfn.RANK.EQ(BR77,BR$2:BR$111,0))&gt;0,_xlfn.MAXIFS(BS$1:BS76,BR$1:BR76,BR77)+1,_xlfn.RANK.EQ(BR77,BR$2:BR$111,0)),"")</f>
        <v/>
      </c>
      <c r="BT77" s="1" t="str">
        <f>IF(ISNUMBER(BR77)=TRUE,IF(_xlfn.RANK.EQ(BR77,$BR$2:$BR$111)&lt;='Tournament Setup'!$B$38,_xlfn.RANK.EQ(BR77,$BR$2:$BR$111),""),"")</f>
        <v/>
      </c>
      <c r="BU77" s="31" t="str">
        <f>IF(AND($G77='Tournament Setup'!$A$38,$E77="M",$BT77&gt;'Tournament Setup'!$B$38),$H77,"")</f>
        <v/>
      </c>
      <c r="BV77" s="1" t="str">
        <f>IF(ISNUMBER(BU77)=TRUE,IF(_xlfn.RANK.EQ(BU77,$BU$2:$BU$111)&lt;='Tournament Setup'!$C$38,_xlfn.RANK.EQ(BU77,$BU$2:$BU$111),""),"")</f>
        <v/>
      </c>
      <c r="BW77" s="31" t="str">
        <f>IF(AND($G77='Tournament Setup'!$A$38,$E77="F",$BT77&gt;'Tournament Setup'!$B$38),$H77,"")</f>
        <v/>
      </c>
      <c r="BX77" s="12" t="str">
        <f>IF(ISNUMBER(BW77)=TRUE,IF(_xlfn.RANK.EQ(BW77,$BW$2:$BW$111)&lt;='Tournament Setup'!$D$38,_xlfn.RANK.EQ(BW77,$BW$2:$BW$111),""),"")</f>
        <v/>
      </c>
      <c r="BY77" s="30" t="str">
        <f>IF($G77='Tournament Setup'!$A$39,$H77,"")</f>
        <v/>
      </c>
      <c r="BZ77" s="47" t="str">
        <f>IF(ISNUMBER(BY77),IF(COUNTIFS(BZ$1:BZ76,_xlfn.RANK.EQ(BY77,BY$2:BY$111,0))&gt;0,_xlfn.MAXIFS(BZ$1:BZ76,BY$1:BY76,BY77)+1,_xlfn.RANK.EQ(BY77,BY$2:BY$111,0)),"")</f>
        <v/>
      </c>
      <c r="CA77" s="1" t="str">
        <f>IF(ISNUMBER(BY77)=TRUE,IF(_xlfn.RANK.EQ(BY77,$BY$2:$BY$111)&lt;='Tournament Setup'!$B$39,_xlfn.RANK.EQ(BY77,$BY$2:$BY$111),""),"")</f>
        <v/>
      </c>
      <c r="CB77" s="31" t="str">
        <f>IF(AND($G77='Tournament Setup'!$A$39,$E77="M",$CA77&gt;'Tournament Setup'!$B$39),$H77,"")</f>
        <v/>
      </c>
      <c r="CC77" s="1" t="str">
        <f>IF(ISNUMBER(CB77)=TRUE,IF(_xlfn.RANK.EQ(CB77,$CB$2:$CB$111)&lt;='Tournament Setup'!$C$39,_xlfn.RANK.EQ(CB77,$CB$2:$CB$111),""),"")</f>
        <v/>
      </c>
      <c r="CD77" s="31" t="str">
        <f>IF(AND($G77='Tournament Setup'!$A$39,$E77="F",$CA77&gt;'Tournament Setup'!$B$39),$H77,"")</f>
        <v/>
      </c>
      <c r="CE77" s="12" t="str">
        <f>IF(ISNUMBER(CD77)=TRUE,IF(_xlfn.RANK.EQ(CD77,$CD$2:$CD$111)&lt;='Tournament Setup'!$D$39,_xlfn.RANK.EQ(CD77,$CD$2:$CD$111),""),"")</f>
        <v/>
      </c>
      <c r="CF77" s="30" t="str">
        <f>IF($G77='Tournament Setup'!$A$40,$H77,"")</f>
        <v/>
      </c>
      <c r="CG77" s="47" t="str">
        <f>IF(ISNUMBER(CF77),IF(COUNTIFS(CG$1:CG76,_xlfn.RANK.EQ(CF77,CF$2:CF$111,0))&gt;0,_xlfn.MAXIFS(CG$1:CG76,CF$1:CF76,CF77)+1,_xlfn.RANK.EQ(CF77,CF$2:CF$111,0)),"")</f>
        <v/>
      </c>
      <c r="CH77" s="1" t="str">
        <f>IF(ISNUMBER(CF77)=TRUE,IF(_xlfn.RANK.EQ(CF77,$CF$2:$CF$111)&lt;='Tournament Setup'!$B$40,_xlfn.RANK.EQ(CF77,$CF$2:$CF$111),""),"")</f>
        <v/>
      </c>
      <c r="CI77" s="31" t="str">
        <f>IF(AND($G77='Tournament Setup'!$A$40,$E77="M",$CH77&gt;'Tournament Setup'!$B$40),$H77,"")</f>
        <v/>
      </c>
      <c r="CJ77" s="1" t="str">
        <f>IF(ISNUMBER(CI77)=TRUE,IF(_xlfn.RANK.EQ(CI77,$CI$2:$CI$111)&lt;='Tournament Setup'!$C$40,_xlfn.RANK.EQ(CI77,$CI$2:$CI$111),""),"")</f>
        <v/>
      </c>
      <c r="CK77" s="31" t="str">
        <f>IF(AND($G77='Tournament Setup'!$A$40,$E77="F",$CH77&gt;'Tournament Setup'!$B$40),$H77,"")</f>
        <v/>
      </c>
      <c r="CL77" s="12" t="str">
        <f>IF(ISNUMBER(CK77)=TRUE,IF(_xlfn.RANK.EQ(CK77,$CK$2:$CK$111)&lt;='Tournament Setup'!$D$40,_xlfn.RANK.EQ(CK77,$CK$2:$CK$111),""),"")</f>
        <v/>
      </c>
      <c r="CM77" s="30" t="str">
        <f>IF($G77='Tournament Setup'!$A$41,$H77,"")</f>
        <v/>
      </c>
      <c r="CN77" s="47" t="str">
        <f>IF(ISNUMBER(CM77),IF(COUNTIFS(CN$1:CN76,_xlfn.RANK.EQ(CM77,CM$2:CM$111,0))&gt;0,_xlfn.MAXIFS(CN$1:CN76,CM$1:CM76,CM77)+1,_xlfn.RANK.EQ(CM77,CM$2:CM$111,0)),"")</f>
        <v/>
      </c>
      <c r="CO77" s="1" t="str">
        <f>IF(ISNUMBER(CM77)=TRUE,IF(_xlfn.RANK.EQ(CM77,$CM$2:$CM$111)&lt;='Tournament Setup'!$B$41,_xlfn.RANK.EQ(CM77,$CM$2:$CM$111),""),"")</f>
        <v/>
      </c>
      <c r="CP77" s="31" t="str">
        <f>IF(AND($G77='Tournament Setup'!$A$41,$E77="M",$CO77&gt;'Tournament Setup'!$B$41),$H77,"")</f>
        <v/>
      </c>
      <c r="CQ77" s="1" t="str">
        <f>IF(ISNUMBER(CP77)=TRUE,IF(_xlfn.RANK.EQ(CP77,$CP$2:$CP$111)&lt;='Tournament Setup'!$C$41,_xlfn.RANK.EQ(CP77,$CP$2:$CP$111),""),"")</f>
        <v/>
      </c>
      <c r="CR77" s="31" t="str">
        <f>IF(AND($G77='Tournament Setup'!$A$41,$E77="F",$CO77&gt;'Tournament Setup'!$B$41),$H77,"")</f>
        <v/>
      </c>
      <c r="CS77" s="12" t="str">
        <f>IF(ISNUMBER(CR77)=TRUE,IF(_xlfn.RANK.EQ(CR77,$CR$2:$CR$111)&lt;='Tournament Setup'!$D$41,_xlfn.RANK.EQ(CR77,$CR$2:$CR$111),""),"")</f>
        <v/>
      </c>
    </row>
    <row r="78" spans="2:97" x14ac:dyDescent="0.3">
      <c r="B78" t="str">
        <f>IFERROR(INDEX('Tournament List'!$B:$B,MATCH($A78,'Tournament List'!$A:$A,0)),"")</f>
        <v/>
      </c>
      <c r="C78" t="str">
        <f>IFERROR(INDEX('Tournament List'!$C:$C,MATCH($A78,'Tournament List'!$A:$A,0)),"")</f>
        <v/>
      </c>
      <c r="D78" t="str">
        <f t="shared" si="15"/>
        <v xml:space="preserve"> </v>
      </c>
      <c r="E78" s="1" t="str">
        <f>IFERROR(INDEX('Tournament List'!F:F,MATCH($A78,'Tournament List'!$A:$A,0)),"")</f>
        <v/>
      </c>
      <c r="F78" t="str">
        <f>IFERROR(INDEX('Tournament List'!M:M,MATCH($A78,'Tournament List'!$A:$A,0)),"")</f>
        <v/>
      </c>
      <c r="G78" s="1" t="str">
        <f>IFERROR(INDEX('Tournament List'!W:W,MATCH($A78,'Tournament List'!$A:$A,0)),"")</f>
        <v/>
      </c>
      <c r="H78" s="129" t="str">
        <f>IFERROR(INDEX('Tournament List'!Z:Z,MATCH($A78,'Tournament List'!$A:$A,0)),"")</f>
        <v/>
      </c>
      <c r="I78" s="152" t="str">
        <f>IFERROR(INDEX('Tournament List'!T:T,MATCH($A78,'Tournament List'!$A:$A,0)),"")</f>
        <v/>
      </c>
      <c r="J78" s="56" t="str">
        <f>IF(ISNUMBER(I78),IF(COUNTIFS(J$1:J77,_xlfn.RANK.EQ(I78,I$2:I$111,0))&gt;0,_xlfn.MAXIFS(J$1:J77,I$1:I77,I78)+1,_xlfn.RANK.EQ(I78,I$2:I$111,0)),"")</f>
        <v/>
      </c>
      <c r="K78" s="11" t="str">
        <f t="shared" si="16"/>
        <v/>
      </c>
      <c r="L78" s="56" t="str">
        <f>IF(ISNUMBER(H78),IF(COUNTIFS(L$1:L77,_xlfn.RANK.EQ(H78,H$2:H$111,0))&gt;0,_xlfn.MAXIFS(L$1:L77,H$1:H77,H78)+1,_xlfn.RANK.EQ(H78,H$2:H$111,0)),"")</f>
        <v/>
      </c>
      <c r="M78" s="151" t="str">
        <f t="shared" si="17"/>
        <v/>
      </c>
      <c r="N78" s="47" t="str">
        <f>IF(ISNUMBER(M78),IF(COUNTIFS(N$1:N77,_xlfn.RANK.EQ(M78,M$2:M$111,0))&gt;0,_xlfn.MAXIFS(N$1:N77,M$1:M77,M78)+1,_xlfn.RANK.EQ(M78,M$2:M$111,0)),"")</f>
        <v/>
      </c>
      <c r="O78" s="1" t="str">
        <f>IF(ISNUMBER(M78)=TRUE,IF(_xlfn.RANK.EQ(M78,$M$2:$M$111)&lt;='Tournament Setup'!$B$23,_xlfn.RANK.EQ(M78,$M$2:$M$111),""),"")</f>
        <v/>
      </c>
      <c r="P78" s="150" t="str">
        <f t="shared" si="18"/>
        <v/>
      </c>
      <c r="Q78" s="1" t="str">
        <f>IF(ISNUMBER(P78)=TRUE,IF(_xlfn.RANK.EQ(P78,$P$2:$P$111)&lt;='Tournament Setup'!$B$24,_xlfn.RANK.EQ(P78,$P$2:$P$111),""),"")</f>
        <v/>
      </c>
      <c r="R78" s="150" t="str">
        <f t="shared" si="19"/>
        <v/>
      </c>
      <c r="S78" s="12" t="str">
        <f>IF(ISNUMBER(R78)=TRUE,IF(_xlfn.RANK.EQ(R78,$R$2:$R$111)&lt;='Tournament Setup'!$B$25,_xlfn.RANK.EQ(R78,$R$2:$R$111),""),"")</f>
        <v/>
      </c>
      <c r="T78" s="152" t="str">
        <f>IF(AND($F78='Tournament Setup'!$A$29,$I78&lt;&gt;0),$I78,"")</f>
        <v/>
      </c>
      <c r="U78" s="47" t="str">
        <f>IF(ISNUMBER(T78),IF(COUNTIFS(U$1:U77,_xlfn.RANK.EQ(T78,T$2:T$111,0))&gt;0,_xlfn.MAXIFS(U$1:U77,T$1:T77,T78)+1,_xlfn.RANK.EQ(T78,T$2:T$111,0)),"")</f>
        <v/>
      </c>
      <c r="V78" s="1" t="str">
        <f>IF(ISNUMBER(T78)=TRUE,IF(_xlfn.RANK.EQ(T78,$T$3:$T$112)&lt;='Tournament Setup'!$B$46,_xlfn.RANK.EQ(T78,$T$2:$T$111),""),"")</f>
        <v/>
      </c>
      <c r="W78" s="30" t="str">
        <f>IF(AND($F78='Tournament Setup'!$A$29,SUM($O78,$Q78,$S78)=0),$H78,"")</f>
        <v/>
      </c>
      <c r="X78" s="47" t="str">
        <f>IF(ISNUMBER(W78),IF(COUNTIFS(X$1:X77,_xlfn.RANK.EQ(W78,W$2:W$111,0))&gt;0,_xlfn.MAXIFS(X$1:X77,W$1:W77,W78)+1,_xlfn.RANK.EQ(W78,W$2:W$111,0)),"")</f>
        <v/>
      </c>
      <c r="Y78" s="1" t="str">
        <f>IF(ISNUMBER(W78)=TRUE,IF(_xlfn.RANK.EQ(W78,$W$2:$W$111)&lt;='Tournament Setup'!$B$29,_xlfn.RANK.EQ(W78,$W$2:$W$111),""),"")</f>
        <v/>
      </c>
      <c r="Z78" s="31" t="str">
        <f>IF(AND($F78='Tournament Setup'!$A$29,SUM($O78,$Q78)=0,$E78="M",$Y78&gt;'Tournament Setup'!$B$29),$H78,"")</f>
        <v/>
      </c>
      <c r="AA78" s="1" t="str">
        <f>IF(ISNUMBER(Z78)=TRUE,IF(_xlfn.RANK.EQ(Z78,$Z$2:$Z$111)&lt;='Tournament Setup'!$C$29,_xlfn.RANK.EQ(Z78,$Z$2:$Z$111),""),"")</f>
        <v/>
      </c>
      <c r="AB78" s="31" t="str">
        <f>IF(AND($F78='Tournament Setup'!$A$29,SUM($O78,$S78)=0,$E78="F",$Y78&gt;'Tournament Setup'!$B$29),$H78,"")</f>
        <v/>
      </c>
      <c r="AC78" s="12" t="str">
        <f>IF(ISNUMBER(AB78)=TRUE,IF(_xlfn.RANK.EQ(AB78,$AB$2:$AB$111)&lt;='Tournament Setup'!$D$29,_xlfn.RANK.EQ(AB78,$AB$2:$AB$111),""),"")</f>
        <v/>
      </c>
      <c r="AD78" s="30" t="str">
        <f>IF(AND($F78='Tournament Setup'!$A$30,$I78&lt;&gt;0),$I78,"")</f>
        <v/>
      </c>
      <c r="AE78" s="47" t="str">
        <f>IF(ISNUMBER(AD78),IF(COUNTIFS(AE$1:AE77,_xlfn.RANK.EQ(AD78,AD$2:AD$111,0))&gt;0,_xlfn.MAXIFS(AE$1:AE77,AD$1:AD77,AD78)+1,_xlfn.RANK.EQ(AD78,AD$2:AD$111,0)),"")</f>
        <v/>
      </c>
      <c r="AF78" s="1" t="str">
        <f>IF(ISNUMBER(AD78)=TRUE,IF(_xlfn.RANK.EQ(AD78,$AD$2:$AD$111)&lt;='Tournament Setup'!$B$46,_xlfn.RANK.EQ(AD78,$AD$2:$AD$111),""),"")</f>
        <v/>
      </c>
      <c r="AG78" s="30" t="str">
        <f>IF(AND($F78='Tournament Setup'!$A$30,SUM($O78,$Q78,$S78)=0),$H78,"")</f>
        <v/>
      </c>
      <c r="AH78" s="47" t="str">
        <f>IF(ISNUMBER(AG78),IF(COUNTIFS(AH$1:AH77,_xlfn.RANK.EQ(AG78,AG$2:AG$111,0))&gt;0,_xlfn.MAXIFS(AH$1:AH77,AG$1:AG77,AG78)+1,_xlfn.RANK.EQ(AG78,AG$2:AG$111,0)),"")</f>
        <v/>
      </c>
      <c r="AI78" s="1" t="str">
        <f>IF(ISNUMBER(AG78)=TRUE,IF(_xlfn.RANK.EQ(AG78,$AG$2:$AG$111)&lt;='Tournament Setup'!$B$30,_xlfn.RANK.EQ(AG78,$AG$2:$AG$111),""),"")</f>
        <v/>
      </c>
      <c r="AJ78" s="31" t="str">
        <f>IF(AND($F78='Tournament Setup'!$A$30,SUM($O78,$Q78)=0,$E78="M",$AI78&gt;'Tournament Setup'!$B$30),$H78,"")</f>
        <v/>
      </c>
      <c r="AK78" s="1" t="str">
        <f>IF(ISNUMBER(AJ78)=TRUE,IF(_xlfn.RANK.EQ(AJ78,$AJ$2:$AJ$111)&lt;='Tournament Setup'!$C$30,_xlfn.RANK.EQ(AJ78,$AJ$2:$AJ$111),""),"")</f>
        <v/>
      </c>
      <c r="AL78" s="31" t="str">
        <f>IF(AND($F78='Tournament Setup'!$A$30,SUM($O78,$S78)=0,$E78="F",$AI78&gt;'Tournament Setup'!$B$30),$H78,"")</f>
        <v/>
      </c>
      <c r="AM78" s="12" t="str">
        <f>IF(ISNUMBER(AL78)=TRUE,IF(_xlfn.RANK.EQ(AL78,$AL$2:$AL$111)&lt;='Tournament Setup'!$D$30,_xlfn.RANK.EQ(AL78,$AL$2:$AL$111),""),"")</f>
        <v/>
      </c>
      <c r="AN78" s="30" t="str">
        <f>IF(AND($F78='Tournament Setup'!$A$31,$I78&lt;&gt;0),$I78,"")</f>
        <v/>
      </c>
      <c r="AO78" s="47" t="str">
        <f>IF(ISNUMBER(AN78),IF(COUNTIFS(AO$1:AO77,_xlfn.RANK.EQ(AN78,AN$2:AN$111,0))&gt;0,_xlfn.MAXIFS(AO$1:AO77,AN$1:AN77,AN78)+1,_xlfn.RANK.EQ(AN78,AN$2:AN$111,0)),"")</f>
        <v/>
      </c>
      <c r="AP78" s="1" t="str">
        <f>IF(ISNUMBER(AN78)=TRUE,IF(_xlfn.RANK.EQ(AN78,$AN$2:$AN$111)&lt;='Tournament Setup'!$B$46,_xlfn.RANK.EQ(AN78,$AN$2:$AN$111),""),"")</f>
        <v/>
      </c>
      <c r="AQ78" s="30" t="str">
        <f>IF(AND($F78='Tournament Setup'!$A$31,SUM($O78,$Q78,$S78)=0),$H78,"")</f>
        <v/>
      </c>
      <c r="AR78" s="47" t="str">
        <f>IF(ISNUMBER(AQ78),IF(COUNTIFS(AR$1:AR77,_xlfn.RANK.EQ(AQ78,AQ$2:AQ$111,0))&gt;0,_xlfn.MAXIFS(AR$1:AR77,AQ$1:AQ77,AQ78)+1,_xlfn.RANK.EQ(AQ78,AQ$2:AQ$111,0)),"")</f>
        <v/>
      </c>
      <c r="AS78" s="1" t="str">
        <f>IF(ISNUMBER(AQ78)=TRUE,IF(_xlfn.RANK.EQ(AQ78,$AQ$2:$AQ$111)&lt;='Tournament Setup'!$B$31,_xlfn.RANK.EQ(AQ78,$AQ$2:$AQ$111),""),"")</f>
        <v/>
      </c>
      <c r="AT78" s="31" t="str">
        <f>IF(AND($F78='Tournament Setup'!$A$31,SUM($O78,$Q78)=0,$E78="M",$AS78&gt;'Tournament Setup'!$B$31),$H78,"")</f>
        <v/>
      </c>
      <c r="AU78" s="1" t="str">
        <f>IF(ISNUMBER(AT78)=TRUE,IF(_xlfn.RANK.EQ(AT78,$AT$2:$AT$111)&lt;='Tournament Setup'!$C$31,_xlfn.RANK.EQ(AT78,$AT$2:$AT$111),""),"")</f>
        <v/>
      </c>
      <c r="AV78" s="31" t="str">
        <f>IF(AND($F78='Tournament Setup'!$A$31,SUM($O78,$S78)=0,$E78="F",$AS78&gt;'Tournament Setup'!$B$31),$H78,"")</f>
        <v/>
      </c>
      <c r="AW78" s="12" t="str">
        <f>IF(ISNUMBER(AV78)=TRUE,IF(_xlfn.RANK.EQ(AV78,$AV$2:$AV$111)&lt;='Tournament Setup'!$D$31,_xlfn.RANK.EQ(AV78,$AV$2:$AV$111),""),"")</f>
        <v/>
      </c>
      <c r="AX78" s="30" t="str">
        <f>IF(AND($F78='Tournament Setup'!$A$32,$I78&lt;&gt;0),$I78,"")</f>
        <v/>
      </c>
      <c r="AY78" s="47" t="str">
        <f>IF(ISNUMBER(AX78),IF(COUNTIFS(AY$1:AY77,_xlfn.RANK.EQ(AX78,AX$2:AX$111,0))&gt;0,_xlfn.MAXIFS(AY$1:AY77,AX$1:AX77,AX78)+1,_xlfn.RANK.EQ(AX78,AX$2:AX$111,0)),"")</f>
        <v/>
      </c>
      <c r="AZ78" s="1" t="str">
        <f>IF(ISNUMBER(AX78)=TRUE,IF(_xlfn.RANK.EQ(AX78,$AX$2:$AX$111)&lt;='Tournament Setup'!$B$46,_xlfn.RANK.EQ(AX78,$AX$2:$AX$111),""),"")</f>
        <v/>
      </c>
      <c r="BA78" s="30" t="str">
        <f>IF(AND($F78='Tournament Setup'!$A$32,SUM($O78,$Q78,$S78)=0),$H78,"")</f>
        <v/>
      </c>
      <c r="BB78" s="47" t="str">
        <f>IF(ISNUMBER(BA78),IF(COUNTIFS(BB$1:BB77,_xlfn.RANK.EQ(BA78,BA$2:BA$111,0))&gt;0,_xlfn.MAXIFS(BB$1:BB77,BA$1:BA77,BA78)+1,_xlfn.RANK.EQ(BA78,BA$2:BA$111,0)),"")</f>
        <v/>
      </c>
      <c r="BC78" s="1" t="str">
        <f>IF(ISNUMBER(BA78)=TRUE,IF(_xlfn.RANK.EQ(BA78,$BA$2:$BA$111)&lt;='Tournament Setup'!$B$32,_xlfn.RANK.EQ(BA78,$BA$2:$BA$111),""),"")</f>
        <v/>
      </c>
      <c r="BD78" s="31" t="str">
        <f>IF(AND($F78='Tournament Setup'!$A$32,SUM($O78,$Q78)=0,$E78="M",$BC78&gt;'Tournament Setup'!$B$32),$H78,"")</f>
        <v/>
      </c>
      <c r="BE78" s="1" t="str">
        <f>IF(ISNUMBER(BD78)=TRUE,IF(_xlfn.RANK.EQ(BD78,$BD$2:$BD$111)&lt;='Tournament Setup'!$C$32,_xlfn.RANK.EQ(BD78,$BD$2:$BD$111),""),"")</f>
        <v/>
      </c>
      <c r="BF78" s="31" t="str">
        <f>IF(AND($F78='Tournament Setup'!$A$32,SUM($O78,$S78)=0,$E78="F",$BC78&gt;'Tournament Setup'!$B$32),$H78,"")</f>
        <v/>
      </c>
      <c r="BG78" s="12" t="str">
        <f>IF(ISNUMBER(BF78)=TRUE,IF(_xlfn.RANK.EQ(BF78,$BF$2:$BF$111)&lt;='Tournament Setup'!$D$32,_xlfn.RANK.EQ(BF78,$BF$2:$BF$111),""),"")</f>
        <v/>
      </c>
      <c r="BH78" s="30" t="str">
        <f>IF(AND($F78='Tournament Setup'!$A$33,$I78&lt;&gt;0),$I78,"")</f>
        <v/>
      </c>
      <c r="BI78" s="47" t="str">
        <f>IF(ISNUMBER(BH78),IF(COUNTIFS(BI$1:BI77,_xlfn.RANK.EQ(BH78,BH$2:BH$111,0))&gt;0,_xlfn.MAXIFS(BI$1:BI77,BH$1:BH77,BH78)+1,_xlfn.RANK.EQ(BH78,BH$2:BH$111,0)),"")</f>
        <v/>
      </c>
      <c r="BJ78" s="1" t="str">
        <f>IF(ISNUMBER(BH78)=TRUE,IF(_xlfn.RANK.EQ(BH78,$BH$2:$BH$111)&lt;='Tournament Setup'!$B$46,_xlfn.RANK.EQ(BH78,$BH$2:$BH$111),""),"")</f>
        <v/>
      </c>
      <c r="BK78" s="30" t="str">
        <f>IF(AND($F78='Tournament Setup'!$A$33,SUM($O78,$Q78,$S78)=0),$H78,"")</f>
        <v/>
      </c>
      <c r="BL78" s="47" t="str">
        <f>IF(ISNUMBER(BK78),IF(COUNTIFS(BL$1:BL77,_xlfn.RANK.EQ(BK78,BK$2:BK$111,0))&gt;0,_xlfn.MAXIFS(BL$1:BL77,BK$1:BK77,BK78)+1,_xlfn.RANK.EQ(BK78,BK$2:BK$111,0)),"")</f>
        <v/>
      </c>
      <c r="BM78" s="1" t="str">
        <f>IF(ISNUMBER(BK78)=TRUE,IF(_xlfn.RANK.EQ(BK78,$BK$2:$BK$111)&lt;='Tournament Setup'!$B$33,_xlfn.RANK.EQ(BK78,$BK$2:$BK$111),""),"")</f>
        <v/>
      </c>
      <c r="BN78" s="31" t="str">
        <f>IF(AND($F78='Tournament Setup'!$A$33,SUM($O78,$Q78)=0,$E78="M",$BM78&gt;'Tournament Setup'!$B$33),$H78,"")</f>
        <v/>
      </c>
      <c r="BO78" s="1" t="str">
        <f>IF(ISNUMBER(BN78)=TRUE,IF(_xlfn.RANK.EQ(BN78,$BN$2:$BN$111)&lt;='Tournament Setup'!$C$33,_xlfn.RANK.EQ(BN78,$BN$2:$BN$111),""),"")</f>
        <v/>
      </c>
      <c r="BP78" s="31" t="str">
        <f>IF(AND($F78='Tournament Setup'!$A$33,SUM($O78,$S78)=0,$E78="F",$BM78&gt;'Tournament Setup'!$B$33),$H78,"")</f>
        <v/>
      </c>
      <c r="BQ78" s="12" t="str">
        <f>IF(ISNUMBER(BP78)=TRUE,IF(_xlfn.RANK.EQ(BP78,$BP$2:$BP$111)&lt;='Tournament Setup'!$D$33,_xlfn.RANK.EQ(BP78,$BP$2:$BP$111),""),"")</f>
        <v/>
      </c>
      <c r="BR78" s="30" t="str">
        <f>IF($G78='Tournament Setup'!$A$38,$H78,"")</f>
        <v/>
      </c>
      <c r="BS78" s="47" t="str">
        <f>IF(ISNUMBER(BR78),IF(COUNTIFS(BS$1:BS77,_xlfn.RANK.EQ(BR78,BR$2:BR$111,0))&gt;0,_xlfn.MAXIFS(BS$1:BS77,BR$1:BR77,BR78)+1,_xlfn.RANK.EQ(BR78,BR$2:BR$111,0)),"")</f>
        <v/>
      </c>
      <c r="BT78" s="1" t="str">
        <f>IF(ISNUMBER(BR78)=TRUE,IF(_xlfn.RANK.EQ(BR78,$BR$2:$BR$111)&lt;='Tournament Setup'!$B$38,_xlfn.RANK.EQ(BR78,$BR$2:$BR$111),""),"")</f>
        <v/>
      </c>
      <c r="BU78" s="31" t="str">
        <f>IF(AND($G78='Tournament Setup'!$A$38,$E78="M",$BT78&gt;'Tournament Setup'!$B$38),$H78,"")</f>
        <v/>
      </c>
      <c r="BV78" s="1" t="str">
        <f>IF(ISNUMBER(BU78)=TRUE,IF(_xlfn.RANK.EQ(BU78,$BU$2:$BU$111)&lt;='Tournament Setup'!$C$38,_xlfn.RANK.EQ(BU78,$BU$2:$BU$111),""),"")</f>
        <v/>
      </c>
      <c r="BW78" s="31" t="str">
        <f>IF(AND($G78='Tournament Setup'!$A$38,$E78="F",$BT78&gt;'Tournament Setup'!$B$38),$H78,"")</f>
        <v/>
      </c>
      <c r="BX78" s="12" t="str">
        <f>IF(ISNUMBER(BW78)=TRUE,IF(_xlfn.RANK.EQ(BW78,$BW$2:$BW$111)&lt;='Tournament Setup'!$D$38,_xlfn.RANK.EQ(BW78,$BW$2:$BW$111),""),"")</f>
        <v/>
      </c>
      <c r="BY78" s="30" t="str">
        <f>IF($G78='Tournament Setup'!$A$39,$H78,"")</f>
        <v/>
      </c>
      <c r="BZ78" s="47" t="str">
        <f>IF(ISNUMBER(BY78),IF(COUNTIFS(BZ$1:BZ77,_xlfn.RANK.EQ(BY78,BY$2:BY$111,0))&gt;0,_xlfn.MAXIFS(BZ$1:BZ77,BY$1:BY77,BY78)+1,_xlfn.RANK.EQ(BY78,BY$2:BY$111,0)),"")</f>
        <v/>
      </c>
      <c r="CA78" s="1" t="str">
        <f>IF(ISNUMBER(BY78)=TRUE,IF(_xlfn.RANK.EQ(BY78,$BY$2:$BY$111)&lt;='Tournament Setup'!$B$39,_xlfn.RANK.EQ(BY78,$BY$2:$BY$111),""),"")</f>
        <v/>
      </c>
      <c r="CB78" s="31" t="str">
        <f>IF(AND($G78='Tournament Setup'!$A$39,$E78="M",$CA78&gt;'Tournament Setup'!$B$39),$H78,"")</f>
        <v/>
      </c>
      <c r="CC78" s="1" t="str">
        <f>IF(ISNUMBER(CB78)=TRUE,IF(_xlfn.RANK.EQ(CB78,$CB$2:$CB$111)&lt;='Tournament Setup'!$C$39,_xlfn.RANK.EQ(CB78,$CB$2:$CB$111),""),"")</f>
        <v/>
      </c>
      <c r="CD78" s="31" t="str">
        <f>IF(AND($G78='Tournament Setup'!$A$39,$E78="F",$CA78&gt;'Tournament Setup'!$B$39),$H78,"")</f>
        <v/>
      </c>
      <c r="CE78" s="12" t="str">
        <f>IF(ISNUMBER(CD78)=TRUE,IF(_xlfn.RANK.EQ(CD78,$CD$2:$CD$111)&lt;='Tournament Setup'!$D$39,_xlfn.RANK.EQ(CD78,$CD$2:$CD$111),""),"")</f>
        <v/>
      </c>
      <c r="CF78" s="30" t="str">
        <f>IF($G78='Tournament Setup'!$A$40,$H78,"")</f>
        <v/>
      </c>
      <c r="CG78" s="47" t="str">
        <f>IF(ISNUMBER(CF78),IF(COUNTIFS(CG$1:CG77,_xlfn.RANK.EQ(CF78,CF$2:CF$111,0))&gt;0,_xlfn.MAXIFS(CG$1:CG77,CF$1:CF77,CF78)+1,_xlfn.RANK.EQ(CF78,CF$2:CF$111,0)),"")</f>
        <v/>
      </c>
      <c r="CH78" s="1" t="str">
        <f>IF(ISNUMBER(CF78)=TRUE,IF(_xlfn.RANK.EQ(CF78,$CF$2:$CF$111)&lt;='Tournament Setup'!$B$40,_xlfn.RANK.EQ(CF78,$CF$2:$CF$111),""),"")</f>
        <v/>
      </c>
      <c r="CI78" s="31" t="str">
        <f>IF(AND($G78='Tournament Setup'!$A$40,$E78="M",$CH78&gt;'Tournament Setup'!$B$40),$H78,"")</f>
        <v/>
      </c>
      <c r="CJ78" s="1" t="str">
        <f>IF(ISNUMBER(CI78)=TRUE,IF(_xlfn.RANK.EQ(CI78,$CI$2:$CI$111)&lt;='Tournament Setup'!$C$40,_xlfn.RANK.EQ(CI78,$CI$2:$CI$111),""),"")</f>
        <v/>
      </c>
      <c r="CK78" s="31" t="str">
        <f>IF(AND($G78='Tournament Setup'!$A$40,$E78="F",$CH78&gt;'Tournament Setup'!$B$40),$H78,"")</f>
        <v/>
      </c>
      <c r="CL78" s="12" t="str">
        <f>IF(ISNUMBER(CK78)=TRUE,IF(_xlfn.RANK.EQ(CK78,$CK$2:$CK$111)&lt;='Tournament Setup'!$D$40,_xlfn.RANK.EQ(CK78,$CK$2:$CK$111),""),"")</f>
        <v/>
      </c>
      <c r="CM78" s="30" t="str">
        <f>IF($G78='Tournament Setup'!$A$41,$H78,"")</f>
        <v/>
      </c>
      <c r="CN78" s="47" t="str">
        <f>IF(ISNUMBER(CM78),IF(COUNTIFS(CN$1:CN77,_xlfn.RANK.EQ(CM78,CM$2:CM$111,0))&gt;0,_xlfn.MAXIFS(CN$1:CN77,CM$1:CM77,CM78)+1,_xlfn.RANK.EQ(CM78,CM$2:CM$111,0)),"")</f>
        <v/>
      </c>
      <c r="CO78" s="1" t="str">
        <f>IF(ISNUMBER(CM78)=TRUE,IF(_xlfn.RANK.EQ(CM78,$CM$2:$CM$111)&lt;='Tournament Setup'!$B$41,_xlfn.RANK.EQ(CM78,$CM$2:$CM$111),""),"")</f>
        <v/>
      </c>
      <c r="CP78" s="31" t="str">
        <f>IF(AND($G78='Tournament Setup'!$A$41,$E78="M",$CO78&gt;'Tournament Setup'!$B$41),$H78,"")</f>
        <v/>
      </c>
      <c r="CQ78" s="1" t="str">
        <f>IF(ISNUMBER(CP78)=TRUE,IF(_xlfn.RANK.EQ(CP78,$CP$2:$CP$111)&lt;='Tournament Setup'!$C$41,_xlfn.RANK.EQ(CP78,$CP$2:$CP$111),""),"")</f>
        <v/>
      </c>
      <c r="CR78" s="31" t="str">
        <f>IF(AND($G78='Tournament Setup'!$A$41,$E78="F",$CO78&gt;'Tournament Setup'!$B$41),$H78,"")</f>
        <v/>
      </c>
      <c r="CS78" s="12" t="str">
        <f>IF(ISNUMBER(CR78)=TRUE,IF(_xlfn.RANK.EQ(CR78,$CR$2:$CR$111)&lt;='Tournament Setup'!$D$41,_xlfn.RANK.EQ(CR78,$CR$2:$CR$111),""),"")</f>
        <v/>
      </c>
    </row>
    <row r="79" spans="2:97" x14ac:dyDescent="0.3">
      <c r="B79" t="str">
        <f>IFERROR(INDEX('Tournament List'!$B:$B,MATCH($A79,'Tournament List'!$A:$A,0)),"")</f>
        <v/>
      </c>
      <c r="C79" t="str">
        <f>IFERROR(INDEX('Tournament List'!$C:$C,MATCH($A79,'Tournament List'!$A:$A,0)),"")</f>
        <v/>
      </c>
      <c r="D79" t="str">
        <f t="shared" si="15"/>
        <v xml:space="preserve"> </v>
      </c>
      <c r="E79" s="1" t="str">
        <f>IFERROR(INDEX('Tournament List'!F:F,MATCH($A79,'Tournament List'!$A:$A,0)),"")</f>
        <v/>
      </c>
      <c r="F79" t="str">
        <f>IFERROR(INDEX('Tournament List'!M:M,MATCH($A79,'Tournament List'!$A:$A,0)),"")</f>
        <v/>
      </c>
      <c r="G79" s="1" t="str">
        <f>IFERROR(INDEX('Tournament List'!W:W,MATCH($A79,'Tournament List'!$A:$A,0)),"")</f>
        <v/>
      </c>
      <c r="H79" s="129" t="str">
        <f>IFERROR(INDEX('Tournament List'!Z:Z,MATCH($A79,'Tournament List'!$A:$A,0)),"")</f>
        <v/>
      </c>
      <c r="I79" s="152" t="str">
        <f>IFERROR(INDEX('Tournament List'!T:T,MATCH($A79,'Tournament List'!$A:$A,0)),"")</f>
        <v/>
      </c>
      <c r="J79" s="56" t="str">
        <f>IF(ISNUMBER(I79),IF(COUNTIFS(J$1:J78,_xlfn.RANK.EQ(I79,I$2:I$111,0))&gt;0,_xlfn.MAXIFS(J$1:J78,I$1:I78,I79)+1,_xlfn.RANK.EQ(I79,I$2:I$111,0)),"")</f>
        <v/>
      </c>
      <c r="K79" s="11" t="str">
        <f t="shared" si="16"/>
        <v/>
      </c>
      <c r="L79" s="56" t="str">
        <f>IF(ISNUMBER(H79),IF(COUNTIFS(L$1:L78,_xlfn.RANK.EQ(H79,H$2:H$111,0))&gt;0,_xlfn.MAXIFS(L$1:L78,H$1:H78,H79)+1,_xlfn.RANK.EQ(H79,H$2:H$111,0)),"")</f>
        <v/>
      </c>
      <c r="M79" s="151" t="str">
        <f t="shared" si="17"/>
        <v/>
      </c>
      <c r="N79" s="47" t="str">
        <f>IF(ISNUMBER(M79),IF(COUNTIFS(N$1:N78,_xlfn.RANK.EQ(M79,M$2:M$111,0))&gt;0,_xlfn.MAXIFS(N$1:N78,M$1:M78,M79)+1,_xlfn.RANK.EQ(M79,M$2:M$111,0)),"")</f>
        <v/>
      </c>
      <c r="O79" s="1" t="str">
        <f>IF(ISNUMBER(M79)=TRUE,IF(_xlfn.RANK.EQ(M79,$M$2:$M$111)&lt;='Tournament Setup'!$B$23,_xlfn.RANK.EQ(M79,$M$2:$M$111),""),"")</f>
        <v/>
      </c>
      <c r="P79" s="150" t="str">
        <f t="shared" si="18"/>
        <v/>
      </c>
      <c r="Q79" s="1" t="str">
        <f>IF(ISNUMBER(P79)=TRUE,IF(_xlfn.RANK.EQ(P79,$P$2:$P$111)&lt;='Tournament Setup'!$B$24,_xlfn.RANK.EQ(P79,$P$2:$P$111),""),"")</f>
        <v/>
      </c>
      <c r="R79" s="150" t="str">
        <f t="shared" si="19"/>
        <v/>
      </c>
      <c r="S79" s="12" t="str">
        <f>IF(ISNUMBER(R79)=TRUE,IF(_xlfn.RANK.EQ(R79,$R$2:$R$111)&lt;='Tournament Setup'!$B$25,_xlfn.RANK.EQ(R79,$R$2:$R$111),""),"")</f>
        <v/>
      </c>
      <c r="T79" s="152" t="str">
        <f>IF(AND($F79='Tournament Setup'!$A$29,$I79&lt;&gt;0),$I79,"")</f>
        <v/>
      </c>
      <c r="U79" s="47" t="str">
        <f>IF(ISNUMBER(T79),IF(COUNTIFS(U$1:U78,_xlfn.RANK.EQ(T79,T$2:T$111,0))&gt;0,_xlfn.MAXIFS(U$1:U78,T$1:T78,T79)+1,_xlfn.RANK.EQ(T79,T$2:T$111,0)),"")</f>
        <v/>
      </c>
      <c r="V79" s="1" t="str">
        <f>IF(ISNUMBER(T79)=TRUE,IF(_xlfn.RANK.EQ(T79,$T$3:$T$112)&lt;='Tournament Setup'!$B$46,_xlfn.RANK.EQ(T79,$T$2:$T$111),""),"")</f>
        <v/>
      </c>
      <c r="W79" s="30" t="str">
        <f>IF(AND($F79='Tournament Setup'!$A$29,SUM($O79,$Q79,$S79)=0),$H79,"")</f>
        <v/>
      </c>
      <c r="X79" s="47" t="str">
        <f>IF(ISNUMBER(W79),IF(COUNTIFS(X$1:X78,_xlfn.RANK.EQ(W79,W$2:W$111,0))&gt;0,_xlfn.MAXIFS(X$1:X78,W$1:W78,W79)+1,_xlfn.RANK.EQ(W79,W$2:W$111,0)),"")</f>
        <v/>
      </c>
      <c r="Y79" s="1" t="str">
        <f>IF(ISNUMBER(W79)=TRUE,IF(_xlfn.RANK.EQ(W79,$W$2:$W$111)&lt;='Tournament Setup'!$B$29,_xlfn.RANK.EQ(W79,$W$2:$W$111),""),"")</f>
        <v/>
      </c>
      <c r="Z79" s="31" t="str">
        <f>IF(AND($F79='Tournament Setup'!$A$29,SUM($O79,$Q79)=0,$E79="M",$Y79&gt;'Tournament Setup'!$B$29),$H79,"")</f>
        <v/>
      </c>
      <c r="AA79" s="1" t="str">
        <f>IF(ISNUMBER(Z79)=TRUE,IF(_xlfn.RANK.EQ(Z79,$Z$2:$Z$111)&lt;='Tournament Setup'!$C$29,_xlfn.RANK.EQ(Z79,$Z$2:$Z$111),""),"")</f>
        <v/>
      </c>
      <c r="AB79" s="31" t="str">
        <f>IF(AND($F79='Tournament Setup'!$A$29,SUM($O79,$S79)=0,$E79="F",$Y79&gt;'Tournament Setup'!$B$29),$H79,"")</f>
        <v/>
      </c>
      <c r="AC79" s="12" t="str">
        <f>IF(ISNUMBER(AB79)=TRUE,IF(_xlfn.RANK.EQ(AB79,$AB$2:$AB$111)&lt;='Tournament Setup'!$D$29,_xlfn.RANK.EQ(AB79,$AB$2:$AB$111),""),"")</f>
        <v/>
      </c>
      <c r="AD79" s="30" t="str">
        <f>IF(AND($F79='Tournament Setup'!$A$30,$I79&lt;&gt;0),$I79,"")</f>
        <v/>
      </c>
      <c r="AE79" s="47" t="str">
        <f>IF(ISNUMBER(AD79),IF(COUNTIFS(AE$1:AE78,_xlfn.RANK.EQ(AD79,AD$2:AD$111,0))&gt;0,_xlfn.MAXIFS(AE$1:AE78,AD$1:AD78,AD79)+1,_xlfn.RANK.EQ(AD79,AD$2:AD$111,0)),"")</f>
        <v/>
      </c>
      <c r="AF79" s="1" t="str">
        <f>IF(ISNUMBER(AD79)=TRUE,IF(_xlfn.RANK.EQ(AD79,$AD$2:$AD$111)&lt;='Tournament Setup'!$B$46,_xlfn.RANK.EQ(AD79,$AD$2:$AD$111),""),"")</f>
        <v/>
      </c>
      <c r="AG79" s="30" t="str">
        <f>IF(AND($F79='Tournament Setup'!$A$30,SUM($O79,$Q79,$S79)=0),$H79,"")</f>
        <v/>
      </c>
      <c r="AH79" s="47" t="str">
        <f>IF(ISNUMBER(AG79),IF(COUNTIFS(AH$1:AH78,_xlfn.RANK.EQ(AG79,AG$2:AG$111,0))&gt;0,_xlfn.MAXIFS(AH$1:AH78,AG$1:AG78,AG79)+1,_xlfn.RANK.EQ(AG79,AG$2:AG$111,0)),"")</f>
        <v/>
      </c>
      <c r="AI79" s="1" t="str">
        <f>IF(ISNUMBER(AG79)=TRUE,IF(_xlfn.RANK.EQ(AG79,$AG$2:$AG$111)&lt;='Tournament Setup'!$B$30,_xlfn.RANK.EQ(AG79,$AG$2:$AG$111),""),"")</f>
        <v/>
      </c>
      <c r="AJ79" s="31" t="str">
        <f>IF(AND($F79='Tournament Setup'!$A$30,SUM($O79,$Q79)=0,$E79="M",$AI79&gt;'Tournament Setup'!$B$30),$H79,"")</f>
        <v/>
      </c>
      <c r="AK79" s="1" t="str">
        <f>IF(ISNUMBER(AJ79)=TRUE,IF(_xlfn.RANK.EQ(AJ79,$AJ$2:$AJ$111)&lt;='Tournament Setup'!$C$30,_xlfn.RANK.EQ(AJ79,$AJ$2:$AJ$111),""),"")</f>
        <v/>
      </c>
      <c r="AL79" s="31" t="str">
        <f>IF(AND($F79='Tournament Setup'!$A$30,SUM($O79,$S79)=0,$E79="F",$AI79&gt;'Tournament Setup'!$B$30),$H79,"")</f>
        <v/>
      </c>
      <c r="AM79" s="12" t="str">
        <f>IF(ISNUMBER(AL79)=TRUE,IF(_xlfn.RANK.EQ(AL79,$AL$2:$AL$111)&lt;='Tournament Setup'!$D$30,_xlfn.RANK.EQ(AL79,$AL$2:$AL$111),""),"")</f>
        <v/>
      </c>
      <c r="AN79" s="30" t="str">
        <f>IF(AND($F79='Tournament Setup'!$A$31,$I79&lt;&gt;0),$I79,"")</f>
        <v/>
      </c>
      <c r="AO79" s="47" t="str">
        <f>IF(ISNUMBER(AN79),IF(COUNTIFS(AO$1:AO78,_xlfn.RANK.EQ(AN79,AN$2:AN$111,0))&gt;0,_xlfn.MAXIFS(AO$1:AO78,AN$1:AN78,AN79)+1,_xlfn.RANK.EQ(AN79,AN$2:AN$111,0)),"")</f>
        <v/>
      </c>
      <c r="AP79" s="1" t="str">
        <f>IF(ISNUMBER(AN79)=TRUE,IF(_xlfn.RANK.EQ(AN79,$AN$2:$AN$111)&lt;='Tournament Setup'!$B$46,_xlfn.RANK.EQ(AN79,$AN$2:$AN$111),""),"")</f>
        <v/>
      </c>
      <c r="AQ79" s="30" t="str">
        <f>IF(AND($F79='Tournament Setup'!$A$31,SUM($O79,$Q79,$S79)=0),$H79,"")</f>
        <v/>
      </c>
      <c r="AR79" s="47" t="str">
        <f>IF(ISNUMBER(AQ79),IF(COUNTIFS(AR$1:AR78,_xlfn.RANK.EQ(AQ79,AQ$2:AQ$111,0))&gt;0,_xlfn.MAXIFS(AR$1:AR78,AQ$1:AQ78,AQ79)+1,_xlfn.RANK.EQ(AQ79,AQ$2:AQ$111,0)),"")</f>
        <v/>
      </c>
      <c r="AS79" s="1" t="str">
        <f>IF(ISNUMBER(AQ79)=TRUE,IF(_xlfn.RANK.EQ(AQ79,$AQ$2:$AQ$111)&lt;='Tournament Setup'!$B$31,_xlfn.RANK.EQ(AQ79,$AQ$2:$AQ$111),""),"")</f>
        <v/>
      </c>
      <c r="AT79" s="31" t="str">
        <f>IF(AND($F79='Tournament Setup'!$A$31,SUM($O79,$Q79)=0,$E79="M",$AS79&gt;'Tournament Setup'!$B$31),$H79,"")</f>
        <v/>
      </c>
      <c r="AU79" s="1" t="str">
        <f>IF(ISNUMBER(AT79)=TRUE,IF(_xlfn.RANK.EQ(AT79,$AT$2:$AT$111)&lt;='Tournament Setup'!$C$31,_xlfn.RANK.EQ(AT79,$AT$2:$AT$111),""),"")</f>
        <v/>
      </c>
      <c r="AV79" s="31" t="str">
        <f>IF(AND($F79='Tournament Setup'!$A$31,SUM($O79,$S79)=0,$E79="F",$AS79&gt;'Tournament Setup'!$B$31),$H79,"")</f>
        <v/>
      </c>
      <c r="AW79" s="12" t="str">
        <f>IF(ISNUMBER(AV79)=TRUE,IF(_xlfn.RANK.EQ(AV79,$AV$2:$AV$111)&lt;='Tournament Setup'!$D$31,_xlfn.RANK.EQ(AV79,$AV$2:$AV$111),""),"")</f>
        <v/>
      </c>
      <c r="AX79" s="30" t="str">
        <f>IF(AND($F79='Tournament Setup'!$A$32,$I79&lt;&gt;0),$I79,"")</f>
        <v/>
      </c>
      <c r="AY79" s="47" t="str">
        <f>IF(ISNUMBER(AX79),IF(COUNTIFS(AY$1:AY78,_xlfn.RANK.EQ(AX79,AX$2:AX$111,0))&gt;0,_xlfn.MAXIFS(AY$1:AY78,AX$1:AX78,AX79)+1,_xlfn.RANK.EQ(AX79,AX$2:AX$111,0)),"")</f>
        <v/>
      </c>
      <c r="AZ79" s="1" t="str">
        <f>IF(ISNUMBER(AX79)=TRUE,IF(_xlfn.RANK.EQ(AX79,$AX$2:$AX$111)&lt;='Tournament Setup'!$B$46,_xlfn.RANK.EQ(AX79,$AX$2:$AX$111),""),"")</f>
        <v/>
      </c>
      <c r="BA79" s="30" t="str">
        <f>IF(AND($F79='Tournament Setup'!$A$32,SUM($O79,$Q79,$S79)=0),$H79,"")</f>
        <v/>
      </c>
      <c r="BB79" s="47" t="str">
        <f>IF(ISNUMBER(BA79),IF(COUNTIFS(BB$1:BB78,_xlfn.RANK.EQ(BA79,BA$2:BA$111,0))&gt;0,_xlfn.MAXIFS(BB$1:BB78,BA$1:BA78,BA79)+1,_xlfn.RANK.EQ(BA79,BA$2:BA$111,0)),"")</f>
        <v/>
      </c>
      <c r="BC79" s="1" t="str">
        <f>IF(ISNUMBER(BA79)=TRUE,IF(_xlfn.RANK.EQ(BA79,$BA$2:$BA$111)&lt;='Tournament Setup'!$B$32,_xlfn.RANK.EQ(BA79,$BA$2:$BA$111),""),"")</f>
        <v/>
      </c>
      <c r="BD79" s="31" t="str">
        <f>IF(AND($F79='Tournament Setup'!$A$32,SUM($O79,$Q79)=0,$E79="M",$BC79&gt;'Tournament Setup'!$B$32),$H79,"")</f>
        <v/>
      </c>
      <c r="BE79" s="1" t="str">
        <f>IF(ISNUMBER(BD79)=TRUE,IF(_xlfn.RANK.EQ(BD79,$BD$2:$BD$111)&lt;='Tournament Setup'!$C$32,_xlfn.RANK.EQ(BD79,$BD$2:$BD$111),""),"")</f>
        <v/>
      </c>
      <c r="BF79" s="31" t="str">
        <f>IF(AND($F79='Tournament Setup'!$A$32,SUM($O79,$S79)=0,$E79="F",$BC79&gt;'Tournament Setup'!$B$32),$H79,"")</f>
        <v/>
      </c>
      <c r="BG79" s="12" t="str">
        <f>IF(ISNUMBER(BF79)=TRUE,IF(_xlfn.RANK.EQ(BF79,$BF$2:$BF$111)&lt;='Tournament Setup'!$D$32,_xlfn.RANK.EQ(BF79,$BF$2:$BF$111),""),"")</f>
        <v/>
      </c>
      <c r="BH79" s="30" t="str">
        <f>IF(AND($F79='Tournament Setup'!$A$33,$I79&lt;&gt;0),$I79,"")</f>
        <v/>
      </c>
      <c r="BI79" s="47" t="str">
        <f>IF(ISNUMBER(BH79),IF(COUNTIFS(BI$1:BI78,_xlfn.RANK.EQ(BH79,BH$2:BH$111,0))&gt;0,_xlfn.MAXIFS(BI$1:BI78,BH$1:BH78,BH79)+1,_xlfn.RANK.EQ(BH79,BH$2:BH$111,0)),"")</f>
        <v/>
      </c>
      <c r="BJ79" s="1" t="str">
        <f>IF(ISNUMBER(BH79)=TRUE,IF(_xlfn.RANK.EQ(BH79,$BH$2:$BH$111)&lt;='Tournament Setup'!$B$46,_xlfn.RANK.EQ(BH79,$BH$2:$BH$111),""),"")</f>
        <v/>
      </c>
      <c r="BK79" s="30" t="str">
        <f>IF(AND($F79='Tournament Setup'!$A$33,SUM($O79,$Q79,$S79)=0),$H79,"")</f>
        <v/>
      </c>
      <c r="BL79" s="47" t="str">
        <f>IF(ISNUMBER(BK79),IF(COUNTIFS(BL$1:BL78,_xlfn.RANK.EQ(BK79,BK$2:BK$111,0))&gt;0,_xlfn.MAXIFS(BL$1:BL78,BK$1:BK78,BK79)+1,_xlfn.RANK.EQ(BK79,BK$2:BK$111,0)),"")</f>
        <v/>
      </c>
      <c r="BM79" s="1" t="str">
        <f>IF(ISNUMBER(BK79)=TRUE,IF(_xlfn.RANK.EQ(BK79,$BK$2:$BK$111)&lt;='Tournament Setup'!$B$33,_xlfn.RANK.EQ(BK79,$BK$2:$BK$111),""),"")</f>
        <v/>
      </c>
      <c r="BN79" s="31" t="str">
        <f>IF(AND($F79='Tournament Setup'!$A$33,SUM($O79,$Q79)=0,$E79="M",$BM79&gt;'Tournament Setup'!$B$33),$H79,"")</f>
        <v/>
      </c>
      <c r="BO79" s="1" t="str">
        <f>IF(ISNUMBER(BN79)=TRUE,IF(_xlfn.RANK.EQ(BN79,$BN$2:$BN$111)&lt;='Tournament Setup'!$C$33,_xlfn.RANK.EQ(BN79,$BN$2:$BN$111),""),"")</f>
        <v/>
      </c>
      <c r="BP79" s="31" t="str">
        <f>IF(AND($F79='Tournament Setup'!$A$33,SUM($O79,$S79)=0,$E79="F",$BM79&gt;'Tournament Setup'!$B$33),$H79,"")</f>
        <v/>
      </c>
      <c r="BQ79" s="12" t="str">
        <f>IF(ISNUMBER(BP79)=TRUE,IF(_xlfn.RANK.EQ(BP79,$BP$2:$BP$111)&lt;='Tournament Setup'!$D$33,_xlfn.RANK.EQ(BP79,$BP$2:$BP$111),""),"")</f>
        <v/>
      </c>
      <c r="BR79" s="30" t="str">
        <f>IF($G79='Tournament Setup'!$A$38,$H79,"")</f>
        <v/>
      </c>
      <c r="BS79" s="47" t="str">
        <f>IF(ISNUMBER(BR79),IF(COUNTIFS(BS$1:BS78,_xlfn.RANK.EQ(BR79,BR$2:BR$111,0))&gt;0,_xlfn.MAXIFS(BS$1:BS78,BR$1:BR78,BR79)+1,_xlfn.RANK.EQ(BR79,BR$2:BR$111,0)),"")</f>
        <v/>
      </c>
      <c r="BT79" s="1" t="str">
        <f>IF(ISNUMBER(BR79)=TRUE,IF(_xlfn.RANK.EQ(BR79,$BR$2:$BR$111)&lt;='Tournament Setup'!$B$38,_xlfn.RANK.EQ(BR79,$BR$2:$BR$111),""),"")</f>
        <v/>
      </c>
      <c r="BU79" s="31" t="str">
        <f>IF(AND($G79='Tournament Setup'!$A$38,$E79="M",$BT79&gt;'Tournament Setup'!$B$38),$H79,"")</f>
        <v/>
      </c>
      <c r="BV79" s="1" t="str">
        <f>IF(ISNUMBER(BU79)=TRUE,IF(_xlfn.RANK.EQ(BU79,$BU$2:$BU$111)&lt;='Tournament Setup'!$C$38,_xlfn.RANK.EQ(BU79,$BU$2:$BU$111),""),"")</f>
        <v/>
      </c>
      <c r="BW79" s="31" t="str">
        <f>IF(AND($G79='Tournament Setup'!$A$38,$E79="F",$BT79&gt;'Tournament Setup'!$B$38),$H79,"")</f>
        <v/>
      </c>
      <c r="BX79" s="12" t="str">
        <f>IF(ISNUMBER(BW79)=TRUE,IF(_xlfn.RANK.EQ(BW79,$BW$2:$BW$111)&lt;='Tournament Setup'!$D$38,_xlfn.RANK.EQ(BW79,$BW$2:$BW$111),""),"")</f>
        <v/>
      </c>
      <c r="BY79" s="30" t="str">
        <f>IF($G79='Tournament Setup'!$A$39,$H79,"")</f>
        <v/>
      </c>
      <c r="BZ79" s="47" t="str">
        <f>IF(ISNUMBER(BY79),IF(COUNTIFS(BZ$1:BZ78,_xlfn.RANK.EQ(BY79,BY$2:BY$111,0))&gt;0,_xlfn.MAXIFS(BZ$1:BZ78,BY$1:BY78,BY79)+1,_xlfn.RANK.EQ(BY79,BY$2:BY$111,0)),"")</f>
        <v/>
      </c>
      <c r="CA79" s="1" t="str">
        <f>IF(ISNUMBER(BY79)=TRUE,IF(_xlfn.RANK.EQ(BY79,$BY$2:$BY$111)&lt;='Tournament Setup'!$B$39,_xlfn.RANK.EQ(BY79,$BY$2:$BY$111),""),"")</f>
        <v/>
      </c>
      <c r="CB79" s="31" t="str">
        <f>IF(AND($G79='Tournament Setup'!$A$39,$E79="M",$CA79&gt;'Tournament Setup'!$B$39),$H79,"")</f>
        <v/>
      </c>
      <c r="CC79" s="1" t="str">
        <f>IF(ISNUMBER(CB79)=TRUE,IF(_xlfn.RANK.EQ(CB79,$CB$2:$CB$111)&lt;='Tournament Setup'!$C$39,_xlfn.RANK.EQ(CB79,$CB$2:$CB$111),""),"")</f>
        <v/>
      </c>
      <c r="CD79" s="31" t="str">
        <f>IF(AND($G79='Tournament Setup'!$A$39,$E79="F",$CA79&gt;'Tournament Setup'!$B$39),$H79,"")</f>
        <v/>
      </c>
      <c r="CE79" s="12" t="str">
        <f>IF(ISNUMBER(CD79)=TRUE,IF(_xlfn.RANK.EQ(CD79,$CD$2:$CD$111)&lt;='Tournament Setup'!$D$39,_xlfn.RANK.EQ(CD79,$CD$2:$CD$111),""),"")</f>
        <v/>
      </c>
      <c r="CF79" s="30" t="str">
        <f>IF($G79='Tournament Setup'!$A$40,$H79,"")</f>
        <v/>
      </c>
      <c r="CG79" s="47" t="str">
        <f>IF(ISNUMBER(CF79),IF(COUNTIFS(CG$1:CG78,_xlfn.RANK.EQ(CF79,CF$2:CF$111,0))&gt;0,_xlfn.MAXIFS(CG$1:CG78,CF$1:CF78,CF79)+1,_xlfn.RANK.EQ(CF79,CF$2:CF$111,0)),"")</f>
        <v/>
      </c>
      <c r="CH79" s="1" t="str">
        <f>IF(ISNUMBER(CF79)=TRUE,IF(_xlfn.RANK.EQ(CF79,$CF$2:$CF$111)&lt;='Tournament Setup'!$B$40,_xlfn.RANK.EQ(CF79,$CF$2:$CF$111),""),"")</f>
        <v/>
      </c>
      <c r="CI79" s="31" t="str">
        <f>IF(AND($G79='Tournament Setup'!$A$40,$E79="M",$CH79&gt;'Tournament Setup'!$B$40),$H79,"")</f>
        <v/>
      </c>
      <c r="CJ79" s="1" t="str">
        <f>IF(ISNUMBER(CI79)=TRUE,IF(_xlfn.RANK.EQ(CI79,$CI$2:$CI$111)&lt;='Tournament Setup'!$C$40,_xlfn.RANK.EQ(CI79,$CI$2:$CI$111),""),"")</f>
        <v/>
      </c>
      <c r="CK79" s="31" t="str">
        <f>IF(AND($G79='Tournament Setup'!$A$40,$E79="F",$CH79&gt;'Tournament Setup'!$B$40),$H79,"")</f>
        <v/>
      </c>
      <c r="CL79" s="12" t="str">
        <f>IF(ISNUMBER(CK79)=TRUE,IF(_xlfn.RANK.EQ(CK79,$CK$2:$CK$111)&lt;='Tournament Setup'!$D$40,_xlfn.RANK.EQ(CK79,$CK$2:$CK$111),""),"")</f>
        <v/>
      </c>
      <c r="CM79" s="30" t="str">
        <f>IF($G79='Tournament Setup'!$A$41,$H79,"")</f>
        <v/>
      </c>
      <c r="CN79" s="47" t="str">
        <f>IF(ISNUMBER(CM79),IF(COUNTIFS(CN$1:CN78,_xlfn.RANK.EQ(CM79,CM$2:CM$111,0))&gt;0,_xlfn.MAXIFS(CN$1:CN78,CM$1:CM78,CM79)+1,_xlfn.RANK.EQ(CM79,CM$2:CM$111,0)),"")</f>
        <v/>
      </c>
      <c r="CO79" s="1" t="str">
        <f>IF(ISNUMBER(CM79)=TRUE,IF(_xlfn.RANK.EQ(CM79,$CM$2:$CM$111)&lt;='Tournament Setup'!$B$41,_xlfn.RANK.EQ(CM79,$CM$2:$CM$111),""),"")</f>
        <v/>
      </c>
      <c r="CP79" s="31" t="str">
        <f>IF(AND($G79='Tournament Setup'!$A$41,$E79="M",$CO79&gt;'Tournament Setup'!$B$41),$H79,"")</f>
        <v/>
      </c>
      <c r="CQ79" s="1" t="str">
        <f>IF(ISNUMBER(CP79)=TRUE,IF(_xlfn.RANK.EQ(CP79,$CP$2:$CP$111)&lt;='Tournament Setup'!$C$41,_xlfn.RANK.EQ(CP79,$CP$2:$CP$111),""),"")</f>
        <v/>
      </c>
      <c r="CR79" s="31" t="str">
        <f>IF(AND($G79='Tournament Setup'!$A$41,$E79="F",$CO79&gt;'Tournament Setup'!$B$41),$H79,"")</f>
        <v/>
      </c>
      <c r="CS79" s="12" t="str">
        <f>IF(ISNUMBER(CR79)=TRUE,IF(_xlfn.RANK.EQ(CR79,$CR$2:$CR$111)&lt;='Tournament Setup'!$D$41,_xlfn.RANK.EQ(CR79,$CR$2:$CR$111),""),"")</f>
        <v/>
      </c>
    </row>
    <row r="80" spans="2:97" x14ac:dyDescent="0.3">
      <c r="B80" t="str">
        <f>IFERROR(INDEX('Tournament List'!$B:$B,MATCH($A80,'Tournament List'!$A:$A,0)),"")</f>
        <v/>
      </c>
      <c r="C80" t="str">
        <f>IFERROR(INDEX('Tournament List'!$C:$C,MATCH($A80,'Tournament List'!$A:$A,0)),"")</f>
        <v/>
      </c>
      <c r="D80" t="str">
        <f t="shared" si="15"/>
        <v xml:space="preserve"> </v>
      </c>
      <c r="E80" s="1" t="str">
        <f>IFERROR(INDEX('Tournament List'!F:F,MATCH($A80,'Tournament List'!$A:$A,0)),"")</f>
        <v/>
      </c>
      <c r="F80" t="str">
        <f>IFERROR(INDEX('Tournament List'!M:M,MATCH($A80,'Tournament List'!$A:$A,0)),"")</f>
        <v/>
      </c>
      <c r="G80" s="1" t="str">
        <f>IFERROR(INDEX('Tournament List'!W:W,MATCH($A80,'Tournament List'!$A:$A,0)),"")</f>
        <v/>
      </c>
      <c r="H80" s="129" t="str">
        <f>IFERROR(INDEX('Tournament List'!Z:Z,MATCH($A80,'Tournament List'!$A:$A,0)),"")</f>
        <v/>
      </c>
      <c r="I80" s="152" t="str">
        <f>IFERROR(INDEX('Tournament List'!T:T,MATCH($A80,'Tournament List'!$A:$A,0)),"")</f>
        <v/>
      </c>
      <c r="J80" s="56" t="str">
        <f>IF(ISNUMBER(I80),IF(COUNTIFS(J$1:J79,_xlfn.RANK.EQ(I80,I$2:I$111,0))&gt;0,_xlfn.MAXIFS(J$1:J79,I$1:I79,I80)+1,_xlfn.RANK.EQ(I80,I$2:I$111,0)),"")</f>
        <v/>
      </c>
      <c r="K80" s="11" t="str">
        <f t="shared" si="16"/>
        <v/>
      </c>
      <c r="L80" s="56" t="str">
        <f>IF(ISNUMBER(H80),IF(COUNTIFS(L$1:L79,_xlfn.RANK.EQ(H80,H$2:H$111,0))&gt;0,_xlfn.MAXIFS(L$1:L79,H$1:H79,H80)+1,_xlfn.RANK.EQ(H80,H$2:H$111,0)),"")</f>
        <v/>
      </c>
      <c r="M80" s="151" t="str">
        <f t="shared" si="17"/>
        <v/>
      </c>
      <c r="N80" s="47" t="str">
        <f>IF(ISNUMBER(M80),IF(COUNTIFS(N$1:N79,_xlfn.RANK.EQ(M80,M$2:M$111,0))&gt;0,_xlfn.MAXIFS(N$1:N79,M$1:M79,M80)+1,_xlfn.RANK.EQ(M80,M$2:M$111,0)),"")</f>
        <v/>
      </c>
      <c r="O80" s="1" t="str">
        <f>IF(ISNUMBER(M80)=TRUE,IF(_xlfn.RANK.EQ(M80,$M$2:$M$111)&lt;='Tournament Setup'!$B$23,_xlfn.RANK.EQ(M80,$M$2:$M$111),""),"")</f>
        <v/>
      </c>
      <c r="P80" s="150" t="str">
        <f t="shared" si="18"/>
        <v/>
      </c>
      <c r="Q80" s="1" t="str">
        <f>IF(ISNUMBER(P80)=TRUE,IF(_xlfn.RANK.EQ(P80,$P$2:$P$111)&lt;='Tournament Setup'!$B$24,_xlfn.RANK.EQ(P80,$P$2:$P$111),""),"")</f>
        <v/>
      </c>
      <c r="R80" s="150" t="str">
        <f t="shared" si="19"/>
        <v/>
      </c>
      <c r="S80" s="12" t="str">
        <f>IF(ISNUMBER(R80)=TRUE,IF(_xlfn.RANK.EQ(R80,$R$2:$R$111)&lt;='Tournament Setup'!$B$25,_xlfn.RANK.EQ(R80,$R$2:$R$111),""),"")</f>
        <v/>
      </c>
      <c r="T80" s="152" t="str">
        <f>IF(AND($F80='Tournament Setup'!$A$29,$I80&lt;&gt;0),$I80,"")</f>
        <v/>
      </c>
      <c r="U80" s="47" t="str">
        <f>IF(ISNUMBER(T80),IF(COUNTIFS(U$1:U79,_xlfn.RANK.EQ(T80,T$2:T$111,0))&gt;0,_xlfn.MAXIFS(U$1:U79,T$1:T79,T80)+1,_xlfn.RANK.EQ(T80,T$2:T$111,0)),"")</f>
        <v/>
      </c>
      <c r="V80" s="1" t="str">
        <f>IF(ISNUMBER(T80)=TRUE,IF(_xlfn.RANK.EQ(T80,$T$3:$T$112)&lt;='Tournament Setup'!$B$46,_xlfn.RANK.EQ(T80,$T$2:$T$111),""),"")</f>
        <v/>
      </c>
      <c r="W80" s="30" t="str">
        <f>IF(AND($F80='Tournament Setup'!$A$29,SUM($O80,$Q80,$S80)=0),$H80,"")</f>
        <v/>
      </c>
      <c r="X80" s="47" t="str">
        <f>IF(ISNUMBER(W80),IF(COUNTIFS(X$1:X79,_xlfn.RANK.EQ(W80,W$2:W$111,0))&gt;0,_xlfn.MAXIFS(X$1:X79,W$1:W79,W80)+1,_xlfn.RANK.EQ(W80,W$2:W$111,0)),"")</f>
        <v/>
      </c>
      <c r="Y80" s="1" t="str">
        <f>IF(ISNUMBER(W80)=TRUE,IF(_xlfn.RANK.EQ(W80,$W$2:$W$111)&lt;='Tournament Setup'!$B$29,_xlfn.RANK.EQ(W80,$W$2:$W$111),""),"")</f>
        <v/>
      </c>
      <c r="Z80" s="31" t="str">
        <f>IF(AND($F80='Tournament Setup'!$A$29,SUM($O80,$Q80)=0,$E80="M",$Y80&gt;'Tournament Setup'!$B$29),$H80,"")</f>
        <v/>
      </c>
      <c r="AA80" s="1" t="str">
        <f>IF(ISNUMBER(Z80)=TRUE,IF(_xlfn.RANK.EQ(Z80,$Z$2:$Z$111)&lt;='Tournament Setup'!$C$29,_xlfn.RANK.EQ(Z80,$Z$2:$Z$111),""),"")</f>
        <v/>
      </c>
      <c r="AB80" s="31" t="str">
        <f>IF(AND($F80='Tournament Setup'!$A$29,SUM($O80,$S80)=0,$E80="F",$Y80&gt;'Tournament Setup'!$B$29),$H80,"")</f>
        <v/>
      </c>
      <c r="AC80" s="12" t="str">
        <f>IF(ISNUMBER(AB80)=TRUE,IF(_xlfn.RANK.EQ(AB80,$AB$2:$AB$111)&lt;='Tournament Setup'!$D$29,_xlfn.RANK.EQ(AB80,$AB$2:$AB$111),""),"")</f>
        <v/>
      </c>
      <c r="AD80" s="30" t="str">
        <f>IF(AND($F80='Tournament Setup'!$A$30,$I80&lt;&gt;0),$I80,"")</f>
        <v/>
      </c>
      <c r="AE80" s="47" t="str">
        <f>IF(ISNUMBER(AD80),IF(COUNTIFS(AE$1:AE79,_xlfn.RANK.EQ(AD80,AD$2:AD$111,0))&gt;0,_xlfn.MAXIFS(AE$1:AE79,AD$1:AD79,AD80)+1,_xlfn.RANK.EQ(AD80,AD$2:AD$111,0)),"")</f>
        <v/>
      </c>
      <c r="AF80" s="1" t="str">
        <f>IF(ISNUMBER(AD80)=TRUE,IF(_xlfn.RANK.EQ(AD80,$AD$2:$AD$111)&lt;='Tournament Setup'!$B$46,_xlfn.RANK.EQ(AD80,$AD$2:$AD$111),""),"")</f>
        <v/>
      </c>
      <c r="AG80" s="30" t="str">
        <f>IF(AND($F80='Tournament Setup'!$A$30,SUM($O80,$Q80,$S80)=0),$H80,"")</f>
        <v/>
      </c>
      <c r="AH80" s="47" t="str">
        <f>IF(ISNUMBER(AG80),IF(COUNTIFS(AH$1:AH79,_xlfn.RANK.EQ(AG80,AG$2:AG$111,0))&gt;0,_xlfn.MAXIFS(AH$1:AH79,AG$1:AG79,AG80)+1,_xlfn.RANK.EQ(AG80,AG$2:AG$111,0)),"")</f>
        <v/>
      </c>
      <c r="AI80" s="1" t="str">
        <f>IF(ISNUMBER(AG80)=TRUE,IF(_xlfn.RANK.EQ(AG80,$AG$2:$AG$111)&lt;='Tournament Setup'!$B$30,_xlfn.RANK.EQ(AG80,$AG$2:$AG$111),""),"")</f>
        <v/>
      </c>
      <c r="AJ80" s="31" t="str">
        <f>IF(AND($F80='Tournament Setup'!$A$30,SUM($O80,$Q80)=0,$E80="M",$AI80&gt;'Tournament Setup'!$B$30),$H80,"")</f>
        <v/>
      </c>
      <c r="AK80" s="1" t="str">
        <f>IF(ISNUMBER(AJ80)=TRUE,IF(_xlfn.RANK.EQ(AJ80,$AJ$2:$AJ$111)&lt;='Tournament Setup'!$C$30,_xlfn.RANK.EQ(AJ80,$AJ$2:$AJ$111),""),"")</f>
        <v/>
      </c>
      <c r="AL80" s="31" t="str">
        <f>IF(AND($F80='Tournament Setup'!$A$30,SUM($O80,$S80)=0,$E80="F",$AI80&gt;'Tournament Setup'!$B$30),$H80,"")</f>
        <v/>
      </c>
      <c r="AM80" s="12" t="str">
        <f>IF(ISNUMBER(AL80)=TRUE,IF(_xlfn.RANK.EQ(AL80,$AL$2:$AL$111)&lt;='Tournament Setup'!$D$30,_xlfn.RANK.EQ(AL80,$AL$2:$AL$111),""),"")</f>
        <v/>
      </c>
      <c r="AN80" s="30" t="str">
        <f>IF(AND($F80='Tournament Setup'!$A$31,$I80&lt;&gt;0),$I80,"")</f>
        <v/>
      </c>
      <c r="AO80" s="47" t="str">
        <f>IF(ISNUMBER(AN80),IF(COUNTIFS(AO$1:AO79,_xlfn.RANK.EQ(AN80,AN$2:AN$111,0))&gt;0,_xlfn.MAXIFS(AO$1:AO79,AN$1:AN79,AN80)+1,_xlfn.RANK.EQ(AN80,AN$2:AN$111,0)),"")</f>
        <v/>
      </c>
      <c r="AP80" s="1" t="str">
        <f>IF(ISNUMBER(AN80)=TRUE,IF(_xlfn.RANK.EQ(AN80,$AN$2:$AN$111)&lt;='Tournament Setup'!$B$46,_xlfn.RANK.EQ(AN80,$AN$2:$AN$111),""),"")</f>
        <v/>
      </c>
      <c r="AQ80" s="30" t="str">
        <f>IF(AND($F80='Tournament Setup'!$A$31,SUM($O80,$Q80,$S80)=0),$H80,"")</f>
        <v/>
      </c>
      <c r="AR80" s="47" t="str">
        <f>IF(ISNUMBER(AQ80),IF(COUNTIFS(AR$1:AR79,_xlfn.RANK.EQ(AQ80,AQ$2:AQ$111,0))&gt;0,_xlfn.MAXIFS(AR$1:AR79,AQ$1:AQ79,AQ80)+1,_xlfn.RANK.EQ(AQ80,AQ$2:AQ$111,0)),"")</f>
        <v/>
      </c>
      <c r="AS80" s="1" t="str">
        <f>IF(ISNUMBER(AQ80)=TRUE,IF(_xlfn.RANK.EQ(AQ80,$AQ$2:$AQ$111)&lt;='Tournament Setup'!$B$31,_xlfn.RANK.EQ(AQ80,$AQ$2:$AQ$111),""),"")</f>
        <v/>
      </c>
      <c r="AT80" s="31" t="str">
        <f>IF(AND($F80='Tournament Setup'!$A$31,SUM($O80,$Q80)=0,$E80="M",$AS80&gt;'Tournament Setup'!$B$31),$H80,"")</f>
        <v/>
      </c>
      <c r="AU80" s="1" t="str">
        <f>IF(ISNUMBER(AT80)=TRUE,IF(_xlfn.RANK.EQ(AT80,$AT$2:$AT$111)&lt;='Tournament Setup'!$C$31,_xlfn.RANK.EQ(AT80,$AT$2:$AT$111),""),"")</f>
        <v/>
      </c>
      <c r="AV80" s="31" t="str">
        <f>IF(AND($F80='Tournament Setup'!$A$31,SUM($O80,$S80)=0,$E80="F",$AS80&gt;'Tournament Setup'!$B$31),$H80,"")</f>
        <v/>
      </c>
      <c r="AW80" s="12" t="str">
        <f>IF(ISNUMBER(AV80)=TRUE,IF(_xlfn.RANK.EQ(AV80,$AV$2:$AV$111)&lt;='Tournament Setup'!$D$31,_xlfn.RANK.EQ(AV80,$AV$2:$AV$111),""),"")</f>
        <v/>
      </c>
      <c r="AX80" s="30" t="str">
        <f>IF(AND($F80='Tournament Setup'!$A$32,$I80&lt;&gt;0),$I80,"")</f>
        <v/>
      </c>
      <c r="AY80" s="47" t="str">
        <f>IF(ISNUMBER(AX80),IF(COUNTIFS(AY$1:AY79,_xlfn.RANK.EQ(AX80,AX$2:AX$111,0))&gt;0,_xlfn.MAXIFS(AY$1:AY79,AX$1:AX79,AX80)+1,_xlfn.RANK.EQ(AX80,AX$2:AX$111,0)),"")</f>
        <v/>
      </c>
      <c r="AZ80" s="1" t="str">
        <f>IF(ISNUMBER(AX80)=TRUE,IF(_xlfn.RANK.EQ(AX80,$AX$2:$AX$111)&lt;='Tournament Setup'!$B$46,_xlfn.RANK.EQ(AX80,$AX$2:$AX$111),""),"")</f>
        <v/>
      </c>
      <c r="BA80" s="30" t="str">
        <f>IF(AND($F80='Tournament Setup'!$A$32,SUM($O80,$Q80,$S80)=0),$H80,"")</f>
        <v/>
      </c>
      <c r="BB80" s="47" t="str">
        <f>IF(ISNUMBER(BA80),IF(COUNTIFS(BB$1:BB79,_xlfn.RANK.EQ(BA80,BA$2:BA$111,0))&gt;0,_xlfn.MAXIFS(BB$1:BB79,BA$1:BA79,BA80)+1,_xlfn.RANK.EQ(BA80,BA$2:BA$111,0)),"")</f>
        <v/>
      </c>
      <c r="BC80" s="1" t="str">
        <f>IF(ISNUMBER(BA80)=TRUE,IF(_xlfn.RANK.EQ(BA80,$BA$2:$BA$111)&lt;='Tournament Setup'!$B$32,_xlfn.RANK.EQ(BA80,$BA$2:$BA$111),""),"")</f>
        <v/>
      </c>
      <c r="BD80" s="31" t="str">
        <f>IF(AND($F80='Tournament Setup'!$A$32,SUM($O80,$Q80)=0,$E80="M",$BC80&gt;'Tournament Setup'!$B$32),$H80,"")</f>
        <v/>
      </c>
      <c r="BE80" s="1" t="str">
        <f>IF(ISNUMBER(BD80)=TRUE,IF(_xlfn.RANK.EQ(BD80,$BD$2:$BD$111)&lt;='Tournament Setup'!$C$32,_xlfn.RANK.EQ(BD80,$BD$2:$BD$111),""),"")</f>
        <v/>
      </c>
      <c r="BF80" s="31" t="str">
        <f>IF(AND($F80='Tournament Setup'!$A$32,SUM($O80,$S80)=0,$E80="F",$BC80&gt;'Tournament Setup'!$B$32),$H80,"")</f>
        <v/>
      </c>
      <c r="BG80" s="12" t="str">
        <f>IF(ISNUMBER(BF80)=TRUE,IF(_xlfn.RANK.EQ(BF80,$BF$2:$BF$111)&lt;='Tournament Setup'!$D$32,_xlfn.RANK.EQ(BF80,$BF$2:$BF$111),""),"")</f>
        <v/>
      </c>
      <c r="BH80" s="30" t="str">
        <f>IF(AND($F80='Tournament Setup'!$A$33,$I80&lt;&gt;0),$I80,"")</f>
        <v/>
      </c>
      <c r="BI80" s="47" t="str">
        <f>IF(ISNUMBER(BH80),IF(COUNTIFS(BI$1:BI79,_xlfn.RANK.EQ(BH80,BH$2:BH$111,0))&gt;0,_xlfn.MAXIFS(BI$1:BI79,BH$1:BH79,BH80)+1,_xlfn.RANK.EQ(BH80,BH$2:BH$111,0)),"")</f>
        <v/>
      </c>
      <c r="BJ80" s="1" t="str">
        <f>IF(ISNUMBER(BH80)=TRUE,IF(_xlfn.RANK.EQ(BH80,$BH$2:$BH$111)&lt;='Tournament Setup'!$B$46,_xlfn.RANK.EQ(BH80,$BH$2:$BH$111),""),"")</f>
        <v/>
      </c>
      <c r="BK80" s="30" t="str">
        <f>IF(AND($F80='Tournament Setup'!$A$33,SUM($O80,$Q80,$S80)=0),$H80,"")</f>
        <v/>
      </c>
      <c r="BL80" s="47" t="str">
        <f>IF(ISNUMBER(BK80),IF(COUNTIFS(BL$1:BL79,_xlfn.RANK.EQ(BK80,BK$2:BK$111,0))&gt;0,_xlfn.MAXIFS(BL$1:BL79,BK$1:BK79,BK80)+1,_xlfn.RANK.EQ(BK80,BK$2:BK$111,0)),"")</f>
        <v/>
      </c>
      <c r="BM80" s="1" t="str">
        <f>IF(ISNUMBER(BK80)=TRUE,IF(_xlfn.RANK.EQ(BK80,$BK$2:$BK$111)&lt;='Tournament Setup'!$B$33,_xlfn.RANK.EQ(BK80,$BK$2:$BK$111),""),"")</f>
        <v/>
      </c>
      <c r="BN80" s="31" t="str">
        <f>IF(AND($F80='Tournament Setup'!$A$33,SUM($O80,$Q80)=0,$E80="M",$BM80&gt;'Tournament Setup'!$B$33),$H80,"")</f>
        <v/>
      </c>
      <c r="BO80" s="1" t="str">
        <f>IF(ISNUMBER(BN80)=TRUE,IF(_xlfn.RANK.EQ(BN80,$BN$2:$BN$111)&lt;='Tournament Setup'!$C$33,_xlfn.RANK.EQ(BN80,$BN$2:$BN$111),""),"")</f>
        <v/>
      </c>
      <c r="BP80" s="31" t="str">
        <f>IF(AND($F80='Tournament Setup'!$A$33,SUM($O80,$S80)=0,$E80="F",$BM80&gt;'Tournament Setup'!$B$33),$H80,"")</f>
        <v/>
      </c>
      <c r="BQ80" s="12" t="str">
        <f>IF(ISNUMBER(BP80)=TRUE,IF(_xlfn.RANK.EQ(BP80,$BP$2:$BP$111)&lt;='Tournament Setup'!$D$33,_xlfn.RANK.EQ(BP80,$BP$2:$BP$111),""),"")</f>
        <v/>
      </c>
      <c r="BR80" s="30" t="str">
        <f>IF($G80='Tournament Setup'!$A$38,$H80,"")</f>
        <v/>
      </c>
      <c r="BS80" s="47" t="str">
        <f>IF(ISNUMBER(BR80),IF(COUNTIFS(BS$1:BS79,_xlfn.RANK.EQ(BR80,BR$2:BR$111,0))&gt;0,_xlfn.MAXIFS(BS$1:BS79,BR$1:BR79,BR80)+1,_xlfn.RANK.EQ(BR80,BR$2:BR$111,0)),"")</f>
        <v/>
      </c>
      <c r="BT80" s="1" t="str">
        <f>IF(ISNUMBER(BR80)=TRUE,IF(_xlfn.RANK.EQ(BR80,$BR$2:$BR$111)&lt;='Tournament Setup'!$B$38,_xlfn.RANK.EQ(BR80,$BR$2:$BR$111),""),"")</f>
        <v/>
      </c>
      <c r="BU80" s="31" t="str">
        <f>IF(AND($G80='Tournament Setup'!$A$38,$E80="M",$BT80&gt;'Tournament Setup'!$B$38),$H80,"")</f>
        <v/>
      </c>
      <c r="BV80" s="1" t="str">
        <f>IF(ISNUMBER(BU80)=TRUE,IF(_xlfn.RANK.EQ(BU80,$BU$2:$BU$111)&lt;='Tournament Setup'!$C$38,_xlfn.RANK.EQ(BU80,$BU$2:$BU$111),""),"")</f>
        <v/>
      </c>
      <c r="BW80" s="31" t="str">
        <f>IF(AND($G80='Tournament Setup'!$A$38,$E80="F",$BT80&gt;'Tournament Setup'!$B$38),$H80,"")</f>
        <v/>
      </c>
      <c r="BX80" s="12" t="str">
        <f>IF(ISNUMBER(BW80)=TRUE,IF(_xlfn.RANK.EQ(BW80,$BW$2:$BW$111)&lt;='Tournament Setup'!$D$38,_xlfn.RANK.EQ(BW80,$BW$2:$BW$111),""),"")</f>
        <v/>
      </c>
      <c r="BY80" s="30" t="str">
        <f>IF($G80='Tournament Setup'!$A$39,$H80,"")</f>
        <v/>
      </c>
      <c r="BZ80" s="47" t="str">
        <f>IF(ISNUMBER(BY80),IF(COUNTIFS(BZ$1:BZ79,_xlfn.RANK.EQ(BY80,BY$2:BY$111,0))&gt;0,_xlfn.MAXIFS(BZ$1:BZ79,BY$1:BY79,BY80)+1,_xlfn.RANK.EQ(BY80,BY$2:BY$111,0)),"")</f>
        <v/>
      </c>
      <c r="CA80" s="1" t="str">
        <f>IF(ISNUMBER(BY80)=TRUE,IF(_xlfn.RANK.EQ(BY80,$BY$2:$BY$111)&lt;='Tournament Setup'!$B$39,_xlfn.RANK.EQ(BY80,$BY$2:$BY$111),""),"")</f>
        <v/>
      </c>
      <c r="CB80" s="31" t="str">
        <f>IF(AND($G80='Tournament Setup'!$A$39,$E80="M",$CA80&gt;'Tournament Setup'!$B$39),$H80,"")</f>
        <v/>
      </c>
      <c r="CC80" s="1" t="str">
        <f>IF(ISNUMBER(CB80)=TRUE,IF(_xlfn.RANK.EQ(CB80,$CB$2:$CB$111)&lt;='Tournament Setup'!$C$39,_xlfn.RANK.EQ(CB80,$CB$2:$CB$111),""),"")</f>
        <v/>
      </c>
      <c r="CD80" s="31" t="str">
        <f>IF(AND($G80='Tournament Setup'!$A$39,$E80="F",$CA80&gt;'Tournament Setup'!$B$39),$H80,"")</f>
        <v/>
      </c>
      <c r="CE80" s="12" t="str">
        <f>IF(ISNUMBER(CD80)=TRUE,IF(_xlfn.RANK.EQ(CD80,$CD$2:$CD$111)&lt;='Tournament Setup'!$D$39,_xlfn.RANK.EQ(CD80,$CD$2:$CD$111),""),"")</f>
        <v/>
      </c>
      <c r="CF80" s="30" t="str">
        <f>IF($G80='Tournament Setup'!$A$40,$H80,"")</f>
        <v/>
      </c>
      <c r="CG80" s="47" t="str">
        <f>IF(ISNUMBER(CF80),IF(COUNTIFS(CG$1:CG79,_xlfn.RANK.EQ(CF80,CF$2:CF$111,0))&gt;0,_xlfn.MAXIFS(CG$1:CG79,CF$1:CF79,CF80)+1,_xlfn.RANK.EQ(CF80,CF$2:CF$111,0)),"")</f>
        <v/>
      </c>
      <c r="CH80" s="1" t="str">
        <f>IF(ISNUMBER(CF80)=TRUE,IF(_xlfn.RANK.EQ(CF80,$CF$2:$CF$111)&lt;='Tournament Setup'!$B$40,_xlfn.RANK.EQ(CF80,$CF$2:$CF$111),""),"")</f>
        <v/>
      </c>
      <c r="CI80" s="31" t="str">
        <f>IF(AND($G80='Tournament Setup'!$A$40,$E80="M",$CH80&gt;'Tournament Setup'!$B$40),$H80,"")</f>
        <v/>
      </c>
      <c r="CJ80" s="1" t="str">
        <f>IF(ISNUMBER(CI80)=TRUE,IF(_xlfn.RANK.EQ(CI80,$CI$2:$CI$111)&lt;='Tournament Setup'!$C$40,_xlfn.RANK.EQ(CI80,$CI$2:$CI$111),""),"")</f>
        <v/>
      </c>
      <c r="CK80" s="31" t="str">
        <f>IF(AND($G80='Tournament Setup'!$A$40,$E80="F",$CH80&gt;'Tournament Setup'!$B$40),$H80,"")</f>
        <v/>
      </c>
      <c r="CL80" s="12" t="str">
        <f>IF(ISNUMBER(CK80)=TRUE,IF(_xlfn.RANK.EQ(CK80,$CK$2:$CK$111)&lt;='Tournament Setup'!$D$40,_xlfn.RANK.EQ(CK80,$CK$2:$CK$111),""),"")</f>
        <v/>
      </c>
      <c r="CM80" s="30" t="str">
        <f>IF($G80='Tournament Setup'!$A$41,$H80,"")</f>
        <v/>
      </c>
      <c r="CN80" s="47" t="str">
        <f>IF(ISNUMBER(CM80),IF(COUNTIFS(CN$1:CN79,_xlfn.RANK.EQ(CM80,CM$2:CM$111,0))&gt;0,_xlfn.MAXIFS(CN$1:CN79,CM$1:CM79,CM80)+1,_xlfn.RANK.EQ(CM80,CM$2:CM$111,0)),"")</f>
        <v/>
      </c>
      <c r="CO80" s="1" t="str">
        <f>IF(ISNUMBER(CM80)=TRUE,IF(_xlfn.RANK.EQ(CM80,$CM$2:$CM$111)&lt;='Tournament Setup'!$B$41,_xlfn.RANK.EQ(CM80,$CM$2:$CM$111),""),"")</f>
        <v/>
      </c>
      <c r="CP80" s="31" t="str">
        <f>IF(AND($G80='Tournament Setup'!$A$41,$E80="M",$CO80&gt;'Tournament Setup'!$B$41),$H80,"")</f>
        <v/>
      </c>
      <c r="CQ80" s="1" t="str">
        <f>IF(ISNUMBER(CP80)=TRUE,IF(_xlfn.RANK.EQ(CP80,$CP$2:$CP$111)&lt;='Tournament Setup'!$C$41,_xlfn.RANK.EQ(CP80,$CP$2:$CP$111),""),"")</f>
        <v/>
      </c>
      <c r="CR80" s="31" t="str">
        <f>IF(AND($G80='Tournament Setup'!$A$41,$E80="F",$CO80&gt;'Tournament Setup'!$B$41),$H80,"")</f>
        <v/>
      </c>
      <c r="CS80" s="12" t="str">
        <f>IF(ISNUMBER(CR80)=TRUE,IF(_xlfn.RANK.EQ(CR80,$CR$2:$CR$111)&lt;='Tournament Setup'!$D$41,_xlfn.RANK.EQ(CR80,$CR$2:$CR$111),""),"")</f>
        <v/>
      </c>
    </row>
    <row r="81" spans="2:97" x14ac:dyDescent="0.3">
      <c r="B81" t="str">
        <f>IFERROR(INDEX('Tournament List'!$B:$B,MATCH($A81,'Tournament List'!$A:$A,0)),"")</f>
        <v/>
      </c>
      <c r="C81" t="str">
        <f>IFERROR(INDEX('Tournament List'!$C:$C,MATCH($A81,'Tournament List'!$A:$A,0)),"")</f>
        <v/>
      </c>
      <c r="D81" t="str">
        <f t="shared" si="15"/>
        <v xml:space="preserve"> </v>
      </c>
      <c r="E81" s="1" t="str">
        <f>IFERROR(INDEX('Tournament List'!F:F,MATCH($A81,'Tournament List'!$A:$A,0)),"")</f>
        <v/>
      </c>
      <c r="F81" t="str">
        <f>IFERROR(INDEX('Tournament List'!M:M,MATCH($A81,'Tournament List'!$A:$A,0)),"")</f>
        <v/>
      </c>
      <c r="G81" s="1" t="str">
        <f>IFERROR(INDEX('Tournament List'!W:W,MATCH($A81,'Tournament List'!$A:$A,0)),"")</f>
        <v/>
      </c>
      <c r="H81" s="129" t="str">
        <f>IFERROR(INDEX('Tournament List'!Z:Z,MATCH($A81,'Tournament List'!$A:$A,0)),"")</f>
        <v/>
      </c>
      <c r="I81" s="152" t="str">
        <f>IFERROR(INDEX('Tournament List'!T:T,MATCH($A81,'Tournament List'!$A:$A,0)),"")</f>
        <v/>
      </c>
      <c r="J81" s="56" t="str">
        <f>IF(ISNUMBER(I81),IF(COUNTIFS(J$1:J80,_xlfn.RANK.EQ(I81,I$2:I$111,0))&gt;0,_xlfn.MAXIFS(J$1:J80,I$1:I80,I81)+1,_xlfn.RANK.EQ(I81,I$2:I$111,0)),"")</f>
        <v/>
      </c>
      <c r="K81" s="11" t="str">
        <f t="shared" si="16"/>
        <v/>
      </c>
      <c r="L81" s="56" t="str">
        <f>IF(ISNUMBER(H81),IF(COUNTIFS(L$1:L80,_xlfn.RANK.EQ(H81,H$2:H$111,0))&gt;0,_xlfn.MAXIFS(L$1:L80,H$1:H80,H81)+1,_xlfn.RANK.EQ(H81,H$2:H$111,0)),"")</f>
        <v/>
      </c>
      <c r="M81" s="151" t="str">
        <f t="shared" si="17"/>
        <v/>
      </c>
      <c r="N81" s="47" t="str">
        <f>IF(ISNUMBER(M81),IF(COUNTIFS(N$1:N80,_xlfn.RANK.EQ(M81,M$2:M$111,0))&gt;0,_xlfn.MAXIFS(N$1:N80,M$1:M80,M81)+1,_xlfn.RANK.EQ(M81,M$2:M$111,0)),"")</f>
        <v/>
      </c>
      <c r="O81" s="1" t="str">
        <f>IF(ISNUMBER(M81)=TRUE,IF(_xlfn.RANK.EQ(M81,$M$2:$M$111)&lt;='Tournament Setup'!$B$23,_xlfn.RANK.EQ(M81,$M$2:$M$111),""),"")</f>
        <v/>
      </c>
      <c r="P81" s="150" t="str">
        <f t="shared" si="18"/>
        <v/>
      </c>
      <c r="Q81" s="1" t="str">
        <f>IF(ISNUMBER(P81)=TRUE,IF(_xlfn.RANK.EQ(P81,$P$2:$P$111)&lt;='Tournament Setup'!$B$24,_xlfn.RANK.EQ(P81,$P$2:$P$111),""),"")</f>
        <v/>
      </c>
      <c r="R81" s="150" t="str">
        <f t="shared" si="19"/>
        <v/>
      </c>
      <c r="S81" s="12" t="str">
        <f>IF(ISNUMBER(R81)=TRUE,IF(_xlfn.RANK.EQ(R81,$R$2:$R$111)&lt;='Tournament Setup'!$B$25,_xlfn.RANK.EQ(R81,$R$2:$R$111),""),"")</f>
        <v/>
      </c>
      <c r="T81" s="152" t="str">
        <f>IF(AND($F81='Tournament Setup'!$A$29,$I81&lt;&gt;0),$I81,"")</f>
        <v/>
      </c>
      <c r="U81" s="47" t="str">
        <f>IF(ISNUMBER(T81),IF(COUNTIFS(U$1:U80,_xlfn.RANK.EQ(T81,T$2:T$111,0))&gt;0,_xlfn.MAXIFS(U$1:U80,T$1:T80,T81)+1,_xlfn.RANK.EQ(T81,T$2:T$111,0)),"")</f>
        <v/>
      </c>
      <c r="V81" s="1" t="str">
        <f>IF(ISNUMBER(T81)=TRUE,IF(_xlfn.RANK.EQ(T81,$T$3:$T$112)&lt;='Tournament Setup'!$B$46,_xlfn.RANK.EQ(T81,$T$2:$T$111),""),"")</f>
        <v/>
      </c>
      <c r="W81" s="30" t="str">
        <f>IF(AND($F81='Tournament Setup'!$A$29,SUM($O81,$Q81,$S81)=0),$H81,"")</f>
        <v/>
      </c>
      <c r="X81" s="47" t="str">
        <f>IF(ISNUMBER(W81),IF(COUNTIFS(X$1:X80,_xlfn.RANK.EQ(W81,W$2:W$111,0))&gt;0,_xlfn.MAXIFS(X$1:X80,W$1:W80,W81)+1,_xlfn.RANK.EQ(W81,W$2:W$111,0)),"")</f>
        <v/>
      </c>
      <c r="Y81" s="1" t="str">
        <f>IF(ISNUMBER(W81)=TRUE,IF(_xlfn.RANK.EQ(W81,$W$2:$W$111)&lt;='Tournament Setup'!$B$29,_xlfn.RANK.EQ(W81,$W$2:$W$111),""),"")</f>
        <v/>
      </c>
      <c r="Z81" s="31" t="str">
        <f>IF(AND($F81='Tournament Setup'!$A$29,SUM($O81,$Q81)=0,$E81="M",$Y81&gt;'Tournament Setup'!$B$29),$H81,"")</f>
        <v/>
      </c>
      <c r="AA81" s="1" t="str">
        <f>IF(ISNUMBER(Z81)=TRUE,IF(_xlfn.RANK.EQ(Z81,$Z$2:$Z$111)&lt;='Tournament Setup'!$C$29,_xlfn.RANK.EQ(Z81,$Z$2:$Z$111),""),"")</f>
        <v/>
      </c>
      <c r="AB81" s="31" t="str">
        <f>IF(AND($F81='Tournament Setup'!$A$29,SUM($O81,$S81)=0,$E81="F",$Y81&gt;'Tournament Setup'!$B$29),$H81,"")</f>
        <v/>
      </c>
      <c r="AC81" s="12" t="str">
        <f>IF(ISNUMBER(AB81)=TRUE,IF(_xlfn.RANK.EQ(AB81,$AB$2:$AB$111)&lt;='Tournament Setup'!$D$29,_xlfn.RANK.EQ(AB81,$AB$2:$AB$111),""),"")</f>
        <v/>
      </c>
      <c r="AD81" s="30" t="str">
        <f>IF(AND($F81='Tournament Setup'!$A$30,$I81&lt;&gt;0),$I81,"")</f>
        <v/>
      </c>
      <c r="AE81" s="47" t="str">
        <f>IF(ISNUMBER(AD81),IF(COUNTIFS(AE$1:AE80,_xlfn.RANK.EQ(AD81,AD$2:AD$111,0))&gt;0,_xlfn.MAXIFS(AE$1:AE80,AD$1:AD80,AD81)+1,_xlfn.RANK.EQ(AD81,AD$2:AD$111,0)),"")</f>
        <v/>
      </c>
      <c r="AF81" s="1" t="str">
        <f>IF(ISNUMBER(AD81)=TRUE,IF(_xlfn.RANK.EQ(AD81,$AD$2:$AD$111)&lt;='Tournament Setup'!$B$46,_xlfn.RANK.EQ(AD81,$AD$2:$AD$111),""),"")</f>
        <v/>
      </c>
      <c r="AG81" s="30" t="str">
        <f>IF(AND($F81='Tournament Setup'!$A$30,SUM($O81,$Q81,$S81)=0),$H81,"")</f>
        <v/>
      </c>
      <c r="AH81" s="47" t="str">
        <f>IF(ISNUMBER(AG81),IF(COUNTIFS(AH$1:AH80,_xlfn.RANK.EQ(AG81,AG$2:AG$111,0))&gt;0,_xlfn.MAXIFS(AH$1:AH80,AG$1:AG80,AG81)+1,_xlfn.RANK.EQ(AG81,AG$2:AG$111,0)),"")</f>
        <v/>
      </c>
      <c r="AI81" s="1" t="str">
        <f>IF(ISNUMBER(AG81)=TRUE,IF(_xlfn.RANK.EQ(AG81,$AG$2:$AG$111)&lt;='Tournament Setup'!$B$30,_xlfn.RANK.EQ(AG81,$AG$2:$AG$111),""),"")</f>
        <v/>
      </c>
      <c r="AJ81" s="31" t="str">
        <f>IF(AND($F81='Tournament Setup'!$A$30,SUM($O81,$Q81)=0,$E81="M",$AI81&gt;'Tournament Setup'!$B$30),$H81,"")</f>
        <v/>
      </c>
      <c r="AK81" s="1" t="str">
        <f>IF(ISNUMBER(AJ81)=TRUE,IF(_xlfn.RANK.EQ(AJ81,$AJ$2:$AJ$111)&lt;='Tournament Setup'!$C$30,_xlfn.RANK.EQ(AJ81,$AJ$2:$AJ$111),""),"")</f>
        <v/>
      </c>
      <c r="AL81" s="31" t="str">
        <f>IF(AND($F81='Tournament Setup'!$A$30,SUM($O81,$S81)=0,$E81="F",$AI81&gt;'Tournament Setup'!$B$30),$H81,"")</f>
        <v/>
      </c>
      <c r="AM81" s="12" t="str">
        <f>IF(ISNUMBER(AL81)=TRUE,IF(_xlfn.RANK.EQ(AL81,$AL$2:$AL$111)&lt;='Tournament Setup'!$D$30,_xlfn.RANK.EQ(AL81,$AL$2:$AL$111),""),"")</f>
        <v/>
      </c>
      <c r="AN81" s="30" t="str">
        <f>IF(AND($F81='Tournament Setup'!$A$31,$I81&lt;&gt;0),$I81,"")</f>
        <v/>
      </c>
      <c r="AO81" s="47" t="str">
        <f>IF(ISNUMBER(AN81),IF(COUNTIFS(AO$1:AO80,_xlfn.RANK.EQ(AN81,AN$2:AN$111,0))&gt;0,_xlfn.MAXIFS(AO$1:AO80,AN$1:AN80,AN81)+1,_xlfn.RANK.EQ(AN81,AN$2:AN$111,0)),"")</f>
        <v/>
      </c>
      <c r="AP81" s="1" t="str">
        <f>IF(ISNUMBER(AN81)=TRUE,IF(_xlfn.RANK.EQ(AN81,$AN$2:$AN$111)&lt;='Tournament Setup'!$B$46,_xlfn.RANK.EQ(AN81,$AN$2:$AN$111),""),"")</f>
        <v/>
      </c>
      <c r="AQ81" s="30" t="str">
        <f>IF(AND($F81='Tournament Setup'!$A$31,SUM($O81,$Q81,$S81)=0),$H81,"")</f>
        <v/>
      </c>
      <c r="AR81" s="47" t="str">
        <f>IF(ISNUMBER(AQ81),IF(COUNTIFS(AR$1:AR80,_xlfn.RANK.EQ(AQ81,AQ$2:AQ$111,0))&gt;0,_xlfn.MAXIFS(AR$1:AR80,AQ$1:AQ80,AQ81)+1,_xlfn.RANK.EQ(AQ81,AQ$2:AQ$111,0)),"")</f>
        <v/>
      </c>
      <c r="AS81" s="1" t="str">
        <f>IF(ISNUMBER(AQ81)=TRUE,IF(_xlfn.RANK.EQ(AQ81,$AQ$2:$AQ$111)&lt;='Tournament Setup'!$B$31,_xlfn.RANK.EQ(AQ81,$AQ$2:$AQ$111),""),"")</f>
        <v/>
      </c>
      <c r="AT81" s="31" t="str">
        <f>IF(AND($F81='Tournament Setup'!$A$31,SUM($O81,$Q81)=0,$E81="M",$AS81&gt;'Tournament Setup'!$B$31),$H81,"")</f>
        <v/>
      </c>
      <c r="AU81" s="1" t="str">
        <f>IF(ISNUMBER(AT81)=TRUE,IF(_xlfn.RANK.EQ(AT81,$AT$2:$AT$111)&lt;='Tournament Setup'!$C$31,_xlfn.RANK.EQ(AT81,$AT$2:$AT$111),""),"")</f>
        <v/>
      </c>
      <c r="AV81" s="31" t="str">
        <f>IF(AND($F81='Tournament Setup'!$A$31,SUM($O81,$S81)=0,$E81="F",$AS81&gt;'Tournament Setup'!$B$31),$H81,"")</f>
        <v/>
      </c>
      <c r="AW81" s="12" t="str">
        <f>IF(ISNUMBER(AV81)=TRUE,IF(_xlfn.RANK.EQ(AV81,$AV$2:$AV$111)&lt;='Tournament Setup'!$D$31,_xlfn.RANK.EQ(AV81,$AV$2:$AV$111),""),"")</f>
        <v/>
      </c>
      <c r="AX81" s="30" t="str">
        <f>IF(AND($F81='Tournament Setup'!$A$32,$I81&lt;&gt;0),$I81,"")</f>
        <v/>
      </c>
      <c r="AY81" s="47" t="str">
        <f>IF(ISNUMBER(AX81),IF(COUNTIFS(AY$1:AY80,_xlfn.RANK.EQ(AX81,AX$2:AX$111,0))&gt;0,_xlfn.MAXIFS(AY$1:AY80,AX$1:AX80,AX81)+1,_xlfn.RANK.EQ(AX81,AX$2:AX$111,0)),"")</f>
        <v/>
      </c>
      <c r="AZ81" s="1" t="str">
        <f>IF(ISNUMBER(AX81)=TRUE,IF(_xlfn.RANK.EQ(AX81,$AX$2:$AX$111)&lt;='Tournament Setup'!$B$46,_xlfn.RANK.EQ(AX81,$AX$2:$AX$111),""),"")</f>
        <v/>
      </c>
      <c r="BA81" s="30" t="str">
        <f>IF(AND($F81='Tournament Setup'!$A$32,SUM($O81,$Q81,$S81)=0),$H81,"")</f>
        <v/>
      </c>
      <c r="BB81" s="47" t="str">
        <f>IF(ISNUMBER(BA81),IF(COUNTIFS(BB$1:BB80,_xlfn.RANK.EQ(BA81,BA$2:BA$111,0))&gt;0,_xlfn.MAXIFS(BB$1:BB80,BA$1:BA80,BA81)+1,_xlfn.RANK.EQ(BA81,BA$2:BA$111,0)),"")</f>
        <v/>
      </c>
      <c r="BC81" s="1" t="str">
        <f>IF(ISNUMBER(BA81)=TRUE,IF(_xlfn.RANK.EQ(BA81,$BA$2:$BA$111)&lt;='Tournament Setup'!$B$32,_xlfn.RANK.EQ(BA81,$BA$2:$BA$111),""),"")</f>
        <v/>
      </c>
      <c r="BD81" s="31" t="str">
        <f>IF(AND($F81='Tournament Setup'!$A$32,SUM($O81,$Q81)=0,$E81="M",$BC81&gt;'Tournament Setup'!$B$32),$H81,"")</f>
        <v/>
      </c>
      <c r="BE81" s="1" t="str">
        <f>IF(ISNUMBER(BD81)=TRUE,IF(_xlfn.RANK.EQ(BD81,$BD$2:$BD$111)&lt;='Tournament Setup'!$C$32,_xlfn.RANK.EQ(BD81,$BD$2:$BD$111),""),"")</f>
        <v/>
      </c>
      <c r="BF81" s="31" t="str">
        <f>IF(AND($F81='Tournament Setup'!$A$32,SUM($O81,$S81)=0,$E81="F",$BC81&gt;'Tournament Setup'!$B$32),$H81,"")</f>
        <v/>
      </c>
      <c r="BG81" s="12" t="str">
        <f>IF(ISNUMBER(BF81)=TRUE,IF(_xlfn.RANK.EQ(BF81,$BF$2:$BF$111)&lt;='Tournament Setup'!$D$32,_xlfn.RANK.EQ(BF81,$BF$2:$BF$111),""),"")</f>
        <v/>
      </c>
      <c r="BH81" s="30" t="str">
        <f>IF(AND($F81='Tournament Setup'!$A$33,$I81&lt;&gt;0),$I81,"")</f>
        <v/>
      </c>
      <c r="BI81" s="47" t="str">
        <f>IF(ISNUMBER(BH81),IF(COUNTIFS(BI$1:BI80,_xlfn.RANK.EQ(BH81,BH$2:BH$111,0))&gt;0,_xlfn.MAXIFS(BI$1:BI80,BH$1:BH80,BH81)+1,_xlfn.RANK.EQ(BH81,BH$2:BH$111,0)),"")</f>
        <v/>
      </c>
      <c r="BJ81" s="1" t="str">
        <f>IF(ISNUMBER(BH81)=TRUE,IF(_xlfn.RANK.EQ(BH81,$BH$2:$BH$111)&lt;='Tournament Setup'!$B$46,_xlfn.RANK.EQ(BH81,$BH$2:$BH$111),""),"")</f>
        <v/>
      </c>
      <c r="BK81" s="30" t="str">
        <f>IF(AND($F81='Tournament Setup'!$A$33,SUM($O81,$Q81,$S81)=0),$H81,"")</f>
        <v/>
      </c>
      <c r="BL81" s="47" t="str">
        <f>IF(ISNUMBER(BK81),IF(COUNTIFS(BL$1:BL80,_xlfn.RANK.EQ(BK81,BK$2:BK$111,0))&gt;0,_xlfn.MAXIFS(BL$1:BL80,BK$1:BK80,BK81)+1,_xlfn.RANK.EQ(BK81,BK$2:BK$111,0)),"")</f>
        <v/>
      </c>
      <c r="BM81" s="1" t="str">
        <f>IF(ISNUMBER(BK81)=TRUE,IF(_xlfn.RANK.EQ(BK81,$BK$2:$BK$111)&lt;='Tournament Setup'!$B$33,_xlfn.RANK.EQ(BK81,$BK$2:$BK$111),""),"")</f>
        <v/>
      </c>
      <c r="BN81" s="31" t="str">
        <f>IF(AND($F81='Tournament Setup'!$A$33,SUM($O81,$Q81)=0,$E81="M",$BM81&gt;'Tournament Setup'!$B$33),$H81,"")</f>
        <v/>
      </c>
      <c r="BO81" s="1" t="str">
        <f>IF(ISNUMBER(BN81)=TRUE,IF(_xlfn.RANK.EQ(BN81,$BN$2:$BN$111)&lt;='Tournament Setup'!$C$33,_xlfn.RANK.EQ(BN81,$BN$2:$BN$111),""),"")</f>
        <v/>
      </c>
      <c r="BP81" s="31" t="str">
        <f>IF(AND($F81='Tournament Setup'!$A$33,SUM($O81,$S81)=0,$E81="F",$BM81&gt;'Tournament Setup'!$B$33),$H81,"")</f>
        <v/>
      </c>
      <c r="BQ81" s="12" t="str">
        <f>IF(ISNUMBER(BP81)=TRUE,IF(_xlfn.RANK.EQ(BP81,$BP$2:$BP$111)&lt;='Tournament Setup'!$D$33,_xlfn.RANK.EQ(BP81,$BP$2:$BP$111),""),"")</f>
        <v/>
      </c>
      <c r="BR81" s="30" t="str">
        <f>IF($G81='Tournament Setup'!$A$38,$H81,"")</f>
        <v/>
      </c>
      <c r="BS81" s="47" t="str">
        <f>IF(ISNUMBER(BR81),IF(COUNTIFS(BS$1:BS80,_xlfn.RANK.EQ(BR81,BR$2:BR$111,0))&gt;0,_xlfn.MAXIFS(BS$1:BS80,BR$1:BR80,BR81)+1,_xlfn.RANK.EQ(BR81,BR$2:BR$111,0)),"")</f>
        <v/>
      </c>
      <c r="BT81" s="1" t="str">
        <f>IF(ISNUMBER(BR81)=TRUE,IF(_xlfn.RANK.EQ(BR81,$BR$2:$BR$111)&lt;='Tournament Setup'!$B$38,_xlfn.RANK.EQ(BR81,$BR$2:$BR$111),""),"")</f>
        <v/>
      </c>
      <c r="BU81" s="31" t="str">
        <f>IF(AND($G81='Tournament Setup'!$A$38,$E81="M",$BT81&gt;'Tournament Setup'!$B$38),$H81,"")</f>
        <v/>
      </c>
      <c r="BV81" s="1" t="str">
        <f>IF(ISNUMBER(BU81)=TRUE,IF(_xlfn.RANK.EQ(BU81,$BU$2:$BU$111)&lt;='Tournament Setup'!$C$38,_xlfn.RANK.EQ(BU81,$BU$2:$BU$111),""),"")</f>
        <v/>
      </c>
      <c r="BW81" s="31" t="str">
        <f>IF(AND($G81='Tournament Setup'!$A$38,$E81="F",$BT81&gt;'Tournament Setup'!$B$38),$H81,"")</f>
        <v/>
      </c>
      <c r="BX81" s="12" t="str">
        <f>IF(ISNUMBER(BW81)=TRUE,IF(_xlfn.RANK.EQ(BW81,$BW$2:$BW$111)&lt;='Tournament Setup'!$D$38,_xlfn.RANK.EQ(BW81,$BW$2:$BW$111),""),"")</f>
        <v/>
      </c>
      <c r="BY81" s="30" t="str">
        <f>IF($G81='Tournament Setup'!$A$39,$H81,"")</f>
        <v/>
      </c>
      <c r="BZ81" s="47" t="str">
        <f>IF(ISNUMBER(BY81),IF(COUNTIFS(BZ$1:BZ80,_xlfn.RANK.EQ(BY81,BY$2:BY$111,0))&gt;0,_xlfn.MAXIFS(BZ$1:BZ80,BY$1:BY80,BY81)+1,_xlfn.RANK.EQ(BY81,BY$2:BY$111,0)),"")</f>
        <v/>
      </c>
      <c r="CA81" s="1" t="str">
        <f>IF(ISNUMBER(BY81)=TRUE,IF(_xlfn.RANK.EQ(BY81,$BY$2:$BY$111)&lt;='Tournament Setup'!$B$39,_xlfn.RANK.EQ(BY81,$BY$2:$BY$111),""),"")</f>
        <v/>
      </c>
      <c r="CB81" s="31" t="str">
        <f>IF(AND($G81='Tournament Setup'!$A$39,$E81="M",$CA81&gt;'Tournament Setup'!$B$39),$H81,"")</f>
        <v/>
      </c>
      <c r="CC81" s="1" t="str">
        <f>IF(ISNUMBER(CB81)=TRUE,IF(_xlfn.RANK.EQ(CB81,$CB$2:$CB$111)&lt;='Tournament Setup'!$C$39,_xlfn.RANK.EQ(CB81,$CB$2:$CB$111),""),"")</f>
        <v/>
      </c>
      <c r="CD81" s="31" t="str">
        <f>IF(AND($G81='Tournament Setup'!$A$39,$E81="F",$CA81&gt;'Tournament Setup'!$B$39),$H81,"")</f>
        <v/>
      </c>
      <c r="CE81" s="12" t="str">
        <f>IF(ISNUMBER(CD81)=TRUE,IF(_xlfn.RANK.EQ(CD81,$CD$2:$CD$111)&lt;='Tournament Setup'!$D$39,_xlfn.RANK.EQ(CD81,$CD$2:$CD$111),""),"")</f>
        <v/>
      </c>
      <c r="CF81" s="30" t="str">
        <f>IF($G81='Tournament Setup'!$A$40,$H81,"")</f>
        <v/>
      </c>
      <c r="CG81" s="47" t="str">
        <f>IF(ISNUMBER(CF81),IF(COUNTIFS(CG$1:CG80,_xlfn.RANK.EQ(CF81,CF$2:CF$111,0))&gt;0,_xlfn.MAXIFS(CG$1:CG80,CF$1:CF80,CF81)+1,_xlfn.RANK.EQ(CF81,CF$2:CF$111,0)),"")</f>
        <v/>
      </c>
      <c r="CH81" s="1" t="str">
        <f>IF(ISNUMBER(CF81)=TRUE,IF(_xlfn.RANK.EQ(CF81,$CF$2:$CF$111)&lt;='Tournament Setup'!$B$40,_xlfn.RANK.EQ(CF81,$CF$2:$CF$111),""),"")</f>
        <v/>
      </c>
      <c r="CI81" s="31" t="str">
        <f>IF(AND($G81='Tournament Setup'!$A$40,$E81="M",$CH81&gt;'Tournament Setup'!$B$40),$H81,"")</f>
        <v/>
      </c>
      <c r="CJ81" s="1" t="str">
        <f>IF(ISNUMBER(CI81)=TRUE,IF(_xlfn.RANK.EQ(CI81,$CI$2:$CI$111)&lt;='Tournament Setup'!$C$40,_xlfn.RANK.EQ(CI81,$CI$2:$CI$111),""),"")</f>
        <v/>
      </c>
      <c r="CK81" s="31" t="str">
        <f>IF(AND($G81='Tournament Setup'!$A$40,$E81="F",$CH81&gt;'Tournament Setup'!$B$40),$H81,"")</f>
        <v/>
      </c>
      <c r="CL81" s="12" t="str">
        <f>IF(ISNUMBER(CK81)=TRUE,IF(_xlfn.RANK.EQ(CK81,$CK$2:$CK$111)&lt;='Tournament Setup'!$D$40,_xlfn.RANK.EQ(CK81,$CK$2:$CK$111),""),"")</f>
        <v/>
      </c>
      <c r="CM81" s="30" t="str">
        <f>IF($G81='Tournament Setup'!$A$41,$H81,"")</f>
        <v/>
      </c>
      <c r="CN81" s="47" t="str">
        <f>IF(ISNUMBER(CM81),IF(COUNTIFS(CN$1:CN80,_xlfn.RANK.EQ(CM81,CM$2:CM$111,0))&gt;0,_xlfn.MAXIFS(CN$1:CN80,CM$1:CM80,CM81)+1,_xlfn.RANK.EQ(CM81,CM$2:CM$111,0)),"")</f>
        <v/>
      </c>
      <c r="CO81" s="1" t="str">
        <f>IF(ISNUMBER(CM81)=TRUE,IF(_xlfn.RANK.EQ(CM81,$CM$2:$CM$111)&lt;='Tournament Setup'!$B$41,_xlfn.RANK.EQ(CM81,$CM$2:$CM$111),""),"")</f>
        <v/>
      </c>
      <c r="CP81" s="31" t="str">
        <f>IF(AND($G81='Tournament Setup'!$A$41,$E81="M",$CO81&gt;'Tournament Setup'!$B$41),$H81,"")</f>
        <v/>
      </c>
      <c r="CQ81" s="1" t="str">
        <f>IF(ISNUMBER(CP81)=TRUE,IF(_xlfn.RANK.EQ(CP81,$CP$2:$CP$111)&lt;='Tournament Setup'!$C$41,_xlfn.RANK.EQ(CP81,$CP$2:$CP$111),""),"")</f>
        <v/>
      </c>
      <c r="CR81" s="31" t="str">
        <f>IF(AND($G81='Tournament Setup'!$A$41,$E81="F",$CO81&gt;'Tournament Setup'!$B$41),$H81,"")</f>
        <v/>
      </c>
      <c r="CS81" s="12" t="str">
        <f>IF(ISNUMBER(CR81)=TRUE,IF(_xlfn.RANK.EQ(CR81,$CR$2:$CR$111)&lt;='Tournament Setup'!$D$41,_xlfn.RANK.EQ(CR81,$CR$2:$CR$111),""),"")</f>
        <v/>
      </c>
    </row>
    <row r="82" spans="2:97" x14ac:dyDescent="0.3">
      <c r="B82" t="str">
        <f>IFERROR(INDEX('Tournament List'!$B:$B,MATCH($A82,'Tournament List'!$A:$A,0)),"")</f>
        <v/>
      </c>
      <c r="C82" t="str">
        <f>IFERROR(INDEX('Tournament List'!$C:$C,MATCH($A82,'Tournament List'!$A:$A,0)),"")</f>
        <v/>
      </c>
      <c r="D82" t="str">
        <f t="shared" si="15"/>
        <v xml:space="preserve"> </v>
      </c>
      <c r="E82" s="1" t="str">
        <f>IFERROR(INDEX('Tournament List'!F:F,MATCH($A82,'Tournament List'!$A:$A,0)),"")</f>
        <v/>
      </c>
      <c r="F82" t="str">
        <f>IFERROR(INDEX('Tournament List'!M:M,MATCH($A82,'Tournament List'!$A:$A,0)),"")</f>
        <v/>
      </c>
      <c r="G82" s="1" t="str">
        <f>IFERROR(INDEX('Tournament List'!W:W,MATCH($A82,'Tournament List'!$A:$A,0)),"")</f>
        <v/>
      </c>
      <c r="H82" s="129" t="str">
        <f>IFERROR(INDEX('Tournament List'!Z:Z,MATCH($A82,'Tournament List'!$A:$A,0)),"")</f>
        <v/>
      </c>
      <c r="I82" s="152" t="str">
        <f>IFERROR(INDEX('Tournament List'!T:T,MATCH($A82,'Tournament List'!$A:$A,0)),"")</f>
        <v/>
      </c>
      <c r="J82" s="56" t="str">
        <f>IF(ISNUMBER(I82),IF(COUNTIFS(J$1:J71,_xlfn.RANK.EQ(I82,I$2:I$111,0))&gt;0,_xlfn.MAXIFS(J$1:J71,I$1:I71,I82)+1,_xlfn.RANK.EQ(I82,I$2:I$111,0)),"")</f>
        <v/>
      </c>
      <c r="K82" s="11" t="str">
        <f t="shared" si="16"/>
        <v/>
      </c>
      <c r="L82" s="56" t="str">
        <f>IF(ISNUMBER(H82),IF(COUNTIFS(L$1:L71,_xlfn.RANK.EQ(H82,H$2:H$111,0))&gt;0,_xlfn.MAXIFS(L$1:L71,H$1:H71,H82)+1,_xlfn.RANK.EQ(H82,H$2:H$111,0)),"")</f>
        <v/>
      </c>
      <c r="M82" s="151" t="str">
        <f t="shared" si="17"/>
        <v/>
      </c>
      <c r="N82" s="47" t="str">
        <f>IF(ISNUMBER(M82),IF(COUNTIFS(N$1:N71,_xlfn.RANK.EQ(M82,M$2:M$111,0))&gt;0,_xlfn.MAXIFS(N$1:N71,M$1:M71,M82)+1,_xlfn.RANK.EQ(M82,M$2:M$111,0)),"")</f>
        <v/>
      </c>
      <c r="O82" s="1" t="str">
        <f>IF(ISNUMBER(M82)=TRUE,IF(_xlfn.RANK.EQ(M82,$M$2:$M$111)&lt;='Tournament Setup'!$B$23,_xlfn.RANK.EQ(M82,$M$2:$M$111),""),"")</f>
        <v/>
      </c>
      <c r="P82" s="150" t="str">
        <f t="shared" si="18"/>
        <v/>
      </c>
      <c r="Q82" s="1" t="str">
        <f>IF(ISNUMBER(P82)=TRUE,IF(_xlfn.RANK.EQ(P82,$P$2:$P$111)&lt;='Tournament Setup'!$B$24,_xlfn.RANK.EQ(P82,$P$2:$P$111),""),"")</f>
        <v/>
      </c>
      <c r="R82" s="150" t="str">
        <f t="shared" si="19"/>
        <v/>
      </c>
      <c r="S82" s="12" t="str">
        <f>IF(ISNUMBER(R82)=TRUE,IF(_xlfn.RANK.EQ(R82,$R$2:$R$111)&lt;='Tournament Setup'!$B$25,_xlfn.RANK.EQ(R82,$R$2:$R$111),""),"")</f>
        <v/>
      </c>
      <c r="T82" s="152" t="str">
        <f>IF(AND($F82='Tournament Setup'!$A$29,$I82&lt;&gt;0),$I82,"")</f>
        <v/>
      </c>
      <c r="U82" s="47" t="str">
        <f>IF(ISNUMBER(T82),IF(COUNTIFS(U$1:U71,_xlfn.RANK.EQ(T82,T$2:T$111,0))&gt;0,_xlfn.MAXIFS(U$1:U71,T$1:T71,T82)+1,_xlfn.RANK.EQ(T82,T$2:T$111,0)),"")</f>
        <v/>
      </c>
      <c r="V82" s="1" t="str">
        <f>IF(ISNUMBER(T82)=TRUE,IF(_xlfn.RANK.EQ(T82,$T$3:$T$112)&lt;='Tournament Setup'!$B$46,_xlfn.RANK.EQ(T82,$T$2:$T$111),""),"")</f>
        <v/>
      </c>
      <c r="W82" s="30" t="str">
        <f>IF(AND($F82='Tournament Setup'!$A$29,SUM($O82,$Q82,$S82)=0),$H82,"")</f>
        <v/>
      </c>
      <c r="X82" s="47" t="str">
        <f>IF(ISNUMBER(W82),IF(COUNTIFS(X$1:X71,_xlfn.RANK.EQ(W82,W$2:W$111,0))&gt;0,_xlfn.MAXIFS(X$1:X71,W$1:W71,W82)+1,_xlfn.RANK.EQ(W82,W$2:W$111,0)),"")</f>
        <v/>
      </c>
      <c r="Y82" s="1" t="str">
        <f>IF(ISNUMBER(W82)=TRUE,IF(_xlfn.RANK.EQ(W82,$W$2:$W$111)&lt;='Tournament Setup'!$B$29,_xlfn.RANK.EQ(W82,$W$2:$W$111),""),"")</f>
        <v/>
      </c>
      <c r="Z82" s="31" t="str">
        <f>IF(AND($F82='Tournament Setup'!$A$29,SUM($O82,$Q82)=0,$E82="M",$Y82&gt;'Tournament Setup'!$B$29),$H82,"")</f>
        <v/>
      </c>
      <c r="AA82" s="1" t="str">
        <f>IF(ISNUMBER(Z82)=TRUE,IF(_xlfn.RANK.EQ(Z82,$Z$2:$Z$111)&lt;='Tournament Setup'!$C$29,_xlfn.RANK.EQ(Z82,$Z$2:$Z$111),""),"")</f>
        <v/>
      </c>
      <c r="AB82" s="31" t="str">
        <f>IF(AND($F82='Tournament Setup'!$A$29,SUM($O82,$S82)=0,$E82="F",$Y82&gt;'Tournament Setup'!$B$29),$H82,"")</f>
        <v/>
      </c>
      <c r="AC82" s="12" t="str">
        <f>IF(ISNUMBER(AB82)=TRUE,IF(_xlfn.RANK.EQ(AB82,$AB$2:$AB$111)&lt;='Tournament Setup'!$D$29,_xlfn.RANK.EQ(AB82,$AB$2:$AB$111),""),"")</f>
        <v/>
      </c>
      <c r="AD82" s="30" t="str">
        <f>IF(AND($F82='Tournament Setup'!$A$30,$I82&lt;&gt;0),$I82,"")</f>
        <v/>
      </c>
      <c r="AE82" s="47" t="str">
        <f>IF(ISNUMBER(AD82),IF(COUNTIFS(AE$1:AE71,_xlfn.RANK.EQ(AD82,AD$2:AD$111,0))&gt;0,_xlfn.MAXIFS(AE$1:AE71,AD$1:AD71,AD82)+1,_xlfn.RANK.EQ(AD82,AD$2:AD$111,0)),"")</f>
        <v/>
      </c>
      <c r="AF82" s="1" t="str">
        <f>IF(ISNUMBER(AD82)=TRUE,IF(_xlfn.RANK.EQ(AD82,$AD$2:$AD$111)&lt;='Tournament Setup'!$B$46,_xlfn.RANK.EQ(AD82,$AD$2:$AD$111),""),"")</f>
        <v/>
      </c>
      <c r="AG82" s="30" t="str">
        <f>IF(AND($F82='Tournament Setup'!$A$30,SUM($O82,$Q82,$S82)=0),$H82,"")</f>
        <v/>
      </c>
      <c r="AH82" s="47" t="str">
        <f>IF(ISNUMBER(AG82),IF(COUNTIFS(AH$1:AH71,_xlfn.RANK.EQ(AG82,AG$2:AG$111,0))&gt;0,_xlfn.MAXIFS(AH$1:AH71,AG$1:AG71,AG82)+1,_xlfn.RANK.EQ(AG82,AG$2:AG$111,0)),"")</f>
        <v/>
      </c>
      <c r="AI82" s="1" t="str">
        <f>IF(ISNUMBER(AG82)=TRUE,IF(_xlfn.RANK.EQ(AG82,$AG$2:$AG$111)&lt;='Tournament Setup'!$B$30,_xlfn.RANK.EQ(AG82,$AG$2:$AG$111),""),"")</f>
        <v/>
      </c>
      <c r="AJ82" s="31" t="str">
        <f>IF(AND($F82='Tournament Setup'!$A$30,SUM($O82,$Q82)=0,$E82="M",$AI82&gt;'Tournament Setup'!$B$30),$H82,"")</f>
        <v/>
      </c>
      <c r="AK82" s="1" t="str">
        <f>IF(ISNUMBER(AJ82)=TRUE,IF(_xlfn.RANK.EQ(AJ82,$AJ$2:$AJ$111)&lt;='Tournament Setup'!$C$30,_xlfn.RANK.EQ(AJ82,$AJ$2:$AJ$111),""),"")</f>
        <v/>
      </c>
      <c r="AL82" s="31" t="str">
        <f>IF(AND($F82='Tournament Setup'!$A$30,SUM($O82,$S82)=0,$E82="F",$AI82&gt;'Tournament Setup'!$B$30),$H82,"")</f>
        <v/>
      </c>
      <c r="AM82" s="12" t="str">
        <f>IF(ISNUMBER(AL82)=TRUE,IF(_xlfn.RANK.EQ(AL82,$AL$2:$AL$111)&lt;='Tournament Setup'!$D$30,_xlfn.RANK.EQ(AL82,$AL$2:$AL$111),""),"")</f>
        <v/>
      </c>
      <c r="AN82" s="30" t="str">
        <f>IF(AND($F82='Tournament Setup'!$A$31,$I82&lt;&gt;0),$I82,"")</f>
        <v/>
      </c>
      <c r="AO82" s="47" t="str">
        <f>IF(ISNUMBER(AN82),IF(COUNTIFS(AO$1:AO71,_xlfn.RANK.EQ(AN82,AN$2:AN$111,0))&gt;0,_xlfn.MAXIFS(AO$1:AO71,AN$1:AN71,AN82)+1,_xlfn.RANK.EQ(AN82,AN$2:AN$111,0)),"")</f>
        <v/>
      </c>
      <c r="AP82" s="1" t="str">
        <f>IF(ISNUMBER(AN82)=TRUE,IF(_xlfn.RANK.EQ(AN82,$AN$2:$AN$111)&lt;='Tournament Setup'!$B$46,_xlfn.RANK.EQ(AN82,$AN$2:$AN$111),""),"")</f>
        <v/>
      </c>
      <c r="AQ82" s="30" t="str">
        <f>IF(AND($F82='Tournament Setup'!$A$31,SUM($O82,$Q82,$S82)=0),$H82,"")</f>
        <v/>
      </c>
      <c r="AR82" s="47" t="str">
        <f>IF(ISNUMBER(AQ82),IF(COUNTIFS(AR$1:AR71,_xlfn.RANK.EQ(AQ82,AQ$2:AQ$111,0))&gt;0,_xlfn.MAXIFS(AR$1:AR71,AQ$1:AQ71,AQ82)+1,_xlfn.RANK.EQ(AQ82,AQ$2:AQ$111,0)),"")</f>
        <v/>
      </c>
      <c r="AS82" s="1" t="str">
        <f>IF(ISNUMBER(AQ82)=TRUE,IF(_xlfn.RANK.EQ(AQ82,$AQ$2:$AQ$111)&lt;='Tournament Setup'!$B$31,_xlfn.RANK.EQ(AQ82,$AQ$2:$AQ$111),""),"")</f>
        <v/>
      </c>
      <c r="AT82" s="31" t="str">
        <f>IF(AND($F82='Tournament Setup'!$A$31,SUM($O82,$Q82)=0,$E82="M",$AS82&gt;'Tournament Setup'!$B$31),$H82,"")</f>
        <v/>
      </c>
      <c r="AU82" s="1" t="str">
        <f>IF(ISNUMBER(AT82)=TRUE,IF(_xlfn.RANK.EQ(AT82,$AT$2:$AT$111)&lt;='Tournament Setup'!$C$31,_xlfn.RANK.EQ(AT82,$AT$2:$AT$111),""),"")</f>
        <v/>
      </c>
      <c r="AV82" s="31" t="str">
        <f>IF(AND($F82='Tournament Setup'!$A$31,SUM($O82,$S82)=0,$E82="F",$AS82&gt;'Tournament Setup'!$B$31),$H82,"")</f>
        <v/>
      </c>
      <c r="AW82" s="12" t="str">
        <f>IF(ISNUMBER(AV82)=TRUE,IF(_xlfn.RANK.EQ(AV82,$AV$2:$AV$111)&lt;='Tournament Setup'!$D$31,_xlfn.RANK.EQ(AV82,$AV$2:$AV$111),""),"")</f>
        <v/>
      </c>
      <c r="AX82" s="30" t="str">
        <f>IF(AND($F82='Tournament Setup'!$A$32,$I82&lt;&gt;0),$I82,"")</f>
        <v/>
      </c>
      <c r="AY82" s="47" t="str">
        <f>IF(ISNUMBER(AX82),IF(COUNTIFS(AY$1:AY71,_xlfn.RANK.EQ(AX82,AX$2:AX$111,0))&gt;0,_xlfn.MAXIFS(AY$1:AY71,AX$1:AX71,AX82)+1,_xlfn.RANK.EQ(AX82,AX$2:AX$111,0)),"")</f>
        <v/>
      </c>
      <c r="AZ82" s="1" t="str">
        <f>IF(ISNUMBER(AX82)=TRUE,IF(_xlfn.RANK.EQ(AX82,$AX$2:$AX$111)&lt;='Tournament Setup'!$B$46,_xlfn.RANK.EQ(AX82,$AX$2:$AX$111),""),"")</f>
        <v/>
      </c>
      <c r="BA82" s="30" t="str">
        <f>IF(AND($F82='Tournament Setup'!$A$32,SUM($O82,$Q82,$S82)=0),$H82,"")</f>
        <v/>
      </c>
      <c r="BB82" s="47" t="str">
        <f>IF(ISNUMBER(BA82),IF(COUNTIFS(BB$1:BB71,_xlfn.RANK.EQ(BA82,BA$2:BA$111,0))&gt;0,_xlfn.MAXIFS(BB$1:BB71,BA$1:BA71,BA82)+1,_xlfn.RANK.EQ(BA82,BA$2:BA$111,0)),"")</f>
        <v/>
      </c>
      <c r="BC82" s="1" t="str">
        <f>IF(ISNUMBER(BA82)=TRUE,IF(_xlfn.RANK.EQ(BA82,$BA$2:$BA$111)&lt;='Tournament Setup'!$B$32,_xlfn.RANK.EQ(BA82,$BA$2:$BA$111),""),"")</f>
        <v/>
      </c>
      <c r="BD82" s="31" t="str">
        <f>IF(AND($F82='Tournament Setup'!$A$32,SUM($O82,$Q82)=0,$E82="M",$BC82&gt;'Tournament Setup'!$B$32),$H82,"")</f>
        <v/>
      </c>
      <c r="BE82" s="1" t="str">
        <f>IF(ISNUMBER(BD82)=TRUE,IF(_xlfn.RANK.EQ(BD82,$BD$2:$BD$111)&lt;='Tournament Setup'!$C$32,_xlfn.RANK.EQ(BD82,$BD$2:$BD$111),""),"")</f>
        <v/>
      </c>
      <c r="BF82" s="31" t="str">
        <f>IF(AND($F82='Tournament Setup'!$A$32,SUM($O82,$S82)=0,$E82="F",$BC82&gt;'Tournament Setup'!$B$32),$H82,"")</f>
        <v/>
      </c>
      <c r="BG82" s="12" t="str">
        <f>IF(ISNUMBER(BF82)=TRUE,IF(_xlfn.RANK.EQ(BF82,$BF$2:$BF$111)&lt;='Tournament Setup'!$D$32,_xlfn.RANK.EQ(BF82,$BF$2:$BF$111),""),"")</f>
        <v/>
      </c>
      <c r="BH82" s="30" t="str">
        <f>IF(AND($F82='Tournament Setup'!$A$33,$I82&lt;&gt;0),$I82,"")</f>
        <v/>
      </c>
      <c r="BI82" s="47" t="str">
        <f>IF(ISNUMBER(BH82),IF(COUNTIFS(BI$1:BI71,_xlfn.RANK.EQ(BH82,BH$2:BH$111,0))&gt;0,_xlfn.MAXIFS(BI$1:BI71,BH$1:BH71,BH82)+1,_xlfn.RANK.EQ(BH82,BH$2:BH$111,0)),"")</f>
        <v/>
      </c>
      <c r="BJ82" s="1" t="str">
        <f>IF(ISNUMBER(BH82)=TRUE,IF(_xlfn.RANK.EQ(BH82,$BH$2:$BH$111)&lt;='Tournament Setup'!$B$46,_xlfn.RANK.EQ(BH82,$BH$2:$BH$111),""),"")</f>
        <v/>
      </c>
      <c r="BK82" s="30" t="str">
        <f>IF(AND($F82='Tournament Setup'!$A$33,SUM($O82,$Q82,$S82)=0),$H82,"")</f>
        <v/>
      </c>
      <c r="BL82" s="47" t="str">
        <f>IF(ISNUMBER(BK82),IF(COUNTIFS(BL$1:BL71,_xlfn.RANK.EQ(BK82,BK$2:BK$111,0))&gt;0,_xlfn.MAXIFS(BL$1:BL71,BK$1:BK71,BK82)+1,_xlfn.RANK.EQ(BK82,BK$2:BK$111,0)),"")</f>
        <v/>
      </c>
      <c r="BM82" s="1" t="str">
        <f>IF(ISNUMBER(BK82)=TRUE,IF(_xlfn.RANK.EQ(BK82,$BK$2:$BK$111)&lt;='Tournament Setup'!$B$33,_xlfn.RANK.EQ(BK82,$BK$2:$BK$111),""),"")</f>
        <v/>
      </c>
      <c r="BN82" s="31" t="str">
        <f>IF(AND($F82='Tournament Setup'!$A$33,SUM($O82,$Q82)=0,$E82="M",$BM82&gt;'Tournament Setup'!$B$33),$H82,"")</f>
        <v/>
      </c>
      <c r="BO82" s="1" t="str">
        <f>IF(ISNUMBER(BN82)=TRUE,IF(_xlfn.RANK.EQ(BN82,$BN$2:$BN$111)&lt;='Tournament Setup'!$C$33,_xlfn.RANK.EQ(BN82,$BN$2:$BN$111),""),"")</f>
        <v/>
      </c>
      <c r="BP82" s="31" t="str">
        <f>IF(AND($F82='Tournament Setup'!$A$33,SUM($O82,$S82)=0,$E82="F",$BM82&gt;'Tournament Setup'!$B$33),$H82,"")</f>
        <v/>
      </c>
      <c r="BQ82" s="12" t="str">
        <f>IF(ISNUMBER(BP82)=TRUE,IF(_xlfn.RANK.EQ(BP82,$BP$2:$BP$111)&lt;='Tournament Setup'!$D$33,_xlfn.RANK.EQ(BP82,$BP$2:$BP$111),""),"")</f>
        <v/>
      </c>
      <c r="BR82" s="30" t="str">
        <f>IF($G82='Tournament Setup'!$A$38,$H82,"")</f>
        <v/>
      </c>
      <c r="BS82" s="47" t="str">
        <f>IF(ISNUMBER(BR82),IF(COUNTIFS(BS$1:BS71,_xlfn.RANK.EQ(BR82,BR$2:BR$111,0))&gt;0,_xlfn.MAXIFS(BS$1:BS71,BR$1:BR71,BR82)+1,_xlfn.RANK.EQ(BR82,BR$2:BR$111,0)),"")</f>
        <v/>
      </c>
      <c r="BT82" s="1" t="str">
        <f>IF(ISNUMBER(BR82)=TRUE,IF(_xlfn.RANK.EQ(BR82,$BR$2:$BR$111)&lt;='Tournament Setup'!$B$38,_xlfn.RANK.EQ(BR82,$BR$2:$BR$111),""),"")</f>
        <v/>
      </c>
      <c r="BU82" s="31" t="str">
        <f>IF(AND($G82='Tournament Setup'!$A$38,$E82="M",$BT82&gt;'Tournament Setup'!$B$38),$H82,"")</f>
        <v/>
      </c>
      <c r="BV82" s="1" t="str">
        <f>IF(ISNUMBER(BU82)=TRUE,IF(_xlfn.RANK.EQ(BU82,$BU$2:$BU$111)&lt;='Tournament Setup'!$C$38,_xlfn.RANK.EQ(BU82,$BU$2:$BU$111),""),"")</f>
        <v/>
      </c>
      <c r="BW82" s="31" t="str">
        <f>IF(AND($G82='Tournament Setup'!$A$38,$E82="F",$BT82&gt;'Tournament Setup'!$B$38),$H82,"")</f>
        <v/>
      </c>
      <c r="BX82" s="12" t="str">
        <f>IF(ISNUMBER(BW82)=TRUE,IF(_xlfn.RANK.EQ(BW82,$BW$2:$BW$111)&lt;='Tournament Setup'!$D$38,_xlfn.RANK.EQ(BW82,$BW$2:$BW$111),""),"")</f>
        <v/>
      </c>
      <c r="BY82" s="30" t="str">
        <f>IF($G82='Tournament Setup'!$A$39,$H82,"")</f>
        <v/>
      </c>
      <c r="BZ82" s="47" t="str">
        <f>IF(ISNUMBER(BY82),IF(COUNTIFS(BZ$1:BZ71,_xlfn.RANK.EQ(BY82,BY$2:BY$111,0))&gt;0,_xlfn.MAXIFS(BZ$1:BZ71,BY$1:BY71,BY82)+1,_xlfn.RANK.EQ(BY82,BY$2:BY$111,0)),"")</f>
        <v/>
      </c>
      <c r="CA82" s="1" t="str">
        <f>IF(ISNUMBER(BY82)=TRUE,IF(_xlfn.RANK.EQ(BY82,$BY$2:$BY$111)&lt;='Tournament Setup'!$B$39,_xlfn.RANK.EQ(BY82,$BY$2:$BY$111),""),"")</f>
        <v/>
      </c>
      <c r="CB82" s="31" t="str">
        <f>IF(AND($G82='Tournament Setup'!$A$39,$E82="M",$CA82&gt;'Tournament Setup'!$B$39),$H82,"")</f>
        <v/>
      </c>
      <c r="CC82" s="1" t="str">
        <f>IF(ISNUMBER(CB82)=TRUE,IF(_xlfn.RANK.EQ(CB82,$CB$2:$CB$111)&lt;='Tournament Setup'!$C$39,_xlfn.RANK.EQ(CB82,$CB$2:$CB$111),""),"")</f>
        <v/>
      </c>
      <c r="CD82" s="31" t="str">
        <f>IF(AND($G82='Tournament Setup'!$A$39,$E82="F",$CA82&gt;'Tournament Setup'!$B$39),$H82,"")</f>
        <v/>
      </c>
      <c r="CE82" s="12" t="str">
        <f>IF(ISNUMBER(CD82)=TRUE,IF(_xlfn.RANK.EQ(CD82,$CD$2:$CD$111)&lt;='Tournament Setup'!$D$39,_xlfn.RANK.EQ(CD82,$CD$2:$CD$111),""),"")</f>
        <v/>
      </c>
      <c r="CF82" s="30" t="str">
        <f>IF($G82='Tournament Setup'!$A$40,$H82,"")</f>
        <v/>
      </c>
      <c r="CG82" s="47" t="str">
        <f>IF(ISNUMBER(CF82),IF(COUNTIFS(CG$1:CG71,_xlfn.RANK.EQ(CF82,CF$2:CF$111,0))&gt;0,_xlfn.MAXIFS(CG$1:CG71,CF$1:CF71,CF82)+1,_xlfn.RANK.EQ(CF82,CF$2:CF$111,0)),"")</f>
        <v/>
      </c>
      <c r="CH82" s="1" t="str">
        <f>IF(ISNUMBER(CF82)=TRUE,IF(_xlfn.RANK.EQ(CF82,$CF$2:$CF$111)&lt;='Tournament Setup'!$B$40,_xlfn.RANK.EQ(CF82,$CF$2:$CF$111),""),"")</f>
        <v/>
      </c>
      <c r="CI82" s="31" t="str">
        <f>IF(AND($G82='Tournament Setup'!$A$40,$E82="M",$CH82&gt;'Tournament Setup'!$B$40),$H82,"")</f>
        <v/>
      </c>
      <c r="CJ82" s="1" t="str">
        <f>IF(ISNUMBER(CI82)=TRUE,IF(_xlfn.RANK.EQ(CI82,$CI$2:$CI$111)&lt;='Tournament Setup'!$C$40,_xlfn.RANK.EQ(CI82,$CI$2:$CI$111),""),"")</f>
        <v/>
      </c>
      <c r="CK82" s="31" t="str">
        <f>IF(AND($G82='Tournament Setup'!$A$40,$E82="F",$CH82&gt;'Tournament Setup'!$B$40),$H82,"")</f>
        <v/>
      </c>
      <c r="CL82" s="12" t="str">
        <f>IF(ISNUMBER(CK82)=TRUE,IF(_xlfn.RANK.EQ(CK82,$CK$2:$CK$111)&lt;='Tournament Setup'!$D$40,_xlfn.RANK.EQ(CK82,$CK$2:$CK$111),""),"")</f>
        <v/>
      </c>
      <c r="CM82" s="30" t="str">
        <f>IF($G82='Tournament Setup'!$A$41,$H82,"")</f>
        <v/>
      </c>
      <c r="CN82" s="47" t="str">
        <f>IF(ISNUMBER(CM82),IF(COUNTIFS(CN$1:CN71,_xlfn.RANK.EQ(CM82,CM$2:CM$111,0))&gt;0,_xlfn.MAXIFS(CN$1:CN71,CM$1:CM71,CM82)+1,_xlfn.RANK.EQ(CM82,CM$2:CM$111,0)),"")</f>
        <v/>
      </c>
      <c r="CO82" s="1" t="str">
        <f>IF(ISNUMBER(CM82)=TRUE,IF(_xlfn.RANK.EQ(CM82,$CM$2:$CM$111)&lt;='Tournament Setup'!$B$41,_xlfn.RANK.EQ(CM82,$CM$2:$CM$111),""),"")</f>
        <v/>
      </c>
      <c r="CP82" s="31" t="str">
        <f>IF(AND($G82='Tournament Setup'!$A$41,$E82="M",$CO82&gt;'Tournament Setup'!$B$41),$H82,"")</f>
        <v/>
      </c>
      <c r="CQ82" s="1" t="str">
        <f>IF(ISNUMBER(CP82)=TRUE,IF(_xlfn.RANK.EQ(CP82,$CP$2:$CP$111)&lt;='Tournament Setup'!$C$41,_xlfn.RANK.EQ(CP82,$CP$2:$CP$111),""),"")</f>
        <v/>
      </c>
      <c r="CR82" s="31" t="str">
        <f>IF(AND($G82='Tournament Setup'!$A$41,$E82="F",$CO82&gt;'Tournament Setup'!$B$41),$H82,"")</f>
        <v/>
      </c>
      <c r="CS82" s="12" t="str">
        <f>IF(ISNUMBER(CR82)=TRUE,IF(_xlfn.RANK.EQ(CR82,$CR$2:$CR$111)&lt;='Tournament Setup'!$D$41,_xlfn.RANK.EQ(CR82,$CR$2:$CR$111),""),"")</f>
        <v/>
      </c>
    </row>
    <row r="83" spans="2:97" x14ac:dyDescent="0.3">
      <c r="B83" t="str">
        <f>IFERROR(INDEX('Tournament List'!$B:$B,MATCH($A83,'Tournament List'!$A:$A,0)),"")</f>
        <v/>
      </c>
      <c r="C83" t="str">
        <f>IFERROR(INDEX('Tournament List'!$C:$C,MATCH($A83,'Tournament List'!$A:$A,0)),"")</f>
        <v/>
      </c>
      <c r="D83" t="str">
        <f t="shared" si="15"/>
        <v xml:space="preserve"> </v>
      </c>
      <c r="E83" s="1" t="str">
        <f>IFERROR(INDEX('Tournament List'!F:F,MATCH($A83,'Tournament List'!$A:$A,0)),"")</f>
        <v/>
      </c>
      <c r="F83" t="str">
        <f>IFERROR(INDEX('Tournament List'!M:M,MATCH($A83,'Tournament List'!$A:$A,0)),"")</f>
        <v/>
      </c>
      <c r="G83" s="1" t="str">
        <f>IFERROR(INDEX('Tournament List'!W:W,MATCH($A83,'Tournament List'!$A:$A,0)),"")</f>
        <v/>
      </c>
      <c r="H83" s="129" t="str">
        <f>IFERROR(INDEX('Tournament List'!Z:Z,MATCH($A83,'Tournament List'!$A:$A,0)),"")</f>
        <v/>
      </c>
      <c r="I83" s="152" t="str">
        <f>IFERROR(INDEX('Tournament List'!T:T,MATCH($A83,'Tournament List'!$A:$A,0)),"")</f>
        <v/>
      </c>
      <c r="J83" s="56" t="str">
        <f>IF(ISNUMBER(I83),IF(COUNTIFS(J$1:J82,_xlfn.RANK.EQ(I83,I$2:I$111,0))&gt;0,_xlfn.MAXIFS(J$1:J82,I$1:I82,I83)+1,_xlfn.RANK.EQ(I83,I$2:I$111,0)),"")</f>
        <v/>
      </c>
      <c r="K83" s="11" t="str">
        <f t="shared" si="16"/>
        <v/>
      </c>
      <c r="L83" s="56" t="str">
        <f>IF(ISNUMBER(H83),IF(COUNTIFS(L$1:L82,_xlfn.RANK.EQ(H83,H$2:H$111,0))&gt;0,_xlfn.MAXIFS(L$1:L82,H$1:H82,H83)+1,_xlfn.RANK.EQ(H83,H$2:H$111,0)),"")</f>
        <v/>
      </c>
      <c r="M83" s="151" t="str">
        <f t="shared" si="17"/>
        <v/>
      </c>
      <c r="N83" s="47" t="str">
        <f>IF(ISNUMBER(M83),IF(COUNTIFS(N$1:N82,_xlfn.RANK.EQ(M83,M$2:M$111,0))&gt;0,_xlfn.MAXIFS(N$1:N82,M$1:M82,M83)+1,_xlfn.RANK.EQ(M83,M$2:M$111,0)),"")</f>
        <v/>
      </c>
      <c r="O83" s="1" t="str">
        <f>IF(ISNUMBER(M83)=TRUE,IF(_xlfn.RANK.EQ(M83,$M$2:$M$111)&lt;='Tournament Setup'!$B$23,_xlfn.RANK.EQ(M83,$M$2:$M$111),""),"")</f>
        <v/>
      </c>
      <c r="P83" s="150" t="str">
        <f t="shared" si="18"/>
        <v/>
      </c>
      <c r="Q83" s="1" t="str">
        <f>IF(ISNUMBER(P83)=TRUE,IF(_xlfn.RANK.EQ(P83,$P$2:$P$111)&lt;='Tournament Setup'!$B$24,_xlfn.RANK.EQ(P83,$P$2:$P$111),""),"")</f>
        <v/>
      </c>
      <c r="R83" s="150" t="str">
        <f t="shared" si="19"/>
        <v/>
      </c>
      <c r="S83" s="12" t="str">
        <f>IF(ISNUMBER(R83)=TRUE,IF(_xlfn.RANK.EQ(R83,$R$2:$R$111)&lt;='Tournament Setup'!$B$25,_xlfn.RANK.EQ(R83,$R$2:$R$111),""),"")</f>
        <v/>
      </c>
      <c r="T83" s="152" t="str">
        <f>IF(AND($F83='Tournament Setup'!$A$29,$I83&lt;&gt;0),$I83,"")</f>
        <v/>
      </c>
      <c r="U83" s="47" t="str">
        <f>IF(ISNUMBER(T83),IF(COUNTIFS(U$1:U82,_xlfn.RANK.EQ(T83,T$2:T$111,0))&gt;0,_xlfn.MAXIFS(U$1:U82,T$1:T82,T83)+1,_xlfn.RANK.EQ(T83,T$2:T$111,0)),"")</f>
        <v/>
      </c>
      <c r="V83" s="1" t="str">
        <f>IF(ISNUMBER(T83)=TRUE,IF(_xlfn.RANK.EQ(T83,$T$3:$T$112)&lt;='Tournament Setup'!$B$46,_xlfn.RANK.EQ(T83,$T$2:$T$111),""),"")</f>
        <v/>
      </c>
      <c r="W83" s="30" t="str">
        <f>IF(AND($F83='Tournament Setup'!$A$29,SUM($O83,$Q83,$S83)=0),$H83,"")</f>
        <v/>
      </c>
      <c r="X83" s="47" t="str">
        <f>IF(ISNUMBER(W83),IF(COUNTIFS(X$1:X82,_xlfn.RANK.EQ(W83,W$2:W$111,0))&gt;0,_xlfn.MAXIFS(X$1:X82,W$1:W82,W83)+1,_xlfn.RANK.EQ(W83,W$2:W$111,0)),"")</f>
        <v/>
      </c>
      <c r="Y83" s="1" t="str">
        <f>IF(ISNUMBER(W83)=TRUE,IF(_xlfn.RANK.EQ(W83,$W$2:$W$111)&lt;='Tournament Setup'!$B$29,_xlfn.RANK.EQ(W83,$W$2:$W$111),""),"")</f>
        <v/>
      </c>
      <c r="Z83" s="31" t="str">
        <f>IF(AND($F83='Tournament Setup'!$A$29,SUM($O83,$Q83)=0,$E83="M",$Y83&gt;'Tournament Setup'!$B$29),$H83,"")</f>
        <v/>
      </c>
      <c r="AA83" s="1" t="str">
        <f>IF(ISNUMBER(Z83)=TRUE,IF(_xlfn.RANK.EQ(Z83,$Z$2:$Z$111)&lt;='Tournament Setup'!$C$29,_xlfn.RANK.EQ(Z83,$Z$2:$Z$111),""),"")</f>
        <v/>
      </c>
      <c r="AB83" s="31" t="str">
        <f>IF(AND($F83='Tournament Setup'!$A$29,SUM($O83,$S83)=0,$E83="F",$Y83&gt;'Tournament Setup'!$B$29),$H83,"")</f>
        <v/>
      </c>
      <c r="AC83" s="12" t="str">
        <f>IF(ISNUMBER(AB83)=TRUE,IF(_xlfn.RANK.EQ(AB83,$AB$2:$AB$111)&lt;='Tournament Setup'!$D$29,_xlfn.RANK.EQ(AB83,$AB$2:$AB$111),""),"")</f>
        <v/>
      </c>
      <c r="AD83" s="30" t="str">
        <f>IF(AND($F83='Tournament Setup'!$A$30,$I83&lt;&gt;0),$I83,"")</f>
        <v/>
      </c>
      <c r="AE83" s="47" t="str">
        <f>IF(ISNUMBER(AD83),IF(COUNTIFS(AE$1:AE82,_xlfn.RANK.EQ(AD83,AD$2:AD$111,0))&gt;0,_xlfn.MAXIFS(AE$1:AE82,AD$1:AD82,AD83)+1,_xlfn.RANK.EQ(AD83,AD$2:AD$111,0)),"")</f>
        <v/>
      </c>
      <c r="AF83" s="1" t="str">
        <f>IF(ISNUMBER(AD83)=TRUE,IF(_xlfn.RANK.EQ(AD83,$AD$2:$AD$111)&lt;='Tournament Setup'!$B$46,_xlfn.RANK.EQ(AD83,$AD$2:$AD$111),""),"")</f>
        <v/>
      </c>
      <c r="AG83" s="30" t="str">
        <f>IF(AND($F83='Tournament Setup'!$A$30,SUM($O83,$Q83,$S83)=0),$H83,"")</f>
        <v/>
      </c>
      <c r="AH83" s="47" t="str">
        <f>IF(ISNUMBER(AG83),IF(COUNTIFS(AH$1:AH82,_xlfn.RANK.EQ(AG83,AG$2:AG$111,0))&gt;0,_xlfn.MAXIFS(AH$1:AH82,AG$1:AG82,AG83)+1,_xlfn.RANK.EQ(AG83,AG$2:AG$111,0)),"")</f>
        <v/>
      </c>
      <c r="AI83" s="1" t="str">
        <f>IF(ISNUMBER(AG83)=TRUE,IF(_xlfn.RANK.EQ(AG83,$AG$2:$AG$111)&lt;='Tournament Setup'!$B$30,_xlfn.RANK.EQ(AG83,$AG$2:$AG$111),""),"")</f>
        <v/>
      </c>
      <c r="AJ83" s="31" t="str">
        <f>IF(AND($F83='Tournament Setup'!$A$30,SUM($O83,$Q83)=0,$E83="M",$AI83&gt;'Tournament Setup'!$B$30),$H83,"")</f>
        <v/>
      </c>
      <c r="AK83" s="1" t="str">
        <f>IF(ISNUMBER(AJ83)=TRUE,IF(_xlfn.RANK.EQ(AJ83,$AJ$2:$AJ$111)&lt;='Tournament Setup'!$C$30,_xlfn.RANK.EQ(AJ83,$AJ$2:$AJ$111),""),"")</f>
        <v/>
      </c>
      <c r="AL83" s="31" t="str">
        <f>IF(AND($F83='Tournament Setup'!$A$30,SUM($O83,$S83)=0,$E83="F",$AI83&gt;'Tournament Setup'!$B$30),$H83,"")</f>
        <v/>
      </c>
      <c r="AM83" s="12" t="str">
        <f>IF(ISNUMBER(AL83)=TRUE,IF(_xlfn.RANK.EQ(AL83,$AL$2:$AL$111)&lt;='Tournament Setup'!$D$30,_xlfn.RANK.EQ(AL83,$AL$2:$AL$111),""),"")</f>
        <v/>
      </c>
      <c r="AN83" s="30" t="str">
        <f>IF(AND($F83='Tournament Setup'!$A$31,$I83&lt;&gt;0),$I83,"")</f>
        <v/>
      </c>
      <c r="AO83" s="47" t="str">
        <f>IF(ISNUMBER(AN83),IF(COUNTIFS(AO$1:AO82,_xlfn.RANK.EQ(AN83,AN$2:AN$111,0))&gt;0,_xlfn.MAXIFS(AO$1:AO82,AN$1:AN82,AN83)+1,_xlfn.RANK.EQ(AN83,AN$2:AN$111,0)),"")</f>
        <v/>
      </c>
      <c r="AP83" s="1" t="str">
        <f>IF(ISNUMBER(AN83)=TRUE,IF(_xlfn.RANK.EQ(AN83,$AN$2:$AN$111)&lt;='Tournament Setup'!$B$46,_xlfn.RANK.EQ(AN83,$AN$2:$AN$111),""),"")</f>
        <v/>
      </c>
      <c r="AQ83" s="30" t="str">
        <f>IF(AND($F83='Tournament Setup'!$A$31,SUM($O83,$Q83,$S83)=0),$H83,"")</f>
        <v/>
      </c>
      <c r="AR83" s="47" t="str">
        <f>IF(ISNUMBER(AQ83),IF(COUNTIFS(AR$1:AR82,_xlfn.RANK.EQ(AQ83,AQ$2:AQ$111,0))&gt;0,_xlfn.MAXIFS(AR$1:AR82,AQ$1:AQ82,AQ83)+1,_xlfn.RANK.EQ(AQ83,AQ$2:AQ$111,0)),"")</f>
        <v/>
      </c>
      <c r="AS83" s="1" t="str">
        <f>IF(ISNUMBER(AQ83)=TRUE,IF(_xlfn.RANK.EQ(AQ83,$AQ$2:$AQ$111)&lt;='Tournament Setup'!$B$31,_xlfn.RANK.EQ(AQ83,$AQ$2:$AQ$111),""),"")</f>
        <v/>
      </c>
      <c r="AT83" s="31" t="str">
        <f>IF(AND($F83='Tournament Setup'!$A$31,SUM($O83,$Q83)=0,$E83="M",$AS83&gt;'Tournament Setup'!$B$31),$H83,"")</f>
        <v/>
      </c>
      <c r="AU83" s="1" t="str">
        <f>IF(ISNUMBER(AT83)=TRUE,IF(_xlfn.RANK.EQ(AT83,$AT$2:$AT$111)&lt;='Tournament Setup'!$C$31,_xlfn.RANK.EQ(AT83,$AT$2:$AT$111),""),"")</f>
        <v/>
      </c>
      <c r="AV83" s="31" t="str">
        <f>IF(AND($F83='Tournament Setup'!$A$31,SUM($O83,$S83)=0,$E83="F",$AS83&gt;'Tournament Setup'!$B$31),$H83,"")</f>
        <v/>
      </c>
      <c r="AW83" s="12" t="str">
        <f>IF(ISNUMBER(AV83)=TRUE,IF(_xlfn.RANK.EQ(AV83,$AV$2:$AV$111)&lt;='Tournament Setup'!$D$31,_xlfn.RANK.EQ(AV83,$AV$2:$AV$111),""),"")</f>
        <v/>
      </c>
      <c r="AX83" s="30" t="str">
        <f>IF(AND($F83='Tournament Setup'!$A$32,$I83&lt;&gt;0),$I83,"")</f>
        <v/>
      </c>
      <c r="AY83" s="47" t="str">
        <f>IF(ISNUMBER(AX83),IF(COUNTIFS(AY$1:AY82,_xlfn.RANK.EQ(AX83,AX$2:AX$111,0))&gt;0,_xlfn.MAXIFS(AY$1:AY82,AX$1:AX82,AX83)+1,_xlfn.RANK.EQ(AX83,AX$2:AX$111,0)),"")</f>
        <v/>
      </c>
      <c r="AZ83" s="1" t="str">
        <f>IF(ISNUMBER(AX83)=TRUE,IF(_xlfn.RANK.EQ(AX83,$AX$2:$AX$111)&lt;='Tournament Setup'!$B$46,_xlfn.RANK.EQ(AX83,$AX$2:$AX$111),""),"")</f>
        <v/>
      </c>
      <c r="BA83" s="30" t="str">
        <f>IF(AND($F83='Tournament Setup'!$A$32,SUM($O83,$Q83,$S83)=0),$H83,"")</f>
        <v/>
      </c>
      <c r="BB83" s="47" t="str">
        <f>IF(ISNUMBER(BA83),IF(COUNTIFS(BB$1:BB82,_xlfn.RANK.EQ(BA83,BA$2:BA$111,0))&gt;0,_xlfn.MAXIFS(BB$1:BB82,BA$1:BA82,BA83)+1,_xlfn.RANK.EQ(BA83,BA$2:BA$111,0)),"")</f>
        <v/>
      </c>
      <c r="BC83" s="1" t="str">
        <f>IF(ISNUMBER(BA83)=TRUE,IF(_xlfn.RANK.EQ(BA83,$BA$2:$BA$111)&lt;='Tournament Setup'!$B$32,_xlfn.RANK.EQ(BA83,$BA$2:$BA$111),""),"")</f>
        <v/>
      </c>
      <c r="BD83" s="31" t="str">
        <f>IF(AND($F83='Tournament Setup'!$A$32,SUM($O83,$Q83)=0,$E83="M",$BC83&gt;'Tournament Setup'!$B$32),$H83,"")</f>
        <v/>
      </c>
      <c r="BE83" s="1" t="str">
        <f>IF(ISNUMBER(BD83)=TRUE,IF(_xlfn.RANK.EQ(BD83,$BD$2:$BD$111)&lt;='Tournament Setup'!$C$32,_xlfn.RANK.EQ(BD83,$BD$2:$BD$111),""),"")</f>
        <v/>
      </c>
      <c r="BF83" s="31" t="str">
        <f>IF(AND($F83='Tournament Setup'!$A$32,SUM($O83,$S83)=0,$E83="F",$BC83&gt;'Tournament Setup'!$B$32),$H83,"")</f>
        <v/>
      </c>
      <c r="BG83" s="12" t="str">
        <f>IF(ISNUMBER(BF83)=TRUE,IF(_xlfn.RANK.EQ(BF83,$BF$2:$BF$111)&lt;='Tournament Setup'!$D$32,_xlfn.RANK.EQ(BF83,$BF$2:$BF$111),""),"")</f>
        <v/>
      </c>
      <c r="BH83" s="30" t="str">
        <f>IF(AND($F83='Tournament Setup'!$A$33,$I83&lt;&gt;0),$I83,"")</f>
        <v/>
      </c>
      <c r="BI83" s="47" t="str">
        <f>IF(ISNUMBER(BH83),IF(COUNTIFS(BI$1:BI82,_xlfn.RANK.EQ(BH83,BH$2:BH$111,0))&gt;0,_xlfn.MAXIFS(BI$1:BI82,BH$1:BH82,BH83)+1,_xlfn.RANK.EQ(BH83,BH$2:BH$111,0)),"")</f>
        <v/>
      </c>
      <c r="BJ83" s="1" t="str">
        <f>IF(ISNUMBER(BH83)=TRUE,IF(_xlfn.RANK.EQ(BH83,$BH$2:$BH$111)&lt;='Tournament Setup'!$B$46,_xlfn.RANK.EQ(BH83,$BH$2:$BH$111),""),"")</f>
        <v/>
      </c>
      <c r="BK83" s="30" t="str">
        <f>IF(AND($F83='Tournament Setup'!$A$33,SUM($O83,$Q83,$S83)=0),$H83,"")</f>
        <v/>
      </c>
      <c r="BL83" s="47" t="str">
        <f>IF(ISNUMBER(BK83),IF(COUNTIFS(BL$1:BL82,_xlfn.RANK.EQ(BK83,BK$2:BK$111,0))&gt;0,_xlfn.MAXIFS(BL$1:BL82,BK$1:BK82,BK83)+1,_xlfn.RANK.EQ(BK83,BK$2:BK$111,0)),"")</f>
        <v/>
      </c>
      <c r="BM83" s="1" t="str">
        <f>IF(ISNUMBER(BK83)=TRUE,IF(_xlfn.RANK.EQ(BK83,$BK$2:$BK$111)&lt;='Tournament Setup'!$B$33,_xlfn.RANK.EQ(BK83,$BK$2:$BK$111),""),"")</f>
        <v/>
      </c>
      <c r="BN83" s="31" t="str">
        <f>IF(AND($F83='Tournament Setup'!$A$33,SUM($O83,$Q83)=0,$E83="M",$BM83&gt;'Tournament Setup'!$B$33),$H83,"")</f>
        <v/>
      </c>
      <c r="BO83" s="1" t="str">
        <f>IF(ISNUMBER(BN83)=TRUE,IF(_xlfn.RANK.EQ(BN83,$BN$2:$BN$111)&lt;='Tournament Setup'!$C$33,_xlfn.RANK.EQ(BN83,$BN$2:$BN$111),""),"")</f>
        <v/>
      </c>
      <c r="BP83" s="31" t="str">
        <f>IF(AND($F83='Tournament Setup'!$A$33,SUM($O83,$S83)=0,$E83="F",$BM83&gt;'Tournament Setup'!$B$33),$H83,"")</f>
        <v/>
      </c>
      <c r="BQ83" s="12" t="str">
        <f>IF(ISNUMBER(BP83)=TRUE,IF(_xlfn.RANK.EQ(BP83,$BP$2:$BP$111)&lt;='Tournament Setup'!$D$33,_xlfn.RANK.EQ(BP83,$BP$2:$BP$111),""),"")</f>
        <v/>
      </c>
      <c r="BR83" s="30" t="str">
        <f>IF($G83='Tournament Setup'!$A$38,$H83,"")</f>
        <v/>
      </c>
      <c r="BS83" s="47" t="str">
        <f>IF(ISNUMBER(BR83),IF(COUNTIFS(BS$1:BS82,_xlfn.RANK.EQ(BR83,BR$2:BR$111,0))&gt;0,_xlfn.MAXIFS(BS$1:BS82,BR$1:BR82,BR83)+1,_xlfn.RANK.EQ(BR83,BR$2:BR$111,0)),"")</f>
        <v/>
      </c>
      <c r="BT83" s="1" t="str">
        <f>IF(ISNUMBER(BR83)=TRUE,IF(_xlfn.RANK.EQ(BR83,$BR$2:$BR$111)&lt;='Tournament Setup'!$B$38,_xlfn.RANK.EQ(BR83,$BR$2:$BR$111),""),"")</f>
        <v/>
      </c>
      <c r="BU83" s="31" t="str">
        <f>IF(AND($G83='Tournament Setup'!$A$38,$E83="M",$BT83&gt;'Tournament Setup'!$B$38),$H83,"")</f>
        <v/>
      </c>
      <c r="BV83" s="1" t="str">
        <f>IF(ISNUMBER(BU83)=TRUE,IF(_xlfn.RANK.EQ(BU83,$BU$2:$BU$111)&lt;='Tournament Setup'!$C$38,_xlfn.RANK.EQ(BU83,$BU$2:$BU$111),""),"")</f>
        <v/>
      </c>
      <c r="BW83" s="31" t="str">
        <f>IF(AND($G83='Tournament Setup'!$A$38,$E83="F",$BT83&gt;'Tournament Setup'!$B$38),$H83,"")</f>
        <v/>
      </c>
      <c r="BX83" s="12" t="str">
        <f>IF(ISNUMBER(BW83)=TRUE,IF(_xlfn.RANK.EQ(BW83,$BW$2:$BW$111)&lt;='Tournament Setup'!$D$38,_xlfn.RANK.EQ(BW83,$BW$2:$BW$111),""),"")</f>
        <v/>
      </c>
      <c r="BY83" s="30" t="str">
        <f>IF($G83='Tournament Setup'!$A$39,$H83,"")</f>
        <v/>
      </c>
      <c r="BZ83" s="47" t="str">
        <f>IF(ISNUMBER(BY83),IF(COUNTIFS(BZ$1:BZ82,_xlfn.RANK.EQ(BY83,BY$2:BY$111,0))&gt;0,_xlfn.MAXIFS(BZ$1:BZ82,BY$1:BY82,BY83)+1,_xlfn.RANK.EQ(BY83,BY$2:BY$111,0)),"")</f>
        <v/>
      </c>
      <c r="CA83" s="1" t="str">
        <f>IF(ISNUMBER(BY83)=TRUE,IF(_xlfn.RANK.EQ(BY83,$BY$2:$BY$111)&lt;='Tournament Setup'!$B$39,_xlfn.RANK.EQ(BY83,$BY$2:$BY$111),""),"")</f>
        <v/>
      </c>
      <c r="CB83" s="31" t="str">
        <f>IF(AND($G83='Tournament Setup'!$A$39,$E83="M",$CA83&gt;'Tournament Setup'!$B$39),$H83,"")</f>
        <v/>
      </c>
      <c r="CC83" s="1" t="str">
        <f>IF(ISNUMBER(CB83)=TRUE,IF(_xlfn.RANK.EQ(CB83,$CB$2:$CB$111)&lt;='Tournament Setup'!$C$39,_xlfn.RANK.EQ(CB83,$CB$2:$CB$111),""),"")</f>
        <v/>
      </c>
      <c r="CD83" s="31" t="str">
        <f>IF(AND($G83='Tournament Setup'!$A$39,$E83="F",$CA83&gt;'Tournament Setup'!$B$39),$H83,"")</f>
        <v/>
      </c>
      <c r="CE83" s="12" t="str">
        <f>IF(ISNUMBER(CD83)=TRUE,IF(_xlfn.RANK.EQ(CD83,$CD$2:$CD$111)&lt;='Tournament Setup'!$D$39,_xlfn.RANK.EQ(CD83,$CD$2:$CD$111),""),"")</f>
        <v/>
      </c>
      <c r="CF83" s="30" t="str">
        <f>IF($G83='Tournament Setup'!$A$40,$H83,"")</f>
        <v/>
      </c>
      <c r="CG83" s="47" t="str">
        <f>IF(ISNUMBER(CF83),IF(COUNTIFS(CG$1:CG82,_xlfn.RANK.EQ(CF83,CF$2:CF$111,0))&gt;0,_xlfn.MAXIFS(CG$1:CG82,CF$1:CF82,CF83)+1,_xlfn.RANK.EQ(CF83,CF$2:CF$111,0)),"")</f>
        <v/>
      </c>
      <c r="CH83" s="1" t="str">
        <f>IF(ISNUMBER(CF83)=TRUE,IF(_xlfn.RANK.EQ(CF83,$CF$2:$CF$111)&lt;='Tournament Setup'!$B$40,_xlfn.RANK.EQ(CF83,$CF$2:$CF$111),""),"")</f>
        <v/>
      </c>
      <c r="CI83" s="31" t="str">
        <f>IF(AND($G83='Tournament Setup'!$A$40,$E83="M",$CH83&gt;'Tournament Setup'!$B$40),$H83,"")</f>
        <v/>
      </c>
      <c r="CJ83" s="1" t="str">
        <f>IF(ISNUMBER(CI83)=TRUE,IF(_xlfn.RANK.EQ(CI83,$CI$2:$CI$111)&lt;='Tournament Setup'!$C$40,_xlfn.RANK.EQ(CI83,$CI$2:$CI$111),""),"")</f>
        <v/>
      </c>
      <c r="CK83" s="31" t="str">
        <f>IF(AND($G83='Tournament Setup'!$A$40,$E83="F",$CH83&gt;'Tournament Setup'!$B$40),$H83,"")</f>
        <v/>
      </c>
      <c r="CL83" s="12" t="str">
        <f>IF(ISNUMBER(CK83)=TRUE,IF(_xlfn.RANK.EQ(CK83,$CK$2:$CK$111)&lt;='Tournament Setup'!$D$40,_xlfn.RANK.EQ(CK83,$CK$2:$CK$111),""),"")</f>
        <v/>
      </c>
      <c r="CM83" s="30" t="str">
        <f>IF($G83='Tournament Setup'!$A$41,$H83,"")</f>
        <v/>
      </c>
      <c r="CN83" s="47" t="str">
        <f>IF(ISNUMBER(CM83),IF(COUNTIFS(CN$1:CN82,_xlfn.RANK.EQ(CM83,CM$2:CM$111,0))&gt;0,_xlfn.MAXIFS(CN$1:CN82,CM$1:CM82,CM83)+1,_xlfn.RANK.EQ(CM83,CM$2:CM$111,0)),"")</f>
        <v/>
      </c>
      <c r="CO83" s="1" t="str">
        <f>IF(ISNUMBER(CM83)=TRUE,IF(_xlfn.RANK.EQ(CM83,$CM$2:$CM$111)&lt;='Tournament Setup'!$B$41,_xlfn.RANK.EQ(CM83,$CM$2:$CM$111),""),"")</f>
        <v/>
      </c>
      <c r="CP83" s="31" t="str">
        <f>IF(AND($G83='Tournament Setup'!$A$41,$E83="M",$CO83&gt;'Tournament Setup'!$B$41),$H83,"")</f>
        <v/>
      </c>
      <c r="CQ83" s="1" t="str">
        <f>IF(ISNUMBER(CP83)=TRUE,IF(_xlfn.RANK.EQ(CP83,$CP$2:$CP$111)&lt;='Tournament Setup'!$C$41,_xlfn.RANK.EQ(CP83,$CP$2:$CP$111),""),"")</f>
        <v/>
      </c>
      <c r="CR83" s="31" t="str">
        <f>IF(AND($G83='Tournament Setup'!$A$41,$E83="F",$CO83&gt;'Tournament Setup'!$B$41),$H83,"")</f>
        <v/>
      </c>
      <c r="CS83" s="12" t="str">
        <f>IF(ISNUMBER(CR83)=TRUE,IF(_xlfn.RANK.EQ(CR83,$CR$2:$CR$111)&lt;='Tournament Setup'!$D$41,_xlfn.RANK.EQ(CR83,$CR$2:$CR$111),""),"")</f>
        <v/>
      </c>
    </row>
    <row r="84" spans="2:97" x14ac:dyDescent="0.3">
      <c r="B84" t="str">
        <f>IFERROR(INDEX('Tournament List'!$B:$B,MATCH($A84,'Tournament List'!$A:$A,0)),"")</f>
        <v/>
      </c>
      <c r="C84" t="str">
        <f>IFERROR(INDEX('Tournament List'!$C:$C,MATCH($A84,'Tournament List'!$A:$A,0)),"")</f>
        <v/>
      </c>
      <c r="D84" t="str">
        <f t="shared" si="15"/>
        <v xml:space="preserve"> </v>
      </c>
      <c r="E84" s="1" t="str">
        <f>IFERROR(INDEX('Tournament List'!F:F,MATCH($A84,'Tournament List'!$A:$A,0)),"")</f>
        <v/>
      </c>
      <c r="F84" t="str">
        <f>IFERROR(INDEX('Tournament List'!M:M,MATCH($A84,'Tournament List'!$A:$A,0)),"")</f>
        <v/>
      </c>
      <c r="G84" s="1" t="str">
        <f>IFERROR(INDEX('Tournament List'!W:W,MATCH($A84,'Tournament List'!$A:$A,0)),"")</f>
        <v/>
      </c>
      <c r="H84" s="129" t="str">
        <f>IFERROR(INDEX('Tournament List'!Z:Z,MATCH($A84,'Tournament List'!$A:$A,0)),"")</f>
        <v/>
      </c>
      <c r="I84" s="152" t="str">
        <f>IFERROR(INDEX('Tournament List'!T:T,MATCH($A84,'Tournament List'!$A:$A,0)),"")</f>
        <v/>
      </c>
      <c r="J84" s="56" t="str">
        <f>IF(ISNUMBER(I84),IF(COUNTIFS(J$1:J83,_xlfn.RANK.EQ(I84,I$2:I$111,0))&gt;0,_xlfn.MAXIFS(J$1:J83,I$1:I83,I84)+1,_xlfn.RANK.EQ(I84,I$2:I$111,0)),"")</f>
        <v/>
      </c>
      <c r="K84" s="11" t="str">
        <f t="shared" si="16"/>
        <v/>
      </c>
      <c r="L84" s="56" t="str">
        <f>IF(ISNUMBER(H84),IF(COUNTIFS(L$1:L83,_xlfn.RANK.EQ(H84,H$2:H$111,0))&gt;0,_xlfn.MAXIFS(L$1:L83,H$1:H83,H84)+1,_xlfn.RANK.EQ(H84,H$2:H$111,0)),"")</f>
        <v/>
      </c>
      <c r="M84" s="151" t="str">
        <f t="shared" si="17"/>
        <v/>
      </c>
      <c r="N84" s="47" t="str">
        <f>IF(ISNUMBER(M84),IF(COUNTIFS(N$1:N83,_xlfn.RANK.EQ(M84,M$2:M$111,0))&gt;0,_xlfn.MAXIFS(N$1:N83,M$1:M83,M84)+1,_xlfn.RANK.EQ(M84,M$2:M$111,0)),"")</f>
        <v/>
      </c>
      <c r="O84" s="1" t="str">
        <f>IF(ISNUMBER(M84)=TRUE,IF(_xlfn.RANK.EQ(M84,$M$2:$M$111)&lt;='Tournament Setup'!$B$23,_xlfn.RANK.EQ(M84,$M$2:$M$111),""),"")</f>
        <v/>
      </c>
      <c r="P84" s="150" t="str">
        <f t="shared" si="18"/>
        <v/>
      </c>
      <c r="Q84" s="1" t="str">
        <f>IF(ISNUMBER(P84)=TRUE,IF(_xlfn.RANK.EQ(P84,$P$2:$P$111)&lt;='Tournament Setup'!$B$24,_xlfn.RANK.EQ(P84,$P$2:$P$111),""),"")</f>
        <v/>
      </c>
      <c r="R84" s="150" t="str">
        <f t="shared" si="19"/>
        <v/>
      </c>
      <c r="S84" s="12" t="str">
        <f>IF(ISNUMBER(R84)=TRUE,IF(_xlfn.RANK.EQ(R84,$R$2:$R$111)&lt;='Tournament Setup'!$B$25,_xlfn.RANK.EQ(R84,$R$2:$R$111),""),"")</f>
        <v/>
      </c>
      <c r="T84" s="152" t="str">
        <f>IF(AND($F84='Tournament Setup'!$A$29,$I84&lt;&gt;0),$I84,"")</f>
        <v/>
      </c>
      <c r="U84" s="47" t="str">
        <f>IF(ISNUMBER(T84),IF(COUNTIFS(U$1:U83,_xlfn.RANK.EQ(T84,T$2:T$111,0))&gt;0,_xlfn.MAXIFS(U$1:U83,T$1:T83,T84)+1,_xlfn.RANK.EQ(T84,T$2:T$111,0)),"")</f>
        <v/>
      </c>
      <c r="V84" s="1" t="str">
        <f>IF(ISNUMBER(T84)=TRUE,IF(_xlfn.RANK.EQ(T84,$T$3:$T$112)&lt;='Tournament Setup'!$B$46,_xlfn.RANK.EQ(T84,$T$2:$T$111),""),"")</f>
        <v/>
      </c>
      <c r="W84" s="30" t="str">
        <f>IF(AND($F84='Tournament Setup'!$A$29,SUM($O84,$Q84,$S84)=0),$H84,"")</f>
        <v/>
      </c>
      <c r="X84" s="47" t="str">
        <f>IF(ISNUMBER(W84),IF(COUNTIFS(X$1:X83,_xlfn.RANK.EQ(W84,W$2:W$111,0))&gt;0,_xlfn.MAXIFS(X$1:X83,W$1:W83,W84)+1,_xlfn.RANK.EQ(W84,W$2:W$111,0)),"")</f>
        <v/>
      </c>
      <c r="Y84" s="1" t="str">
        <f>IF(ISNUMBER(W84)=TRUE,IF(_xlfn.RANK.EQ(W84,$W$2:$W$111)&lt;='Tournament Setup'!$B$29,_xlfn.RANK.EQ(W84,$W$2:$W$111),""),"")</f>
        <v/>
      </c>
      <c r="Z84" s="31" t="str">
        <f>IF(AND($F84='Tournament Setup'!$A$29,SUM($O84,$Q84)=0,$E84="M",$Y84&gt;'Tournament Setup'!$B$29),$H84,"")</f>
        <v/>
      </c>
      <c r="AA84" s="1" t="str">
        <f>IF(ISNUMBER(Z84)=TRUE,IF(_xlfn.RANK.EQ(Z84,$Z$2:$Z$111)&lt;='Tournament Setup'!$C$29,_xlfn.RANK.EQ(Z84,$Z$2:$Z$111),""),"")</f>
        <v/>
      </c>
      <c r="AB84" s="31" t="str">
        <f>IF(AND($F84='Tournament Setup'!$A$29,SUM($O84,$S84)=0,$E84="F",$Y84&gt;'Tournament Setup'!$B$29),$H84,"")</f>
        <v/>
      </c>
      <c r="AC84" s="12" t="str">
        <f>IF(ISNUMBER(AB84)=TRUE,IF(_xlfn.RANK.EQ(AB84,$AB$2:$AB$111)&lt;='Tournament Setup'!$D$29,_xlfn.RANK.EQ(AB84,$AB$2:$AB$111),""),"")</f>
        <v/>
      </c>
      <c r="AD84" s="30" t="str">
        <f>IF(AND($F84='Tournament Setup'!$A$30,$I84&lt;&gt;0),$I84,"")</f>
        <v/>
      </c>
      <c r="AE84" s="47" t="str">
        <f>IF(ISNUMBER(AD84),IF(COUNTIFS(AE$1:AE83,_xlfn.RANK.EQ(AD84,AD$2:AD$111,0))&gt;0,_xlfn.MAXIFS(AE$1:AE83,AD$1:AD83,AD84)+1,_xlfn.RANK.EQ(AD84,AD$2:AD$111,0)),"")</f>
        <v/>
      </c>
      <c r="AF84" s="1" t="str">
        <f>IF(ISNUMBER(AD84)=TRUE,IF(_xlfn.RANK.EQ(AD84,$AD$2:$AD$111)&lt;='Tournament Setup'!$B$46,_xlfn.RANK.EQ(AD84,$AD$2:$AD$111),""),"")</f>
        <v/>
      </c>
      <c r="AG84" s="30" t="str">
        <f>IF(AND($F84='Tournament Setup'!$A$30,SUM($O84,$Q84,$S84)=0),$H84,"")</f>
        <v/>
      </c>
      <c r="AH84" s="47" t="str">
        <f>IF(ISNUMBER(AG84),IF(COUNTIFS(AH$1:AH83,_xlfn.RANK.EQ(AG84,AG$2:AG$111,0))&gt;0,_xlfn.MAXIFS(AH$1:AH83,AG$1:AG83,AG84)+1,_xlfn.RANK.EQ(AG84,AG$2:AG$111,0)),"")</f>
        <v/>
      </c>
      <c r="AI84" s="1" t="str">
        <f>IF(ISNUMBER(AG84)=TRUE,IF(_xlfn.RANK.EQ(AG84,$AG$2:$AG$111)&lt;='Tournament Setup'!$B$30,_xlfn.RANK.EQ(AG84,$AG$2:$AG$111),""),"")</f>
        <v/>
      </c>
      <c r="AJ84" s="31" t="str">
        <f>IF(AND($F84='Tournament Setup'!$A$30,SUM($O84,$Q84)=0,$E84="M",$AI84&gt;'Tournament Setup'!$B$30),$H84,"")</f>
        <v/>
      </c>
      <c r="AK84" s="1" t="str">
        <f>IF(ISNUMBER(AJ84)=TRUE,IF(_xlfn.RANK.EQ(AJ84,$AJ$2:$AJ$111)&lt;='Tournament Setup'!$C$30,_xlfn.RANK.EQ(AJ84,$AJ$2:$AJ$111),""),"")</f>
        <v/>
      </c>
      <c r="AL84" s="31" t="str">
        <f>IF(AND($F84='Tournament Setup'!$A$30,SUM($O84,$S84)=0,$E84="F",$AI84&gt;'Tournament Setup'!$B$30),$H84,"")</f>
        <v/>
      </c>
      <c r="AM84" s="12" t="str">
        <f>IF(ISNUMBER(AL84)=TRUE,IF(_xlfn.RANK.EQ(AL84,$AL$2:$AL$111)&lt;='Tournament Setup'!$D$30,_xlfn.RANK.EQ(AL84,$AL$2:$AL$111),""),"")</f>
        <v/>
      </c>
      <c r="AN84" s="30" t="str">
        <f>IF(AND($F84='Tournament Setup'!$A$31,$I84&lt;&gt;0),$I84,"")</f>
        <v/>
      </c>
      <c r="AO84" s="47" t="str">
        <f>IF(ISNUMBER(AN84),IF(COUNTIFS(AO$1:AO83,_xlfn.RANK.EQ(AN84,AN$2:AN$111,0))&gt;0,_xlfn.MAXIFS(AO$1:AO83,AN$1:AN83,AN84)+1,_xlfn.RANK.EQ(AN84,AN$2:AN$111,0)),"")</f>
        <v/>
      </c>
      <c r="AP84" s="1" t="str">
        <f>IF(ISNUMBER(AN84)=TRUE,IF(_xlfn.RANK.EQ(AN84,$AN$2:$AN$111)&lt;='Tournament Setup'!$B$46,_xlfn.RANK.EQ(AN84,$AN$2:$AN$111),""),"")</f>
        <v/>
      </c>
      <c r="AQ84" s="30" t="str">
        <f>IF(AND($F84='Tournament Setup'!$A$31,SUM($O84,$Q84,$S84)=0),$H84,"")</f>
        <v/>
      </c>
      <c r="AR84" s="47" t="str">
        <f>IF(ISNUMBER(AQ84),IF(COUNTIFS(AR$1:AR83,_xlfn.RANK.EQ(AQ84,AQ$2:AQ$111,0))&gt;0,_xlfn.MAXIFS(AR$1:AR83,AQ$1:AQ83,AQ84)+1,_xlfn.RANK.EQ(AQ84,AQ$2:AQ$111,0)),"")</f>
        <v/>
      </c>
      <c r="AS84" s="1" t="str">
        <f>IF(ISNUMBER(AQ84)=TRUE,IF(_xlfn.RANK.EQ(AQ84,$AQ$2:$AQ$111)&lt;='Tournament Setup'!$B$31,_xlfn.RANK.EQ(AQ84,$AQ$2:$AQ$111),""),"")</f>
        <v/>
      </c>
      <c r="AT84" s="31" t="str">
        <f>IF(AND($F84='Tournament Setup'!$A$31,SUM($O84,$Q84)=0,$E84="M",$AS84&gt;'Tournament Setup'!$B$31),$H84,"")</f>
        <v/>
      </c>
      <c r="AU84" s="1" t="str">
        <f>IF(ISNUMBER(AT84)=TRUE,IF(_xlfn.RANK.EQ(AT84,$AT$2:$AT$111)&lt;='Tournament Setup'!$C$31,_xlfn.RANK.EQ(AT84,$AT$2:$AT$111),""),"")</f>
        <v/>
      </c>
      <c r="AV84" s="31" t="str">
        <f>IF(AND($F84='Tournament Setup'!$A$31,SUM($O84,$S84)=0,$E84="F",$AS84&gt;'Tournament Setup'!$B$31),$H84,"")</f>
        <v/>
      </c>
      <c r="AW84" s="12" t="str">
        <f>IF(ISNUMBER(AV84)=TRUE,IF(_xlfn.RANK.EQ(AV84,$AV$2:$AV$111)&lt;='Tournament Setup'!$D$31,_xlfn.RANK.EQ(AV84,$AV$2:$AV$111),""),"")</f>
        <v/>
      </c>
      <c r="AX84" s="30" t="str">
        <f>IF(AND($F84='Tournament Setup'!$A$32,$I84&lt;&gt;0),$I84,"")</f>
        <v/>
      </c>
      <c r="AY84" s="47" t="str">
        <f>IF(ISNUMBER(AX84),IF(COUNTIFS(AY$1:AY83,_xlfn.RANK.EQ(AX84,AX$2:AX$111,0))&gt;0,_xlfn.MAXIFS(AY$1:AY83,AX$1:AX83,AX84)+1,_xlfn.RANK.EQ(AX84,AX$2:AX$111,0)),"")</f>
        <v/>
      </c>
      <c r="AZ84" s="1" t="str">
        <f>IF(ISNUMBER(AX84)=TRUE,IF(_xlfn.RANK.EQ(AX84,$AX$2:$AX$111)&lt;='Tournament Setup'!$B$46,_xlfn.RANK.EQ(AX84,$AX$2:$AX$111),""),"")</f>
        <v/>
      </c>
      <c r="BA84" s="30" t="str">
        <f>IF(AND($F84='Tournament Setup'!$A$32,SUM($O84,$Q84,$S84)=0),$H84,"")</f>
        <v/>
      </c>
      <c r="BB84" s="47" t="str">
        <f>IF(ISNUMBER(BA84),IF(COUNTIFS(BB$1:BB83,_xlfn.RANK.EQ(BA84,BA$2:BA$111,0))&gt;0,_xlfn.MAXIFS(BB$1:BB83,BA$1:BA83,BA84)+1,_xlfn.RANK.EQ(BA84,BA$2:BA$111,0)),"")</f>
        <v/>
      </c>
      <c r="BC84" s="1" t="str">
        <f>IF(ISNUMBER(BA84)=TRUE,IF(_xlfn.RANK.EQ(BA84,$BA$2:$BA$111)&lt;='Tournament Setup'!$B$32,_xlfn.RANK.EQ(BA84,$BA$2:$BA$111),""),"")</f>
        <v/>
      </c>
      <c r="BD84" s="31" t="str">
        <f>IF(AND($F84='Tournament Setup'!$A$32,SUM($O84,$Q84)=0,$E84="M",$BC84&gt;'Tournament Setup'!$B$32),$H84,"")</f>
        <v/>
      </c>
      <c r="BE84" s="1" t="str">
        <f>IF(ISNUMBER(BD84)=TRUE,IF(_xlfn.RANK.EQ(BD84,$BD$2:$BD$111)&lt;='Tournament Setup'!$C$32,_xlfn.RANK.EQ(BD84,$BD$2:$BD$111),""),"")</f>
        <v/>
      </c>
      <c r="BF84" s="31" t="str">
        <f>IF(AND($F84='Tournament Setup'!$A$32,SUM($O84,$S84)=0,$E84="F",$BC84&gt;'Tournament Setup'!$B$32),$H84,"")</f>
        <v/>
      </c>
      <c r="BG84" s="12" t="str">
        <f>IF(ISNUMBER(BF84)=TRUE,IF(_xlfn.RANK.EQ(BF84,$BF$2:$BF$111)&lt;='Tournament Setup'!$D$32,_xlfn.RANK.EQ(BF84,$BF$2:$BF$111),""),"")</f>
        <v/>
      </c>
      <c r="BH84" s="30" t="str">
        <f>IF(AND($F84='Tournament Setup'!$A$33,$I84&lt;&gt;0),$I84,"")</f>
        <v/>
      </c>
      <c r="BI84" s="47" t="str">
        <f>IF(ISNUMBER(BH84),IF(COUNTIFS(BI$1:BI83,_xlfn.RANK.EQ(BH84,BH$2:BH$111,0))&gt;0,_xlfn.MAXIFS(BI$1:BI83,BH$1:BH83,BH84)+1,_xlfn.RANK.EQ(BH84,BH$2:BH$111,0)),"")</f>
        <v/>
      </c>
      <c r="BJ84" s="1" t="str">
        <f>IF(ISNUMBER(BH84)=TRUE,IF(_xlfn.RANK.EQ(BH84,$BH$2:$BH$111)&lt;='Tournament Setup'!$B$46,_xlfn.RANK.EQ(BH84,$BH$2:$BH$111),""),"")</f>
        <v/>
      </c>
      <c r="BK84" s="30" t="str">
        <f>IF(AND($F84='Tournament Setup'!$A$33,SUM($O84,$Q84,$S84)=0),$H84,"")</f>
        <v/>
      </c>
      <c r="BL84" s="47" t="str">
        <f>IF(ISNUMBER(BK84),IF(COUNTIFS(BL$1:BL83,_xlfn.RANK.EQ(BK84,BK$2:BK$111,0))&gt;0,_xlfn.MAXIFS(BL$1:BL83,BK$1:BK83,BK84)+1,_xlfn.RANK.EQ(BK84,BK$2:BK$111,0)),"")</f>
        <v/>
      </c>
      <c r="BM84" s="1" t="str">
        <f>IF(ISNUMBER(BK84)=TRUE,IF(_xlfn.RANK.EQ(BK84,$BK$2:$BK$111)&lt;='Tournament Setup'!$B$33,_xlfn.RANK.EQ(BK84,$BK$2:$BK$111),""),"")</f>
        <v/>
      </c>
      <c r="BN84" s="31" t="str">
        <f>IF(AND($F84='Tournament Setup'!$A$33,SUM($O84,$Q84)=0,$E84="M",$BM84&gt;'Tournament Setup'!$B$33),$H84,"")</f>
        <v/>
      </c>
      <c r="BO84" s="1" t="str">
        <f>IF(ISNUMBER(BN84)=TRUE,IF(_xlfn.RANK.EQ(BN84,$BN$2:$BN$111)&lt;='Tournament Setup'!$C$33,_xlfn.RANK.EQ(BN84,$BN$2:$BN$111),""),"")</f>
        <v/>
      </c>
      <c r="BP84" s="31" t="str">
        <f>IF(AND($F84='Tournament Setup'!$A$33,SUM($O84,$S84)=0,$E84="F",$BM84&gt;'Tournament Setup'!$B$33),$H84,"")</f>
        <v/>
      </c>
      <c r="BQ84" s="12" t="str">
        <f>IF(ISNUMBER(BP84)=TRUE,IF(_xlfn.RANK.EQ(BP84,$BP$2:$BP$111)&lt;='Tournament Setup'!$D$33,_xlfn.RANK.EQ(BP84,$BP$2:$BP$111),""),"")</f>
        <v/>
      </c>
      <c r="BR84" s="30" t="str">
        <f>IF($G84='Tournament Setup'!$A$38,$H84,"")</f>
        <v/>
      </c>
      <c r="BS84" s="47" t="str">
        <f>IF(ISNUMBER(BR84),IF(COUNTIFS(BS$1:BS83,_xlfn.RANK.EQ(BR84,BR$2:BR$111,0))&gt;0,_xlfn.MAXIFS(BS$1:BS83,BR$1:BR83,BR84)+1,_xlfn.RANK.EQ(BR84,BR$2:BR$111,0)),"")</f>
        <v/>
      </c>
      <c r="BT84" s="1" t="str">
        <f>IF(ISNUMBER(BR84)=TRUE,IF(_xlfn.RANK.EQ(BR84,$BR$2:$BR$111)&lt;='Tournament Setup'!$B$38,_xlfn.RANK.EQ(BR84,$BR$2:$BR$111),""),"")</f>
        <v/>
      </c>
      <c r="BU84" s="31" t="str">
        <f>IF(AND($G84='Tournament Setup'!$A$38,$E84="M",$BT84&gt;'Tournament Setup'!$B$38),$H84,"")</f>
        <v/>
      </c>
      <c r="BV84" s="1" t="str">
        <f>IF(ISNUMBER(BU84)=TRUE,IF(_xlfn.RANK.EQ(BU84,$BU$2:$BU$111)&lt;='Tournament Setup'!$C$38,_xlfn.RANK.EQ(BU84,$BU$2:$BU$111),""),"")</f>
        <v/>
      </c>
      <c r="BW84" s="31" t="str">
        <f>IF(AND($G84='Tournament Setup'!$A$38,$E84="F",$BT84&gt;'Tournament Setup'!$B$38),$H84,"")</f>
        <v/>
      </c>
      <c r="BX84" s="12" t="str">
        <f>IF(ISNUMBER(BW84)=TRUE,IF(_xlfn.RANK.EQ(BW84,$BW$2:$BW$111)&lt;='Tournament Setup'!$D$38,_xlfn.RANK.EQ(BW84,$BW$2:$BW$111),""),"")</f>
        <v/>
      </c>
      <c r="BY84" s="30" t="str">
        <f>IF($G84='Tournament Setup'!$A$39,$H84,"")</f>
        <v/>
      </c>
      <c r="BZ84" s="47" t="str">
        <f>IF(ISNUMBER(BY84),IF(COUNTIFS(BZ$1:BZ83,_xlfn.RANK.EQ(BY84,BY$2:BY$111,0))&gt;0,_xlfn.MAXIFS(BZ$1:BZ83,BY$1:BY83,BY84)+1,_xlfn.RANK.EQ(BY84,BY$2:BY$111,0)),"")</f>
        <v/>
      </c>
      <c r="CA84" s="1" t="str">
        <f>IF(ISNUMBER(BY84)=TRUE,IF(_xlfn.RANK.EQ(BY84,$BY$2:$BY$111)&lt;='Tournament Setup'!$B$39,_xlfn.RANK.EQ(BY84,$BY$2:$BY$111),""),"")</f>
        <v/>
      </c>
      <c r="CB84" s="31" t="str">
        <f>IF(AND($G84='Tournament Setup'!$A$39,$E84="M",$CA84&gt;'Tournament Setup'!$B$39),$H84,"")</f>
        <v/>
      </c>
      <c r="CC84" s="1" t="str">
        <f>IF(ISNUMBER(CB84)=TRUE,IF(_xlfn.RANK.EQ(CB84,$CB$2:$CB$111)&lt;='Tournament Setup'!$C$39,_xlfn.RANK.EQ(CB84,$CB$2:$CB$111),""),"")</f>
        <v/>
      </c>
      <c r="CD84" s="31" t="str">
        <f>IF(AND($G84='Tournament Setup'!$A$39,$E84="F",$CA84&gt;'Tournament Setup'!$B$39),$H84,"")</f>
        <v/>
      </c>
      <c r="CE84" s="12" t="str">
        <f>IF(ISNUMBER(CD84)=TRUE,IF(_xlfn.RANK.EQ(CD84,$CD$2:$CD$111)&lt;='Tournament Setup'!$D$39,_xlfn.RANK.EQ(CD84,$CD$2:$CD$111),""),"")</f>
        <v/>
      </c>
      <c r="CF84" s="30" t="str">
        <f>IF($G84='Tournament Setup'!$A$40,$H84,"")</f>
        <v/>
      </c>
      <c r="CG84" s="47" t="str">
        <f>IF(ISNUMBER(CF84),IF(COUNTIFS(CG$1:CG83,_xlfn.RANK.EQ(CF84,CF$2:CF$111,0))&gt;0,_xlfn.MAXIFS(CG$1:CG83,CF$1:CF83,CF84)+1,_xlfn.RANK.EQ(CF84,CF$2:CF$111,0)),"")</f>
        <v/>
      </c>
      <c r="CH84" s="1" t="str">
        <f>IF(ISNUMBER(CF84)=TRUE,IF(_xlfn.RANK.EQ(CF84,$CF$2:$CF$111)&lt;='Tournament Setup'!$B$40,_xlfn.RANK.EQ(CF84,$CF$2:$CF$111),""),"")</f>
        <v/>
      </c>
      <c r="CI84" s="31" t="str">
        <f>IF(AND($G84='Tournament Setup'!$A$40,$E84="M",$CH84&gt;'Tournament Setup'!$B$40),$H84,"")</f>
        <v/>
      </c>
      <c r="CJ84" s="1" t="str">
        <f>IF(ISNUMBER(CI84)=TRUE,IF(_xlfn.RANK.EQ(CI84,$CI$2:$CI$111)&lt;='Tournament Setup'!$C$40,_xlfn.RANK.EQ(CI84,$CI$2:$CI$111),""),"")</f>
        <v/>
      </c>
      <c r="CK84" s="31" t="str">
        <f>IF(AND($G84='Tournament Setup'!$A$40,$E84="F",$CH84&gt;'Tournament Setup'!$B$40),$H84,"")</f>
        <v/>
      </c>
      <c r="CL84" s="12" t="str">
        <f>IF(ISNUMBER(CK84)=TRUE,IF(_xlfn.RANK.EQ(CK84,$CK$2:$CK$111)&lt;='Tournament Setup'!$D$40,_xlfn.RANK.EQ(CK84,$CK$2:$CK$111),""),"")</f>
        <v/>
      </c>
      <c r="CM84" s="30" t="str">
        <f>IF($G84='Tournament Setup'!$A$41,$H84,"")</f>
        <v/>
      </c>
      <c r="CN84" s="47" t="str">
        <f>IF(ISNUMBER(CM84),IF(COUNTIFS(CN$1:CN83,_xlfn.RANK.EQ(CM84,CM$2:CM$111,0))&gt;0,_xlfn.MAXIFS(CN$1:CN83,CM$1:CM83,CM84)+1,_xlfn.RANK.EQ(CM84,CM$2:CM$111,0)),"")</f>
        <v/>
      </c>
      <c r="CO84" s="1" t="str">
        <f>IF(ISNUMBER(CM84)=TRUE,IF(_xlfn.RANK.EQ(CM84,$CM$2:$CM$111)&lt;='Tournament Setup'!$B$41,_xlfn.RANK.EQ(CM84,$CM$2:$CM$111),""),"")</f>
        <v/>
      </c>
      <c r="CP84" s="31" t="str">
        <f>IF(AND($G84='Tournament Setup'!$A$41,$E84="M",$CO84&gt;'Tournament Setup'!$B$41),$H84,"")</f>
        <v/>
      </c>
      <c r="CQ84" s="1" t="str">
        <f>IF(ISNUMBER(CP84)=TRUE,IF(_xlfn.RANK.EQ(CP84,$CP$2:$CP$111)&lt;='Tournament Setup'!$C$41,_xlfn.RANK.EQ(CP84,$CP$2:$CP$111),""),"")</f>
        <v/>
      </c>
      <c r="CR84" s="31" t="str">
        <f>IF(AND($G84='Tournament Setup'!$A$41,$E84="F",$CO84&gt;'Tournament Setup'!$B$41),$H84,"")</f>
        <v/>
      </c>
      <c r="CS84" s="12" t="str">
        <f>IF(ISNUMBER(CR84)=TRUE,IF(_xlfn.RANK.EQ(CR84,$CR$2:$CR$111)&lt;='Tournament Setup'!$D$41,_xlfn.RANK.EQ(CR84,$CR$2:$CR$111),""),"")</f>
        <v/>
      </c>
    </row>
    <row r="85" spans="2:97" x14ac:dyDescent="0.3">
      <c r="B85" t="str">
        <f>IFERROR(INDEX('Tournament List'!$B:$B,MATCH($A85,'Tournament List'!$A:$A,0)),"")</f>
        <v/>
      </c>
      <c r="C85" t="str">
        <f>IFERROR(INDEX('Tournament List'!$C:$C,MATCH($A85,'Tournament List'!$A:$A,0)),"")</f>
        <v/>
      </c>
      <c r="D85" t="str">
        <f t="shared" si="15"/>
        <v xml:space="preserve"> </v>
      </c>
      <c r="E85" s="1" t="str">
        <f>IFERROR(INDEX('Tournament List'!F:F,MATCH($A85,'Tournament List'!$A:$A,0)),"")</f>
        <v/>
      </c>
      <c r="F85" t="str">
        <f>IFERROR(INDEX('Tournament List'!M:M,MATCH($A85,'Tournament List'!$A:$A,0)),"")</f>
        <v/>
      </c>
      <c r="G85" s="1" t="str">
        <f>IFERROR(INDEX('Tournament List'!W:W,MATCH($A85,'Tournament List'!$A:$A,0)),"")</f>
        <v/>
      </c>
      <c r="H85" s="129" t="str">
        <f>IFERROR(INDEX('Tournament List'!Z:Z,MATCH($A85,'Tournament List'!$A:$A,0)),"")</f>
        <v/>
      </c>
      <c r="I85" s="152" t="str">
        <f>IFERROR(INDEX('Tournament List'!T:T,MATCH($A85,'Tournament List'!$A:$A,0)),"")</f>
        <v/>
      </c>
      <c r="J85" s="56" t="str">
        <f>IF(ISNUMBER(I85),IF(COUNTIFS(J$1:J84,_xlfn.RANK.EQ(I85,I$2:I$111,0))&gt;0,_xlfn.MAXIFS(J$1:J84,I$1:I84,I85)+1,_xlfn.RANK.EQ(I85,I$2:I$111,0)),"")</f>
        <v/>
      </c>
      <c r="K85" s="11" t="str">
        <f t="shared" si="16"/>
        <v/>
      </c>
      <c r="L85" s="56" t="str">
        <f>IF(ISNUMBER(H85),IF(COUNTIFS(L$1:L84,_xlfn.RANK.EQ(H85,H$2:H$111,0))&gt;0,_xlfn.MAXIFS(L$1:L84,H$1:H84,H85)+1,_xlfn.RANK.EQ(H85,H$2:H$111,0)),"")</f>
        <v/>
      </c>
      <c r="M85" s="151" t="str">
        <f t="shared" si="17"/>
        <v/>
      </c>
      <c r="N85" s="47" t="str">
        <f>IF(ISNUMBER(M85),IF(COUNTIFS(N$1:N84,_xlfn.RANK.EQ(M85,M$2:M$111,0))&gt;0,_xlfn.MAXIFS(N$1:N84,M$1:M84,M85)+1,_xlfn.RANK.EQ(M85,M$2:M$111,0)),"")</f>
        <v/>
      </c>
      <c r="O85" s="1" t="str">
        <f>IF(ISNUMBER(M85)=TRUE,IF(_xlfn.RANK.EQ(M85,$M$2:$M$111)&lt;='Tournament Setup'!$B$23,_xlfn.RANK.EQ(M85,$M$2:$M$111),""),"")</f>
        <v/>
      </c>
      <c r="P85" s="150" t="str">
        <f t="shared" si="18"/>
        <v/>
      </c>
      <c r="Q85" s="1" t="str">
        <f>IF(ISNUMBER(P85)=TRUE,IF(_xlfn.RANK.EQ(P85,$P$2:$P$111)&lt;='Tournament Setup'!$B$24,_xlfn.RANK.EQ(P85,$P$2:$P$111),""),"")</f>
        <v/>
      </c>
      <c r="R85" s="150" t="str">
        <f t="shared" si="19"/>
        <v/>
      </c>
      <c r="S85" s="12" t="str">
        <f>IF(ISNUMBER(R85)=TRUE,IF(_xlfn.RANK.EQ(R85,$R$2:$R$111)&lt;='Tournament Setup'!$B$25,_xlfn.RANK.EQ(R85,$R$2:$R$111),""),"")</f>
        <v/>
      </c>
      <c r="T85" s="152" t="str">
        <f>IF(AND($F85='Tournament Setup'!$A$29,$I85&lt;&gt;0),$I85,"")</f>
        <v/>
      </c>
      <c r="U85" s="47" t="str">
        <f>IF(ISNUMBER(T85),IF(COUNTIFS(U$1:U84,_xlfn.RANK.EQ(T85,T$2:T$111,0))&gt;0,_xlfn.MAXIFS(U$1:U84,T$1:T84,T85)+1,_xlfn.RANK.EQ(T85,T$2:T$111,0)),"")</f>
        <v/>
      </c>
      <c r="V85" s="1" t="str">
        <f>IF(ISNUMBER(T85)=TRUE,IF(_xlfn.RANK.EQ(T85,$T$3:$T$112)&lt;='Tournament Setup'!$B$46,_xlfn.RANK.EQ(T85,$T$2:$T$111),""),"")</f>
        <v/>
      </c>
      <c r="W85" s="30" t="str">
        <f>IF(AND($F85='Tournament Setup'!$A$29,SUM($O85,$Q85,$S85)=0),$H85,"")</f>
        <v/>
      </c>
      <c r="X85" s="47" t="str">
        <f>IF(ISNUMBER(W85),IF(COUNTIFS(X$1:X84,_xlfn.RANK.EQ(W85,W$2:W$111,0))&gt;0,_xlfn.MAXIFS(X$1:X84,W$1:W84,W85)+1,_xlfn.RANK.EQ(W85,W$2:W$111,0)),"")</f>
        <v/>
      </c>
      <c r="Y85" s="1" t="str">
        <f>IF(ISNUMBER(W85)=TRUE,IF(_xlfn.RANK.EQ(W85,$W$2:$W$111)&lt;='Tournament Setup'!$B$29,_xlfn.RANK.EQ(W85,$W$2:$W$111),""),"")</f>
        <v/>
      </c>
      <c r="Z85" s="31" t="str">
        <f>IF(AND($F85='Tournament Setup'!$A$29,SUM($O85,$Q85)=0,$E85="M",$Y85&gt;'Tournament Setup'!$B$29),$H85,"")</f>
        <v/>
      </c>
      <c r="AA85" s="1" t="str">
        <f>IF(ISNUMBER(Z85)=TRUE,IF(_xlfn.RANK.EQ(Z85,$Z$2:$Z$111)&lt;='Tournament Setup'!$C$29,_xlfn.RANK.EQ(Z85,$Z$2:$Z$111),""),"")</f>
        <v/>
      </c>
      <c r="AB85" s="31" t="str">
        <f>IF(AND($F85='Tournament Setup'!$A$29,SUM($O85,$S85)=0,$E85="F",$Y85&gt;'Tournament Setup'!$B$29),$H85,"")</f>
        <v/>
      </c>
      <c r="AC85" s="12" t="str">
        <f>IF(ISNUMBER(AB85)=TRUE,IF(_xlfn.RANK.EQ(AB85,$AB$2:$AB$111)&lt;='Tournament Setup'!$D$29,_xlfn.RANK.EQ(AB85,$AB$2:$AB$111),""),"")</f>
        <v/>
      </c>
      <c r="AD85" s="30" t="str">
        <f>IF(AND($F85='Tournament Setup'!$A$30,$I85&lt;&gt;0),$I85,"")</f>
        <v/>
      </c>
      <c r="AE85" s="47" t="str">
        <f>IF(ISNUMBER(AD85),IF(COUNTIFS(AE$1:AE84,_xlfn.RANK.EQ(AD85,AD$2:AD$111,0))&gt;0,_xlfn.MAXIFS(AE$1:AE84,AD$1:AD84,AD85)+1,_xlfn.RANK.EQ(AD85,AD$2:AD$111,0)),"")</f>
        <v/>
      </c>
      <c r="AF85" s="1" t="str">
        <f>IF(ISNUMBER(AD85)=TRUE,IF(_xlfn.RANK.EQ(AD85,$AD$2:$AD$111)&lt;='Tournament Setup'!$B$46,_xlfn.RANK.EQ(AD85,$AD$2:$AD$111),""),"")</f>
        <v/>
      </c>
      <c r="AG85" s="30" t="str">
        <f>IF(AND($F85='Tournament Setup'!$A$30,SUM($O85,$Q85,$S85)=0),$H85,"")</f>
        <v/>
      </c>
      <c r="AH85" s="47" t="str">
        <f>IF(ISNUMBER(AG85),IF(COUNTIFS(AH$1:AH84,_xlfn.RANK.EQ(AG85,AG$2:AG$111,0))&gt;0,_xlfn.MAXIFS(AH$1:AH84,AG$1:AG84,AG85)+1,_xlfn.RANK.EQ(AG85,AG$2:AG$111,0)),"")</f>
        <v/>
      </c>
      <c r="AI85" s="1" t="str">
        <f>IF(ISNUMBER(AG85)=TRUE,IF(_xlfn.RANK.EQ(AG85,$AG$2:$AG$111)&lt;='Tournament Setup'!$B$30,_xlfn.RANK.EQ(AG85,$AG$2:$AG$111),""),"")</f>
        <v/>
      </c>
      <c r="AJ85" s="31" t="str">
        <f>IF(AND($F85='Tournament Setup'!$A$30,SUM($O85,$Q85)=0,$E85="M",$AI85&gt;'Tournament Setup'!$B$30),$H85,"")</f>
        <v/>
      </c>
      <c r="AK85" s="1" t="str">
        <f>IF(ISNUMBER(AJ85)=TRUE,IF(_xlfn.RANK.EQ(AJ85,$AJ$2:$AJ$111)&lt;='Tournament Setup'!$C$30,_xlfn.RANK.EQ(AJ85,$AJ$2:$AJ$111),""),"")</f>
        <v/>
      </c>
      <c r="AL85" s="31" t="str">
        <f>IF(AND($F85='Tournament Setup'!$A$30,SUM($O85,$S85)=0,$E85="F",$AI85&gt;'Tournament Setup'!$B$30),$H85,"")</f>
        <v/>
      </c>
      <c r="AM85" s="12" t="str">
        <f>IF(ISNUMBER(AL85)=TRUE,IF(_xlfn.RANK.EQ(AL85,$AL$2:$AL$111)&lt;='Tournament Setup'!$D$30,_xlfn.RANK.EQ(AL85,$AL$2:$AL$111),""),"")</f>
        <v/>
      </c>
      <c r="AN85" s="30" t="str">
        <f>IF(AND($F85='Tournament Setup'!$A$31,$I85&lt;&gt;0),$I85,"")</f>
        <v/>
      </c>
      <c r="AO85" s="47" t="str">
        <f>IF(ISNUMBER(AN85),IF(COUNTIFS(AO$1:AO84,_xlfn.RANK.EQ(AN85,AN$2:AN$111,0))&gt;0,_xlfn.MAXIFS(AO$1:AO84,AN$1:AN84,AN85)+1,_xlfn.RANK.EQ(AN85,AN$2:AN$111,0)),"")</f>
        <v/>
      </c>
      <c r="AP85" s="1" t="str">
        <f>IF(ISNUMBER(AN85)=TRUE,IF(_xlfn.RANK.EQ(AN85,$AN$2:$AN$111)&lt;='Tournament Setup'!$B$46,_xlfn.RANK.EQ(AN85,$AN$2:$AN$111),""),"")</f>
        <v/>
      </c>
      <c r="AQ85" s="30" t="str">
        <f>IF(AND($F85='Tournament Setup'!$A$31,SUM($O85,$Q85,$S85)=0),$H85,"")</f>
        <v/>
      </c>
      <c r="AR85" s="47" t="str">
        <f>IF(ISNUMBER(AQ85),IF(COUNTIFS(AR$1:AR84,_xlfn.RANK.EQ(AQ85,AQ$2:AQ$111,0))&gt;0,_xlfn.MAXIFS(AR$1:AR84,AQ$1:AQ84,AQ85)+1,_xlfn.RANK.EQ(AQ85,AQ$2:AQ$111,0)),"")</f>
        <v/>
      </c>
      <c r="AS85" s="1" t="str">
        <f>IF(ISNUMBER(AQ85)=TRUE,IF(_xlfn.RANK.EQ(AQ85,$AQ$2:$AQ$111)&lt;='Tournament Setup'!$B$31,_xlfn.RANK.EQ(AQ85,$AQ$2:$AQ$111),""),"")</f>
        <v/>
      </c>
      <c r="AT85" s="31" t="str">
        <f>IF(AND($F85='Tournament Setup'!$A$31,SUM($O85,$Q85)=0,$E85="M",$AS85&gt;'Tournament Setup'!$B$31),$H85,"")</f>
        <v/>
      </c>
      <c r="AU85" s="1" t="str">
        <f>IF(ISNUMBER(AT85)=TRUE,IF(_xlfn.RANK.EQ(AT85,$AT$2:$AT$111)&lt;='Tournament Setup'!$C$31,_xlfn.RANK.EQ(AT85,$AT$2:$AT$111),""),"")</f>
        <v/>
      </c>
      <c r="AV85" s="31" t="str">
        <f>IF(AND($F85='Tournament Setup'!$A$31,SUM($O85,$S85)=0,$E85="F",$AS85&gt;'Tournament Setup'!$B$31),$H85,"")</f>
        <v/>
      </c>
      <c r="AW85" s="12" t="str">
        <f>IF(ISNUMBER(AV85)=TRUE,IF(_xlfn.RANK.EQ(AV85,$AV$2:$AV$111)&lt;='Tournament Setup'!$D$31,_xlfn.RANK.EQ(AV85,$AV$2:$AV$111),""),"")</f>
        <v/>
      </c>
      <c r="AX85" s="30" t="str">
        <f>IF(AND($F85='Tournament Setup'!$A$32,$I85&lt;&gt;0),$I85,"")</f>
        <v/>
      </c>
      <c r="AY85" s="47" t="str">
        <f>IF(ISNUMBER(AX85),IF(COUNTIFS(AY$1:AY84,_xlfn.RANK.EQ(AX85,AX$2:AX$111,0))&gt;0,_xlfn.MAXIFS(AY$1:AY84,AX$1:AX84,AX85)+1,_xlfn.RANK.EQ(AX85,AX$2:AX$111,0)),"")</f>
        <v/>
      </c>
      <c r="AZ85" s="1" t="str">
        <f>IF(ISNUMBER(AX85)=TRUE,IF(_xlfn.RANK.EQ(AX85,$AX$2:$AX$111)&lt;='Tournament Setup'!$B$46,_xlfn.RANK.EQ(AX85,$AX$2:$AX$111),""),"")</f>
        <v/>
      </c>
      <c r="BA85" s="30" t="str">
        <f>IF(AND($F85='Tournament Setup'!$A$32,SUM($O85,$Q85,$S85)=0),$H85,"")</f>
        <v/>
      </c>
      <c r="BB85" s="47" t="str">
        <f>IF(ISNUMBER(BA85),IF(COUNTIFS(BB$1:BB84,_xlfn.RANK.EQ(BA85,BA$2:BA$111,0))&gt;0,_xlfn.MAXIFS(BB$1:BB84,BA$1:BA84,BA85)+1,_xlfn.RANK.EQ(BA85,BA$2:BA$111,0)),"")</f>
        <v/>
      </c>
      <c r="BC85" s="1" t="str">
        <f>IF(ISNUMBER(BA85)=TRUE,IF(_xlfn.RANK.EQ(BA85,$BA$2:$BA$111)&lt;='Tournament Setup'!$B$32,_xlfn.RANK.EQ(BA85,$BA$2:$BA$111),""),"")</f>
        <v/>
      </c>
      <c r="BD85" s="31" t="str">
        <f>IF(AND($F85='Tournament Setup'!$A$32,SUM($O85,$Q85)=0,$E85="M",$BC85&gt;'Tournament Setup'!$B$32),$H85,"")</f>
        <v/>
      </c>
      <c r="BE85" s="1" t="str">
        <f>IF(ISNUMBER(BD85)=TRUE,IF(_xlfn.RANK.EQ(BD85,$BD$2:$BD$111)&lt;='Tournament Setup'!$C$32,_xlfn.RANK.EQ(BD85,$BD$2:$BD$111),""),"")</f>
        <v/>
      </c>
      <c r="BF85" s="31" t="str">
        <f>IF(AND($F85='Tournament Setup'!$A$32,SUM($O85,$S85)=0,$E85="F",$BC85&gt;'Tournament Setup'!$B$32),$H85,"")</f>
        <v/>
      </c>
      <c r="BG85" s="12" t="str">
        <f>IF(ISNUMBER(BF85)=TRUE,IF(_xlfn.RANK.EQ(BF85,$BF$2:$BF$111)&lt;='Tournament Setup'!$D$32,_xlfn.RANK.EQ(BF85,$BF$2:$BF$111),""),"")</f>
        <v/>
      </c>
      <c r="BH85" s="30" t="str">
        <f>IF(AND($F85='Tournament Setup'!$A$33,$I85&lt;&gt;0),$I85,"")</f>
        <v/>
      </c>
      <c r="BI85" s="47" t="str">
        <f>IF(ISNUMBER(BH85),IF(COUNTIFS(BI$1:BI84,_xlfn.RANK.EQ(BH85,BH$2:BH$111,0))&gt;0,_xlfn.MAXIFS(BI$1:BI84,BH$1:BH84,BH85)+1,_xlfn.RANK.EQ(BH85,BH$2:BH$111,0)),"")</f>
        <v/>
      </c>
      <c r="BJ85" s="1" t="str">
        <f>IF(ISNUMBER(BH85)=TRUE,IF(_xlfn.RANK.EQ(BH85,$BH$2:$BH$111)&lt;='Tournament Setup'!$B$46,_xlfn.RANK.EQ(BH85,$BH$2:$BH$111),""),"")</f>
        <v/>
      </c>
      <c r="BK85" s="30" t="str">
        <f>IF(AND($F85='Tournament Setup'!$A$33,SUM($O85,$Q85,$S85)=0),$H85,"")</f>
        <v/>
      </c>
      <c r="BL85" s="47" t="str">
        <f>IF(ISNUMBER(BK85),IF(COUNTIFS(BL$1:BL84,_xlfn.RANK.EQ(BK85,BK$2:BK$111,0))&gt;0,_xlfn.MAXIFS(BL$1:BL84,BK$1:BK84,BK85)+1,_xlfn.RANK.EQ(BK85,BK$2:BK$111,0)),"")</f>
        <v/>
      </c>
      <c r="BM85" s="1" t="str">
        <f>IF(ISNUMBER(BK85)=TRUE,IF(_xlfn.RANK.EQ(BK85,$BK$2:$BK$111)&lt;='Tournament Setup'!$B$33,_xlfn.RANK.EQ(BK85,$BK$2:$BK$111),""),"")</f>
        <v/>
      </c>
      <c r="BN85" s="31" t="str">
        <f>IF(AND($F85='Tournament Setup'!$A$33,SUM($O85,$Q85)=0,$E85="M",$BM85&gt;'Tournament Setup'!$B$33),$H85,"")</f>
        <v/>
      </c>
      <c r="BO85" s="1" t="str">
        <f>IF(ISNUMBER(BN85)=TRUE,IF(_xlfn.RANK.EQ(BN85,$BN$2:$BN$111)&lt;='Tournament Setup'!$C$33,_xlfn.RANK.EQ(BN85,$BN$2:$BN$111),""),"")</f>
        <v/>
      </c>
      <c r="BP85" s="31" t="str">
        <f>IF(AND($F85='Tournament Setup'!$A$33,SUM($O85,$S85)=0,$E85="F",$BM85&gt;'Tournament Setup'!$B$33),$H85,"")</f>
        <v/>
      </c>
      <c r="BQ85" s="12" t="str">
        <f>IF(ISNUMBER(BP85)=TRUE,IF(_xlfn.RANK.EQ(BP85,$BP$2:$BP$111)&lt;='Tournament Setup'!$D$33,_xlfn.RANK.EQ(BP85,$BP$2:$BP$111),""),"")</f>
        <v/>
      </c>
      <c r="BR85" s="30" t="str">
        <f>IF($G85='Tournament Setup'!$A$38,$H85,"")</f>
        <v/>
      </c>
      <c r="BS85" s="47" t="str">
        <f>IF(ISNUMBER(BR85),IF(COUNTIFS(BS$1:BS84,_xlfn.RANK.EQ(BR85,BR$2:BR$111,0))&gt;0,_xlfn.MAXIFS(BS$1:BS84,BR$1:BR84,BR85)+1,_xlfn.RANK.EQ(BR85,BR$2:BR$111,0)),"")</f>
        <v/>
      </c>
      <c r="BT85" s="1" t="str">
        <f>IF(ISNUMBER(BR85)=TRUE,IF(_xlfn.RANK.EQ(BR85,$BR$2:$BR$111)&lt;='Tournament Setup'!$B$38,_xlfn.RANK.EQ(BR85,$BR$2:$BR$111),""),"")</f>
        <v/>
      </c>
      <c r="BU85" s="31" t="str">
        <f>IF(AND($G85='Tournament Setup'!$A$38,$E85="M",$BT85&gt;'Tournament Setup'!$B$38),$H85,"")</f>
        <v/>
      </c>
      <c r="BV85" s="1" t="str">
        <f>IF(ISNUMBER(BU85)=TRUE,IF(_xlfn.RANK.EQ(BU85,$BU$2:$BU$111)&lt;='Tournament Setup'!$C$38,_xlfn.RANK.EQ(BU85,$BU$2:$BU$111),""),"")</f>
        <v/>
      </c>
      <c r="BW85" s="31" t="str">
        <f>IF(AND($G85='Tournament Setup'!$A$38,$E85="F",$BT85&gt;'Tournament Setup'!$B$38),$H85,"")</f>
        <v/>
      </c>
      <c r="BX85" s="12" t="str">
        <f>IF(ISNUMBER(BW85)=TRUE,IF(_xlfn.RANK.EQ(BW85,$BW$2:$BW$111)&lt;='Tournament Setup'!$D$38,_xlfn.RANK.EQ(BW85,$BW$2:$BW$111),""),"")</f>
        <v/>
      </c>
      <c r="BY85" s="30" t="str">
        <f>IF($G85='Tournament Setup'!$A$39,$H85,"")</f>
        <v/>
      </c>
      <c r="BZ85" s="47" t="str">
        <f>IF(ISNUMBER(BY85),IF(COUNTIFS(BZ$1:BZ84,_xlfn.RANK.EQ(BY85,BY$2:BY$111,0))&gt;0,_xlfn.MAXIFS(BZ$1:BZ84,BY$1:BY84,BY85)+1,_xlfn.RANK.EQ(BY85,BY$2:BY$111,0)),"")</f>
        <v/>
      </c>
      <c r="CA85" s="1" t="str">
        <f>IF(ISNUMBER(BY85)=TRUE,IF(_xlfn.RANK.EQ(BY85,$BY$2:$BY$111)&lt;='Tournament Setup'!$B$39,_xlfn.RANK.EQ(BY85,$BY$2:$BY$111),""),"")</f>
        <v/>
      </c>
      <c r="CB85" s="31" t="str">
        <f>IF(AND($G85='Tournament Setup'!$A$39,$E85="M",$CA85&gt;'Tournament Setup'!$B$39),$H85,"")</f>
        <v/>
      </c>
      <c r="CC85" s="1" t="str">
        <f>IF(ISNUMBER(CB85)=TRUE,IF(_xlfn.RANK.EQ(CB85,$CB$2:$CB$111)&lt;='Tournament Setup'!$C$39,_xlfn.RANK.EQ(CB85,$CB$2:$CB$111),""),"")</f>
        <v/>
      </c>
      <c r="CD85" s="31" t="str">
        <f>IF(AND($G85='Tournament Setup'!$A$39,$E85="F",$CA85&gt;'Tournament Setup'!$B$39),$H85,"")</f>
        <v/>
      </c>
      <c r="CE85" s="12" t="str">
        <f>IF(ISNUMBER(CD85)=TRUE,IF(_xlfn.RANK.EQ(CD85,$CD$2:$CD$111)&lt;='Tournament Setup'!$D$39,_xlfn.RANK.EQ(CD85,$CD$2:$CD$111),""),"")</f>
        <v/>
      </c>
      <c r="CF85" s="30" t="str">
        <f>IF($G85='Tournament Setup'!$A$40,$H85,"")</f>
        <v/>
      </c>
      <c r="CG85" s="47" t="str">
        <f>IF(ISNUMBER(CF85),IF(COUNTIFS(CG$1:CG84,_xlfn.RANK.EQ(CF85,CF$2:CF$111,0))&gt;0,_xlfn.MAXIFS(CG$1:CG84,CF$1:CF84,CF85)+1,_xlfn.RANK.EQ(CF85,CF$2:CF$111,0)),"")</f>
        <v/>
      </c>
      <c r="CH85" s="1" t="str">
        <f>IF(ISNUMBER(CF85)=TRUE,IF(_xlfn.RANK.EQ(CF85,$CF$2:$CF$111)&lt;='Tournament Setup'!$B$40,_xlfn.RANK.EQ(CF85,$CF$2:$CF$111),""),"")</f>
        <v/>
      </c>
      <c r="CI85" s="31" t="str">
        <f>IF(AND($G85='Tournament Setup'!$A$40,$E85="M",$CH85&gt;'Tournament Setup'!$B$40),$H85,"")</f>
        <v/>
      </c>
      <c r="CJ85" s="1" t="str">
        <f>IF(ISNUMBER(CI85)=TRUE,IF(_xlfn.RANK.EQ(CI85,$CI$2:$CI$111)&lt;='Tournament Setup'!$C$40,_xlfn.RANK.EQ(CI85,$CI$2:$CI$111),""),"")</f>
        <v/>
      </c>
      <c r="CK85" s="31" t="str">
        <f>IF(AND($G85='Tournament Setup'!$A$40,$E85="F",$CH85&gt;'Tournament Setup'!$B$40),$H85,"")</f>
        <v/>
      </c>
      <c r="CL85" s="12" t="str">
        <f>IF(ISNUMBER(CK85)=TRUE,IF(_xlfn.RANK.EQ(CK85,$CK$2:$CK$111)&lt;='Tournament Setup'!$D$40,_xlfn.RANK.EQ(CK85,$CK$2:$CK$111),""),"")</f>
        <v/>
      </c>
      <c r="CM85" s="30" t="str">
        <f>IF($G85='Tournament Setup'!$A$41,$H85,"")</f>
        <v/>
      </c>
      <c r="CN85" s="47" t="str">
        <f>IF(ISNUMBER(CM85),IF(COUNTIFS(CN$1:CN84,_xlfn.RANK.EQ(CM85,CM$2:CM$111,0))&gt;0,_xlfn.MAXIFS(CN$1:CN84,CM$1:CM84,CM85)+1,_xlfn.RANK.EQ(CM85,CM$2:CM$111,0)),"")</f>
        <v/>
      </c>
      <c r="CO85" s="1" t="str">
        <f>IF(ISNUMBER(CM85)=TRUE,IF(_xlfn.RANK.EQ(CM85,$CM$2:$CM$111)&lt;='Tournament Setup'!$B$41,_xlfn.RANK.EQ(CM85,$CM$2:$CM$111),""),"")</f>
        <v/>
      </c>
      <c r="CP85" s="31" t="str">
        <f>IF(AND($G85='Tournament Setup'!$A$41,$E85="M",$CO85&gt;'Tournament Setup'!$B$41),$H85,"")</f>
        <v/>
      </c>
      <c r="CQ85" s="1" t="str">
        <f>IF(ISNUMBER(CP85)=TRUE,IF(_xlfn.RANK.EQ(CP85,$CP$2:$CP$111)&lt;='Tournament Setup'!$C$41,_xlfn.RANK.EQ(CP85,$CP$2:$CP$111),""),"")</f>
        <v/>
      </c>
      <c r="CR85" s="31" t="str">
        <f>IF(AND($G85='Tournament Setup'!$A$41,$E85="F",$CO85&gt;'Tournament Setup'!$B$41),$H85,"")</f>
        <v/>
      </c>
      <c r="CS85" s="12" t="str">
        <f>IF(ISNUMBER(CR85)=TRUE,IF(_xlfn.RANK.EQ(CR85,$CR$2:$CR$111)&lt;='Tournament Setup'!$D$41,_xlfn.RANK.EQ(CR85,$CR$2:$CR$111),""),"")</f>
        <v/>
      </c>
    </row>
    <row r="86" spans="2:97" x14ac:dyDescent="0.3">
      <c r="B86" t="str">
        <f>IFERROR(INDEX('Tournament List'!$B:$B,MATCH($A86,'Tournament List'!$A:$A,0)),"")</f>
        <v/>
      </c>
      <c r="C86" t="str">
        <f>IFERROR(INDEX('Tournament List'!$C:$C,MATCH($A86,'Tournament List'!$A:$A,0)),"")</f>
        <v/>
      </c>
      <c r="D86" t="str">
        <f t="shared" si="15"/>
        <v xml:space="preserve"> </v>
      </c>
      <c r="E86" s="1" t="str">
        <f>IFERROR(INDEX('Tournament List'!F:F,MATCH($A86,'Tournament List'!$A:$A,0)),"")</f>
        <v/>
      </c>
      <c r="F86" t="str">
        <f>IFERROR(INDEX('Tournament List'!M:M,MATCH($A86,'Tournament List'!$A:$A,0)),"")</f>
        <v/>
      </c>
      <c r="G86" s="1" t="str">
        <f>IFERROR(INDEX('Tournament List'!W:W,MATCH($A86,'Tournament List'!$A:$A,0)),"")</f>
        <v/>
      </c>
      <c r="H86" s="129" t="str">
        <f>IFERROR(INDEX('Tournament List'!Z:Z,MATCH($A86,'Tournament List'!$A:$A,0)),"")</f>
        <v/>
      </c>
      <c r="I86" s="152" t="str">
        <f>IFERROR(INDEX('Tournament List'!T:T,MATCH($A86,'Tournament List'!$A:$A,0)),"")</f>
        <v/>
      </c>
      <c r="J86" s="56" t="str">
        <f>IF(ISNUMBER(I86),IF(COUNTIFS(J$1:J85,_xlfn.RANK.EQ(I86,I$2:I$111,0))&gt;0,_xlfn.MAXIFS(J$1:J85,I$1:I85,I86)+1,_xlfn.RANK.EQ(I86,I$2:I$111,0)),"")</f>
        <v/>
      </c>
      <c r="K86" s="11" t="str">
        <f t="shared" si="16"/>
        <v/>
      </c>
      <c r="L86" s="56" t="str">
        <f>IF(ISNUMBER(H86),IF(COUNTIFS(L$1:L85,_xlfn.RANK.EQ(H86,H$2:H$111,0))&gt;0,_xlfn.MAXIFS(L$1:L85,H$1:H85,H86)+1,_xlfn.RANK.EQ(H86,H$2:H$111,0)),"")</f>
        <v/>
      </c>
      <c r="M86" s="151" t="str">
        <f t="shared" si="17"/>
        <v/>
      </c>
      <c r="N86" s="47" t="str">
        <f>IF(ISNUMBER(M86),IF(COUNTIFS(N$1:N85,_xlfn.RANK.EQ(M86,M$2:M$111,0))&gt;0,_xlfn.MAXIFS(N$1:N85,M$1:M85,M86)+1,_xlfn.RANK.EQ(M86,M$2:M$111,0)),"")</f>
        <v/>
      </c>
      <c r="O86" s="1" t="str">
        <f>IF(ISNUMBER(M86)=TRUE,IF(_xlfn.RANK.EQ(M86,$M$2:$M$111)&lt;='Tournament Setup'!$B$23,_xlfn.RANK.EQ(M86,$M$2:$M$111),""),"")</f>
        <v/>
      </c>
      <c r="P86" s="150" t="str">
        <f t="shared" si="18"/>
        <v/>
      </c>
      <c r="Q86" s="1" t="str">
        <f>IF(ISNUMBER(P86)=TRUE,IF(_xlfn.RANK.EQ(P86,$P$2:$P$111)&lt;='Tournament Setup'!$B$24,_xlfn.RANK.EQ(P86,$P$2:$P$111),""),"")</f>
        <v/>
      </c>
      <c r="R86" s="150" t="str">
        <f t="shared" si="19"/>
        <v/>
      </c>
      <c r="S86" s="12" t="str">
        <f>IF(ISNUMBER(R86)=TRUE,IF(_xlfn.RANK.EQ(R86,$R$2:$R$111)&lt;='Tournament Setup'!$B$25,_xlfn.RANK.EQ(R86,$R$2:$R$111),""),"")</f>
        <v/>
      </c>
      <c r="T86" s="152" t="str">
        <f>IF(AND($F86='Tournament Setup'!$A$29,$I86&lt;&gt;0),$I86,"")</f>
        <v/>
      </c>
      <c r="U86" s="47" t="str">
        <f>IF(ISNUMBER(T86),IF(COUNTIFS(U$1:U85,_xlfn.RANK.EQ(T86,T$2:T$111,0))&gt;0,_xlfn.MAXIFS(U$1:U85,T$1:T85,T86)+1,_xlfn.RANK.EQ(T86,T$2:T$111,0)),"")</f>
        <v/>
      </c>
      <c r="V86" s="1" t="str">
        <f>IF(ISNUMBER(T86)=TRUE,IF(_xlfn.RANK.EQ(T86,$T$3:$T$112)&lt;='Tournament Setup'!$B$46,_xlfn.RANK.EQ(T86,$T$2:$T$111),""),"")</f>
        <v/>
      </c>
      <c r="W86" s="30" t="str">
        <f>IF(AND($F86='Tournament Setup'!$A$29,SUM($O86,$Q86,$S86)=0),$H86,"")</f>
        <v/>
      </c>
      <c r="X86" s="47" t="str">
        <f>IF(ISNUMBER(W86),IF(COUNTIFS(X$1:X85,_xlfn.RANK.EQ(W86,W$2:W$111,0))&gt;0,_xlfn.MAXIFS(X$1:X85,W$1:W85,W86)+1,_xlfn.RANK.EQ(W86,W$2:W$111,0)),"")</f>
        <v/>
      </c>
      <c r="Y86" s="1" t="str">
        <f>IF(ISNUMBER(W86)=TRUE,IF(_xlfn.RANK.EQ(W86,$W$2:$W$111)&lt;='Tournament Setup'!$B$29,_xlfn.RANK.EQ(W86,$W$2:$W$111),""),"")</f>
        <v/>
      </c>
      <c r="Z86" s="31" t="str">
        <f>IF(AND($F86='Tournament Setup'!$A$29,SUM($O86,$Q86)=0,$E86="M",$Y86&gt;'Tournament Setup'!$B$29),$H86,"")</f>
        <v/>
      </c>
      <c r="AA86" s="1" t="str">
        <f>IF(ISNUMBER(Z86)=TRUE,IF(_xlfn.RANK.EQ(Z86,$Z$2:$Z$111)&lt;='Tournament Setup'!$C$29,_xlfn.RANK.EQ(Z86,$Z$2:$Z$111),""),"")</f>
        <v/>
      </c>
      <c r="AB86" s="31" t="str">
        <f>IF(AND($F86='Tournament Setup'!$A$29,SUM($O86,$S86)=0,$E86="F",$Y86&gt;'Tournament Setup'!$B$29),$H86,"")</f>
        <v/>
      </c>
      <c r="AC86" s="12" t="str">
        <f>IF(ISNUMBER(AB86)=TRUE,IF(_xlfn.RANK.EQ(AB86,$AB$2:$AB$111)&lt;='Tournament Setup'!$D$29,_xlfn.RANK.EQ(AB86,$AB$2:$AB$111),""),"")</f>
        <v/>
      </c>
      <c r="AD86" s="30" t="str">
        <f>IF(AND($F86='Tournament Setup'!$A$30,$I86&lt;&gt;0),$I86,"")</f>
        <v/>
      </c>
      <c r="AE86" s="47" t="str">
        <f>IF(ISNUMBER(AD86),IF(COUNTIFS(AE$1:AE85,_xlfn.RANK.EQ(AD86,AD$2:AD$111,0))&gt;0,_xlfn.MAXIFS(AE$1:AE85,AD$1:AD85,AD86)+1,_xlfn.RANK.EQ(AD86,AD$2:AD$111,0)),"")</f>
        <v/>
      </c>
      <c r="AF86" s="1" t="str">
        <f>IF(ISNUMBER(AD86)=TRUE,IF(_xlfn.RANK.EQ(AD86,$AD$2:$AD$111)&lt;='Tournament Setup'!$B$46,_xlfn.RANK.EQ(AD86,$AD$2:$AD$111),""),"")</f>
        <v/>
      </c>
      <c r="AG86" s="30" t="str">
        <f>IF(AND($F86='Tournament Setup'!$A$30,SUM($O86,$Q86,$S86)=0),$H86,"")</f>
        <v/>
      </c>
      <c r="AH86" s="47" t="str">
        <f>IF(ISNUMBER(AG86),IF(COUNTIFS(AH$1:AH85,_xlfn.RANK.EQ(AG86,AG$2:AG$111,0))&gt;0,_xlfn.MAXIFS(AH$1:AH85,AG$1:AG85,AG86)+1,_xlfn.RANK.EQ(AG86,AG$2:AG$111,0)),"")</f>
        <v/>
      </c>
      <c r="AI86" s="1" t="str">
        <f>IF(ISNUMBER(AG86)=TRUE,IF(_xlfn.RANK.EQ(AG86,$AG$2:$AG$111)&lt;='Tournament Setup'!$B$30,_xlfn.RANK.EQ(AG86,$AG$2:$AG$111),""),"")</f>
        <v/>
      </c>
      <c r="AJ86" s="31" t="str">
        <f>IF(AND($F86='Tournament Setup'!$A$30,SUM($O86,$Q86)=0,$E86="M",$AI86&gt;'Tournament Setup'!$B$30),$H86,"")</f>
        <v/>
      </c>
      <c r="AK86" s="1" t="str">
        <f>IF(ISNUMBER(AJ86)=TRUE,IF(_xlfn.RANK.EQ(AJ86,$AJ$2:$AJ$111)&lt;='Tournament Setup'!$C$30,_xlfn.RANK.EQ(AJ86,$AJ$2:$AJ$111),""),"")</f>
        <v/>
      </c>
      <c r="AL86" s="31" t="str">
        <f>IF(AND($F86='Tournament Setup'!$A$30,SUM($O86,$S86)=0,$E86="F",$AI86&gt;'Tournament Setup'!$B$30),$H86,"")</f>
        <v/>
      </c>
      <c r="AM86" s="12" t="str">
        <f>IF(ISNUMBER(AL86)=TRUE,IF(_xlfn.RANK.EQ(AL86,$AL$2:$AL$111)&lt;='Tournament Setup'!$D$30,_xlfn.RANK.EQ(AL86,$AL$2:$AL$111),""),"")</f>
        <v/>
      </c>
      <c r="AN86" s="30" t="str">
        <f>IF(AND($F86='Tournament Setup'!$A$31,$I86&lt;&gt;0),$I86,"")</f>
        <v/>
      </c>
      <c r="AO86" s="47" t="str">
        <f>IF(ISNUMBER(AN86),IF(COUNTIFS(AO$1:AO85,_xlfn.RANK.EQ(AN86,AN$2:AN$111,0))&gt;0,_xlfn.MAXIFS(AO$1:AO85,AN$1:AN85,AN86)+1,_xlfn.RANK.EQ(AN86,AN$2:AN$111,0)),"")</f>
        <v/>
      </c>
      <c r="AP86" s="1" t="str">
        <f>IF(ISNUMBER(AN86)=TRUE,IF(_xlfn.RANK.EQ(AN86,$AN$2:$AN$111)&lt;='Tournament Setup'!$B$46,_xlfn.RANK.EQ(AN86,$AN$2:$AN$111),""),"")</f>
        <v/>
      </c>
      <c r="AQ86" s="30" t="str">
        <f>IF(AND($F86='Tournament Setup'!$A$31,SUM($O86,$Q86,$S86)=0),$H86,"")</f>
        <v/>
      </c>
      <c r="AR86" s="47" t="str">
        <f>IF(ISNUMBER(AQ86),IF(COUNTIFS(AR$1:AR85,_xlfn.RANK.EQ(AQ86,AQ$2:AQ$111,0))&gt;0,_xlfn.MAXIFS(AR$1:AR85,AQ$1:AQ85,AQ86)+1,_xlfn.RANK.EQ(AQ86,AQ$2:AQ$111,0)),"")</f>
        <v/>
      </c>
      <c r="AS86" s="1" t="str">
        <f>IF(ISNUMBER(AQ86)=TRUE,IF(_xlfn.RANK.EQ(AQ86,$AQ$2:$AQ$111)&lt;='Tournament Setup'!$B$31,_xlfn.RANK.EQ(AQ86,$AQ$2:$AQ$111),""),"")</f>
        <v/>
      </c>
      <c r="AT86" s="31" t="str">
        <f>IF(AND($F86='Tournament Setup'!$A$31,SUM($O86,$Q86)=0,$E86="M",$AS86&gt;'Tournament Setup'!$B$31),$H86,"")</f>
        <v/>
      </c>
      <c r="AU86" s="1" t="str">
        <f>IF(ISNUMBER(AT86)=TRUE,IF(_xlfn.RANK.EQ(AT86,$AT$2:$AT$111)&lt;='Tournament Setup'!$C$31,_xlfn.RANK.EQ(AT86,$AT$2:$AT$111),""),"")</f>
        <v/>
      </c>
      <c r="AV86" s="31" t="str">
        <f>IF(AND($F86='Tournament Setup'!$A$31,SUM($O86,$S86)=0,$E86="F",$AS86&gt;'Tournament Setup'!$B$31),$H86,"")</f>
        <v/>
      </c>
      <c r="AW86" s="12" t="str">
        <f>IF(ISNUMBER(AV86)=TRUE,IF(_xlfn.RANK.EQ(AV86,$AV$2:$AV$111)&lt;='Tournament Setup'!$D$31,_xlfn.RANK.EQ(AV86,$AV$2:$AV$111),""),"")</f>
        <v/>
      </c>
      <c r="AX86" s="30" t="str">
        <f>IF(AND($F86='Tournament Setup'!$A$32,$I86&lt;&gt;0),$I86,"")</f>
        <v/>
      </c>
      <c r="AY86" s="47" t="str">
        <f>IF(ISNUMBER(AX86),IF(COUNTIFS(AY$1:AY85,_xlfn.RANK.EQ(AX86,AX$2:AX$111,0))&gt;0,_xlfn.MAXIFS(AY$1:AY85,AX$1:AX85,AX86)+1,_xlfn.RANK.EQ(AX86,AX$2:AX$111,0)),"")</f>
        <v/>
      </c>
      <c r="AZ86" s="1" t="str">
        <f>IF(ISNUMBER(AX86)=TRUE,IF(_xlfn.RANK.EQ(AX86,$AX$2:$AX$111)&lt;='Tournament Setup'!$B$46,_xlfn.RANK.EQ(AX86,$AX$2:$AX$111),""),"")</f>
        <v/>
      </c>
      <c r="BA86" s="30" t="str">
        <f>IF(AND($F86='Tournament Setup'!$A$32,SUM($O86,$Q86,$S86)=0),$H86,"")</f>
        <v/>
      </c>
      <c r="BB86" s="47" t="str">
        <f>IF(ISNUMBER(BA86),IF(COUNTIFS(BB$1:BB85,_xlfn.RANK.EQ(BA86,BA$2:BA$111,0))&gt;0,_xlfn.MAXIFS(BB$1:BB85,BA$1:BA85,BA86)+1,_xlfn.RANK.EQ(BA86,BA$2:BA$111,0)),"")</f>
        <v/>
      </c>
      <c r="BC86" s="1" t="str">
        <f>IF(ISNUMBER(BA86)=TRUE,IF(_xlfn.RANK.EQ(BA86,$BA$2:$BA$111)&lt;='Tournament Setup'!$B$32,_xlfn.RANK.EQ(BA86,$BA$2:$BA$111),""),"")</f>
        <v/>
      </c>
      <c r="BD86" s="31" t="str">
        <f>IF(AND($F86='Tournament Setup'!$A$32,SUM($O86,$Q86)=0,$E86="M",$BC86&gt;'Tournament Setup'!$B$32),$H86,"")</f>
        <v/>
      </c>
      <c r="BE86" s="1" t="str">
        <f>IF(ISNUMBER(BD86)=TRUE,IF(_xlfn.RANK.EQ(BD86,$BD$2:$BD$111)&lt;='Tournament Setup'!$C$32,_xlfn.RANK.EQ(BD86,$BD$2:$BD$111),""),"")</f>
        <v/>
      </c>
      <c r="BF86" s="31" t="str">
        <f>IF(AND($F86='Tournament Setup'!$A$32,SUM($O86,$S86)=0,$E86="F",$BC86&gt;'Tournament Setup'!$B$32),$H86,"")</f>
        <v/>
      </c>
      <c r="BG86" s="12" t="str">
        <f>IF(ISNUMBER(BF86)=TRUE,IF(_xlfn.RANK.EQ(BF86,$BF$2:$BF$111)&lt;='Tournament Setup'!$D$32,_xlfn.RANK.EQ(BF86,$BF$2:$BF$111),""),"")</f>
        <v/>
      </c>
      <c r="BH86" s="30" t="str">
        <f>IF(AND($F86='Tournament Setup'!$A$33,$I86&lt;&gt;0),$I86,"")</f>
        <v/>
      </c>
      <c r="BI86" s="47" t="str">
        <f>IF(ISNUMBER(BH86),IF(COUNTIFS(BI$1:BI85,_xlfn.RANK.EQ(BH86,BH$2:BH$111,0))&gt;0,_xlfn.MAXIFS(BI$1:BI85,BH$1:BH85,BH86)+1,_xlfn.RANK.EQ(BH86,BH$2:BH$111,0)),"")</f>
        <v/>
      </c>
      <c r="BJ86" s="1" t="str">
        <f>IF(ISNUMBER(BH86)=TRUE,IF(_xlfn.RANK.EQ(BH86,$BH$2:$BH$111)&lt;='Tournament Setup'!$B$46,_xlfn.RANK.EQ(BH86,$BH$2:$BH$111),""),"")</f>
        <v/>
      </c>
      <c r="BK86" s="30" t="str">
        <f>IF(AND($F86='Tournament Setup'!$A$33,SUM($O86,$Q86,$S86)=0),$H86,"")</f>
        <v/>
      </c>
      <c r="BL86" s="47" t="str">
        <f>IF(ISNUMBER(BK86),IF(COUNTIFS(BL$1:BL85,_xlfn.RANK.EQ(BK86,BK$2:BK$111,0))&gt;0,_xlfn.MAXIFS(BL$1:BL85,BK$1:BK85,BK86)+1,_xlfn.RANK.EQ(BK86,BK$2:BK$111,0)),"")</f>
        <v/>
      </c>
      <c r="BM86" s="1" t="str">
        <f>IF(ISNUMBER(BK86)=TRUE,IF(_xlfn.RANK.EQ(BK86,$BK$2:$BK$111)&lt;='Tournament Setup'!$B$33,_xlfn.RANK.EQ(BK86,$BK$2:$BK$111),""),"")</f>
        <v/>
      </c>
      <c r="BN86" s="31" t="str">
        <f>IF(AND($F86='Tournament Setup'!$A$33,SUM($O86,$Q86)=0,$E86="M",$BM86&gt;'Tournament Setup'!$B$33),$H86,"")</f>
        <v/>
      </c>
      <c r="BO86" s="1" t="str">
        <f>IF(ISNUMBER(BN86)=TRUE,IF(_xlfn.RANK.EQ(BN86,$BN$2:$BN$111)&lt;='Tournament Setup'!$C$33,_xlfn.RANK.EQ(BN86,$BN$2:$BN$111),""),"")</f>
        <v/>
      </c>
      <c r="BP86" s="31" t="str">
        <f>IF(AND($F86='Tournament Setup'!$A$33,SUM($O86,$S86)=0,$E86="F",$BM86&gt;'Tournament Setup'!$B$33),$H86,"")</f>
        <v/>
      </c>
      <c r="BQ86" s="12" t="str">
        <f>IF(ISNUMBER(BP86)=TRUE,IF(_xlfn.RANK.EQ(BP86,$BP$2:$BP$111)&lt;='Tournament Setup'!$D$33,_xlfn.RANK.EQ(BP86,$BP$2:$BP$111),""),"")</f>
        <v/>
      </c>
      <c r="BR86" s="30" t="str">
        <f>IF($G86='Tournament Setup'!$A$38,$H86,"")</f>
        <v/>
      </c>
      <c r="BS86" s="47" t="str">
        <f>IF(ISNUMBER(BR86),IF(COUNTIFS(BS$1:BS85,_xlfn.RANK.EQ(BR86,BR$2:BR$111,0))&gt;0,_xlfn.MAXIFS(BS$1:BS85,BR$1:BR85,BR86)+1,_xlfn.RANK.EQ(BR86,BR$2:BR$111,0)),"")</f>
        <v/>
      </c>
      <c r="BT86" s="1" t="str">
        <f>IF(ISNUMBER(BR86)=TRUE,IF(_xlfn.RANK.EQ(BR86,$BR$2:$BR$111)&lt;='Tournament Setup'!$B$38,_xlfn.RANK.EQ(BR86,$BR$2:$BR$111),""),"")</f>
        <v/>
      </c>
      <c r="BU86" s="31" t="str">
        <f>IF(AND($G86='Tournament Setup'!$A$38,$E86="M",$BT86&gt;'Tournament Setup'!$B$38),$H86,"")</f>
        <v/>
      </c>
      <c r="BV86" s="1" t="str">
        <f>IF(ISNUMBER(BU86)=TRUE,IF(_xlfn.RANK.EQ(BU86,$BU$2:$BU$111)&lt;='Tournament Setup'!$C$38,_xlfn.RANK.EQ(BU86,$BU$2:$BU$111),""),"")</f>
        <v/>
      </c>
      <c r="BW86" s="31" t="str">
        <f>IF(AND($G86='Tournament Setup'!$A$38,$E86="F",$BT86&gt;'Tournament Setup'!$B$38),$H86,"")</f>
        <v/>
      </c>
      <c r="BX86" s="12" t="str">
        <f>IF(ISNUMBER(BW86)=TRUE,IF(_xlfn.RANK.EQ(BW86,$BW$2:$BW$111)&lt;='Tournament Setup'!$D$38,_xlfn.RANK.EQ(BW86,$BW$2:$BW$111),""),"")</f>
        <v/>
      </c>
      <c r="BY86" s="30" t="str">
        <f>IF($G86='Tournament Setup'!$A$39,$H86,"")</f>
        <v/>
      </c>
      <c r="BZ86" s="47" t="str">
        <f>IF(ISNUMBER(BY86),IF(COUNTIFS(BZ$1:BZ85,_xlfn.RANK.EQ(BY86,BY$2:BY$111,0))&gt;0,_xlfn.MAXIFS(BZ$1:BZ85,BY$1:BY85,BY86)+1,_xlfn.RANK.EQ(BY86,BY$2:BY$111,0)),"")</f>
        <v/>
      </c>
      <c r="CA86" s="1" t="str">
        <f>IF(ISNUMBER(BY86)=TRUE,IF(_xlfn.RANK.EQ(BY86,$BY$2:$BY$111)&lt;='Tournament Setup'!$B$39,_xlfn.RANK.EQ(BY86,$BY$2:$BY$111),""),"")</f>
        <v/>
      </c>
      <c r="CB86" s="31" t="str">
        <f>IF(AND($G86='Tournament Setup'!$A$39,$E86="M",$CA86&gt;'Tournament Setup'!$B$39),$H86,"")</f>
        <v/>
      </c>
      <c r="CC86" s="1" t="str">
        <f>IF(ISNUMBER(CB86)=TRUE,IF(_xlfn.RANK.EQ(CB86,$CB$2:$CB$111)&lt;='Tournament Setup'!$C$39,_xlfn.RANK.EQ(CB86,$CB$2:$CB$111),""),"")</f>
        <v/>
      </c>
      <c r="CD86" s="31" t="str">
        <f>IF(AND($G86='Tournament Setup'!$A$39,$E86="F",$CA86&gt;'Tournament Setup'!$B$39),$H86,"")</f>
        <v/>
      </c>
      <c r="CE86" s="12" t="str">
        <f>IF(ISNUMBER(CD86)=TRUE,IF(_xlfn.RANK.EQ(CD86,$CD$2:$CD$111)&lt;='Tournament Setup'!$D$39,_xlfn.RANK.EQ(CD86,$CD$2:$CD$111),""),"")</f>
        <v/>
      </c>
      <c r="CF86" s="30" t="str">
        <f>IF($G86='Tournament Setup'!$A$40,$H86,"")</f>
        <v/>
      </c>
      <c r="CG86" s="47" t="str">
        <f>IF(ISNUMBER(CF86),IF(COUNTIFS(CG$1:CG85,_xlfn.RANK.EQ(CF86,CF$2:CF$111,0))&gt;0,_xlfn.MAXIFS(CG$1:CG85,CF$1:CF85,CF86)+1,_xlfn.RANK.EQ(CF86,CF$2:CF$111,0)),"")</f>
        <v/>
      </c>
      <c r="CH86" s="1" t="str">
        <f>IF(ISNUMBER(CF86)=TRUE,IF(_xlfn.RANK.EQ(CF86,$CF$2:$CF$111)&lt;='Tournament Setup'!$B$40,_xlfn.RANK.EQ(CF86,$CF$2:$CF$111),""),"")</f>
        <v/>
      </c>
      <c r="CI86" s="31" t="str">
        <f>IF(AND($G86='Tournament Setup'!$A$40,$E86="M",$CH86&gt;'Tournament Setup'!$B$40),$H86,"")</f>
        <v/>
      </c>
      <c r="CJ86" s="1" t="str">
        <f>IF(ISNUMBER(CI86)=TRUE,IF(_xlfn.RANK.EQ(CI86,$CI$2:$CI$111)&lt;='Tournament Setup'!$C$40,_xlfn.RANK.EQ(CI86,$CI$2:$CI$111),""),"")</f>
        <v/>
      </c>
      <c r="CK86" s="31" t="str">
        <f>IF(AND($G86='Tournament Setup'!$A$40,$E86="F",$CH86&gt;'Tournament Setup'!$B$40),$H86,"")</f>
        <v/>
      </c>
      <c r="CL86" s="12" t="str">
        <f>IF(ISNUMBER(CK86)=TRUE,IF(_xlfn.RANK.EQ(CK86,$CK$2:$CK$111)&lt;='Tournament Setup'!$D$40,_xlfn.RANK.EQ(CK86,$CK$2:$CK$111),""),"")</f>
        <v/>
      </c>
      <c r="CM86" s="30" t="str">
        <f>IF($G86='Tournament Setup'!$A$41,$H86,"")</f>
        <v/>
      </c>
      <c r="CN86" s="47" t="str">
        <f>IF(ISNUMBER(CM86),IF(COUNTIFS(CN$1:CN85,_xlfn.RANK.EQ(CM86,CM$2:CM$111,0))&gt;0,_xlfn.MAXIFS(CN$1:CN85,CM$1:CM85,CM86)+1,_xlfn.RANK.EQ(CM86,CM$2:CM$111,0)),"")</f>
        <v/>
      </c>
      <c r="CO86" s="1" t="str">
        <f>IF(ISNUMBER(CM86)=TRUE,IF(_xlfn.RANK.EQ(CM86,$CM$2:$CM$111)&lt;='Tournament Setup'!$B$41,_xlfn.RANK.EQ(CM86,$CM$2:$CM$111),""),"")</f>
        <v/>
      </c>
      <c r="CP86" s="31" t="str">
        <f>IF(AND($G86='Tournament Setup'!$A$41,$E86="M",$CO86&gt;'Tournament Setup'!$B$41),$H86,"")</f>
        <v/>
      </c>
      <c r="CQ86" s="1" t="str">
        <f>IF(ISNUMBER(CP86)=TRUE,IF(_xlfn.RANK.EQ(CP86,$CP$2:$CP$111)&lt;='Tournament Setup'!$C$41,_xlfn.RANK.EQ(CP86,$CP$2:$CP$111),""),"")</f>
        <v/>
      </c>
      <c r="CR86" s="31" t="str">
        <f>IF(AND($G86='Tournament Setup'!$A$41,$E86="F",$CO86&gt;'Tournament Setup'!$B$41),$H86,"")</f>
        <v/>
      </c>
      <c r="CS86" s="12" t="str">
        <f>IF(ISNUMBER(CR86)=TRUE,IF(_xlfn.RANK.EQ(CR86,$CR$2:$CR$111)&lt;='Tournament Setup'!$D$41,_xlfn.RANK.EQ(CR86,$CR$2:$CR$111),""),"")</f>
        <v/>
      </c>
    </row>
    <row r="87" spans="2:97" x14ac:dyDescent="0.3">
      <c r="B87" t="str">
        <f>IFERROR(INDEX('Tournament List'!$B:$B,MATCH($A87,'Tournament List'!$A:$A,0)),"")</f>
        <v/>
      </c>
      <c r="C87" t="str">
        <f>IFERROR(INDEX('Tournament List'!$C:$C,MATCH($A87,'Tournament List'!$A:$A,0)),"")</f>
        <v/>
      </c>
      <c r="D87" t="str">
        <f t="shared" si="15"/>
        <v xml:space="preserve"> </v>
      </c>
      <c r="E87" s="1" t="str">
        <f>IFERROR(INDEX('Tournament List'!F:F,MATCH($A87,'Tournament List'!$A:$A,0)),"")</f>
        <v/>
      </c>
      <c r="F87" t="str">
        <f>IFERROR(INDEX('Tournament List'!M:M,MATCH($A87,'Tournament List'!$A:$A,0)),"")</f>
        <v/>
      </c>
      <c r="G87" s="1" t="str">
        <f>IFERROR(INDEX('Tournament List'!W:W,MATCH($A87,'Tournament List'!$A:$A,0)),"")</f>
        <v/>
      </c>
      <c r="H87" s="129" t="str">
        <f>IFERROR(INDEX('Tournament List'!Z:Z,MATCH($A87,'Tournament List'!$A:$A,0)),"")</f>
        <v/>
      </c>
      <c r="I87" s="152" t="str">
        <f>IFERROR(INDEX('Tournament List'!T:T,MATCH($A87,'Tournament List'!$A:$A,0)),"")</f>
        <v/>
      </c>
      <c r="J87" s="56" t="str">
        <f>IF(ISNUMBER(I87),IF(COUNTIFS(J$1:J86,_xlfn.RANK.EQ(I87,I$2:I$111,0))&gt;0,_xlfn.MAXIFS(J$1:J86,I$1:I86,I87)+1,_xlfn.RANK.EQ(I87,I$2:I$111,0)),"")</f>
        <v/>
      </c>
      <c r="K87" s="11" t="str">
        <f t="shared" si="16"/>
        <v/>
      </c>
      <c r="L87" s="56" t="str">
        <f>IF(ISNUMBER(H87),IF(COUNTIFS(L$1:L86,_xlfn.RANK.EQ(H87,H$2:H$111,0))&gt;0,_xlfn.MAXIFS(L$1:L86,H$1:H86,H87)+1,_xlfn.RANK.EQ(H87,H$2:H$111,0)),"")</f>
        <v/>
      </c>
      <c r="M87" s="151" t="str">
        <f t="shared" si="17"/>
        <v/>
      </c>
      <c r="N87" s="47" t="str">
        <f>IF(ISNUMBER(M87),IF(COUNTIFS(N$1:N86,_xlfn.RANK.EQ(M87,M$2:M$111,0))&gt;0,_xlfn.MAXIFS(N$1:N86,M$1:M86,M87)+1,_xlfn.RANK.EQ(M87,M$2:M$111,0)),"")</f>
        <v/>
      </c>
      <c r="O87" s="1" t="str">
        <f>IF(ISNUMBER(M87)=TRUE,IF(_xlfn.RANK.EQ(M87,$M$2:$M$111)&lt;='Tournament Setup'!$B$23,_xlfn.RANK.EQ(M87,$M$2:$M$111),""),"")</f>
        <v/>
      </c>
      <c r="P87" s="150" t="str">
        <f t="shared" si="18"/>
        <v/>
      </c>
      <c r="Q87" s="1" t="str">
        <f>IF(ISNUMBER(P87)=TRUE,IF(_xlfn.RANK.EQ(P87,$P$2:$P$111)&lt;='Tournament Setup'!$B$24,_xlfn.RANK.EQ(P87,$P$2:$P$111),""),"")</f>
        <v/>
      </c>
      <c r="R87" s="150" t="str">
        <f t="shared" si="19"/>
        <v/>
      </c>
      <c r="S87" s="12" t="str">
        <f>IF(ISNUMBER(R87)=TRUE,IF(_xlfn.RANK.EQ(R87,$R$2:$R$111)&lt;='Tournament Setup'!$B$25,_xlfn.RANK.EQ(R87,$R$2:$R$111),""),"")</f>
        <v/>
      </c>
      <c r="T87" s="152" t="str">
        <f>IF(AND($F87='Tournament Setup'!$A$29,$I87&lt;&gt;0),$I87,"")</f>
        <v/>
      </c>
      <c r="U87" s="47" t="str">
        <f>IF(ISNUMBER(T87),IF(COUNTIFS(U$1:U86,_xlfn.RANK.EQ(T87,T$2:T$111,0))&gt;0,_xlfn.MAXIFS(U$1:U86,T$1:T86,T87)+1,_xlfn.RANK.EQ(T87,T$2:T$111,0)),"")</f>
        <v/>
      </c>
      <c r="V87" s="1" t="str">
        <f>IF(ISNUMBER(T87)=TRUE,IF(_xlfn.RANK.EQ(T87,$T$3:$T$112)&lt;='Tournament Setup'!$B$46,_xlfn.RANK.EQ(T87,$T$2:$T$111),""),"")</f>
        <v/>
      </c>
      <c r="W87" s="30" t="str">
        <f>IF(AND($F87='Tournament Setup'!$A$29,SUM($O87,$Q87,$S87)=0),$H87,"")</f>
        <v/>
      </c>
      <c r="X87" s="47" t="str">
        <f>IF(ISNUMBER(W87),IF(COUNTIFS(X$1:X86,_xlfn.RANK.EQ(W87,W$2:W$111,0))&gt;0,_xlfn.MAXIFS(X$1:X86,W$1:W86,W87)+1,_xlfn.RANK.EQ(W87,W$2:W$111,0)),"")</f>
        <v/>
      </c>
      <c r="Y87" s="1" t="str">
        <f>IF(ISNUMBER(W87)=TRUE,IF(_xlfn.RANK.EQ(W87,$W$2:$W$111)&lt;='Tournament Setup'!$B$29,_xlfn.RANK.EQ(W87,$W$2:$W$111),""),"")</f>
        <v/>
      </c>
      <c r="Z87" s="31" t="str">
        <f>IF(AND($F87='Tournament Setup'!$A$29,SUM($O87,$Q87)=0,$E87="M",$Y87&gt;'Tournament Setup'!$B$29),$H87,"")</f>
        <v/>
      </c>
      <c r="AA87" s="1" t="str">
        <f>IF(ISNUMBER(Z87)=TRUE,IF(_xlfn.RANK.EQ(Z87,$Z$2:$Z$111)&lt;='Tournament Setup'!$C$29,_xlfn.RANK.EQ(Z87,$Z$2:$Z$111),""),"")</f>
        <v/>
      </c>
      <c r="AB87" s="31" t="str">
        <f>IF(AND($F87='Tournament Setup'!$A$29,SUM($O87,$S87)=0,$E87="F",$Y87&gt;'Tournament Setup'!$B$29),$H87,"")</f>
        <v/>
      </c>
      <c r="AC87" s="12" t="str">
        <f>IF(ISNUMBER(AB87)=TRUE,IF(_xlfn.RANK.EQ(AB87,$AB$2:$AB$111)&lt;='Tournament Setup'!$D$29,_xlfn.RANK.EQ(AB87,$AB$2:$AB$111),""),"")</f>
        <v/>
      </c>
      <c r="AD87" s="30" t="str">
        <f>IF(AND($F87='Tournament Setup'!$A$30,$I87&lt;&gt;0),$I87,"")</f>
        <v/>
      </c>
      <c r="AE87" s="47" t="str">
        <f>IF(ISNUMBER(AD87),IF(COUNTIFS(AE$1:AE86,_xlfn.RANK.EQ(AD87,AD$2:AD$111,0))&gt;0,_xlfn.MAXIFS(AE$1:AE86,AD$1:AD86,AD87)+1,_xlfn.RANK.EQ(AD87,AD$2:AD$111,0)),"")</f>
        <v/>
      </c>
      <c r="AF87" s="1" t="str">
        <f>IF(ISNUMBER(AD87)=TRUE,IF(_xlfn.RANK.EQ(AD87,$AD$2:$AD$111)&lt;='Tournament Setup'!$B$46,_xlfn.RANK.EQ(AD87,$AD$2:$AD$111),""),"")</f>
        <v/>
      </c>
      <c r="AG87" s="30" t="str">
        <f>IF(AND($F87='Tournament Setup'!$A$30,SUM($O87,$Q87,$S87)=0),$H87,"")</f>
        <v/>
      </c>
      <c r="AH87" s="47" t="str">
        <f>IF(ISNUMBER(AG87),IF(COUNTIFS(AH$1:AH86,_xlfn.RANK.EQ(AG87,AG$2:AG$111,0))&gt;0,_xlfn.MAXIFS(AH$1:AH86,AG$1:AG86,AG87)+1,_xlfn.RANK.EQ(AG87,AG$2:AG$111,0)),"")</f>
        <v/>
      </c>
      <c r="AI87" s="1" t="str">
        <f>IF(ISNUMBER(AG87)=TRUE,IF(_xlfn.RANK.EQ(AG87,$AG$2:$AG$111)&lt;='Tournament Setup'!$B$30,_xlfn.RANK.EQ(AG87,$AG$2:$AG$111),""),"")</f>
        <v/>
      </c>
      <c r="AJ87" s="31" t="str">
        <f>IF(AND($F87='Tournament Setup'!$A$30,SUM($O87,$Q87)=0,$E87="M",$AI87&gt;'Tournament Setup'!$B$30),$H87,"")</f>
        <v/>
      </c>
      <c r="AK87" s="1" t="str">
        <f>IF(ISNUMBER(AJ87)=TRUE,IF(_xlfn.RANK.EQ(AJ87,$AJ$2:$AJ$111)&lt;='Tournament Setup'!$C$30,_xlfn.RANK.EQ(AJ87,$AJ$2:$AJ$111),""),"")</f>
        <v/>
      </c>
      <c r="AL87" s="31" t="str">
        <f>IF(AND($F87='Tournament Setup'!$A$30,SUM($O87,$S87)=0,$E87="F",$AI87&gt;'Tournament Setup'!$B$30),$H87,"")</f>
        <v/>
      </c>
      <c r="AM87" s="12" t="str">
        <f>IF(ISNUMBER(AL87)=TRUE,IF(_xlfn.RANK.EQ(AL87,$AL$2:$AL$111)&lt;='Tournament Setup'!$D$30,_xlfn.RANK.EQ(AL87,$AL$2:$AL$111),""),"")</f>
        <v/>
      </c>
      <c r="AN87" s="30" t="str">
        <f>IF(AND($F87='Tournament Setup'!$A$31,$I87&lt;&gt;0),$I87,"")</f>
        <v/>
      </c>
      <c r="AO87" s="47" t="str">
        <f>IF(ISNUMBER(AN87),IF(COUNTIFS(AO$1:AO86,_xlfn.RANK.EQ(AN87,AN$2:AN$111,0))&gt;0,_xlfn.MAXIFS(AO$1:AO86,AN$1:AN86,AN87)+1,_xlfn.RANK.EQ(AN87,AN$2:AN$111,0)),"")</f>
        <v/>
      </c>
      <c r="AP87" s="1" t="str">
        <f>IF(ISNUMBER(AN87)=TRUE,IF(_xlfn.RANK.EQ(AN87,$AN$2:$AN$111)&lt;='Tournament Setup'!$B$46,_xlfn.RANK.EQ(AN87,$AN$2:$AN$111),""),"")</f>
        <v/>
      </c>
      <c r="AQ87" s="30" t="str">
        <f>IF(AND($F87='Tournament Setup'!$A$31,SUM($O87,$Q87,$S87)=0),$H87,"")</f>
        <v/>
      </c>
      <c r="AR87" s="47" t="str">
        <f>IF(ISNUMBER(AQ87),IF(COUNTIFS(AR$1:AR86,_xlfn.RANK.EQ(AQ87,AQ$2:AQ$111,0))&gt;0,_xlfn.MAXIFS(AR$1:AR86,AQ$1:AQ86,AQ87)+1,_xlfn.RANK.EQ(AQ87,AQ$2:AQ$111,0)),"")</f>
        <v/>
      </c>
      <c r="AS87" s="1" t="str">
        <f>IF(ISNUMBER(AQ87)=TRUE,IF(_xlfn.RANK.EQ(AQ87,$AQ$2:$AQ$111)&lt;='Tournament Setup'!$B$31,_xlfn.RANK.EQ(AQ87,$AQ$2:$AQ$111),""),"")</f>
        <v/>
      </c>
      <c r="AT87" s="31" t="str">
        <f>IF(AND($F87='Tournament Setup'!$A$31,SUM($O87,$Q87)=0,$E87="M",$AS87&gt;'Tournament Setup'!$B$31),$H87,"")</f>
        <v/>
      </c>
      <c r="AU87" s="1" t="str">
        <f>IF(ISNUMBER(AT87)=TRUE,IF(_xlfn.RANK.EQ(AT87,$AT$2:$AT$111)&lt;='Tournament Setup'!$C$31,_xlfn.RANK.EQ(AT87,$AT$2:$AT$111),""),"")</f>
        <v/>
      </c>
      <c r="AV87" s="31" t="str">
        <f>IF(AND($F87='Tournament Setup'!$A$31,SUM($O87,$S87)=0,$E87="F",$AS87&gt;'Tournament Setup'!$B$31),$H87,"")</f>
        <v/>
      </c>
      <c r="AW87" s="12" t="str">
        <f>IF(ISNUMBER(AV87)=TRUE,IF(_xlfn.RANK.EQ(AV87,$AV$2:$AV$111)&lt;='Tournament Setup'!$D$31,_xlfn.RANK.EQ(AV87,$AV$2:$AV$111),""),"")</f>
        <v/>
      </c>
      <c r="AX87" s="30" t="str">
        <f>IF(AND($F87='Tournament Setup'!$A$32,$I87&lt;&gt;0),$I87,"")</f>
        <v/>
      </c>
      <c r="AY87" s="47" t="str">
        <f>IF(ISNUMBER(AX87),IF(COUNTIFS(AY$1:AY86,_xlfn.RANK.EQ(AX87,AX$2:AX$111,0))&gt;0,_xlfn.MAXIFS(AY$1:AY86,AX$1:AX86,AX87)+1,_xlfn.RANK.EQ(AX87,AX$2:AX$111,0)),"")</f>
        <v/>
      </c>
      <c r="AZ87" s="1" t="str">
        <f>IF(ISNUMBER(AX87)=TRUE,IF(_xlfn.RANK.EQ(AX87,$AX$2:$AX$111)&lt;='Tournament Setup'!$B$46,_xlfn.RANK.EQ(AX87,$AX$2:$AX$111),""),"")</f>
        <v/>
      </c>
      <c r="BA87" s="30" t="str">
        <f>IF(AND($F87='Tournament Setup'!$A$32,SUM($O87,$Q87,$S87)=0),$H87,"")</f>
        <v/>
      </c>
      <c r="BB87" s="47" t="str">
        <f>IF(ISNUMBER(BA87),IF(COUNTIFS(BB$1:BB86,_xlfn.RANK.EQ(BA87,BA$2:BA$111,0))&gt;0,_xlfn.MAXIFS(BB$1:BB86,BA$1:BA86,BA87)+1,_xlfn.RANK.EQ(BA87,BA$2:BA$111,0)),"")</f>
        <v/>
      </c>
      <c r="BC87" s="1" t="str">
        <f>IF(ISNUMBER(BA87)=TRUE,IF(_xlfn.RANK.EQ(BA87,$BA$2:$BA$111)&lt;='Tournament Setup'!$B$32,_xlfn.RANK.EQ(BA87,$BA$2:$BA$111),""),"")</f>
        <v/>
      </c>
      <c r="BD87" s="31" t="str">
        <f>IF(AND($F87='Tournament Setup'!$A$32,SUM($O87,$Q87)=0,$E87="M",$BC87&gt;'Tournament Setup'!$B$32),$H87,"")</f>
        <v/>
      </c>
      <c r="BE87" s="1" t="str">
        <f>IF(ISNUMBER(BD87)=TRUE,IF(_xlfn.RANK.EQ(BD87,$BD$2:$BD$111)&lt;='Tournament Setup'!$C$32,_xlfn.RANK.EQ(BD87,$BD$2:$BD$111),""),"")</f>
        <v/>
      </c>
      <c r="BF87" s="31" t="str">
        <f>IF(AND($F87='Tournament Setup'!$A$32,SUM($O87,$S87)=0,$E87="F",$BC87&gt;'Tournament Setup'!$B$32),$H87,"")</f>
        <v/>
      </c>
      <c r="BG87" s="12" t="str">
        <f>IF(ISNUMBER(BF87)=TRUE,IF(_xlfn.RANK.EQ(BF87,$BF$2:$BF$111)&lt;='Tournament Setup'!$D$32,_xlfn.RANK.EQ(BF87,$BF$2:$BF$111),""),"")</f>
        <v/>
      </c>
      <c r="BH87" s="30" t="str">
        <f>IF(AND($F87='Tournament Setup'!$A$33,$I87&lt;&gt;0),$I87,"")</f>
        <v/>
      </c>
      <c r="BI87" s="47" t="str">
        <f>IF(ISNUMBER(BH87),IF(COUNTIFS(BI$1:BI86,_xlfn.RANK.EQ(BH87,BH$2:BH$111,0))&gt;0,_xlfn.MAXIFS(BI$1:BI86,BH$1:BH86,BH87)+1,_xlfn.RANK.EQ(BH87,BH$2:BH$111,0)),"")</f>
        <v/>
      </c>
      <c r="BJ87" s="1" t="str">
        <f>IF(ISNUMBER(BH87)=TRUE,IF(_xlfn.RANK.EQ(BH87,$BH$2:$BH$111)&lt;='Tournament Setup'!$B$46,_xlfn.RANK.EQ(BH87,$BH$2:$BH$111),""),"")</f>
        <v/>
      </c>
      <c r="BK87" s="30" t="str">
        <f>IF(AND($F87='Tournament Setup'!$A$33,SUM($O87,$Q87,$S87)=0),$H87,"")</f>
        <v/>
      </c>
      <c r="BL87" s="47" t="str">
        <f>IF(ISNUMBER(BK87),IF(COUNTIFS(BL$1:BL86,_xlfn.RANK.EQ(BK87,BK$2:BK$111,0))&gt;0,_xlfn.MAXIFS(BL$1:BL86,BK$1:BK86,BK87)+1,_xlfn.RANK.EQ(BK87,BK$2:BK$111,0)),"")</f>
        <v/>
      </c>
      <c r="BM87" s="1" t="str">
        <f>IF(ISNUMBER(BK87)=TRUE,IF(_xlfn.RANK.EQ(BK87,$BK$2:$BK$111)&lt;='Tournament Setup'!$B$33,_xlfn.RANK.EQ(BK87,$BK$2:$BK$111),""),"")</f>
        <v/>
      </c>
      <c r="BN87" s="31" t="str">
        <f>IF(AND($F87='Tournament Setup'!$A$33,SUM($O87,$Q87)=0,$E87="M",$BM87&gt;'Tournament Setup'!$B$33),$H87,"")</f>
        <v/>
      </c>
      <c r="BO87" s="1" t="str">
        <f>IF(ISNUMBER(BN87)=TRUE,IF(_xlfn.RANK.EQ(BN87,$BN$2:$BN$111)&lt;='Tournament Setup'!$C$33,_xlfn.RANK.EQ(BN87,$BN$2:$BN$111),""),"")</f>
        <v/>
      </c>
      <c r="BP87" s="31" t="str">
        <f>IF(AND($F87='Tournament Setup'!$A$33,SUM($O87,$S87)=0,$E87="F",$BM87&gt;'Tournament Setup'!$B$33),$H87,"")</f>
        <v/>
      </c>
      <c r="BQ87" s="12" t="str">
        <f>IF(ISNUMBER(BP87)=TRUE,IF(_xlfn.RANK.EQ(BP87,$BP$2:$BP$111)&lt;='Tournament Setup'!$D$33,_xlfn.RANK.EQ(BP87,$BP$2:$BP$111),""),"")</f>
        <v/>
      </c>
      <c r="BR87" s="30" t="str">
        <f>IF($G87='Tournament Setup'!$A$38,$H87,"")</f>
        <v/>
      </c>
      <c r="BS87" s="47" t="str">
        <f>IF(ISNUMBER(BR87),IF(COUNTIFS(BS$1:BS86,_xlfn.RANK.EQ(BR87,BR$2:BR$111,0))&gt;0,_xlfn.MAXIFS(BS$1:BS86,BR$1:BR86,BR87)+1,_xlfn.RANK.EQ(BR87,BR$2:BR$111,0)),"")</f>
        <v/>
      </c>
      <c r="BT87" s="1" t="str">
        <f>IF(ISNUMBER(BR87)=TRUE,IF(_xlfn.RANK.EQ(BR87,$BR$2:$BR$111)&lt;='Tournament Setup'!$B$38,_xlfn.RANK.EQ(BR87,$BR$2:$BR$111),""),"")</f>
        <v/>
      </c>
      <c r="BU87" s="31" t="str">
        <f>IF(AND($G87='Tournament Setup'!$A$38,$E87="M",$BT87&gt;'Tournament Setup'!$B$38),$H87,"")</f>
        <v/>
      </c>
      <c r="BV87" s="1" t="str">
        <f>IF(ISNUMBER(BU87)=TRUE,IF(_xlfn.RANK.EQ(BU87,$BU$2:$BU$111)&lt;='Tournament Setup'!$C$38,_xlfn.RANK.EQ(BU87,$BU$2:$BU$111),""),"")</f>
        <v/>
      </c>
      <c r="BW87" s="31" t="str">
        <f>IF(AND($G87='Tournament Setup'!$A$38,$E87="F",$BT87&gt;'Tournament Setup'!$B$38),$H87,"")</f>
        <v/>
      </c>
      <c r="BX87" s="12" t="str">
        <f>IF(ISNUMBER(BW87)=TRUE,IF(_xlfn.RANK.EQ(BW87,$BW$2:$BW$111)&lt;='Tournament Setup'!$D$38,_xlfn.RANK.EQ(BW87,$BW$2:$BW$111),""),"")</f>
        <v/>
      </c>
      <c r="BY87" s="30" t="str">
        <f>IF($G87='Tournament Setup'!$A$39,$H87,"")</f>
        <v/>
      </c>
      <c r="BZ87" s="47" t="str">
        <f>IF(ISNUMBER(BY87),IF(COUNTIFS(BZ$1:BZ86,_xlfn.RANK.EQ(BY87,BY$2:BY$111,0))&gt;0,_xlfn.MAXIFS(BZ$1:BZ86,BY$1:BY86,BY87)+1,_xlfn.RANK.EQ(BY87,BY$2:BY$111,0)),"")</f>
        <v/>
      </c>
      <c r="CA87" s="1" t="str">
        <f>IF(ISNUMBER(BY87)=TRUE,IF(_xlfn.RANK.EQ(BY87,$BY$2:$BY$111)&lt;='Tournament Setup'!$B$39,_xlfn.RANK.EQ(BY87,$BY$2:$BY$111),""),"")</f>
        <v/>
      </c>
      <c r="CB87" s="31" t="str">
        <f>IF(AND($G87='Tournament Setup'!$A$39,$E87="M",$CA87&gt;'Tournament Setup'!$B$39),$H87,"")</f>
        <v/>
      </c>
      <c r="CC87" s="1" t="str">
        <f>IF(ISNUMBER(CB87)=TRUE,IF(_xlfn.RANK.EQ(CB87,$CB$2:$CB$111)&lt;='Tournament Setup'!$C$39,_xlfn.RANK.EQ(CB87,$CB$2:$CB$111),""),"")</f>
        <v/>
      </c>
      <c r="CD87" s="31" t="str">
        <f>IF(AND($G87='Tournament Setup'!$A$39,$E87="F",$CA87&gt;'Tournament Setup'!$B$39),$H87,"")</f>
        <v/>
      </c>
      <c r="CE87" s="12" t="str">
        <f>IF(ISNUMBER(CD87)=TRUE,IF(_xlfn.RANK.EQ(CD87,$CD$2:$CD$111)&lt;='Tournament Setup'!$D$39,_xlfn.RANK.EQ(CD87,$CD$2:$CD$111),""),"")</f>
        <v/>
      </c>
      <c r="CF87" s="30" t="str">
        <f>IF($G87='Tournament Setup'!$A$40,$H87,"")</f>
        <v/>
      </c>
      <c r="CG87" s="47" t="str">
        <f>IF(ISNUMBER(CF87),IF(COUNTIFS(CG$1:CG86,_xlfn.RANK.EQ(CF87,CF$2:CF$111,0))&gt;0,_xlfn.MAXIFS(CG$1:CG86,CF$1:CF86,CF87)+1,_xlfn.RANK.EQ(CF87,CF$2:CF$111,0)),"")</f>
        <v/>
      </c>
      <c r="CH87" s="1" t="str">
        <f>IF(ISNUMBER(CF87)=TRUE,IF(_xlfn.RANK.EQ(CF87,$CF$2:$CF$111)&lt;='Tournament Setup'!$B$40,_xlfn.RANK.EQ(CF87,$CF$2:$CF$111),""),"")</f>
        <v/>
      </c>
      <c r="CI87" s="31" t="str">
        <f>IF(AND($G87='Tournament Setup'!$A$40,$E87="M",$CH87&gt;'Tournament Setup'!$B$40),$H87,"")</f>
        <v/>
      </c>
      <c r="CJ87" s="1" t="str">
        <f>IF(ISNUMBER(CI87)=TRUE,IF(_xlfn.RANK.EQ(CI87,$CI$2:$CI$111)&lt;='Tournament Setup'!$C$40,_xlfn.RANK.EQ(CI87,$CI$2:$CI$111),""),"")</f>
        <v/>
      </c>
      <c r="CK87" s="31" t="str">
        <f>IF(AND($G87='Tournament Setup'!$A$40,$E87="F",$CH87&gt;'Tournament Setup'!$B$40),$H87,"")</f>
        <v/>
      </c>
      <c r="CL87" s="12" t="str">
        <f>IF(ISNUMBER(CK87)=TRUE,IF(_xlfn.RANK.EQ(CK87,$CK$2:$CK$111)&lt;='Tournament Setup'!$D$40,_xlfn.RANK.EQ(CK87,$CK$2:$CK$111),""),"")</f>
        <v/>
      </c>
      <c r="CM87" s="30" t="str">
        <f>IF($G87='Tournament Setup'!$A$41,$H87,"")</f>
        <v/>
      </c>
      <c r="CN87" s="47" t="str">
        <f>IF(ISNUMBER(CM87),IF(COUNTIFS(CN$1:CN86,_xlfn.RANK.EQ(CM87,CM$2:CM$111,0))&gt;0,_xlfn.MAXIFS(CN$1:CN86,CM$1:CM86,CM87)+1,_xlfn.RANK.EQ(CM87,CM$2:CM$111,0)),"")</f>
        <v/>
      </c>
      <c r="CO87" s="1" t="str">
        <f>IF(ISNUMBER(CM87)=TRUE,IF(_xlfn.RANK.EQ(CM87,$CM$2:$CM$111)&lt;='Tournament Setup'!$B$41,_xlfn.RANK.EQ(CM87,$CM$2:$CM$111),""),"")</f>
        <v/>
      </c>
      <c r="CP87" s="31" t="str">
        <f>IF(AND($G87='Tournament Setup'!$A$41,$E87="M",$CO87&gt;'Tournament Setup'!$B$41),$H87,"")</f>
        <v/>
      </c>
      <c r="CQ87" s="1" t="str">
        <f>IF(ISNUMBER(CP87)=TRUE,IF(_xlfn.RANK.EQ(CP87,$CP$2:$CP$111)&lt;='Tournament Setup'!$C$41,_xlfn.RANK.EQ(CP87,$CP$2:$CP$111),""),"")</f>
        <v/>
      </c>
      <c r="CR87" s="31" t="str">
        <f>IF(AND($G87='Tournament Setup'!$A$41,$E87="F",$CO87&gt;'Tournament Setup'!$B$41),$H87,"")</f>
        <v/>
      </c>
      <c r="CS87" s="12" t="str">
        <f>IF(ISNUMBER(CR87)=TRUE,IF(_xlfn.RANK.EQ(CR87,$CR$2:$CR$111)&lt;='Tournament Setup'!$D$41,_xlfn.RANK.EQ(CR87,$CR$2:$CR$111),""),"")</f>
        <v/>
      </c>
    </row>
    <row r="88" spans="2:97" x14ac:dyDescent="0.3">
      <c r="B88" t="str">
        <f>IFERROR(INDEX('Tournament List'!$B:$B,MATCH($A88,'Tournament List'!$A:$A,0)),"")</f>
        <v/>
      </c>
      <c r="C88" t="str">
        <f>IFERROR(INDEX('Tournament List'!$C:$C,MATCH($A88,'Tournament List'!$A:$A,0)),"")</f>
        <v/>
      </c>
      <c r="D88" t="str">
        <f t="shared" si="15"/>
        <v xml:space="preserve"> </v>
      </c>
      <c r="E88" s="1" t="str">
        <f>IFERROR(INDEX('Tournament List'!F:F,MATCH($A88,'Tournament List'!$A:$A,0)),"")</f>
        <v/>
      </c>
      <c r="F88" t="str">
        <f>IFERROR(INDEX('Tournament List'!M:M,MATCH($A88,'Tournament List'!$A:$A,0)),"")</f>
        <v/>
      </c>
      <c r="G88" s="1" t="str">
        <f>IFERROR(INDEX('Tournament List'!W:W,MATCH($A88,'Tournament List'!$A:$A,0)),"")</f>
        <v/>
      </c>
      <c r="H88" s="129" t="str">
        <f>IFERROR(INDEX('Tournament List'!Z:Z,MATCH($A88,'Tournament List'!$A:$A,0)),"")</f>
        <v/>
      </c>
      <c r="I88" s="152" t="str">
        <f>IFERROR(INDEX('Tournament List'!T:T,MATCH($A88,'Tournament List'!$A:$A,0)),"")</f>
        <v/>
      </c>
      <c r="J88" s="56" t="str">
        <f>IF(ISNUMBER(I88),IF(COUNTIFS(J$1:J77,_xlfn.RANK.EQ(I88,I$2:I$111,0))&gt;0,_xlfn.MAXIFS(J$1:J77,I$1:I77,I88)+1,_xlfn.RANK.EQ(I88,I$2:I$111,0)),"")</f>
        <v/>
      </c>
      <c r="K88" s="11" t="str">
        <f t="shared" si="16"/>
        <v/>
      </c>
      <c r="L88" s="56" t="str">
        <f>IF(ISNUMBER(H88),IF(COUNTIFS(L$1:L77,_xlfn.RANK.EQ(H88,H$2:H$111,0))&gt;0,_xlfn.MAXIFS(L$1:L77,H$1:H77,H88)+1,_xlfn.RANK.EQ(H88,H$2:H$111,0)),"")</f>
        <v/>
      </c>
      <c r="M88" s="151" t="str">
        <f t="shared" si="17"/>
        <v/>
      </c>
      <c r="N88" s="47" t="str">
        <f>IF(ISNUMBER(M88),IF(COUNTIFS(N$1:N77,_xlfn.RANK.EQ(M88,M$2:M$111,0))&gt;0,_xlfn.MAXIFS(N$1:N77,M$1:M77,M88)+1,_xlfn.RANK.EQ(M88,M$2:M$111,0)),"")</f>
        <v/>
      </c>
      <c r="O88" s="1" t="str">
        <f>IF(ISNUMBER(M88)=TRUE,IF(_xlfn.RANK.EQ(M88,$M$2:$M$111)&lt;='Tournament Setup'!$B$23,_xlfn.RANK.EQ(M88,$M$2:$M$111),""),"")</f>
        <v/>
      </c>
      <c r="P88" s="150" t="str">
        <f t="shared" si="18"/>
        <v/>
      </c>
      <c r="Q88" s="1" t="str">
        <f>IF(ISNUMBER(P88)=TRUE,IF(_xlfn.RANK.EQ(P88,$P$2:$P$111)&lt;='Tournament Setup'!$B$24,_xlfn.RANK.EQ(P88,$P$2:$P$111),""),"")</f>
        <v/>
      </c>
      <c r="R88" s="150" t="str">
        <f t="shared" si="19"/>
        <v/>
      </c>
      <c r="S88" s="12" t="str">
        <f>IF(ISNUMBER(R88)=TRUE,IF(_xlfn.RANK.EQ(R88,$R$2:$R$111)&lt;='Tournament Setup'!$B$25,_xlfn.RANK.EQ(R88,$R$2:$R$111),""),"")</f>
        <v/>
      </c>
      <c r="T88" s="152" t="str">
        <f>IF(AND($F88='Tournament Setup'!$A$29,$I88&lt;&gt;0),$I88,"")</f>
        <v/>
      </c>
      <c r="U88" s="47" t="str">
        <f>IF(ISNUMBER(T88),IF(COUNTIFS(U$1:U77,_xlfn.RANK.EQ(T88,T$2:T$111,0))&gt;0,_xlfn.MAXIFS(U$1:U77,T$1:T77,T88)+1,_xlfn.RANK.EQ(T88,T$2:T$111,0)),"")</f>
        <v/>
      </c>
      <c r="V88" s="1" t="str">
        <f>IF(ISNUMBER(T88)=TRUE,IF(_xlfn.RANK.EQ(T88,$T$3:$T$112)&lt;='Tournament Setup'!$B$46,_xlfn.RANK.EQ(T88,$T$2:$T$111),""),"")</f>
        <v/>
      </c>
      <c r="W88" s="30" t="str">
        <f>IF(AND($F88='Tournament Setup'!$A$29,SUM($O88,$Q88,$S88)=0),$H88,"")</f>
        <v/>
      </c>
      <c r="X88" s="47" t="str">
        <f>IF(ISNUMBER(W88),IF(COUNTIFS(X$1:X77,_xlfn.RANK.EQ(W88,W$2:W$111,0))&gt;0,_xlfn.MAXIFS(X$1:X77,W$1:W77,W88)+1,_xlfn.RANK.EQ(W88,W$2:W$111,0)),"")</f>
        <v/>
      </c>
      <c r="Y88" s="1" t="str">
        <f>IF(ISNUMBER(W88)=TRUE,IF(_xlfn.RANK.EQ(W88,$W$2:$W$111)&lt;='Tournament Setup'!$B$29,_xlfn.RANK.EQ(W88,$W$2:$W$111),""),"")</f>
        <v/>
      </c>
      <c r="Z88" s="31" t="str">
        <f>IF(AND($F88='Tournament Setup'!$A$29,SUM($O88,$Q88)=0,$E88="M",$Y88&gt;'Tournament Setup'!$B$29),$H88,"")</f>
        <v/>
      </c>
      <c r="AA88" s="1" t="str">
        <f>IF(ISNUMBER(Z88)=TRUE,IF(_xlfn.RANK.EQ(Z88,$Z$2:$Z$111)&lt;='Tournament Setup'!$C$29,_xlfn.RANK.EQ(Z88,$Z$2:$Z$111),""),"")</f>
        <v/>
      </c>
      <c r="AB88" s="31" t="str">
        <f>IF(AND($F88='Tournament Setup'!$A$29,SUM($O88,$S88)=0,$E88="F",$Y88&gt;'Tournament Setup'!$B$29),$H88,"")</f>
        <v/>
      </c>
      <c r="AC88" s="12" t="str">
        <f>IF(ISNUMBER(AB88)=TRUE,IF(_xlfn.RANK.EQ(AB88,$AB$2:$AB$111)&lt;='Tournament Setup'!$D$29,_xlfn.RANK.EQ(AB88,$AB$2:$AB$111),""),"")</f>
        <v/>
      </c>
      <c r="AD88" s="30" t="str">
        <f>IF(AND($F88='Tournament Setup'!$A$30,$I88&lt;&gt;0),$I88,"")</f>
        <v/>
      </c>
      <c r="AE88" s="47" t="str">
        <f>IF(ISNUMBER(AD88),IF(COUNTIFS(AE$1:AE77,_xlfn.RANK.EQ(AD88,AD$2:AD$111,0))&gt;0,_xlfn.MAXIFS(AE$1:AE77,AD$1:AD77,AD88)+1,_xlfn.RANK.EQ(AD88,AD$2:AD$111,0)),"")</f>
        <v/>
      </c>
      <c r="AF88" s="1" t="str">
        <f>IF(ISNUMBER(AD88)=TRUE,IF(_xlfn.RANK.EQ(AD88,$AD$2:$AD$111)&lt;='Tournament Setup'!$B$46,_xlfn.RANK.EQ(AD88,$AD$2:$AD$111),""),"")</f>
        <v/>
      </c>
      <c r="AG88" s="30" t="str">
        <f>IF(AND($F88='Tournament Setup'!$A$30,SUM($O88,$Q88,$S88)=0),$H88,"")</f>
        <v/>
      </c>
      <c r="AH88" s="47" t="str">
        <f>IF(ISNUMBER(AG88),IF(COUNTIFS(AH$1:AH77,_xlfn.RANK.EQ(AG88,AG$2:AG$111,0))&gt;0,_xlfn.MAXIFS(AH$1:AH77,AG$1:AG77,AG88)+1,_xlfn.RANK.EQ(AG88,AG$2:AG$111,0)),"")</f>
        <v/>
      </c>
      <c r="AI88" s="1" t="str">
        <f>IF(ISNUMBER(AG88)=TRUE,IF(_xlfn.RANK.EQ(AG88,$AG$2:$AG$111)&lt;='Tournament Setup'!$B$30,_xlfn.RANK.EQ(AG88,$AG$2:$AG$111),""),"")</f>
        <v/>
      </c>
      <c r="AJ88" s="31" t="str">
        <f>IF(AND($F88='Tournament Setup'!$A$30,SUM($O88,$Q88)=0,$E88="M",$AI88&gt;'Tournament Setup'!$B$30),$H88,"")</f>
        <v/>
      </c>
      <c r="AK88" s="1" t="str">
        <f>IF(ISNUMBER(AJ88)=TRUE,IF(_xlfn.RANK.EQ(AJ88,$AJ$2:$AJ$111)&lt;='Tournament Setup'!$C$30,_xlfn.RANK.EQ(AJ88,$AJ$2:$AJ$111),""),"")</f>
        <v/>
      </c>
      <c r="AL88" s="31" t="str">
        <f>IF(AND($F88='Tournament Setup'!$A$30,SUM($O88,$S88)=0,$E88="F",$AI88&gt;'Tournament Setup'!$B$30),$H88,"")</f>
        <v/>
      </c>
      <c r="AM88" s="12" t="str">
        <f>IF(ISNUMBER(AL88)=TRUE,IF(_xlfn.RANK.EQ(AL88,$AL$2:$AL$111)&lt;='Tournament Setup'!$D$30,_xlfn.RANK.EQ(AL88,$AL$2:$AL$111),""),"")</f>
        <v/>
      </c>
      <c r="AN88" s="30" t="str">
        <f>IF(AND($F88='Tournament Setup'!$A$31,$I88&lt;&gt;0),$I88,"")</f>
        <v/>
      </c>
      <c r="AO88" s="47" t="str">
        <f>IF(ISNUMBER(AN88),IF(COUNTIFS(AO$1:AO77,_xlfn.RANK.EQ(AN88,AN$2:AN$111,0))&gt;0,_xlfn.MAXIFS(AO$1:AO77,AN$1:AN77,AN88)+1,_xlfn.RANK.EQ(AN88,AN$2:AN$111,0)),"")</f>
        <v/>
      </c>
      <c r="AP88" s="1" t="str">
        <f>IF(ISNUMBER(AN88)=TRUE,IF(_xlfn.RANK.EQ(AN88,$AN$2:$AN$111)&lt;='Tournament Setup'!$B$46,_xlfn.RANK.EQ(AN88,$AN$2:$AN$111),""),"")</f>
        <v/>
      </c>
      <c r="AQ88" s="30" t="str">
        <f>IF(AND($F88='Tournament Setup'!$A$31,SUM($O88,$Q88,$S88)=0),$H88,"")</f>
        <v/>
      </c>
      <c r="AR88" s="47" t="str">
        <f>IF(ISNUMBER(AQ88),IF(COUNTIFS(AR$1:AR77,_xlfn.RANK.EQ(AQ88,AQ$2:AQ$111,0))&gt;0,_xlfn.MAXIFS(AR$1:AR77,AQ$1:AQ77,AQ88)+1,_xlfn.RANK.EQ(AQ88,AQ$2:AQ$111,0)),"")</f>
        <v/>
      </c>
      <c r="AS88" s="1" t="str">
        <f>IF(ISNUMBER(AQ88)=TRUE,IF(_xlfn.RANK.EQ(AQ88,$AQ$2:$AQ$111)&lt;='Tournament Setup'!$B$31,_xlfn.RANK.EQ(AQ88,$AQ$2:$AQ$111),""),"")</f>
        <v/>
      </c>
      <c r="AT88" s="31" t="str">
        <f>IF(AND($F88='Tournament Setup'!$A$31,SUM($O88,$Q88)=0,$E88="M",$AS88&gt;'Tournament Setup'!$B$31),$H88,"")</f>
        <v/>
      </c>
      <c r="AU88" s="1" t="str">
        <f>IF(ISNUMBER(AT88)=TRUE,IF(_xlfn.RANK.EQ(AT88,$AT$2:$AT$111)&lt;='Tournament Setup'!$C$31,_xlfn.RANK.EQ(AT88,$AT$2:$AT$111),""),"")</f>
        <v/>
      </c>
      <c r="AV88" s="31" t="str">
        <f>IF(AND($F88='Tournament Setup'!$A$31,SUM($O88,$S88)=0,$E88="F",$AS88&gt;'Tournament Setup'!$B$31),$H88,"")</f>
        <v/>
      </c>
      <c r="AW88" s="12" t="str">
        <f>IF(ISNUMBER(AV88)=TRUE,IF(_xlfn.RANK.EQ(AV88,$AV$2:$AV$111)&lt;='Tournament Setup'!$D$31,_xlfn.RANK.EQ(AV88,$AV$2:$AV$111),""),"")</f>
        <v/>
      </c>
      <c r="AX88" s="30" t="str">
        <f>IF(AND($F88='Tournament Setup'!$A$32,$I88&lt;&gt;0),$I88,"")</f>
        <v/>
      </c>
      <c r="AY88" s="47" t="str">
        <f>IF(ISNUMBER(AX88),IF(COUNTIFS(AY$1:AY77,_xlfn.RANK.EQ(AX88,AX$2:AX$111,0))&gt;0,_xlfn.MAXIFS(AY$1:AY77,AX$1:AX77,AX88)+1,_xlfn.RANK.EQ(AX88,AX$2:AX$111,0)),"")</f>
        <v/>
      </c>
      <c r="AZ88" s="1" t="str">
        <f>IF(ISNUMBER(AX88)=TRUE,IF(_xlfn.RANK.EQ(AX88,$AX$2:$AX$111)&lt;='Tournament Setup'!$B$46,_xlfn.RANK.EQ(AX88,$AX$2:$AX$111),""),"")</f>
        <v/>
      </c>
      <c r="BA88" s="30" t="str">
        <f>IF(AND($F88='Tournament Setup'!$A$32,SUM($O88,$Q88,$S88)=0),$H88,"")</f>
        <v/>
      </c>
      <c r="BB88" s="47" t="str">
        <f>IF(ISNUMBER(BA88),IF(COUNTIFS(BB$1:BB77,_xlfn.RANK.EQ(BA88,BA$2:BA$111,0))&gt;0,_xlfn.MAXIFS(BB$1:BB77,BA$1:BA77,BA88)+1,_xlfn.RANK.EQ(BA88,BA$2:BA$111,0)),"")</f>
        <v/>
      </c>
      <c r="BC88" s="1" t="str">
        <f>IF(ISNUMBER(BA88)=TRUE,IF(_xlfn.RANK.EQ(BA88,$BA$2:$BA$111)&lt;='Tournament Setup'!$B$32,_xlfn.RANK.EQ(BA88,$BA$2:$BA$111),""),"")</f>
        <v/>
      </c>
      <c r="BD88" s="31" t="str">
        <f>IF(AND($F88='Tournament Setup'!$A$32,SUM($O88,$Q88)=0,$E88="M",$BC88&gt;'Tournament Setup'!$B$32),$H88,"")</f>
        <v/>
      </c>
      <c r="BE88" s="1" t="str">
        <f>IF(ISNUMBER(BD88)=TRUE,IF(_xlfn.RANK.EQ(BD88,$BD$2:$BD$111)&lt;='Tournament Setup'!$C$32,_xlfn.RANK.EQ(BD88,$BD$2:$BD$111),""),"")</f>
        <v/>
      </c>
      <c r="BF88" s="31" t="str">
        <f>IF(AND($F88='Tournament Setup'!$A$32,SUM($O88,$S88)=0,$E88="F",$BC88&gt;'Tournament Setup'!$B$32),$H88,"")</f>
        <v/>
      </c>
      <c r="BG88" s="12" t="str">
        <f>IF(ISNUMBER(BF88)=TRUE,IF(_xlfn.RANK.EQ(BF88,$BF$2:$BF$111)&lt;='Tournament Setup'!$D$32,_xlfn.RANK.EQ(BF88,$BF$2:$BF$111),""),"")</f>
        <v/>
      </c>
      <c r="BH88" s="30" t="str">
        <f>IF(AND($F88='Tournament Setup'!$A$33,$I88&lt;&gt;0),$I88,"")</f>
        <v/>
      </c>
      <c r="BI88" s="47" t="str">
        <f>IF(ISNUMBER(BH88),IF(COUNTIFS(BI$1:BI77,_xlfn.RANK.EQ(BH88,BH$2:BH$111,0))&gt;0,_xlfn.MAXIFS(BI$1:BI77,BH$1:BH77,BH88)+1,_xlfn.RANK.EQ(BH88,BH$2:BH$111,0)),"")</f>
        <v/>
      </c>
      <c r="BJ88" s="1" t="str">
        <f>IF(ISNUMBER(BH88)=TRUE,IF(_xlfn.RANK.EQ(BH88,$BH$2:$BH$111)&lt;='Tournament Setup'!$B$46,_xlfn.RANK.EQ(BH88,$BH$2:$BH$111),""),"")</f>
        <v/>
      </c>
      <c r="BK88" s="30" t="str">
        <f>IF(AND($F88='Tournament Setup'!$A$33,SUM($O88,$Q88,$S88)=0),$H88,"")</f>
        <v/>
      </c>
      <c r="BL88" s="47" t="str">
        <f>IF(ISNUMBER(BK88),IF(COUNTIFS(BL$1:BL77,_xlfn.RANK.EQ(BK88,BK$2:BK$111,0))&gt;0,_xlfn.MAXIFS(BL$1:BL77,BK$1:BK77,BK88)+1,_xlfn.RANK.EQ(BK88,BK$2:BK$111,0)),"")</f>
        <v/>
      </c>
      <c r="BM88" s="1" t="str">
        <f>IF(ISNUMBER(BK88)=TRUE,IF(_xlfn.RANK.EQ(BK88,$BK$2:$BK$111)&lt;='Tournament Setup'!$B$33,_xlfn.RANK.EQ(BK88,$BK$2:$BK$111),""),"")</f>
        <v/>
      </c>
      <c r="BN88" s="31" t="str">
        <f>IF(AND($F88='Tournament Setup'!$A$33,SUM($O88,$Q88)=0,$E88="M",$BM88&gt;'Tournament Setup'!$B$33),$H88,"")</f>
        <v/>
      </c>
      <c r="BO88" s="1" t="str">
        <f>IF(ISNUMBER(BN88)=TRUE,IF(_xlfn.RANK.EQ(BN88,$BN$2:$BN$111)&lt;='Tournament Setup'!$C$33,_xlfn.RANK.EQ(BN88,$BN$2:$BN$111),""),"")</f>
        <v/>
      </c>
      <c r="BP88" s="31" t="str">
        <f>IF(AND($F88='Tournament Setup'!$A$33,SUM($O88,$S88)=0,$E88="F",$BM88&gt;'Tournament Setup'!$B$33),$H88,"")</f>
        <v/>
      </c>
      <c r="BQ88" s="12" t="str">
        <f>IF(ISNUMBER(BP88)=TRUE,IF(_xlfn.RANK.EQ(BP88,$BP$2:$BP$111)&lt;='Tournament Setup'!$D$33,_xlfn.RANK.EQ(BP88,$BP$2:$BP$111),""),"")</f>
        <v/>
      </c>
      <c r="BR88" s="30" t="str">
        <f>IF($G88='Tournament Setup'!$A$38,$H88,"")</f>
        <v/>
      </c>
      <c r="BS88" s="47" t="str">
        <f>IF(ISNUMBER(BR88),IF(COUNTIFS(BS$1:BS77,_xlfn.RANK.EQ(BR88,BR$2:BR$111,0))&gt;0,_xlfn.MAXIFS(BS$1:BS77,BR$1:BR77,BR88)+1,_xlfn.RANK.EQ(BR88,BR$2:BR$111,0)),"")</f>
        <v/>
      </c>
      <c r="BT88" s="1" t="str">
        <f>IF(ISNUMBER(BR88)=TRUE,IF(_xlfn.RANK.EQ(BR88,$BR$2:$BR$111)&lt;='Tournament Setup'!$B$38,_xlfn.RANK.EQ(BR88,$BR$2:$BR$111),""),"")</f>
        <v/>
      </c>
      <c r="BU88" s="31" t="str">
        <f>IF(AND($G88='Tournament Setup'!$A$38,$E88="M",$BT88&gt;'Tournament Setup'!$B$38),$H88,"")</f>
        <v/>
      </c>
      <c r="BV88" s="1" t="str">
        <f>IF(ISNUMBER(BU88)=TRUE,IF(_xlfn.RANK.EQ(BU88,$BU$2:$BU$111)&lt;='Tournament Setup'!$C$38,_xlfn.RANK.EQ(BU88,$BU$2:$BU$111),""),"")</f>
        <v/>
      </c>
      <c r="BW88" s="31" t="str">
        <f>IF(AND($G88='Tournament Setup'!$A$38,$E88="F",$BT88&gt;'Tournament Setup'!$B$38),$H88,"")</f>
        <v/>
      </c>
      <c r="BX88" s="12" t="str">
        <f>IF(ISNUMBER(BW88)=TRUE,IF(_xlfn.RANK.EQ(BW88,$BW$2:$BW$111)&lt;='Tournament Setup'!$D$38,_xlfn.RANK.EQ(BW88,$BW$2:$BW$111),""),"")</f>
        <v/>
      </c>
      <c r="BY88" s="30" t="str">
        <f>IF($G88='Tournament Setup'!$A$39,$H88,"")</f>
        <v/>
      </c>
      <c r="BZ88" s="47" t="str">
        <f>IF(ISNUMBER(BY88),IF(COUNTIFS(BZ$1:BZ77,_xlfn.RANK.EQ(BY88,BY$2:BY$111,0))&gt;0,_xlfn.MAXIFS(BZ$1:BZ77,BY$1:BY77,BY88)+1,_xlfn.RANK.EQ(BY88,BY$2:BY$111,0)),"")</f>
        <v/>
      </c>
      <c r="CA88" s="1" t="str">
        <f>IF(ISNUMBER(BY88)=TRUE,IF(_xlfn.RANK.EQ(BY88,$BY$2:$BY$111)&lt;='Tournament Setup'!$B$39,_xlfn.RANK.EQ(BY88,$BY$2:$BY$111),""),"")</f>
        <v/>
      </c>
      <c r="CB88" s="31" t="str">
        <f>IF(AND($G88='Tournament Setup'!$A$39,$E88="M",$CA88&gt;'Tournament Setup'!$B$39),$H88,"")</f>
        <v/>
      </c>
      <c r="CC88" s="1" t="str">
        <f>IF(ISNUMBER(CB88)=TRUE,IF(_xlfn.RANK.EQ(CB88,$CB$2:$CB$111)&lt;='Tournament Setup'!$C$39,_xlfn.RANK.EQ(CB88,$CB$2:$CB$111),""),"")</f>
        <v/>
      </c>
      <c r="CD88" s="31" t="str">
        <f>IF(AND($G88='Tournament Setup'!$A$39,$E88="F",$CA88&gt;'Tournament Setup'!$B$39),$H88,"")</f>
        <v/>
      </c>
      <c r="CE88" s="12" t="str">
        <f>IF(ISNUMBER(CD88)=TRUE,IF(_xlfn.RANK.EQ(CD88,$CD$2:$CD$111)&lt;='Tournament Setup'!$D$39,_xlfn.RANK.EQ(CD88,$CD$2:$CD$111),""),"")</f>
        <v/>
      </c>
      <c r="CF88" s="30" t="str">
        <f>IF($G88='Tournament Setup'!$A$40,$H88,"")</f>
        <v/>
      </c>
      <c r="CG88" s="47" t="str">
        <f>IF(ISNUMBER(CF88),IF(COUNTIFS(CG$1:CG77,_xlfn.RANK.EQ(CF88,CF$2:CF$111,0))&gt;0,_xlfn.MAXIFS(CG$1:CG77,CF$1:CF77,CF88)+1,_xlfn.RANK.EQ(CF88,CF$2:CF$111,0)),"")</f>
        <v/>
      </c>
      <c r="CH88" s="1" t="str">
        <f>IF(ISNUMBER(CF88)=TRUE,IF(_xlfn.RANK.EQ(CF88,$CF$2:$CF$111)&lt;='Tournament Setup'!$B$40,_xlfn.RANK.EQ(CF88,$CF$2:$CF$111),""),"")</f>
        <v/>
      </c>
      <c r="CI88" s="31" t="str">
        <f>IF(AND($G88='Tournament Setup'!$A$40,$E88="M",$CH88&gt;'Tournament Setup'!$B$40),$H88,"")</f>
        <v/>
      </c>
      <c r="CJ88" s="1" t="str">
        <f>IF(ISNUMBER(CI88)=TRUE,IF(_xlfn.RANK.EQ(CI88,$CI$2:$CI$111)&lt;='Tournament Setup'!$C$40,_xlfn.RANK.EQ(CI88,$CI$2:$CI$111),""),"")</f>
        <v/>
      </c>
      <c r="CK88" s="31" t="str">
        <f>IF(AND($G88='Tournament Setup'!$A$40,$E88="F",$CH88&gt;'Tournament Setup'!$B$40),$H88,"")</f>
        <v/>
      </c>
      <c r="CL88" s="12" t="str">
        <f>IF(ISNUMBER(CK88)=TRUE,IF(_xlfn.RANK.EQ(CK88,$CK$2:$CK$111)&lt;='Tournament Setup'!$D$40,_xlfn.RANK.EQ(CK88,$CK$2:$CK$111),""),"")</f>
        <v/>
      </c>
      <c r="CM88" s="30" t="str">
        <f>IF($G88='Tournament Setup'!$A$41,$H88,"")</f>
        <v/>
      </c>
      <c r="CN88" s="47" t="str">
        <f>IF(ISNUMBER(CM88),IF(COUNTIFS(CN$1:CN77,_xlfn.RANK.EQ(CM88,CM$2:CM$111,0))&gt;0,_xlfn.MAXIFS(CN$1:CN77,CM$1:CM77,CM88)+1,_xlfn.RANK.EQ(CM88,CM$2:CM$111,0)),"")</f>
        <v/>
      </c>
      <c r="CO88" s="1" t="str">
        <f>IF(ISNUMBER(CM88)=TRUE,IF(_xlfn.RANK.EQ(CM88,$CM$2:$CM$111)&lt;='Tournament Setup'!$B$41,_xlfn.RANK.EQ(CM88,$CM$2:$CM$111),""),"")</f>
        <v/>
      </c>
      <c r="CP88" s="31" t="str">
        <f>IF(AND($G88='Tournament Setup'!$A$41,$E88="M",$CO88&gt;'Tournament Setup'!$B$41),$H88,"")</f>
        <v/>
      </c>
      <c r="CQ88" s="1" t="str">
        <f>IF(ISNUMBER(CP88)=TRUE,IF(_xlfn.RANK.EQ(CP88,$CP$2:$CP$111)&lt;='Tournament Setup'!$C$41,_xlfn.RANK.EQ(CP88,$CP$2:$CP$111),""),"")</f>
        <v/>
      </c>
      <c r="CR88" s="31" t="str">
        <f>IF(AND($G88='Tournament Setup'!$A$41,$E88="F",$CO88&gt;'Tournament Setup'!$B$41),$H88,"")</f>
        <v/>
      </c>
      <c r="CS88" s="12" t="str">
        <f>IF(ISNUMBER(CR88)=TRUE,IF(_xlfn.RANK.EQ(CR88,$CR$2:$CR$111)&lt;='Tournament Setup'!$D$41,_xlfn.RANK.EQ(CR88,$CR$2:$CR$111),""),"")</f>
        <v/>
      </c>
    </row>
    <row r="89" spans="2:97" x14ac:dyDescent="0.3">
      <c r="B89" t="str">
        <f>IFERROR(INDEX('Tournament List'!$B:$B,MATCH($A89,'Tournament List'!$A:$A,0)),"")</f>
        <v/>
      </c>
      <c r="C89" t="str">
        <f>IFERROR(INDEX('Tournament List'!$C:$C,MATCH($A89,'Tournament List'!$A:$A,0)),"")</f>
        <v/>
      </c>
      <c r="D89" t="str">
        <f t="shared" si="15"/>
        <v xml:space="preserve"> </v>
      </c>
      <c r="E89" s="1" t="str">
        <f>IFERROR(INDEX('Tournament List'!F:F,MATCH($A89,'Tournament List'!$A:$A,0)),"")</f>
        <v/>
      </c>
      <c r="F89" t="str">
        <f>IFERROR(INDEX('Tournament List'!M:M,MATCH($A89,'Tournament List'!$A:$A,0)),"")</f>
        <v/>
      </c>
      <c r="G89" s="1" t="str">
        <f>IFERROR(INDEX('Tournament List'!W:W,MATCH($A89,'Tournament List'!$A:$A,0)),"")</f>
        <v/>
      </c>
      <c r="H89" s="129" t="str">
        <f>IFERROR(INDEX('Tournament List'!Z:Z,MATCH($A89,'Tournament List'!$A:$A,0)),"")</f>
        <v/>
      </c>
      <c r="I89" s="152" t="str">
        <f>IFERROR(INDEX('Tournament List'!T:T,MATCH($A89,'Tournament List'!$A:$A,0)),"")</f>
        <v/>
      </c>
      <c r="J89" s="56" t="str">
        <f>IF(ISNUMBER(I89),IF(COUNTIFS(J$1:J88,_xlfn.RANK.EQ(I89,I$2:I$111,0))&gt;0,_xlfn.MAXIFS(J$1:J88,I$1:I88,I89)+1,_xlfn.RANK.EQ(I89,I$2:I$111,0)),"")</f>
        <v/>
      </c>
      <c r="K89" s="11" t="str">
        <f t="shared" si="16"/>
        <v/>
      </c>
      <c r="L89" s="56" t="str">
        <f>IF(ISNUMBER(H89),IF(COUNTIFS(L$1:L88,_xlfn.RANK.EQ(H89,H$2:H$111,0))&gt;0,_xlfn.MAXIFS(L$1:L88,H$1:H88,H89)+1,_xlfn.RANK.EQ(H89,H$2:H$111,0)),"")</f>
        <v/>
      </c>
      <c r="M89" s="151" t="str">
        <f t="shared" si="17"/>
        <v/>
      </c>
      <c r="N89" s="47" t="str">
        <f>IF(ISNUMBER(M89),IF(COUNTIFS(N$1:N88,_xlfn.RANK.EQ(M89,M$2:M$111,0))&gt;0,_xlfn.MAXIFS(N$1:N88,M$1:M88,M89)+1,_xlfn.RANK.EQ(M89,M$2:M$111,0)),"")</f>
        <v/>
      </c>
      <c r="O89" s="1" t="str">
        <f>IF(ISNUMBER(M89)=TRUE,IF(_xlfn.RANK.EQ(M89,$M$2:$M$111)&lt;='Tournament Setup'!$B$23,_xlfn.RANK.EQ(M89,$M$2:$M$111),""),"")</f>
        <v/>
      </c>
      <c r="P89" s="150" t="str">
        <f t="shared" si="18"/>
        <v/>
      </c>
      <c r="Q89" s="1" t="str">
        <f>IF(ISNUMBER(P89)=TRUE,IF(_xlfn.RANK.EQ(P89,$P$2:$P$111)&lt;='Tournament Setup'!$B$24,_xlfn.RANK.EQ(P89,$P$2:$P$111),""),"")</f>
        <v/>
      </c>
      <c r="R89" s="150" t="str">
        <f t="shared" si="19"/>
        <v/>
      </c>
      <c r="S89" s="12" t="str">
        <f>IF(ISNUMBER(R89)=TRUE,IF(_xlfn.RANK.EQ(R89,$R$2:$R$111)&lt;='Tournament Setup'!$B$25,_xlfn.RANK.EQ(R89,$R$2:$R$111),""),"")</f>
        <v/>
      </c>
      <c r="T89" s="152" t="str">
        <f>IF(AND($F89='Tournament Setup'!$A$29,$I89&lt;&gt;0),$I89,"")</f>
        <v/>
      </c>
      <c r="U89" s="47" t="str">
        <f>IF(ISNUMBER(T89),IF(COUNTIFS(U$1:U88,_xlfn.RANK.EQ(T89,T$2:T$111,0))&gt;0,_xlfn.MAXIFS(U$1:U88,T$1:T88,T89)+1,_xlfn.RANK.EQ(T89,T$2:T$111,0)),"")</f>
        <v/>
      </c>
      <c r="V89" s="1" t="str">
        <f>IF(ISNUMBER(T89)=TRUE,IF(_xlfn.RANK.EQ(T89,$T$3:$T$112)&lt;='Tournament Setup'!$B$46,_xlfn.RANK.EQ(T89,$T$2:$T$111),""),"")</f>
        <v/>
      </c>
      <c r="W89" s="30" t="str">
        <f>IF(AND($F89='Tournament Setup'!$A$29,SUM($O89,$Q89,$S89)=0),$H89,"")</f>
        <v/>
      </c>
      <c r="X89" s="47" t="str">
        <f>IF(ISNUMBER(W89),IF(COUNTIFS(X$1:X88,_xlfn.RANK.EQ(W89,W$2:W$111,0))&gt;0,_xlfn.MAXIFS(X$1:X88,W$1:W88,W89)+1,_xlfn.RANK.EQ(W89,W$2:W$111,0)),"")</f>
        <v/>
      </c>
      <c r="Y89" s="1" t="str">
        <f>IF(ISNUMBER(W89)=TRUE,IF(_xlfn.RANK.EQ(W89,$W$2:$W$111)&lt;='Tournament Setup'!$B$29,_xlfn.RANK.EQ(W89,$W$2:$W$111),""),"")</f>
        <v/>
      </c>
      <c r="Z89" s="31" t="str">
        <f>IF(AND($F89='Tournament Setup'!$A$29,SUM($O89,$Q89)=0,$E89="M",$Y89&gt;'Tournament Setup'!$B$29),$H89,"")</f>
        <v/>
      </c>
      <c r="AA89" s="1" t="str">
        <f>IF(ISNUMBER(Z89)=TRUE,IF(_xlfn.RANK.EQ(Z89,$Z$2:$Z$111)&lt;='Tournament Setup'!$C$29,_xlfn.RANK.EQ(Z89,$Z$2:$Z$111),""),"")</f>
        <v/>
      </c>
      <c r="AB89" s="31" t="str">
        <f>IF(AND($F89='Tournament Setup'!$A$29,SUM($O89,$S89)=0,$E89="F",$Y89&gt;'Tournament Setup'!$B$29),$H89,"")</f>
        <v/>
      </c>
      <c r="AC89" s="12" t="str">
        <f>IF(ISNUMBER(AB89)=TRUE,IF(_xlfn.RANK.EQ(AB89,$AB$2:$AB$111)&lt;='Tournament Setup'!$D$29,_xlfn.RANK.EQ(AB89,$AB$2:$AB$111),""),"")</f>
        <v/>
      </c>
      <c r="AD89" s="30" t="str">
        <f>IF(AND($F89='Tournament Setup'!$A$30,$I89&lt;&gt;0),$I89,"")</f>
        <v/>
      </c>
      <c r="AE89" s="47" t="str">
        <f>IF(ISNUMBER(AD89),IF(COUNTIFS(AE$1:AE88,_xlfn.RANK.EQ(AD89,AD$2:AD$111,0))&gt;0,_xlfn.MAXIFS(AE$1:AE88,AD$1:AD88,AD89)+1,_xlfn.RANK.EQ(AD89,AD$2:AD$111,0)),"")</f>
        <v/>
      </c>
      <c r="AF89" s="1" t="str">
        <f>IF(ISNUMBER(AD89)=TRUE,IF(_xlfn.RANK.EQ(AD89,$AD$2:$AD$111)&lt;='Tournament Setup'!$B$46,_xlfn.RANK.EQ(AD89,$AD$2:$AD$111),""),"")</f>
        <v/>
      </c>
      <c r="AG89" s="30" t="str">
        <f>IF(AND($F89='Tournament Setup'!$A$30,SUM($O89,$Q89,$S89)=0),$H89,"")</f>
        <v/>
      </c>
      <c r="AH89" s="47" t="str">
        <f>IF(ISNUMBER(AG89),IF(COUNTIFS(AH$1:AH88,_xlfn.RANK.EQ(AG89,AG$2:AG$111,0))&gt;0,_xlfn.MAXIFS(AH$1:AH88,AG$1:AG88,AG89)+1,_xlfn.RANK.EQ(AG89,AG$2:AG$111,0)),"")</f>
        <v/>
      </c>
      <c r="AI89" s="1" t="str">
        <f>IF(ISNUMBER(AG89)=TRUE,IF(_xlfn.RANK.EQ(AG89,$AG$2:$AG$111)&lt;='Tournament Setup'!$B$30,_xlfn.RANK.EQ(AG89,$AG$2:$AG$111),""),"")</f>
        <v/>
      </c>
      <c r="AJ89" s="31" t="str">
        <f>IF(AND($F89='Tournament Setup'!$A$30,SUM($O89,$Q89)=0,$E89="M",$AI89&gt;'Tournament Setup'!$B$30),$H89,"")</f>
        <v/>
      </c>
      <c r="AK89" s="1" t="str">
        <f>IF(ISNUMBER(AJ89)=TRUE,IF(_xlfn.RANK.EQ(AJ89,$AJ$2:$AJ$111)&lt;='Tournament Setup'!$C$30,_xlfn.RANK.EQ(AJ89,$AJ$2:$AJ$111),""),"")</f>
        <v/>
      </c>
      <c r="AL89" s="31" t="str">
        <f>IF(AND($F89='Tournament Setup'!$A$30,SUM($O89,$S89)=0,$E89="F",$AI89&gt;'Tournament Setup'!$B$30),$H89,"")</f>
        <v/>
      </c>
      <c r="AM89" s="12" t="str">
        <f>IF(ISNUMBER(AL89)=TRUE,IF(_xlfn.RANK.EQ(AL89,$AL$2:$AL$111)&lt;='Tournament Setup'!$D$30,_xlfn.RANK.EQ(AL89,$AL$2:$AL$111),""),"")</f>
        <v/>
      </c>
      <c r="AN89" s="30" t="str">
        <f>IF(AND($F89='Tournament Setup'!$A$31,$I89&lt;&gt;0),$I89,"")</f>
        <v/>
      </c>
      <c r="AO89" s="47" t="str">
        <f>IF(ISNUMBER(AN89),IF(COUNTIFS(AO$1:AO88,_xlfn.RANK.EQ(AN89,AN$2:AN$111,0))&gt;0,_xlfn.MAXIFS(AO$1:AO88,AN$1:AN88,AN89)+1,_xlfn.RANK.EQ(AN89,AN$2:AN$111,0)),"")</f>
        <v/>
      </c>
      <c r="AP89" s="1" t="str">
        <f>IF(ISNUMBER(AN89)=TRUE,IF(_xlfn.RANK.EQ(AN89,$AN$2:$AN$111)&lt;='Tournament Setup'!$B$46,_xlfn.RANK.EQ(AN89,$AN$2:$AN$111),""),"")</f>
        <v/>
      </c>
      <c r="AQ89" s="30" t="str">
        <f>IF(AND($F89='Tournament Setup'!$A$31,SUM($O89,$Q89,$S89)=0),$H89,"")</f>
        <v/>
      </c>
      <c r="AR89" s="47" t="str">
        <f>IF(ISNUMBER(AQ89),IF(COUNTIFS(AR$1:AR88,_xlfn.RANK.EQ(AQ89,AQ$2:AQ$111,0))&gt;0,_xlfn.MAXIFS(AR$1:AR88,AQ$1:AQ88,AQ89)+1,_xlfn.RANK.EQ(AQ89,AQ$2:AQ$111,0)),"")</f>
        <v/>
      </c>
      <c r="AS89" s="1" t="str">
        <f>IF(ISNUMBER(AQ89)=TRUE,IF(_xlfn.RANK.EQ(AQ89,$AQ$2:$AQ$111)&lt;='Tournament Setup'!$B$31,_xlfn.RANK.EQ(AQ89,$AQ$2:$AQ$111),""),"")</f>
        <v/>
      </c>
      <c r="AT89" s="31" t="str">
        <f>IF(AND($F89='Tournament Setup'!$A$31,SUM($O89,$Q89)=0,$E89="M",$AS89&gt;'Tournament Setup'!$B$31),$H89,"")</f>
        <v/>
      </c>
      <c r="AU89" s="1" t="str">
        <f>IF(ISNUMBER(AT89)=TRUE,IF(_xlfn.RANK.EQ(AT89,$AT$2:$AT$111)&lt;='Tournament Setup'!$C$31,_xlfn.RANK.EQ(AT89,$AT$2:$AT$111),""),"")</f>
        <v/>
      </c>
      <c r="AV89" s="31" t="str">
        <f>IF(AND($F89='Tournament Setup'!$A$31,SUM($O89,$S89)=0,$E89="F",$AS89&gt;'Tournament Setup'!$B$31),$H89,"")</f>
        <v/>
      </c>
      <c r="AW89" s="12" t="str">
        <f>IF(ISNUMBER(AV89)=TRUE,IF(_xlfn.RANK.EQ(AV89,$AV$2:$AV$111)&lt;='Tournament Setup'!$D$31,_xlfn.RANK.EQ(AV89,$AV$2:$AV$111),""),"")</f>
        <v/>
      </c>
      <c r="AX89" s="30" t="str">
        <f>IF(AND($F89='Tournament Setup'!$A$32,$I89&lt;&gt;0),$I89,"")</f>
        <v/>
      </c>
      <c r="AY89" s="47" t="str">
        <f>IF(ISNUMBER(AX89),IF(COUNTIFS(AY$1:AY88,_xlfn.RANK.EQ(AX89,AX$2:AX$111,0))&gt;0,_xlfn.MAXIFS(AY$1:AY88,AX$1:AX88,AX89)+1,_xlfn.RANK.EQ(AX89,AX$2:AX$111,0)),"")</f>
        <v/>
      </c>
      <c r="AZ89" s="1" t="str">
        <f>IF(ISNUMBER(AX89)=TRUE,IF(_xlfn.RANK.EQ(AX89,$AX$2:$AX$111)&lt;='Tournament Setup'!$B$46,_xlfn.RANK.EQ(AX89,$AX$2:$AX$111),""),"")</f>
        <v/>
      </c>
      <c r="BA89" s="30" t="str">
        <f>IF(AND($F89='Tournament Setup'!$A$32,SUM($O89,$Q89,$S89)=0),$H89,"")</f>
        <v/>
      </c>
      <c r="BB89" s="47" t="str">
        <f>IF(ISNUMBER(BA89),IF(COUNTIFS(BB$1:BB88,_xlfn.RANK.EQ(BA89,BA$2:BA$111,0))&gt;0,_xlfn.MAXIFS(BB$1:BB88,BA$1:BA88,BA89)+1,_xlfn.RANK.EQ(BA89,BA$2:BA$111,0)),"")</f>
        <v/>
      </c>
      <c r="BC89" s="1" t="str">
        <f>IF(ISNUMBER(BA89)=TRUE,IF(_xlfn.RANK.EQ(BA89,$BA$2:$BA$111)&lt;='Tournament Setup'!$B$32,_xlfn.RANK.EQ(BA89,$BA$2:$BA$111),""),"")</f>
        <v/>
      </c>
      <c r="BD89" s="31" t="str">
        <f>IF(AND($F89='Tournament Setup'!$A$32,SUM($O89,$Q89)=0,$E89="M",$BC89&gt;'Tournament Setup'!$B$32),$H89,"")</f>
        <v/>
      </c>
      <c r="BE89" s="1" t="str">
        <f>IF(ISNUMBER(BD89)=TRUE,IF(_xlfn.RANK.EQ(BD89,$BD$2:$BD$111)&lt;='Tournament Setup'!$C$32,_xlfn.RANK.EQ(BD89,$BD$2:$BD$111),""),"")</f>
        <v/>
      </c>
      <c r="BF89" s="31" t="str">
        <f>IF(AND($F89='Tournament Setup'!$A$32,SUM($O89,$S89)=0,$E89="F",$BC89&gt;'Tournament Setup'!$B$32),$H89,"")</f>
        <v/>
      </c>
      <c r="BG89" s="12" t="str">
        <f>IF(ISNUMBER(BF89)=TRUE,IF(_xlfn.RANK.EQ(BF89,$BF$2:$BF$111)&lt;='Tournament Setup'!$D$32,_xlfn.RANK.EQ(BF89,$BF$2:$BF$111),""),"")</f>
        <v/>
      </c>
      <c r="BH89" s="30" t="str">
        <f>IF(AND($F89='Tournament Setup'!$A$33,$I89&lt;&gt;0),$I89,"")</f>
        <v/>
      </c>
      <c r="BI89" s="47" t="str">
        <f>IF(ISNUMBER(BH89),IF(COUNTIFS(BI$1:BI88,_xlfn.RANK.EQ(BH89,BH$2:BH$111,0))&gt;0,_xlfn.MAXIFS(BI$1:BI88,BH$1:BH88,BH89)+1,_xlfn.RANK.EQ(BH89,BH$2:BH$111,0)),"")</f>
        <v/>
      </c>
      <c r="BJ89" s="1" t="str">
        <f>IF(ISNUMBER(BH89)=TRUE,IF(_xlfn.RANK.EQ(BH89,$BH$2:$BH$111)&lt;='Tournament Setup'!$B$46,_xlfn.RANK.EQ(BH89,$BH$2:$BH$111),""),"")</f>
        <v/>
      </c>
      <c r="BK89" s="30" t="str">
        <f>IF(AND($F89='Tournament Setup'!$A$33,SUM($O89,$Q89,$S89)=0),$H89,"")</f>
        <v/>
      </c>
      <c r="BL89" s="47" t="str">
        <f>IF(ISNUMBER(BK89),IF(COUNTIFS(BL$1:BL88,_xlfn.RANK.EQ(BK89,BK$2:BK$111,0))&gt;0,_xlfn.MAXIFS(BL$1:BL88,BK$1:BK88,BK89)+1,_xlfn.RANK.EQ(BK89,BK$2:BK$111,0)),"")</f>
        <v/>
      </c>
      <c r="BM89" s="1" t="str">
        <f>IF(ISNUMBER(BK89)=TRUE,IF(_xlfn.RANK.EQ(BK89,$BK$2:$BK$111)&lt;='Tournament Setup'!$B$33,_xlfn.RANK.EQ(BK89,$BK$2:$BK$111),""),"")</f>
        <v/>
      </c>
      <c r="BN89" s="31" t="str">
        <f>IF(AND($F89='Tournament Setup'!$A$33,SUM($O89,$Q89)=0,$E89="M",$BM89&gt;'Tournament Setup'!$B$33),$H89,"")</f>
        <v/>
      </c>
      <c r="BO89" s="1" t="str">
        <f>IF(ISNUMBER(BN89)=TRUE,IF(_xlfn.RANK.EQ(BN89,$BN$2:$BN$111)&lt;='Tournament Setup'!$C$33,_xlfn.RANK.EQ(BN89,$BN$2:$BN$111),""),"")</f>
        <v/>
      </c>
      <c r="BP89" s="31" t="str">
        <f>IF(AND($F89='Tournament Setup'!$A$33,SUM($O89,$S89)=0,$E89="F",$BM89&gt;'Tournament Setup'!$B$33),$H89,"")</f>
        <v/>
      </c>
      <c r="BQ89" s="12" t="str">
        <f>IF(ISNUMBER(BP89)=TRUE,IF(_xlfn.RANK.EQ(BP89,$BP$2:$BP$111)&lt;='Tournament Setup'!$D$33,_xlfn.RANK.EQ(BP89,$BP$2:$BP$111),""),"")</f>
        <v/>
      </c>
      <c r="BR89" s="30" t="str">
        <f>IF($G89='Tournament Setup'!$A$38,$H89,"")</f>
        <v/>
      </c>
      <c r="BS89" s="47" t="str">
        <f>IF(ISNUMBER(BR89),IF(COUNTIFS(BS$1:BS88,_xlfn.RANK.EQ(BR89,BR$2:BR$111,0))&gt;0,_xlfn.MAXIFS(BS$1:BS88,BR$1:BR88,BR89)+1,_xlfn.RANK.EQ(BR89,BR$2:BR$111,0)),"")</f>
        <v/>
      </c>
      <c r="BT89" s="1" t="str">
        <f>IF(ISNUMBER(BR89)=TRUE,IF(_xlfn.RANK.EQ(BR89,$BR$2:$BR$111)&lt;='Tournament Setup'!$B$38,_xlfn.RANK.EQ(BR89,$BR$2:$BR$111),""),"")</f>
        <v/>
      </c>
      <c r="BU89" s="31" t="str">
        <f>IF(AND($G89='Tournament Setup'!$A$38,$E89="M",$BT89&gt;'Tournament Setup'!$B$38),$H89,"")</f>
        <v/>
      </c>
      <c r="BV89" s="1" t="str">
        <f>IF(ISNUMBER(BU89)=TRUE,IF(_xlfn.RANK.EQ(BU89,$BU$2:$BU$111)&lt;='Tournament Setup'!$C$38,_xlfn.RANK.EQ(BU89,$BU$2:$BU$111),""),"")</f>
        <v/>
      </c>
      <c r="BW89" s="31" t="str">
        <f>IF(AND($G89='Tournament Setup'!$A$38,$E89="F",$BT89&gt;'Tournament Setup'!$B$38),$H89,"")</f>
        <v/>
      </c>
      <c r="BX89" s="12" t="str">
        <f>IF(ISNUMBER(BW89)=TRUE,IF(_xlfn.RANK.EQ(BW89,$BW$2:$BW$111)&lt;='Tournament Setup'!$D$38,_xlfn.RANK.EQ(BW89,$BW$2:$BW$111),""),"")</f>
        <v/>
      </c>
      <c r="BY89" s="30" t="str">
        <f>IF($G89='Tournament Setup'!$A$39,$H89,"")</f>
        <v/>
      </c>
      <c r="BZ89" s="47" t="str">
        <f>IF(ISNUMBER(BY89),IF(COUNTIFS(BZ$1:BZ88,_xlfn.RANK.EQ(BY89,BY$2:BY$111,0))&gt;0,_xlfn.MAXIFS(BZ$1:BZ88,BY$1:BY88,BY89)+1,_xlfn.RANK.EQ(BY89,BY$2:BY$111,0)),"")</f>
        <v/>
      </c>
      <c r="CA89" s="1" t="str">
        <f>IF(ISNUMBER(BY89)=TRUE,IF(_xlfn.RANK.EQ(BY89,$BY$2:$BY$111)&lt;='Tournament Setup'!$B$39,_xlfn.RANK.EQ(BY89,$BY$2:$BY$111),""),"")</f>
        <v/>
      </c>
      <c r="CB89" s="31" t="str">
        <f>IF(AND($G89='Tournament Setup'!$A$39,$E89="M",$CA89&gt;'Tournament Setup'!$B$39),$H89,"")</f>
        <v/>
      </c>
      <c r="CC89" s="1" t="str">
        <f>IF(ISNUMBER(CB89)=TRUE,IF(_xlfn.RANK.EQ(CB89,$CB$2:$CB$111)&lt;='Tournament Setup'!$C$39,_xlfn.RANK.EQ(CB89,$CB$2:$CB$111),""),"")</f>
        <v/>
      </c>
      <c r="CD89" s="31" t="str">
        <f>IF(AND($G89='Tournament Setup'!$A$39,$E89="F",$CA89&gt;'Tournament Setup'!$B$39),$H89,"")</f>
        <v/>
      </c>
      <c r="CE89" s="12" t="str">
        <f>IF(ISNUMBER(CD89)=TRUE,IF(_xlfn.RANK.EQ(CD89,$CD$2:$CD$111)&lt;='Tournament Setup'!$D$39,_xlfn.RANK.EQ(CD89,$CD$2:$CD$111),""),"")</f>
        <v/>
      </c>
      <c r="CF89" s="30" t="str">
        <f>IF($G89='Tournament Setup'!$A$40,$H89,"")</f>
        <v/>
      </c>
      <c r="CG89" s="47" t="str">
        <f>IF(ISNUMBER(CF89),IF(COUNTIFS(CG$1:CG88,_xlfn.RANK.EQ(CF89,CF$2:CF$111,0))&gt;0,_xlfn.MAXIFS(CG$1:CG88,CF$1:CF88,CF89)+1,_xlfn.RANK.EQ(CF89,CF$2:CF$111,0)),"")</f>
        <v/>
      </c>
      <c r="CH89" s="1" t="str">
        <f>IF(ISNUMBER(CF89)=TRUE,IF(_xlfn.RANK.EQ(CF89,$CF$2:$CF$111)&lt;='Tournament Setup'!$B$40,_xlfn.RANK.EQ(CF89,$CF$2:$CF$111),""),"")</f>
        <v/>
      </c>
      <c r="CI89" s="31" t="str">
        <f>IF(AND($G89='Tournament Setup'!$A$40,$E89="M",$CH89&gt;'Tournament Setup'!$B$40),$H89,"")</f>
        <v/>
      </c>
      <c r="CJ89" s="1" t="str">
        <f>IF(ISNUMBER(CI89)=TRUE,IF(_xlfn.RANK.EQ(CI89,$CI$2:$CI$111)&lt;='Tournament Setup'!$C$40,_xlfn.RANK.EQ(CI89,$CI$2:$CI$111),""),"")</f>
        <v/>
      </c>
      <c r="CK89" s="31" t="str">
        <f>IF(AND($G89='Tournament Setup'!$A$40,$E89="F",$CH89&gt;'Tournament Setup'!$B$40),$H89,"")</f>
        <v/>
      </c>
      <c r="CL89" s="12" t="str">
        <f>IF(ISNUMBER(CK89)=TRUE,IF(_xlfn.RANK.EQ(CK89,$CK$2:$CK$111)&lt;='Tournament Setup'!$D$40,_xlfn.RANK.EQ(CK89,$CK$2:$CK$111),""),"")</f>
        <v/>
      </c>
      <c r="CM89" s="30" t="str">
        <f>IF($G89='Tournament Setup'!$A$41,$H89,"")</f>
        <v/>
      </c>
      <c r="CN89" s="47" t="str">
        <f>IF(ISNUMBER(CM89),IF(COUNTIFS(CN$1:CN88,_xlfn.RANK.EQ(CM89,CM$2:CM$111,0))&gt;0,_xlfn.MAXIFS(CN$1:CN88,CM$1:CM88,CM89)+1,_xlfn.RANK.EQ(CM89,CM$2:CM$111,0)),"")</f>
        <v/>
      </c>
      <c r="CO89" s="1" t="str">
        <f>IF(ISNUMBER(CM89)=TRUE,IF(_xlfn.RANK.EQ(CM89,$CM$2:$CM$111)&lt;='Tournament Setup'!$B$41,_xlfn.RANK.EQ(CM89,$CM$2:$CM$111),""),"")</f>
        <v/>
      </c>
      <c r="CP89" s="31" t="str">
        <f>IF(AND($G89='Tournament Setup'!$A$41,$E89="M",$CO89&gt;'Tournament Setup'!$B$41),$H89,"")</f>
        <v/>
      </c>
      <c r="CQ89" s="1" t="str">
        <f>IF(ISNUMBER(CP89)=TRUE,IF(_xlfn.RANK.EQ(CP89,$CP$2:$CP$111)&lt;='Tournament Setup'!$C$41,_xlfn.RANK.EQ(CP89,$CP$2:$CP$111),""),"")</f>
        <v/>
      </c>
      <c r="CR89" s="31" t="str">
        <f>IF(AND($G89='Tournament Setup'!$A$41,$E89="F",$CO89&gt;'Tournament Setup'!$B$41),$H89,"")</f>
        <v/>
      </c>
      <c r="CS89" s="12" t="str">
        <f>IF(ISNUMBER(CR89)=TRUE,IF(_xlfn.RANK.EQ(CR89,$CR$2:$CR$111)&lt;='Tournament Setup'!$D$41,_xlfn.RANK.EQ(CR89,$CR$2:$CR$111),""),"")</f>
        <v/>
      </c>
    </row>
    <row r="90" spans="2:97" x14ac:dyDescent="0.3">
      <c r="B90" t="str">
        <f>IFERROR(INDEX('Tournament List'!$B:$B,MATCH($A90,'Tournament List'!$A:$A,0)),"")</f>
        <v/>
      </c>
      <c r="C90" t="str">
        <f>IFERROR(INDEX('Tournament List'!$C:$C,MATCH($A90,'Tournament List'!$A:$A,0)),"")</f>
        <v/>
      </c>
      <c r="D90" t="str">
        <f t="shared" si="15"/>
        <v xml:space="preserve"> </v>
      </c>
      <c r="E90" s="1" t="str">
        <f>IFERROR(INDEX('Tournament List'!F:F,MATCH($A90,'Tournament List'!$A:$A,0)),"")</f>
        <v/>
      </c>
      <c r="F90" t="str">
        <f>IFERROR(INDEX('Tournament List'!M:M,MATCH($A90,'Tournament List'!$A:$A,0)),"")</f>
        <v/>
      </c>
      <c r="G90" s="1" t="str">
        <f>IFERROR(INDEX('Tournament List'!W:W,MATCH($A90,'Tournament List'!$A:$A,0)),"")</f>
        <v/>
      </c>
      <c r="H90" s="129" t="str">
        <f>IFERROR(INDEX('Tournament List'!Z:Z,MATCH($A90,'Tournament List'!$A:$A,0)),"")</f>
        <v/>
      </c>
      <c r="I90" s="152" t="str">
        <f>IFERROR(INDEX('Tournament List'!T:T,MATCH($A90,'Tournament List'!$A:$A,0)),"")</f>
        <v/>
      </c>
      <c r="J90" s="56" t="str">
        <f>IF(ISNUMBER(I90),IF(COUNTIFS(J$1:J89,_xlfn.RANK.EQ(I90,I$2:I$111,0))&gt;0,_xlfn.MAXIFS(J$1:J89,I$1:I89,I90)+1,_xlfn.RANK.EQ(I90,I$2:I$111,0)),"")</f>
        <v/>
      </c>
      <c r="K90" s="11" t="str">
        <f t="shared" si="16"/>
        <v/>
      </c>
      <c r="L90" s="56" t="str">
        <f>IF(ISNUMBER(H90),IF(COUNTIFS(L$1:L89,_xlfn.RANK.EQ(H90,H$2:H$111,0))&gt;0,_xlfn.MAXIFS(L$1:L89,H$1:H89,H90)+1,_xlfn.RANK.EQ(H90,H$2:H$111,0)),"")</f>
        <v/>
      </c>
      <c r="M90" s="151" t="str">
        <f t="shared" si="17"/>
        <v/>
      </c>
      <c r="N90" s="47" t="str">
        <f>IF(ISNUMBER(M90),IF(COUNTIFS(N$1:N89,_xlfn.RANK.EQ(M90,M$2:M$111,0))&gt;0,_xlfn.MAXIFS(N$1:N89,M$1:M89,M90)+1,_xlfn.RANK.EQ(M90,M$2:M$111,0)),"")</f>
        <v/>
      </c>
      <c r="O90" s="1" t="str">
        <f>IF(ISNUMBER(M90)=TRUE,IF(_xlfn.RANK.EQ(M90,$M$2:$M$111)&lt;='Tournament Setup'!$B$23,_xlfn.RANK.EQ(M90,$M$2:$M$111),""),"")</f>
        <v/>
      </c>
      <c r="P90" s="150" t="str">
        <f t="shared" si="18"/>
        <v/>
      </c>
      <c r="Q90" s="1" t="str">
        <f>IF(ISNUMBER(P90)=TRUE,IF(_xlfn.RANK.EQ(P90,$P$2:$P$111)&lt;='Tournament Setup'!$B$24,_xlfn.RANK.EQ(P90,$P$2:$P$111),""),"")</f>
        <v/>
      </c>
      <c r="R90" s="150" t="str">
        <f t="shared" si="19"/>
        <v/>
      </c>
      <c r="S90" s="12" t="str">
        <f>IF(ISNUMBER(R90)=TRUE,IF(_xlfn.RANK.EQ(R90,$R$2:$R$111)&lt;='Tournament Setup'!$B$25,_xlfn.RANK.EQ(R90,$R$2:$R$111),""),"")</f>
        <v/>
      </c>
      <c r="T90" s="152" t="str">
        <f>IF(AND($F90='Tournament Setup'!$A$29,$I90&lt;&gt;0),$I90,"")</f>
        <v/>
      </c>
      <c r="U90" s="47" t="str">
        <f>IF(ISNUMBER(T90),IF(COUNTIFS(U$1:U89,_xlfn.RANK.EQ(T90,T$2:T$111,0))&gt;0,_xlfn.MAXIFS(U$1:U89,T$1:T89,T90)+1,_xlfn.RANK.EQ(T90,T$2:T$111,0)),"")</f>
        <v/>
      </c>
      <c r="V90" s="1" t="str">
        <f>IF(ISNUMBER(T90)=TRUE,IF(_xlfn.RANK.EQ(T90,$T$3:$T$112)&lt;='Tournament Setup'!$B$46,_xlfn.RANK.EQ(T90,$T$2:$T$111),""),"")</f>
        <v/>
      </c>
      <c r="W90" s="30" t="str">
        <f>IF(AND($F90='Tournament Setup'!$A$29,SUM($O90,$Q90,$S90)=0),$H90,"")</f>
        <v/>
      </c>
      <c r="X90" s="47" t="str">
        <f>IF(ISNUMBER(W90),IF(COUNTIFS(X$1:X89,_xlfn.RANK.EQ(W90,W$2:W$111,0))&gt;0,_xlfn.MAXIFS(X$1:X89,W$1:W89,W90)+1,_xlfn.RANK.EQ(W90,W$2:W$111,0)),"")</f>
        <v/>
      </c>
      <c r="Y90" s="1" t="str">
        <f>IF(ISNUMBER(W90)=TRUE,IF(_xlfn.RANK.EQ(W90,$W$2:$W$111)&lt;='Tournament Setup'!$B$29,_xlfn.RANK.EQ(W90,$W$2:$W$111),""),"")</f>
        <v/>
      </c>
      <c r="Z90" s="31" t="str">
        <f>IF(AND($F90='Tournament Setup'!$A$29,SUM($O90,$Q90)=0,$E90="M",$Y90&gt;'Tournament Setup'!$B$29),$H90,"")</f>
        <v/>
      </c>
      <c r="AA90" s="1" t="str">
        <f>IF(ISNUMBER(Z90)=TRUE,IF(_xlfn.RANK.EQ(Z90,$Z$2:$Z$111)&lt;='Tournament Setup'!$C$29,_xlfn.RANK.EQ(Z90,$Z$2:$Z$111),""),"")</f>
        <v/>
      </c>
      <c r="AB90" s="31" t="str">
        <f>IF(AND($F90='Tournament Setup'!$A$29,SUM($O90,$S90)=0,$E90="F",$Y90&gt;'Tournament Setup'!$B$29),$H90,"")</f>
        <v/>
      </c>
      <c r="AC90" s="12" t="str">
        <f>IF(ISNUMBER(AB90)=TRUE,IF(_xlfn.RANK.EQ(AB90,$AB$2:$AB$111)&lt;='Tournament Setup'!$D$29,_xlfn.RANK.EQ(AB90,$AB$2:$AB$111),""),"")</f>
        <v/>
      </c>
      <c r="AD90" s="30" t="str">
        <f>IF(AND($F90='Tournament Setup'!$A$30,$I90&lt;&gt;0),$I90,"")</f>
        <v/>
      </c>
      <c r="AE90" s="47" t="str">
        <f>IF(ISNUMBER(AD90),IF(COUNTIFS(AE$1:AE89,_xlfn.RANK.EQ(AD90,AD$2:AD$111,0))&gt;0,_xlfn.MAXIFS(AE$1:AE89,AD$1:AD89,AD90)+1,_xlfn.RANK.EQ(AD90,AD$2:AD$111,0)),"")</f>
        <v/>
      </c>
      <c r="AF90" s="1" t="str">
        <f>IF(ISNUMBER(AD90)=TRUE,IF(_xlfn.RANK.EQ(AD90,$AD$2:$AD$111)&lt;='Tournament Setup'!$B$46,_xlfn.RANK.EQ(AD90,$AD$2:$AD$111),""),"")</f>
        <v/>
      </c>
      <c r="AG90" s="30" t="str">
        <f>IF(AND($F90='Tournament Setup'!$A$30,SUM($O90,$Q90,$S90)=0),$H90,"")</f>
        <v/>
      </c>
      <c r="AH90" s="47" t="str">
        <f>IF(ISNUMBER(AG90),IF(COUNTIFS(AH$1:AH89,_xlfn.RANK.EQ(AG90,AG$2:AG$111,0))&gt;0,_xlfn.MAXIFS(AH$1:AH89,AG$1:AG89,AG90)+1,_xlfn.RANK.EQ(AG90,AG$2:AG$111,0)),"")</f>
        <v/>
      </c>
      <c r="AI90" s="1" t="str">
        <f>IF(ISNUMBER(AG90)=TRUE,IF(_xlfn.RANK.EQ(AG90,$AG$2:$AG$111)&lt;='Tournament Setup'!$B$30,_xlfn.RANK.EQ(AG90,$AG$2:$AG$111),""),"")</f>
        <v/>
      </c>
      <c r="AJ90" s="31" t="str">
        <f>IF(AND($F90='Tournament Setup'!$A$30,SUM($O90,$Q90)=0,$E90="M",$AI90&gt;'Tournament Setup'!$B$30),$H90,"")</f>
        <v/>
      </c>
      <c r="AK90" s="1" t="str">
        <f>IF(ISNUMBER(AJ90)=TRUE,IF(_xlfn.RANK.EQ(AJ90,$AJ$2:$AJ$111)&lt;='Tournament Setup'!$C$30,_xlfn.RANK.EQ(AJ90,$AJ$2:$AJ$111),""),"")</f>
        <v/>
      </c>
      <c r="AL90" s="31" t="str">
        <f>IF(AND($F90='Tournament Setup'!$A$30,SUM($O90,$S90)=0,$E90="F",$AI90&gt;'Tournament Setup'!$B$30),$H90,"")</f>
        <v/>
      </c>
      <c r="AM90" s="12" t="str">
        <f>IF(ISNUMBER(AL90)=TRUE,IF(_xlfn.RANK.EQ(AL90,$AL$2:$AL$111)&lt;='Tournament Setup'!$D$30,_xlfn.RANK.EQ(AL90,$AL$2:$AL$111),""),"")</f>
        <v/>
      </c>
      <c r="AN90" s="30" t="str">
        <f>IF(AND($F90='Tournament Setup'!$A$31,$I90&lt;&gt;0),$I90,"")</f>
        <v/>
      </c>
      <c r="AO90" s="47" t="str">
        <f>IF(ISNUMBER(AN90),IF(COUNTIFS(AO$1:AO89,_xlfn.RANK.EQ(AN90,AN$2:AN$111,0))&gt;0,_xlfn.MAXIFS(AO$1:AO89,AN$1:AN89,AN90)+1,_xlfn.RANK.EQ(AN90,AN$2:AN$111,0)),"")</f>
        <v/>
      </c>
      <c r="AP90" s="1" t="str">
        <f>IF(ISNUMBER(AN90)=TRUE,IF(_xlfn.RANK.EQ(AN90,$AN$2:$AN$111)&lt;='Tournament Setup'!$B$46,_xlfn.RANK.EQ(AN90,$AN$2:$AN$111),""),"")</f>
        <v/>
      </c>
      <c r="AQ90" s="30" t="str">
        <f>IF(AND($F90='Tournament Setup'!$A$31,SUM($O90,$Q90,$S90)=0),$H90,"")</f>
        <v/>
      </c>
      <c r="AR90" s="47" t="str">
        <f>IF(ISNUMBER(AQ90),IF(COUNTIFS(AR$1:AR89,_xlfn.RANK.EQ(AQ90,AQ$2:AQ$111,0))&gt;0,_xlfn.MAXIFS(AR$1:AR89,AQ$1:AQ89,AQ90)+1,_xlfn.RANK.EQ(AQ90,AQ$2:AQ$111,0)),"")</f>
        <v/>
      </c>
      <c r="AS90" s="1" t="str">
        <f>IF(ISNUMBER(AQ90)=TRUE,IF(_xlfn.RANK.EQ(AQ90,$AQ$2:$AQ$111)&lt;='Tournament Setup'!$B$31,_xlfn.RANK.EQ(AQ90,$AQ$2:$AQ$111),""),"")</f>
        <v/>
      </c>
      <c r="AT90" s="31" t="str">
        <f>IF(AND($F90='Tournament Setup'!$A$31,SUM($O90,$Q90)=0,$E90="M",$AS90&gt;'Tournament Setup'!$B$31),$H90,"")</f>
        <v/>
      </c>
      <c r="AU90" s="1" t="str">
        <f>IF(ISNUMBER(AT90)=TRUE,IF(_xlfn.RANK.EQ(AT90,$AT$2:$AT$111)&lt;='Tournament Setup'!$C$31,_xlfn.RANK.EQ(AT90,$AT$2:$AT$111),""),"")</f>
        <v/>
      </c>
      <c r="AV90" s="31" t="str">
        <f>IF(AND($F90='Tournament Setup'!$A$31,SUM($O90,$S90)=0,$E90="F",$AS90&gt;'Tournament Setup'!$B$31),$H90,"")</f>
        <v/>
      </c>
      <c r="AW90" s="12" t="str">
        <f>IF(ISNUMBER(AV90)=TRUE,IF(_xlfn.RANK.EQ(AV90,$AV$2:$AV$111)&lt;='Tournament Setup'!$D$31,_xlfn.RANK.EQ(AV90,$AV$2:$AV$111),""),"")</f>
        <v/>
      </c>
      <c r="AX90" s="30" t="str">
        <f>IF(AND($F90='Tournament Setup'!$A$32,$I90&lt;&gt;0),$I90,"")</f>
        <v/>
      </c>
      <c r="AY90" s="47" t="str">
        <f>IF(ISNUMBER(AX90),IF(COUNTIFS(AY$1:AY89,_xlfn.RANK.EQ(AX90,AX$2:AX$111,0))&gt;0,_xlfn.MAXIFS(AY$1:AY89,AX$1:AX89,AX90)+1,_xlfn.RANK.EQ(AX90,AX$2:AX$111,0)),"")</f>
        <v/>
      </c>
      <c r="AZ90" s="1" t="str">
        <f>IF(ISNUMBER(AX90)=TRUE,IF(_xlfn.RANK.EQ(AX90,$AX$2:$AX$111)&lt;='Tournament Setup'!$B$46,_xlfn.RANK.EQ(AX90,$AX$2:$AX$111),""),"")</f>
        <v/>
      </c>
      <c r="BA90" s="30" t="str">
        <f>IF(AND($F90='Tournament Setup'!$A$32,SUM($O90,$Q90,$S90)=0),$H90,"")</f>
        <v/>
      </c>
      <c r="BB90" s="47" t="str">
        <f>IF(ISNUMBER(BA90),IF(COUNTIFS(BB$1:BB89,_xlfn.RANK.EQ(BA90,BA$2:BA$111,0))&gt;0,_xlfn.MAXIFS(BB$1:BB89,BA$1:BA89,BA90)+1,_xlfn.RANK.EQ(BA90,BA$2:BA$111,0)),"")</f>
        <v/>
      </c>
      <c r="BC90" s="1" t="str">
        <f>IF(ISNUMBER(BA90)=TRUE,IF(_xlfn.RANK.EQ(BA90,$BA$2:$BA$111)&lt;='Tournament Setup'!$B$32,_xlfn.RANK.EQ(BA90,$BA$2:$BA$111),""),"")</f>
        <v/>
      </c>
      <c r="BD90" s="31" t="str">
        <f>IF(AND($F90='Tournament Setup'!$A$32,SUM($O90,$Q90)=0,$E90="M",$BC90&gt;'Tournament Setup'!$B$32),$H90,"")</f>
        <v/>
      </c>
      <c r="BE90" s="1" t="str">
        <f>IF(ISNUMBER(BD90)=TRUE,IF(_xlfn.RANK.EQ(BD90,$BD$2:$BD$111)&lt;='Tournament Setup'!$C$32,_xlfn.RANK.EQ(BD90,$BD$2:$BD$111),""),"")</f>
        <v/>
      </c>
      <c r="BF90" s="31" t="str">
        <f>IF(AND($F90='Tournament Setup'!$A$32,SUM($O90,$S90)=0,$E90="F",$BC90&gt;'Tournament Setup'!$B$32),$H90,"")</f>
        <v/>
      </c>
      <c r="BG90" s="12" t="str">
        <f>IF(ISNUMBER(BF90)=TRUE,IF(_xlfn.RANK.EQ(BF90,$BF$2:$BF$111)&lt;='Tournament Setup'!$D$32,_xlfn.RANK.EQ(BF90,$BF$2:$BF$111),""),"")</f>
        <v/>
      </c>
      <c r="BH90" s="30" t="str">
        <f>IF(AND($F90='Tournament Setup'!$A$33,$I90&lt;&gt;0),$I90,"")</f>
        <v/>
      </c>
      <c r="BI90" s="47" t="str">
        <f>IF(ISNUMBER(BH90),IF(COUNTIFS(BI$1:BI89,_xlfn.RANK.EQ(BH90,BH$2:BH$111,0))&gt;0,_xlfn.MAXIFS(BI$1:BI89,BH$1:BH89,BH90)+1,_xlfn.RANK.EQ(BH90,BH$2:BH$111,0)),"")</f>
        <v/>
      </c>
      <c r="BJ90" s="1" t="str">
        <f>IF(ISNUMBER(BH90)=TRUE,IF(_xlfn.RANK.EQ(BH90,$BH$2:$BH$111)&lt;='Tournament Setup'!$B$46,_xlfn.RANK.EQ(BH90,$BH$2:$BH$111),""),"")</f>
        <v/>
      </c>
      <c r="BK90" s="30" t="str">
        <f>IF(AND($F90='Tournament Setup'!$A$33,SUM($O90,$Q90,$S90)=0),$H90,"")</f>
        <v/>
      </c>
      <c r="BL90" s="47" t="str">
        <f>IF(ISNUMBER(BK90),IF(COUNTIFS(BL$1:BL89,_xlfn.RANK.EQ(BK90,BK$2:BK$111,0))&gt;0,_xlfn.MAXIFS(BL$1:BL89,BK$1:BK89,BK90)+1,_xlfn.RANK.EQ(BK90,BK$2:BK$111,0)),"")</f>
        <v/>
      </c>
      <c r="BM90" s="1" t="str">
        <f>IF(ISNUMBER(BK90)=TRUE,IF(_xlfn.RANK.EQ(BK90,$BK$2:$BK$111)&lt;='Tournament Setup'!$B$33,_xlfn.RANK.EQ(BK90,$BK$2:$BK$111),""),"")</f>
        <v/>
      </c>
      <c r="BN90" s="31" t="str">
        <f>IF(AND($F90='Tournament Setup'!$A$33,SUM($O90,$Q90)=0,$E90="M",$BM90&gt;'Tournament Setup'!$B$33),$H90,"")</f>
        <v/>
      </c>
      <c r="BO90" s="1" t="str">
        <f>IF(ISNUMBER(BN90)=TRUE,IF(_xlfn.RANK.EQ(BN90,$BN$2:$BN$111)&lt;='Tournament Setup'!$C$33,_xlfn.RANK.EQ(BN90,$BN$2:$BN$111),""),"")</f>
        <v/>
      </c>
      <c r="BP90" s="31" t="str">
        <f>IF(AND($F90='Tournament Setup'!$A$33,SUM($O90,$S90)=0,$E90="F",$BM90&gt;'Tournament Setup'!$B$33),$H90,"")</f>
        <v/>
      </c>
      <c r="BQ90" s="12" t="str">
        <f>IF(ISNUMBER(BP90)=TRUE,IF(_xlfn.RANK.EQ(BP90,$BP$2:$BP$111)&lt;='Tournament Setup'!$D$33,_xlfn.RANK.EQ(BP90,$BP$2:$BP$111),""),"")</f>
        <v/>
      </c>
      <c r="BR90" s="30" t="str">
        <f>IF($G90='Tournament Setup'!$A$38,$H90,"")</f>
        <v/>
      </c>
      <c r="BS90" s="47" t="str">
        <f>IF(ISNUMBER(BR90),IF(COUNTIFS(BS$1:BS89,_xlfn.RANK.EQ(BR90,BR$2:BR$111,0))&gt;0,_xlfn.MAXIFS(BS$1:BS89,BR$1:BR89,BR90)+1,_xlfn.RANK.EQ(BR90,BR$2:BR$111,0)),"")</f>
        <v/>
      </c>
      <c r="BT90" s="1" t="str">
        <f>IF(ISNUMBER(BR90)=TRUE,IF(_xlfn.RANK.EQ(BR90,$BR$2:$BR$111)&lt;='Tournament Setup'!$B$38,_xlfn.RANK.EQ(BR90,$BR$2:$BR$111),""),"")</f>
        <v/>
      </c>
      <c r="BU90" s="31" t="str">
        <f>IF(AND($G90='Tournament Setup'!$A$38,$E90="M",$BT90&gt;'Tournament Setup'!$B$38),$H90,"")</f>
        <v/>
      </c>
      <c r="BV90" s="1" t="str">
        <f>IF(ISNUMBER(BU90)=TRUE,IF(_xlfn.RANK.EQ(BU90,$BU$2:$BU$111)&lt;='Tournament Setup'!$C$38,_xlfn.RANK.EQ(BU90,$BU$2:$BU$111),""),"")</f>
        <v/>
      </c>
      <c r="BW90" s="31" t="str">
        <f>IF(AND($G90='Tournament Setup'!$A$38,$E90="F",$BT90&gt;'Tournament Setup'!$B$38),$H90,"")</f>
        <v/>
      </c>
      <c r="BX90" s="12" t="str">
        <f>IF(ISNUMBER(BW90)=TRUE,IF(_xlfn.RANK.EQ(BW90,$BW$2:$BW$111)&lt;='Tournament Setup'!$D$38,_xlfn.RANK.EQ(BW90,$BW$2:$BW$111),""),"")</f>
        <v/>
      </c>
      <c r="BY90" s="30" t="str">
        <f>IF($G90='Tournament Setup'!$A$39,$H90,"")</f>
        <v/>
      </c>
      <c r="BZ90" s="47" t="str">
        <f>IF(ISNUMBER(BY90),IF(COUNTIFS(BZ$1:BZ89,_xlfn.RANK.EQ(BY90,BY$2:BY$111,0))&gt;0,_xlfn.MAXIFS(BZ$1:BZ89,BY$1:BY89,BY90)+1,_xlfn.RANK.EQ(BY90,BY$2:BY$111,0)),"")</f>
        <v/>
      </c>
      <c r="CA90" s="1" t="str">
        <f>IF(ISNUMBER(BY90)=TRUE,IF(_xlfn.RANK.EQ(BY90,$BY$2:$BY$111)&lt;='Tournament Setup'!$B$39,_xlfn.RANK.EQ(BY90,$BY$2:$BY$111),""),"")</f>
        <v/>
      </c>
      <c r="CB90" s="31" t="str">
        <f>IF(AND($G90='Tournament Setup'!$A$39,$E90="M",$CA90&gt;'Tournament Setup'!$B$39),$H90,"")</f>
        <v/>
      </c>
      <c r="CC90" s="1" t="str">
        <f>IF(ISNUMBER(CB90)=TRUE,IF(_xlfn.RANK.EQ(CB90,$CB$2:$CB$111)&lt;='Tournament Setup'!$C$39,_xlfn.RANK.EQ(CB90,$CB$2:$CB$111),""),"")</f>
        <v/>
      </c>
      <c r="CD90" s="31" t="str">
        <f>IF(AND($G90='Tournament Setup'!$A$39,$E90="F",$CA90&gt;'Tournament Setup'!$B$39),$H90,"")</f>
        <v/>
      </c>
      <c r="CE90" s="12" t="str">
        <f>IF(ISNUMBER(CD90)=TRUE,IF(_xlfn.RANK.EQ(CD90,$CD$2:$CD$111)&lt;='Tournament Setup'!$D$39,_xlfn.RANK.EQ(CD90,$CD$2:$CD$111),""),"")</f>
        <v/>
      </c>
      <c r="CF90" s="30" t="str">
        <f>IF($G90='Tournament Setup'!$A$40,$H90,"")</f>
        <v/>
      </c>
      <c r="CG90" s="47" t="str">
        <f>IF(ISNUMBER(CF90),IF(COUNTIFS(CG$1:CG89,_xlfn.RANK.EQ(CF90,CF$2:CF$111,0))&gt;0,_xlfn.MAXIFS(CG$1:CG89,CF$1:CF89,CF90)+1,_xlfn.RANK.EQ(CF90,CF$2:CF$111,0)),"")</f>
        <v/>
      </c>
      <c r="CH90" s="1" t="str">
        <f>IF(ISNUMBER(CF90)=TRUE,IF(_xlfn.RANK.EQ(CF90,$CF$2:$CF$111)&lt;='Tournament Setup'!$B$40,_xlfn.RANK.EQ(CF90,$CF$2:$CF$111),""),"")</f>
        <v/>
      </c>
      <c r="CI90" s="31" t="str">
        <f>IF(AND($G90='Tournament Setup'!$A$40,$E90="M",$CH90&gt;'Tournament Setup'!$B$40),$H90,"")</f>
        <v/>
      </c>
      <c r="CJ90" s="1" t="str">
        <f>IF(ISNUMBER(CI90)=TRUE,IF(_xlfn.RANK.EQ(CI90,$CI$2:$CI$111)&lt;='Tournament Setup'!$C$40,_xlfn.RANK.EQ(CI90,$CI$2:$CI$111),""),"")</f>
        <v/>
      </c>
      <c r="CK90" s="31" t="str">
        <f>IF(AND($G90='Tournament Setup'!$A$40,$E90="F",$CH90&gt;'Tournament Setup'!$B$40),$H90,"")</f>
        <v/>
      </c>
      <c r="CL90" s="12" t="str">
        <f>IF(ISNUMBER(CK90)=TRUE,IF(_xlfn.RANK.EQ(CK90,$CK$2:$CK$111)&lt;='Tournament Setup'!$D$40,_xlfn.RANK.EQ(CK90,$CK$2:$CK$111),""),"")</f>
        <v/>
      </c>
      <c r="CM90" s="30" t="str">
        <f>IF($G90='Tournament Setup'!$A$41,$H90,"")</f>
        <v/>
      </c>
      <c r="CN90" s="47" t="str">
        <f>IF(ISNUMBER(CM90),IF(COUNTIFS(CN$1:CN89,_xlfn.RANK.EQ(CM90,CM$2:CM$111,0))&gt;0,_xlfn.MAXIFS(CN$1:CN89,CM$1:CM89,CM90)+1,_xlfn.RANK.EQ(CM90,CM$2:CM$111,0)),"")</f>
        <v/>
      </c>
      <c r="CO90" s="1" t="str">
        <f>IF(ISNUMBER(CM90)=TRUE,IF(_xlfn.RANK.EQ(CM90,$CM$2:$CM$111)&lt;='Tournament Setup'!$B$41,_xlfn.RANK.EQ(CM90,$CM$2:$CM$111),""),"")</f>
        <v/>
      </c>
      <c r="CP90" s="31" t="str">
        <f>IF(AND($G90='Tournament Setup'!$A$41,$E90="M",$CO90&gt;'Tournament Setup'!$B$41),$H90,"")</f>
        <v/>
      </c>
      <c r="CQ90" s="1" t="str">
        <f>IF(ISNUMBER(CP90)=TRUE,IF(_xlfn.RANK.EQ(CP90,$CP$2:$CP$111)&lt;='Tournament Setup'!$C$41,_xlfn.RANK.EQ(CP90,$CP$2:$CP$111),""),"")</f>
        <v/>
      </c>
      <c r="CR90" s="31" t="str">
        <f>IF(AND($G90='Tournament Setup'!$A$41,$E90="F",$CO90&gt;'Tournament Setup'!$B$41),$H90,"")</f>
        <v/>
      </c>
      <c r="CS90" s="12" t="str">
        <f>IF(ISNUMBER(CR90)=TRUE,IF(_xlfn.RANK.EQ(CR90,$CR$2:$CR$111)&lt;='Tournament Setup'!$D$41,_xlfn.RANK.EQ(CR90,$CR$2:$CR$111),""),"")</f>
        <v/>
      </c>
    </row>
    <row r="91" spans="2:97" x14ac:dyDescent="0.3">
      <c r="B91" t="str">
        <f>IFERROR(INDEX('Tournament List'!$B:$B,MATCH($A91,'Tournament List'!$A:$A,0)),"")</f>
        <v/>
      </c>
      <c r="C91" t="str">
        <f>IFERROR(INDEX('Tournament List'!$C:$C,MATCH($A91,'Tournament List'!$A:$A,0)),"")</f>
        <v/>
      </c>
      <c r="D91" t="str">
        <f t="shared" si="15"/>
        <v xml:space="preserve"> </v>
      </c>
      <c r="E91" s="1" t="str">
        <f>IFERROR(INDEX('Tournament List'!F:F,MATCH($A91,'Tournament List'!$A:$A,0)),"")</f>
        <v/>
      </c>
      <c r="F91" t="str">
        <f>IFERROR(INDEX('Tournament List'!M:M,MATCH($A91,'Tournament List'!$A:$A,0)),"")</f>
        <v/>
      </c>
      <c r="G91" s="1" t="str">
        <f>IFERROR(INDEX('Tournament List'!W:W,MATCH($A91,'Tournament List'!$A:$A,0)),"")</f>
        <v/>
      </c>
      <c r="H91" s="129" t="str">
        <f>IFERROR(INDEX('Tournament List'!Z:Z,MATCH($A91,'Tournament List'!$A:$A,0)),"")</f>
        <v/>
      </c>
      <c r="I91" s="152" t="str">
        <f>IFERROR(INDEX('Tournament List'!T:T,MATCH($A91,'Tournament List'!$A:$A,0)),"")</f>
        <v/>
      </c>
      <c r="J91" s="56" t="str">
        <f>IF(ISNUMBER(I91),IF(COUNTIFS(J$1:J90,_xlfn.RANK.EQ(I91,I$2:I$111,0))&gt;0,_xlfn.MAXIFS(J$1:J90,I$1:I90,I91)+1,_xlfn.RANK.EQ(I91,I$2:I$111,0)),"")</f>
        <v/>
      </c>
      <c r="K91" s="11" t="str">
        <f t="shared" si="16"/>
        <v/>
      </c>
      <c r="L91" s="56" t="str">
        <f>IF(ISNUMBER(H91),IF(COUNTIFS(L$1:L90,_xlfn.RANK.EQ(H91,H$2:H$111,0))&gt;0,_xlfn.MAXIFS(L$1:L90,H$1:H90,H91)+1,_xlfn.RANK.EQ(H91,H$2:H$111,0)),"")</f>
        <v/>
      </c>
      <c r="M91" s="151" t="str">
        <f t="shared" si="17"/>
        <v/>
      </c>
      <c r="N91" s="47" t="str">
        <f>IF(ISNUMBER(M91),IF(COUNTIFS(N$1:N90,_xlfn.RANK.EQ(M91,M$2:M$111,0))&gt;0,_xlfn.MAXIFS(N$1:N90,M$1:M90,M91)+1,_xlfn.RANK.EQ(M91,M$2:M$111,0)),"")</f>
        <v/>
      </c>
      <c r="O91" s="1" t="str">
        <f>IF(ISNUMBER(M91)=TRUE,IF(_xlfn.RANK.EQ(M91,$M$2:$M$111)&lt;='Tournament Setup'!$B$23,_xlfn.RANK.EQ(M91,$M$2:$M$111),""),"")</f>
        <v/>
      </c>
      <c r="P91" s="150" t="str">
        <f t="shared" si="18"/>
        <v/>
      </c>
      <c r="Q91" s="1" t="str">
        <f>IF(ISNUMBER(P91)=TRUE,IF(_xlfn.RANK.EQ(P91,$P$2:$P$111)&lt;='Tournament Setup'!$B$24,_xlfn.RANK.EQ(P91,$P$2:$P$111),""),"")</f>
        <v/>
      </c>
      <c r="R91" s="150" t="str">
        <f t="shared" si="19"/>
        <v/>
      </c>
      <c r="S91" s="12" t="str">
        <f>IF(ISNUMBER(R91)=TRUE,IF(_xlfn.RANK.EQ(R91,$R$2:$R$111)&lt;='Tournament Setup'!$B$25,_xlfn.RANK.EQ(R91,$R$2:$R$111),""),"")</f>
        <v/>
      </c>
      <c r="T91" s="152" t="str">
        <f>IF(AND($F91='Tournament Setup'!$A$29,$I91&lt;&gt;0),$I91,"")</f>
        <v/>
      </c>
      <c r="U91" s="47" t="str">
        <f>IF(ISNUMBER(T91),IF(COUNTIFS(U$1:U90,_xlfn.RANK.EQ(T91,T$2:T$111,0))&gt;0,_xlfn.MAXIFS(U$1:U90,T$1:T90,T91)+1,_xlfn.RANK.EQ(T91,T$2:T$111,0)),"")</f>
        <v/>
      </c>
      <c r="V91" s="1" t="str">
        <f>IF(ISNUMBER(T91)=TRUE,IF(_xlfn.RANK.EQ(T91,$T$3:$T$112)&lt;='Tournament Setup'!$B$46,_xlfn.RANK.EQ(T91,$T$2:$T$111),""),"")</f>
        <v/>
      </c>
      <c r="W91" s="30" t="str">
        <f>IF(AND($F91='Tournament Setup'!$A$29,SUM($O91,$Q91,$S91)=0),$H91,"")</f>
        <v/>
      </c>
      <c r="X91" s="47" t="str">
        <f>IF(ISNUMBER(W91),IF(COUNTIFS(X$1:X90,_xlfn.RANK.EQ(W91,W$2:W$111,0))&gt;0,_xlfn.MAXIFS(X$1:X90,W$1:W90,W91)+1,_xlfn.RANK.EQ(W91,W$2:W$111,0)),"")</f>
        <v/>
      </c>
      <c r="Y91" s="1" t="str">
        <f>IF(ISNUMBER(W91)=TRUE,IF(_xlfn.RANK.EQ(W91,$W$2:$W$111)&lt;='Tournament Setup'!$B$29,_xlfn.RANK.EQ(W91,$W$2:$W$111),""),"")</f>
        <v/>
      </c>
      <c r="Z91" s="31" t="str">
        <f>IF(AND($F91='Tournament Setup'!$A$29,SUM($O91,$Q91)=0,$E91="M",$Y91&gt;'Tournament Setup'!$B$29),$H91,"")</f>
        <v/>
      </c>
      <c r="AA91" s="1" t="str">
        <f>IF(ISNUMBER(Z91)=TRUE,IF(_xlfn.RANK.EQ(Z91,$Z$2:$Z$111)&lt;='Tournament Setup'!$C$29,_xlfn.RANK.EQ(Z91,$Z$2:$Z$111),""),"")</f>
        <v/>
      </c>
      <c r="AB91" s="31" t="str">
        <f>IF(AND($F91='Tournament Setup'!$A$29,SUM($O91,$S91)=0,$E91="F",$Y91&gt;'Tournament Setup'!$B$29),$H91,"")</f>
        <v/>
      </c>
      <c r="AC91" s="12" t="str">
        <f>IF(ISNUMBER(AB91)=TRUE,IF(_xlfn.RANK.EQ(AB91,$AB$2:$AB$111)&lt;='Tournament Setup'!$D$29,_xlfn.RANK.EQ(AB91,$AB$2:$AB$111),""),"")</f>
        <v/>
      </c>
      <c r="AD91" s="30" t="str">
        <f>IF(AND($F91='Tournament Setup'!$A$30,$I91&lt;&gt;0),$I91,"")</f>
        <v/>
      </c>
      <c r="AE91" s="47" t="str">
        <f>IF(ISNUMBER(AD91),IF(COUNTIFS(AE$1:AE90,_xlfn.RANK.EQ(AD91,AD$2:AD$111,0))&gt;0,_xlfn.MAXIFS(AE$1:AE90,AD$1:AD90,AD91)+1,_xlfn.RANK.EQ(AD91,AD$2:AD$111,0)),"")</f>
        <v/>
      </c>
      <c r="AF91" s="1" t="str">
        <f>IF(ISNUMBER(AD91)=TRUE,IF(_xlfn.RANK.EQ(AD91,$AD$2:$AD$111)&lt;='Tournament Setup'!$B$46,_xlfn.RANK.EQ(AD91,$AD$2:$AD$111),""),"")</f>
        <v/>
      </c>
      <c r="AG91" s="30" t="str">
        <f>IF(AND($F91='Tournament Setup'!$A$30,SUM($O91,$Q91,$S91)=0),$H91,"")</f>
        <v/>
      </c>
      <c r="AH91" s="47" t="str">
        <f>IF(ISNUMBER(AG91),IF(COUNTIFS(AH$1:AH90,_xlfn.RANK.EQ(AG91,AG$2:AG$111,0))&gt;0,_xlfn.MAXIFS(AH$1:AH90,AG$1:AG90,AG91)+1,_xlfn.RANK.EQ(AG91,AG$2:AG$111,0)),"")</f>
        <v/>
      </c>
      <c r="AI91" s="1" t="str">
        <f>IF(ISNUMBER(AG91)=TRUE,IF(_xlfn.RANK.EQ(AG91,$AG$2:$AG$111)&lt;='Tournament Setup'!$B$30,_xlfn.RANK.EQ(AG91,$AG$2:$AG$111),""),"")</f>
        <v/>
      </c>
      <c r="AJ91" s="31" t="str">
        <f>IF(AND($F91='Tournament Setup'!$A$30,SUM($O91,$Q91)=0,$E91="M",$AI91&gt;'Tournament Setup'!$B$30),$H91,"")</f>
        <v/>
      </c>
      <c r="AK91" s="1" t="str">
        <f>IF(ISNUMBER(AJ91)=TRUE,IF(_xlfn.RANK.EQ(AJ91,$AJ$2:$AJ$111)&lt;='Tournament Setup'!$C$30,_xlfn.RANK.EQ(AJ91,$AJ$2:$AJ$111),""),"")</f>
        <v/>
      </c>
      <c r="AL91" s="31" t="str">
        <f>IF(AND($F91='Tournament Setup'!$A$30,SUM($O91,$S91)=0,$E91="F",$AI91&gt;'Tournament Setup'!$B$30),$H91,"")</f>
        <v/>
      </c>
      <c r="AM91" s="12" t="str">
        <f>IF(ISNUMBER(AL91)=TRUE,IF(_xlfn.RANK.EQ(AL91,$AL$2:$AL$111)&lt;='Tournament Setup'!$D$30,_xlfn.RANK.EQ(AL91,$AL$2:$AL$111),""),"")</f>
        <v/>
      </c>
      <c r="AN91" s="30" t="str">
        <f>IF(AND($F91='Tournament Setup'!$A$31,$I91&lt;&gt;0),$I91,"")</f>
        <v/>
      </c>
      <c r="AO91" s="47" t="str">
        <f>IF(ISNUMBER(AN91),IF(COUNTIFS(AO$1:AO90,_xlfn.RANK.EQ(AN91,AN$2:AN$111,0))&gt;0,_xlfn.MAXIFS(AO$1:AO90,AN$1:AN90,AN91)+1,_xlfn.RANK.EQ(AN91,AN$2:AN$111,0)),"")</f>
        <v/>
      </c>
      <c r="AP91" s="1" t="str">
        <f>IF(ISNUMBER(AN91)=TRUE,IF(_xlfn.RANK.EQ(AN91,$AN$2:$AN$111)&lt;='Tournament Setup'!$B$46,_xlfn.RANK.EQ(AN91,$AN$2:$AN$111),""),"")</f>
        <v/>
      </c>
      <c r="AQ91" s="30" t="str">
        <f>IF(AND($F91='Tournament Setup'!$A$31,SUM($O91,$Q91,$S91)=0),$H91,"")</f>
        <v/>
      </c>
      <c r="AR91" s="47" t="str">
        <f>IF(ISNUMBER(AQ91),IF(COUNTIFS(AR$1:AR90,_xlfn.RANK.EQ(AQ91,AQ$2:AQ$111,0))&gt;0,_xlfn.MAXIFS(AR$1:AR90,AQ$1:AQ90,AQ91)+1,_xlfn.RANK.EQ(AQ91,AQ$2:AQ$111,0)),"")</f>
        <v/>
      </c>
      <c r="AS91" s="1" t="str">
        <f>IF(ISNUMBER(AQ91)=TRUE,IF(_xlfn.RANK.EQ(AQ91,$AQ$2:$AQ$111)&lt;='Tournament Setup'!$B$31,_xlfn.RANK.EQ(AQ91,$AQ$2:$AQ$111),""),"")</f>
        <v/>
      </c>
      <c r="AT91" s="31" t="str">
        <f>IF(AND($F91='Tournament Setup'!$A$31,SUM($O91,$Q91)=0,$E91="M",$AS91&gt;'Tournament Setup'!$B$31),$H91,"")</f>
        <v/>
      </c>
      <c r="AU91" s="1" t="str">
        <f>IF(ISNUMBER(AT91)=TRUE,IF(_xlfn.RANK.EQ(AT91,$AT$2:$AT$111)&lt;='Tournament Setup'!$C$31,_xlfn.RANK.EQ(AT91,$AT$2:$AT$111),""),"")</f>
        <v/>
      </c>
      <c r="AV91" s="31" t="str">
        <f>IF(AND($F91='Tournament Setup'!$A$31,SUM($O91,$S91)=0,$E91="F",$AS91&gt;'Tournament Setup'!$B$31),$H91,"")</f>
        <v/>
      </c>
      <c r="AW91" s="12" t="str">
        <f>IF(ISNUMBER(AV91)=TRUE,IF(_xlfn.RANK.EQ(AV91,$AV$2:$AV$111)&lt;='Tournament Setup'!$D$31,_xlfn.RANK.EQ(AV91,$AV$2:$AV$111),""),"")</f>
        <v/>
      </c>
      <c r="AX91" s="30" t="str">
        <f>IF(AND($F91='Tournament Setup'!$A$32,$I91&lt;&gt;0),$I91,"")</f>
        <v/>
      </c>
      <c r="AY91" s="47" t="str">
        <f>IF(ISNUMBER(AX91),IF(COUNTIFS(AY$1:AY90,_xlfn.RANK.EQ(AX91,AX$2:AX$111,0))&gt;0,_xlfn.MAXIFS(AY$1:AY90,AX$1:AX90,AX91)+1,_xlfn.RANK.EQ(AX91,AX$2:AX$111,0)),"")</f>
        <v/>
      </c>
      <c r="AZ91" s="1" t="str">
        <f>IF(ISNUMBER(AX91)=TRUE,IF(_xlfn.RANK.EQ(AX91,$AX$2:$AX$111)&lt;='Tournament Setup'!$B$46,_xlfn.RANK.EQ(AX91,$AX$2:$AX$111),""),"")</f>
        <v/>
      </c>
      <c r="BA91" s="30" t="str">
        <f>IF(AND($F91='Tournament Setup'!$A$32,SUM($O91,$Q91,$S91)=0),$H91,"")</f>
        <v/>
      </c>
      <c r="BB91" s="47" t="str">
        <f>IF(ISNUMBER(BA91),IF(COUNTIFS(BB$1:BB90,_xlfn.RANK.EQ(BA91,BA$2:BA$111,0))&gt;0,_xlfn.MAXIFS(BB$1:BB90,BA$1:BA90,BA91)+1,_xlfn.RANK.EQ(BA91,BA$2:BA$111,0)),"")</f>
        <v/>
      </c>
      <c r="BC91" s="1" t="str">
        <f>IF(ISNUMBER(BA91)=TRUE,IF(_xlfn.RANK.EQ(BA91,$BA$2:$BA$111)&lt;='Tournament Setup'!$B$32,_xlfn.RANK.EQ(BA91,$BA$2:$BA$111),""),"")</f>
        <v/>
      </c>
      <c r="BD91" s="31" t="str">
        <f>IF(AND($F91='Tournament Setup'!$A$32,SUM($O91,$Q91)=0,$E91="M",$BC91&gt;'Tournament Setup'!$B$32),$H91,"")</f>
        <v/>
      </c>
      <c r="BE91" s="1" t="str">
        <f>IF(ISNUMBER(BD91)=TRUE,IF(_xlfn.RANK.EQ(BD91,$BD$2:$BD$111)&lt;='Tournament Setup'!$C$32,_xlfn.RANK.EQ(BD91,$BD$2:$BD$111),""),"")</f>
        <v/>
      </c>
      <c r="BF91" s="31" t="str">
        <f>IF(AND($F91='Tournament Setup'!$A$32,SUM($O91,$S91)=0,$E91="F",$BC91&gt;'Tournament Setup'!$B$32),$H91,"")</f>
        <v/>
      </c>
      <c r="BG91" s="12" t="str">
        <f>IF(ISNUMBER(BF91)=TRUE,IF(_xlfn.RANK.EQ(BF91,$BF$2:$BF$111)&lt;='Tournament Setup'!$D$32,_xlfn.RANK.EQ(BF91,$BF$2:$BF$111),""),"")</f>
        <v/>
      </c>
      <c r="BH91" s="30" t="str">
        <f>IF(AND($F91='Tournament Setup'!$A$33,$I91&lt;&gt;0),$I91,"")</f>
        <v/>
      </c>
      <c r="BI91" s="47" t="str">
        <f>IF(ISNUMBER(BH91),IF(COUNTIFS(BI$1:BI90,_xlfn.RANK.EQ(BH91,BH$2:BH$111,0))&gt;0,_xlfn.MAXIFS(BI$1:BI90,BH$1:BH90,BH91)+1,_xlfn.RANK.EQ(BH91,BH$2:BH$111,0)),"")</f>
        <v/>
      </c>
      <c r="BJ91" s="1" t="str">
        <f>IF(ISNUMBER(BH91)=TRUE,IF(_xlfn.RANK.EQ(BH91,$BH$2:$BH$111)&lt;='Tournament Setup'!$B$46,_xlfn.RANK.EQ(BH91,$BH$2:$BH$111),""),"")</f>
        <v/>
      </c>
      <c r="BK91" s="30" t="str">
        <f>IF(AND($F91='Tournament Setup'!$A$33,SUM($O91,$Q91,$S91)=0),$H91,"")</f>
        <v/>
      </c>
      <c r="BL91" s="47" t="str">
        <f>IF(ISNUMBER(BK91),IF(COUNTIFS(BL$1:BL90,_xlfn.RANK.EQ(BK91,BK$2:BK$111,0))&gt;0,_xlfn.MAXIFS(BL$1:BL90,BK$1:BK90,BK91)+1,_xlfn.RANK.EQ(BK91,BK$2:BK$111,0)),"")</f>
        <v/>
      </c>
      <c r="BM91" s="1" t="str">
        <f>IF(ISNUMBER(BK91)=TRUE,IF(_xlfn.RANK.EQ(BK91,$BK$2:$BK$111)&lt;='Tournament Setup'!$B$33,_xlfn.RANK.EQ(BK91,$BK$2:$BK$111),""),"")</f>
        <v/>
      </c>
      <c r="BN91" s="31" t="str">
        <f>IF(AND($F91='Tournament Setup'!$A$33,SUM($O91,$Q91)=0,$E91="M",$BM91&gt;'Tournament Setup'!$B$33),$H91,"")</f>
        <v/>
      </c>
      <c r="BO91" s="1" t="str">
        <f>IF(ISNUMBER(BN91)=TRUE,IF(_xlfn.RANK.EQ(BN91,$BN$2:$BN$111)&lt;='Tournament Setup'!$C$33,_xlfn.RANK.EQ(BN91,$BN$2:$BN$111),""),"")</f>
        <v/>
      </c>
      <c r="BP91" s="31" t="str">
        <f>IF(AND($F91='Tournament Setup'!$A$33,SUM($O91,$S91)=0,$E91="F",$BM91&gt;'Tournament Setup'!$B$33),$H91,"")</f>
        <v/>
      </c>
      <c r="BQ91" s="12" t="str">
        <f>IF(ISNUMBER(BP91)=TRUE,IF(_xlfn.RANK.EQ(BP91,$BP$2:$BP$111)&lt;='Tournament Setup'!$D$33,_xlfn.RANK.EQ(BP91,$BP$2:$BP$111),""),"")</f>
        <v/>
      </c>
      <c r="BR91" s="30" t="str">
        <f>IF($G91='Tournament Setup'!$A$38,$H91,"")</f>
        <v/>
      </c>
      <c r="BS91" s="47" t="str">
        <f>IF(ISNUMBER(BR91),IF(COUNTIFS(BS$1:BS90,_xlfn.RANK.EQ(BR91,BR$2:BR$111,0))&gt;0,_xlfn.MAXIFS(BS$1:BS90,BR$1:BR90,BR91)+1,_xlfn.RANK.EQ(BR91,BR$2:BR$111,0)),"")</f>
        <v/>
      </c>
      <c r="BT91" s="1" t="str">
        <f>IF(ISNUMBER(BR91)=TRUE,IF(_xlfn.RANK.EQ(BR91,$BR$2:$BR$111)&lt;='Tournament Setup'!$B$38,_xlfn.RANK.EQ(BR91,$BR$2:$BR$111),""),"")</f>
        <v/>
      </c>
      <c r="BU91" s="31" t="str">
        <f>IF(AND($G91='Tournament Setup'!$A$38,$E91="M",$BT91&gt;'Tournament Setup'!$B$38),$H91,"")</f>
        <v/>
      </c>
      <c r="BV91" s="1" t="str">
        <f>IF(ISNUMBER(BU91)=TRUE,IF(_xlfn.RANK.EQ(BU91,$BU$2:$BU$111)&lt;='Tournament Setup'!$C$38,_xlfn.RANK.EQ(BU91,$BU$2:$BU$111),""),"")</f>
        <v/>
      </c>
      <c r="BW91" s="31" t="str">
        <f>IF(AND($G91='Tournament Setup'!$A$38,$E91="F",$BT91&gt;'Tournament Setup'!$B$38),$H91,"")</f>
        <v/>
      </c>
      <c r="BX91" s="12" t="str">
        <f>IF(ISNUMBER(BW91)=TRUE,IF(_xlfn.RANK.EQ(BW91,$BW$2:$BW$111)&lt;='Tournament Setup'!$D$38,_xlfn.RANK.EQ(BW91,$BW$2:$BW$111),""),"")</f>
        <v/>
      </c>
      <c r="BY91" s="30" t="str">
        <f>IF($G91='Tournament Setup'!$A$39,$H91,"")</f>
        <v/>
      </c>
      <c r="BZ91" s="47" t="str">
        <f>IF(ISNUMBER(BY91),IF(COUNTIFS(BZ$1:BZ90,_xlfn.RANK.EQ(BY91,BY$2:BY$111,0))&gt;0,_xlfn.MAXIFS(BZ$1:BZ90,BY$1:BY90,BY91)+1,_xlfn.RANK.EQ(BY91,BY$2:BY$111,0)),"")</f>
        <v/>
      </c>
      <c r="CA91" s="1" t="str">
        <f>IF(ISNUMBER(BY91)=TRUE,IF(_xlfn.RANK.EQ(BY91,$BY$2:$BY$111)&lt;='Tournament Setup'!$B$39,_xlfn.RANK.EQ(BY91,$BY$2:$BY$111),""),"")</f>
        <v/>
      </c>
      <c r="CB91" s="31" t="str">
        <f>IF(AND($G91='Tournament Setup'!$A$39,$E91="M",$CA91&gt;'Tournament Setup'!$B$39),$H91,"")</f>
        <v/>
      </c>
      <c r="CC91" s="1" t="str">
        <f>IF(ISNUMBER(CB91)=TRUE,IF(_xlfn.RANK.EQ(CB91,$CB$2:$CB$111)&lt;='Tournament Setup'!$C$39,_xlfn.RANK.EQ(CB91,$CB$2:$CB$111),""),"")</f>
        <v/>
      </c>
      <c r="CD91" s="31" t="str">
        <f>IF(AND($G91='Tournament Setup'!$A$39,$E91="F",$CA91&gt;'Tournament Setup'!$B$39),$H91,"")</f>
        <v/>
      </c>
      <c r="CE91" s="12" t="str">
        <f>IF(ISNUMBER(CD91)=TRUE,IF(_xlfn.RANK.EQ(CD91,$CD$2:$CD$111)&lt;='Tournament Setup'!$D$39,_xlfn.RANK.EQ(CD91,$CD$2:$CD$111),""),"")</f>
        <v/>
      </c>
      <c r="CF91" s="30" t="str">
        <f>IF($G91='Tournament Setup'!$A$40,$H91,"")</f>
        <v/>
      </c>
      <c r="CG91" s="47" t="str">
        <f>IF(ISNUMBER(CF91),IF(COUNTIFS(CG$1:CG90,_xlfn.RANK.EQ(CF91,CF$2:CF$111,0))&gt;0,_xlfn.MAXIFS(CG$1:CG90,CF$1:CF90,CF91)+1,_xlfn.RANK.EQ(CF91,CF$2:CF$111,0)),"")</f>
        <v/>
      </c>
      <c r="CH91" s="1" t="str">
        <f>IF(ISNUMBER(CF91)=TRUE,IF(_xlfn.RANK.EQ(CF91,$CF$2:$CF$111)&lt;='Tournament Setup'!$B$40,_xlfn.RANK.EQ(CF91,$CF$2:$CF$111),""),"")</f>
        <v/>
      </c>
      <c r="CI91" s="31" t="str">
        <f>IF(AND($G91='Tournament Setup'!$A$40,$E91="M",$CH91&gt;'Tournament Setup'!$B$40),$H91,"")</f>
        <v/>
      </c>
      <c r="CJ91" s="1" t="str">
        <f>IF(ISNUMBER(CI91)=TRUE,IF(_xlfn.RANK.EQ(CI91,$CI$2:$CI$111)&lt;='Tournament Setup'!$C$40,_xlfn.RANK.EQ(CI91,$CI$2:$CI$111),""),"")</f>
        <v/>
      </c>
      <c r="CK91" s="31" t="str">
        <f>IF(AND($G91='Tournament Setup'!$A$40,$E91="F",$CH91&gt;'Tournament Setup'!$B$40),$H91,"")</f>
        <v/>
      </c>
      <c r="CL91" s="12" t="str">
        <f>IF(ISNUMBER(CK91)=TRUE,IF(_xlfn.RANK.EQ(CK91,$CK$2:$CK$111)&lt;='Tournament Setup'!$D$40,_xlfn.RANK.EQ(CK91,$CK$2:$CK$111),""),"")</f>
        <v/>
      </c>
      <c r="CM91" s="30" t="str">
        <f>IF($G91='Tournament Setup'!$A$41,$H91,"")</f>
        <v/>
      </c>
      <c r="CN91" s="47" t="str">
        <f>IF(ISNUMBER(CM91),IF(COUNTIFS(CN$1:CN90,_xlfn.RANK.EQ(CM91,CM$2:CM$111,0))&gt;0,_xlfn.MAXIFS(CN$1:CN90,CM$1:CM90,CM91)+1,_xlfn.RANK.EQ(CM91,CM$2:CM$111,0)),"")</f>
        <v/>
      </c>
      <c r="CO91" s="1" t="str">
        <f>IF(ISNUMBER(CM91)=TRUE,IF(_xlfn.RANK.EQ(CM91,$CM$2:$CM$111)&lt;='Tournament Setup'!$B$41,_xlfn.RANK.EQ(CM91,$CM$2:$CM$111),""),"")</f>
        <v/>
      </c>
      <c r="CP91" s="31" t="str">
        <f>IF(AND($G91='Tournament Setup'!$A$41,$E91="M",$CO91&gt;'Tournament Setup'!$B$41),$H91,"")</f>
        <v/>
      </c>
      <c r="CQ91" s="1" t="str">
        <f>IF(ISNUMBER(CP91)=TRUE,IF(_xlfn.RANK.EQ(CP91,$CP$2:$CP$111)&lt;='Tournament Setup'!$C$41,_xlfn.RANK.EQ(CP91,$CP$2:$CP$111),""),"")</f>
        <v/>
      </c>
      <c r="CR91" s="31" t="str">
        <f>IF(AND($G91='Tournament Setup'!$A$41,$E91="F",$CO91&gt;'Tournament Setup'!$B$41),$H91,"")</f>
        <v/>
      </c>
      <c r="CS91" s="12" t="str">
        <f>IF(ISNUMBER(CR91)=TRUE,IF(_xlfn.RANK.EQ(CR91,$CR$2:$CR$111)&lt;='Tournament Setup'!$D$41,_xlfn.RANK.EQ(CR91,$CR$2:$CR$111),""),"")</f>
        <v/>
      </c>
    </row>
    <row r="92" spans="2:97" x14ac:dyDescent="0.3">
      <c r="B92" t="str">
        <f>IFERROR(INDEX('Tournament List'!$B:$B,MATCH($A92,'Tournament List'!$A:$A,0)),"")</f>
        <v/>
      </c>
      <c r="C92" t="str">
        <f>IFERROR(INDEX('Tournament List'!$C:$C,MATCH($A92,'Tournament List'!$A:$A,0)),"")</f>
        <v/>
      </c>
      <c r="D92" t="str">
        <f t="shared" si="15"/>
        <v xml:space="preserve"> </v>
      </c>
      <c r="E92" s="1" t="str">
        <f>IFERROR(INDEX('Tournament List'!F:F,MATCH($A92,'Tournament List'!$A:$A,0)),"")</f>
        <v/>
      </c>
      <c r="F92" t="str">
        <f>IFERROR(INDEX('Tournament List'!M:M,MATCH($A92,'Tournament List'!$A:$A,0)),"")</f>
        <v/>
      </c>
      <c r="G92" s="1" t="str">
        <f>IFERROR(INDEX('Tournament List'!W:W,MATCH($A92,'Tournament List'!$A:$A,0)),"")</f>
        <v/>
      </c>
      <c r="H92" s="129" t="str">
        <f>IFERROR(INDEX('Tournament List'!Z:Z,MATCH($A92,'Tournament List'!$A:$A,0)),"")</f>
        <v/>
      </c>
      <c r="I92" s="152" t="str">
        <f>IFERROR(INDEX('Tournament List'!T:T,MATCH($A92,'Tournament List'!$A:$A,0)),"")</f>
        <v/>
      </c>
      <c r="J92" s="56" t="str">
        <f>IF(ISNUMBER(I92),IF(COUNTIFS(J$1:J91,_xlfn.RANK.EQ(I92,I$2:I$111,0))&gt;0,_xlfn.MAXIFS(J$1:J91,I$1:I91,I92)+1,_xlfn.RANK.EQ(I92,I$2:I$111,0)),"")</f>
        <v/>
      </c>
      <c r="K92" s="11" t="str">
        <f t="shared" si="16"/>
        <v/>
      </c>
      <c r="L92" s="56" t="str">
        <f>IF(ISNUMBER(H92),IF(COUNTIFS(L$1:L91,_xlfn.RANK.EQ(H92,H$2:H$111,0))&gt;0,_xlfn.MAXIFS(L$1:L91,H$1:H91,H92)+1,_xlfn.RANK.EQ(H92,H$2:H$111,0)),"")</f>
        <v/>
      </c>
      <c r="M92" s="151" t="str">
        <f t="shared" si="17"/>
        <v/>
      </c>
      <c r="N92" s="47" t="str">
        <f>IF(ISNUMBER(M92),IF(COUNTIFS(N$1:N91,_xlfn.RANK.EQ(M92,M$2:M$111,0))&gt;0,_xlfn.MAXIFS(N$1:N91,M$1:M91,M92)+1,_xlfn.RANK.EQ(M92,M$2:M$111,0)),"")</f>
        <v/>
      </c>
      <c r="O92" s="1" t="str">
        <f>IF(ISNUMBER(M92)=TRUE,IF(_xlfn.RANK.EQ(M92,$M$2:$M$111)&lt;='Tournament Setup'!$B$23,_xlfn.RANK.EQ(M92,$M$2:$M$111),""),"")</f>
        <v/>
      </c>
      <c r="P92" s="150" t="str">
        <f t="shared" si="18"/>
        <v/>
      </c>
      <c r="Q92" s="1" t="str">
        <f>IF(ISNUMBER(P92)=TRUE,IF(_xlfn.RANK.EQ(P92,$P$2:$P$111)&lt;='Tournament Setup'!$B$24,_xlfn.RANK.EQ(P92,$P$2:$P$111),""),"")</f>
        <v/>
      </c>
      <c r="R92" s="150" t="str">
        <f t="shared" si="19"/>
        <v/>
      </c>
      <c r="S92" s="12" t="str">
        <f>IF(ISNUMBER(R92)=TRUE,IF(_xlfn.RANK.EQ(R92,$R$2:$R$111)&lt;='Tournament Setup'!$B$25,_xlfn.RANK.EQ(R92,$R$2:$R$111),""),"")</f>
        <v/>
      </c>
      <c r="T92" s="152" t="str">
        <f>IF(AND($F92='Tournament Setup'!$A$29,$I92&lt;&gt;0),$I92,"")</f>
        <v/>
      </c>
      <c r="U92" s="47" t="str">
        <f>IF(ISNUMBER(T92),IF(COUNTIFS(U$1:U91,_xlfn.RANK.EQ(T92,T$2:T$111,0))&gt;0,_xlfn.MAXIFS(U$1:U91,T$1:T91,T92)+1,_xlfn.RANK.EQ(T92,T$2:T$111,0)),"")</f>
        <v/>
      </c>
      <c r="V92" s="1" t="str">
        <f>IF(ISNUMBER(T92)=TRUE,IF(_xlfn.RANK.EQ(T92,$T$3:$T$112)&lt;='Tournament Setup'!$B$46,_xlfn.RANK.EQ(T92,$T$2:$T$111),""),"")</f>
        <v/>
      </c>
      <c r="W92" s="30" t="str">
        <f>IF(AND($F92='Tournament Setup'!$A$29,SUM($O92,$Q92,$S92)=0),$H92,"")</f>
        <v/>
      </c>
      <c r="X92" s="47" t="str">
        <f>IF(ISNUMBER(W92),IF(COUNTIFS(X$1:X91,_xlfn.RANK.EQ(W92,W$2:W$111,0))&gt;0,_xlfn.MAXIFS(X$1:X91,W$1:W91,W92)+1,_xlfn.RANK.EQ(W92,W$2:W$111,0)),"")</f>
        <v/>
      </c>
      <c r="Y92" s="1" t="str">
        <f>IF(ISNUMBER(W92)=TRUE,IF(_xlfn.RANK.EQ(W92,$W$2:$W$111)&lt;='Tournament Setup'!$B$29,_xlfn.RANK.EQ(W92,$W$2:$W$111),""),"")</f>
        <v/>
      </c>
      <c r="Z92" s="31" t="str">
        <f>IF(AND($F92='Tournament Setup'!$A$29,SUM($O92,$Q92)=0,$E92="M",$Y92&gt;'Tournament Setup'!$B$29),$H92,"")</f>
        <v/>
      </c>
      <c r="AA92" s="1" t="str">
        <f>IF(ISNUMBER(Z92)=TRUE,IF(_xlfn.RANK.EQ(Z92,$Z$2:$Z$111)&lt;='Tournament Setup'!$C$29,_xlfn.RANK.EQ(Z92,$Z$2:$Z$111),""),"")</f>
        <v/>
      </c>
      <c r="AB92" s="31" t="str">
        <f>IF(AND($F92='Tournament Setup'!$A$29,SUM($O92,$S92)=0,$E92="F",$Y92&gt;'Tournament Setup'!$B$29),$H92,"")</f>
        <v/>
      </c>
      <c r="AC92" s="12" t="str">
        <f>IF(ISNUMBER(AB92)=TRUE,IF(_xlfn.RANK.EQ(AB92,$AB$2:$AB$111)&lt;='Tournament Setup'!$D$29,_xlfn.RANK.EQ(AB92,$AB$2:$AB$111),""),"")</f>
        <v/>
      </c>
      <c r="AD92" s="30" t="str">
        <f>IF(AND($F92='Tournament Setup'!$A$30,$I92&lt;&gt;0),$I92,"")</f>
        <v/>
      </c>
      <c r="AE92" s="47" t="str">
        <f>IF(ISNUMBER(AD92),IF(COUNTIFS(AE$1:AE91,_xlfn.RANK.EQ(AD92,AD$2:AD$111,0))&gt;0,_xlfn.MAXIFS(AE$1:AE91,AD$1:AD91,AD92)+1,_xlfn.RANK.EQ(AD92,AD$2:AD$111,0)),"")</f>
        <v/>
      </c>
      <c r="AF92" s="1" t="str">
        <f>IF(ISNUMBER(AD92)=TRUE,IF(_xlfn.RANK.EQ(AD92,$AD$2:$AD$111)&lt;='Tournament Setup'!$B$46,_xlfn.RANK.EQ(AD92,$AD$2:$AD$111),""),"")</f>
        <v/>
      </c>
      <c r="AG92" s="30" t="str">
        <f>IF(AND($F92='Tournament Setup'!$A$30,SUM($O92,$Q92,$S92)=0),$H92,"")</f>
        <v/>
      </c>
      <c r="AH92" s="47" t="str">
        <f>IF(ISNUMBER(AG92),IF(COUNTIFS(AH$1:AH91,_xlfn.RANK.EQ(AG92,AG$2:AG$111,0))&gt;0,_xlfn.MAXIFS(AH$1:AH91,AG$1:AG91,AG92)+1,_xlfn.RANK.EQ(AG92,AG$2:AG$111,0)),"")</f>
        <v/>
      </c>
      <c r="AI92" s="1" t="str">
        <f>IF(ISNUMBER(AG92)=TRUE,IF(_xlfn.RANK.EQ(AG92,$AG$2:$AG$111)&lt;='Tournament Setup'!$B$30,_xlfn.RANK.EQ(AG92,$AG$2:$AG$111),""),"")</f>
        <v/>
      </c>
      <c r="AJ92" s="31" t="str">
        <f>IF(AND($F92='Tournament Setup'!$A$30,SUM($O92,$Q92)=0,$E92="M",$AI92&gt;'Tournament Setup'!$B$30),$H92,"")</f>
        <v/>
      </c>
      <c r="AK92" s="1" t="str">
        <f>IF(ISNUMBER(AJ92)=TRUE,IF(_xlfn.RANK.EQ(AJ92,$AJ$2:$AJ$111)&lt;='Tournament Setup'!$C$30,_xlfn.RANK.EQ(AJ92,$AJ$2:$AJ$111),""),"")</f>
        <v/>
      </c>
      <c r="AL92" s="31" t="str">
        <f>IF(AND($F92='Tournament Setup'!$A$30,SUM($O92,$S92)=0,$E92="F",$AI92&gt;'Tournament Setup'!$B$30),$H92,"")</f>
        <v/>
      </c>
      <c r="AM92" s="12" t="str">
        <f>IF(ISNUMBER(AL92)=TRUE,IF(_xlfn.RANK.EQ(AL92,$AL$2:$AL$111)&lt;='Tournament Setup'!$D$30,_xlfn.RANK.EQ(AL92,$AL$2:$AL$111),""),"")</f>
        <v/>
      </c>
      <c r="AN92" s="30" t="str">
        <f>IF(AND($F92='Tournament Setup'!$A$31,$I92&lt;&gt;0),$I92,"")</f>
        <v/>
      </c>
      <c r="AO92" s="47" t="str">
        <f>IF(ISNUMBER(AN92),IF(COUNTIFS(AO$1:AO91,_xlfn.RANK.EQ(AN92,AN$2:AN$111,0))&gt;0,_xlfn.MAXIFS(AO$1:AO91,AN$1:AN91,AN92)+1,_xlfn.RANK.EQ(AN92,AN$2:AN$111,0)),"")</f>
        <v/>
      </c>
      <c r="AP92" s="1" t="str">
        <f>IF(ISNUMBER(AN92)=TRUE,IF(_xlfn.RANK.EQ(AN92,$AN$2:$AN$111)&lt;='Tournament Setup'!$B$46,_xlfn.RANK.EQ(AN92,$AN$2:$AN$111),""),"")</f>
        <v/>
      </c>
      <c r="AQ92" s="30" t="str">
        <f>IF(AND($F92='Tournament Setup'!$A$31,SUM($O92,$Q92,$S92)=0),$H92,"")</f>
        <v/>
      </c>
      <c r="AR92" s="47" t="str">
        <f>IF(ISNUMBER(AQ92),IF(COUNTIFS(AR$1:AR91,_xlfn.RANK.EQ(AQ92,AQ$2:AQ$111,0))&gt;0,_xlfn.MAXIFS(AR$1:AR91,AQ$1:AQ91,AQ92)+1,_xlfn.RANK.EQ(AQ92,AQ$2:AQ$111,0)),"")</f>
        <v/>
      </c>
      <c r="AS92" s="1" t="str">
        <f>IF(ISNUMBER(AQ92)=TRUE,IF(_xlfn.RANK.EQ(AQ92,$AQ$2:$AQ$111)&lt;='Tournament Setup'!$B$31,_xlfn.RANK.EQ(AQ92,$AQ$2:$AQ$111),""),"")</f>
        <v/>
      </c>
      <c r="AT92" s="31" t="str">
        <f>IF(AND($F92='Tournament Setup'!$A$31,SUM($O92,$Q92)=0,$E92="M",$AS92&gt;'Tournament Setup'!$B$31),$H92,"")</f>
        <v/>
      </c>
      <c r="AU92" s="1" t="str">
        <f>IF(ISNUMBER(AT92)=TRUE,IF(_xlfn.RANK.EQ(AT92,$AT$2:$AT$111)&lt;='Tournament Setup'!$C$31,_xlfn.RANK.EQ(AT92,$AT$2:$AT$111),""),"")</f>
        <v/>
      </c>
      <c r="AV92" s="31" t="str">
        <f>IF(AND($F92='Tournament Setup'!$A$31,SUM($O92,$S92)=0,$E92="F",$AS92&gt;'Tournament Setup'!$B$31),$H92,"")</f>
        <v/>
      </c>
      <c r="AW92" s="12" t="str">
        <f>IF(ISNUMBER(AV92)=TRUE,IF(_xlfn.RANK.EQ(AV92,$AV$2:$AV$111)&lt;='Tournament Setup'!$D$31,_xlfn.RANK.EQ(AV92,$AV$2:$AV$111),""),"")</f>
        <v/>
      </c>
      <c r="AX92" s="30" t="str">
        <f>IF(AND($F92='Tournament Setup'!$A$32,$I92&lt;&gt;0),$I92,"")</f>
        <v/>
      </c>
      <c r="AY92" s="47" t="str">
        <f>IF(ISNUMBER(AX92),IF(COUNTIFS(AY$1:AY91,_xlfn.RANK.EQ(AX92,AX$2:AX$111,0))&gt;0,_xlfn.MAXIFS(AY$1:AY91,AX$1:AX91,AX92)+1,_xlfn.RANK.EQ(AX92,AX$2:AX$111,0)),"")</f>
        <v/>
      </c>
      <c r="AZ92" s="1" t="str">
        <f>IF(ISNUMBER(AX92)=TRUE,IF(_xlfn.RANK.EQ(AX92,$AX$2:$AX$111)&lt;='Tournament Setup'!$B$46,_xlfn.RANK.EQ(AX92,$AX$2:$AX$111),""),"")</f>
        <v/>
      </c>
      <c r="BA92" s="30" t="str">
        <f>IF(AND($F92='Tournament Setup'!$A$32,SUM($O92,$Q92,$S92)=0),$H92,"")</f>
        <v/>
      </c>
      <c r="BB92" s="47" t="str">
        <f>IF(ISNUMBER(BA92),IF(COUNTIFS(BB$1:BB91,_xlfn.RANK.EQ(BA92,BA$2:BA$111,0))&gt;0,_xlfn.MAXIFS(BB$1:BB91,BA$1:BA91,BA92)+1,_xlfn.RANK.EQ(BA92,BA$2:BA$111,0)),"")</f>
        <v/>
      </c>
      <c r="BC92" s="1" t="str">
        <f>IF(ISNUMBER(BA92)=TRUE,IF(_xlfn.RANK.EQ(BA92,$BA$2:$BA$111)&lt;='Tournament Setup'!$B$32,_xlfn.RANK.EQ(BA92,$BA$2:$BA$111),""),"")</f>
        <v/>
      </c>
      <c r="BD92" s="31" t="str">
        <f>IF(AND($F92='Tournament Setup'!$A$32,SUM($O92,$Q92)=0,$E92="M",$BC92&gt;'Tournament Setup'!$B$32),$H92,"")</f>
        <v/>
      </c>
      <c r="BE92" s="1" t="str">
        <f>IF(ISNUMBER(BD92)=TRUE,IF(_xlfn.RANK.EQ(BD92,$BD$2:$BD$111)&lt;='Tournament Setup'!$C$32,_xlfn.RANK.EQ(BD92,$BD$2:$BD$111),""),"")</f>
        <v/>
      </c>
      <c r="BF92" s="31" t="str">
        <f>IF(AND($F92='Tournament Setup'!$A$32,SUM($O92,$S92)=0,$E92="F",$BC92&gt;'Tournament Setup'!$B$32),$H92,"")</f>
        <v/>
      </c>
      <c r="BG92" s="12" t="str">
        <f>IF(ISNUMBER(BF92)=TRUE,IF(_xlfn.RANK.EQ(BF92,$BF$2:$BF$111)&lt;='Tournament Setup'!$D$32,_xlfn.RANK.EQ(BF92,$BF$2:$BF$111),""),"")</f>
        <v/>
      </c>
      <c r="BH92" s="30" t="str">
        <f>IF(AND($F92='Tournament Setup'!$A$33,$I92&lt;&gt;0),$I92,"")</f>
        <v/>
      </c>
      <c r="BI92" s="47" t="str">
        <f>IF(ISNUMBER(BH92),IF(COUNTIFS(BI$1:BI91,_xlfn.RANK.EQ(BH92,BH$2:BH$111,0))&gt;0,_xlfn.MAXIFS(BI$1:BI91,BH$1:BH91,BH92)+1,_xlfn.RANK.EQ(BH92,BH$2:BH$111,0)),"")</f>
        <v/>
      </c>
      <c r="BJ92" s="1" t="str">
        <f>IF(ISNUMBER(BH92)=TRUE,IF(_xlfn.RANK.EQ(BH92,$BH$2:$BH$111)&lt;='Tournament Setup'!$B$46,_xlfn.RANK.EQ(BH92,$BH$2:$BH$111),""),"")</f>
        <v/>
      </c>
      <c r="BK92" s="30" t="str">
        <f>IF(AND($F92='Tournament Setup'!$A$33,SUM($O92,$Q92,$S92)=0),$H92,"")</f>
        <v/>
      </c>
      <c r="BL92" s="47" t="str">
        <f>IF(ISNUMBER(BK92),IF(COUNTIFS(BL$1:BL91,_xlfn.RANK.EQ(BK92,BK$2:BK$111,0))&gt;0,_xlfn.MAXIFS(BL$1:BL91,BK$1:BK91,BK92)+1,_xlfn.RANK.EQ(BK92,BK$2:BK$111,0)),"")</f>
        <v/>
      </c>
      <c r="BM92" s="1" t="str">
        <f>IF(ISNUMBER(BK92)=TRUE,IF(_xlfn.RANK.EQ(BK92,$BK$2:$BK$111)&lt;='Tournament Setup'!$B$33,_xlfn.RANK.EQ(BK92,$BK$2:$BK$111),""),"")</f>
        <v/>
      </c>
      <c r="BN92" s="31" t="str">
        <f>IF(AND($F92='Tournament Setup'!$A$33,SUM($O92,$Q92)=0,$E92="M",$BM92&gt;'Tournament Setup'!$B$33),$H92,"")</f>
        <v/>
      </c>
      <c r="BO92" s="1" t="str">
        <f>IF(ISNUMBER(BN92)=TRUE,IF(_xlfn.RANK.EQ(BN92,$BN$2:$BN$111)&lt;='Tournament Setup'!$C$33,_xlfn.RANK.EQ(BN92,$BN$2:$BN$111),""),"")</f>
        <v/>
      </c>
      <c r="BP92" s="31" t="str">
        <f>IF(AND($F92='Tournament Setup'!$A$33,SUM($O92,$S92)=0,$E92="F",$BM92&gt;'Tournament Setup'!$B$33),$H92,"")</f>
        <v/>
      </c>
      <c r="BQ92" s="12" t="str">
        <f>IF(ISNUMBER(BP92)=TRUE,IF(_xlfn.RANK.EQ(BP92,$BP$2:$BP$111)&lt;='Tournament Setup'!$D$33,_xlfn.RANK.EQ(BP92,$BP$2:$BP$111),""),"")</f>
        <v/>
      </c>
      <c r="BR92" s="30" t="str">
        <f>IF($G92='Tournament Setup'!$A$38,$H92,"")</f>
        <v/>
      </c>
      <c r="BS92" s="47" t="str">
        <f>IF(ISNUMBER(BR92),IF(COUNTIFS(BS$1:BS91,_xlfn.RANK.EQ(BR92,BR$2:BR$111,0))&gt;0,_xlfn.MAXIFS(BS$1:BS91,BR$1:BR91,BR92)+1,_xlfn.RANK.EQ(BR92,BR$2:BR$111,0)),"")</f>
        <v/>
      </c>
      <c r="BT92" s="1" t="str">
        <f>IF(ISNUMBER(BR92)=TRUE,IF(_xlfn.RANK.EQ(BR92,$BR$2:$BR$111)&lt;='Tournament Setup'!$B$38,_xlfn.RANK.EQ(BR92,$BR$2:$BR$111),""),"")</f>
        <v/>
      </c>
      <c r="BU92" s="31" t="str">
        <f>IF(AND($G92='Tournament Setup'!$A$38,$E92="M",$BT92&gt;'Tournament Setup'!$B$38),$H92,"")</f>
        <v/>
      </c>
      <c r="BV92" s="1" t="str">
        <f>IF(ISNUMBER(BU92)=TRUE,IF(_xlfn.RANK.EQ(BU92,$BU$2:$BU$111)&lt;='Tournament Setup'!$C$38,_xlfn.RANK.EQ(BU92,$BU$2:$BU$111),""),"")</f>
        <v/>
      </c>
      <c r="BW92" s="31" t="str">
        <f>IF(AND($G92='Tournament Setup'!$A$38,$E92="F",$BT92&gt;'Tournament Setup'!$B$38),$H92,"")</f>
        <v/>
      </c>
      <c r="BX92" s="12" t="str">
        <f>IF(ISNUMBER(BW92)=TRUE,IF(_xlfn.RANK.EQ(BW92,$BW$2:$BW$111)&lt;='Tournament Setup'!$D$38,_xlfn.RANK.EQ(BW92,$BW$2:$BW$111),""),"")</f>
        <v/>
      </c>
      <c r="BY92" s="30" t="str">
        <f>IF($G92='Tournament Setup'!$A$39,$H92,"")</f>
        <v/>
      </c>
      <c r="BZ92" s="47" t="str">
        <f>IF(ISNUMBER(BY92),IF(COUNTIFS(BZ$1:BZ91,_xlfn.RANK.EQ(BY92,BY$2:BY$111,0))&gt;0,_xlfn.MAXIFS(BZ$1:BZ91,BY$1:BY91,BY92)+1,_xlfn.RANK.EQ(BY92,BY$2:BY$111,0)),"")</f>
        <v/>
      </c>
      <c r="CA92" s="1" t="str">
        <f>IF(ISNUMBER(BY92)=TRUE,IF(_xlfn.RANK.EQ(BY92,$BY$2:$BY$111)&lt;='Tournament Setup'!$B$39,_xlfn.RANK.EQ(BY92,$BY$2:$BY$111),""),"")</f>
        <v/>
      </c>
      <c r="CB92" s="31" t="str">
        <f>IF(AND($G92='Tournament Setup'!$A$39,$E92="M",$CA92&gt;'Tournament Setup'!$B$39),$H92,"")</f>
        <v/>
      </c>
      <c r="CC92" s="1" t="str">
        <f>IF(ISNUMBER(CB92)=TRUE,IF(_xlfn.RANK.EQ(CB92,$CB$2:$CB$111)&lt;='Tournament Setup'!$C$39,_xlfn.RANK.EQ(CB92,$CB$2:$CB$111),""),"")</f>
        <v/>
      </c>
      <c r="CD92" s="31" t="str">
        <f>IF(AND($G92='Tournament Setup'!$A$39,$E92="F",$CA92&gt;'Tournament Setup'!$B$39),$H92,"")</f>
        <v/>
      </c>
      <c r="CE92" s="12" t="str">
        <f>IF(ISNUMBER(CD92)=TRUE,IF(_xlfn.RANK.EQ(CD92,$CD$2:$CD$111)&lt;='Tournament Setup'!$D$39,_xlfn.RANK.EQ(CD92,$CD$2:$CD$111),""),"")</f>
        <v/>
      </c>
      <c r="CF92" s="30" t="str">
        <f>IF($G92='Tournament Setup'!$A$40,$H92,"")</f>
        <v/>
      </c>
      <c r="CG92" s="47" t="str">
        <f>IF(ISNUMBER(CF92),IF(COUNTIFS(CG$1:CG91,_xlfn.RANK.EQ(CF92,CF$2:CF$111,0))&gt;0,_xlfn.MAXIFS(CG$1:CG91,CF$1:CF91,CF92)+1,_xlfn.RANK.EQ(CF92,CF$2:CF$111,0)),"")</f>
        <v/>
      </c>
      <c r="CH92" s="1" t="str">
        <f>IF(ISNUMBER(CF92)=TRUE,IF(_xlfn.RANK.EQ(CF92,$CF$2:$CF$111)&lt;='Tournament Setup'!$B$40,_xlfn.RANK.EQ(CF92,$CF$2:$CF$111),""),"")</f>
        <v/>
      </c>
      <c r="CI92" s="31" t="str">
        <f>IF(AND($G92='Tournament Setup'!$A$40,$E92="M",$CH92&gt;'Tournament Setup'!$B$40),$H92,"")</f>
        <v/>
      </c>
      <c r="CJ92" s="1" t="str">
        <f>IF(ISNUMBER(CI92)=TRUE,IF(_xlfn.RANK.EQ(CI92,$CI$2:$CI$111)&lt;='Tournament Setup'!$C$40,_xlfn.RANK.EQ(CI92,$CI$2:$CI$111),""),"")</f>
        <v/>
      </c>
      <c r="CK92" s="31" t="str">
        <f>IF(AND($G92='Tournament Setup'!$A$40,$E92="F",$CH92&gt;'Tournament Setup'!$B$40),$H92,"")</f>
        <v/>
      </c>
      <c r="CL92" s="12" t="str">
        <f>IF(ISNUMBER(CK92)=TRUE,IF(_xlfn.RANK.EQ(CK92,$CK$2:$CK$111)&lt;='Tournament Setup'!$D$40,_xlfn.RANK.EQ(CK92,$CK$2:$CK$111),""),"")</f>
        <v/>
      </c>
      <c r="CM92" s="30" t="str">
        <f>IF($G92='Tournament Setup'!$A$41,$H92,"")</f>
        <v/>
      </c>
      <c r="CN92" s="47" t="str">
        <f>IF(ISNUMBER(CM92),IF(COUNTIFS(CN$1:CN91,_xlfn.RANK.EQ(CM92,CM$2:CM$111,0))&gt;0,_xlfn.MAXIFS(CN$1:CN91,CM$1:CM91,CM92)+1,_xlfn.RANK.EQ(CM92,CM$2:CM$111,0)),"")</f>
        <v/>
      </c>
      <c r="CO92" s="1" t="str">
        <f>IF(ISNUMBER(CM92)=TRUE,IF(_xlfn.RANK.EQ(CM92,$CM$2:$CM$111)&lt;='Tournament Setup'!$B$41,_xlfn.RANK.EQ(CM92,$CM$2:$CM$111),""),"")</f>
        <v/>
      </c>
      <c r="CP92" s="31" t="str">
        <f>IF(AND($G92='Tournament Setup'!$A$41,$E92="M",$CO92&gt;'Tournament Setup'!$B$41),$H92,"")</f>
        <v/>
      </c>
      <c r="CQ92" s="1" t="str">
        <f>IF(ISNUMBER(CP92)=TRUE,IF(_xlfn.RANK.EQ(CP92,$CP$2:$CP$111)&lt;='Tournament Setup'!$C$41,_xlfn.RANK.EQ(CP92,$CP$2:$CP$111),""),"")</f>
        <v/>
      </c>
      <c r="CR92" s="31" t="str">
        <f>IF(AND($G92='Tournament Setup'!$A$41,$E92="F",$CO92&gt;'Tournament Setup'!$B$41),$H92,"")</f>
        <v/>
      </c>
      <c r="CS92" s="12" t="str">
        <f>IF(ISNUMBER(CR92)=TRUE,IF(_xlfn.RANK.EQ(CR92,$CR$2:$CR$111)&lt;='Tournament Setup'!$D$41,_xlfn.RANK.EQ(CR92,$CR$2:$CR$111),""),"")</f>
        <v/>
      </c>
    </row>
    <row r="93" spans="2:97" x14ac:dyDescent="0.3">
      <c r="B93" t="str">
        <f>IFERROR(INDEX('Tournament List'!$B:$B,MATCH($A93,'Tournament List'!$A:$A,0)),"")</f>
        <v/>
      </c>
      <c r="C93" t="str">
        <f>IFERROR(INDEX('Tournament List'!$C:$C,MATCH($A93,'Tournament List'!$A:$A,0)),"")</f>
        <v/>
      </c>
      <c r="D93" t="str">
        <f t="shared" si="15"/>
        <v xml:space="preserve"> </v>
      </c>
      <c r="E93" s="1" t="str">
        <f>IFERROR(INDEX('Tournament List'!F:F,MATCH($A93,'Tournament List'!$A:$A,0)),"")</f>
        <v/>
      </c>
      <c r="F93" t="str">
        <f>IFERROR(INDEX('Tournament List'!M:M,MATCH($A93,'Tournament List'!$A:$A,0)),"")</f>
        <v/>
      </c>
      <c r="G93" s="1" t="str">
        <f>IFERROR(INDEX('Tournament List'!W:W,MATCH($A93,'Tournament List'!$A:$A,0)),"")</f>
        <v/>
      </c>
      <c r="H93" s="129" t="str">
        <f>IFERROR(INDEX('Tournament List'!Z:Z,MATCH($A93,'Tournament List'!$A:$A,0)),"")</f>
        <v/>
      </c>
      <c r="I93" s="152" t="str">
        <f>IFERROR(INDEX('Tournament List'!T:T,MATCH($A93,'Tournament List'!$A:$A,0)),"")</f>
        <v/>
      </c>
      <c r="J93" s="56" t="str">
        <f>IF(ISNUMBER(I93),IF(COUNTIFS(J$1:J92,_xlfn.RANK.EQ(I93,I$2:I$111,0))&gt;0,_xlfn.MAXIFS(J$1:J92,I$1:I92,I93)+1,_xlfn.RANK.EQ(I93,I$2:I$111,0)),"")</f>
        <v/>
      </c>
      <c r="K93" s="11" t="str">
        <f t="shared" si="16"/>
        <v/>
      </c>
      <c r="L93" s="56" t="str">
        <f>IF(ISNUMBER(H93),IF(COUNTIFS(L$1:L92,_xlfn.RANK.EQ(H93,H$2:H$111,0))&gt;0,_xlfn.MAXIFS(L$1:L92,H$1:H92,H93)+1,_xlfn.RANK.EQ(H93,H$2:H$111,0)),"")</f>
        <v/>
      </c>
      <c r="M93" s="151" t="str">
        <f t="shared" si="17"/>
        <v/>
      </c>
      <c r="N93" s="47" t="str">
        <f>IF(ISNUMBER(M93),IF(COUNTIFS(N$1:N92,_xlfn.RANK.EQ(M93,M$2:M$111,0))&gt;0,_xlfn.MAXIFS(N$1:N92,M$1:M92,M93)+1,_xlfn.RANK.EQ(M93,M$2:M$111,0)),"")</f>
        <v/>
      </c>
      <c r="O93" s="1" t="str">
        <f>IF(ISNUMBER(M93)=TRUE,IF(_xlfn.RANK.EQ(M93,$M$2:$M$111)&lt;='Tournament Setup'!$B$23,_xlfn.RANK.EQ(M93,$M$2:$M$111),""),"")</f>
        <v/>
      </c>
      <c r="P93" s="150" t="str">
        <f t="shared" si="18"/>
        <v/>
      </c>
      <c r="Q93" s="1" t="str">
        <f>IF(ISNUMBER(P93)=TRUE,IF(_xlfn.RANK.EQ(P93,$P$2:$P$111)&lt;='Tournament Setup'!$B$24,_xlfn.RANK.EQ(P93,$P$2:$P$111),""),"")</f>
        <v/>
      </c>
      <c r="R93" s="150" t="str">
        <f t="shared" si="19"/>
        <v/>
      </c>
      <c r="S93" s="12" t="str">
        <f>IF(ISNUMBER(R93)=TRUE,IF(_xlfn.RANK.EQ(R93,$R$2:$R$111)&lt;='Tournament Setup'!$B$25,_xlfn.RANK.EQ(R93,$R$2:$R$111),""),"")</f>
        <v/>
      </c>
      <c r="T93" s="152" t="str">
        <f>IF(AND($F93='Tournament Setup'!$A$29,$I93&lt;&gt;0),$I93,"")</f>
        <v/>
      </c>
      <c r="U93" s="47" t="str">
        <f>IF(ISNUMBER(T93),IF(COUNTIFS(U$1:U92,_xlfn.RANK.EQ(T93,T$2:T$111,0))&gt;0,_xlfn.MAXIFS(U$1:U92,T$1:T92,T93)+1,_xlfn.RANK.EQ(T93,T$2:T$111,0)),"")</f>
        <v/>
      </c>
      <c r="V93" s="1" t="str">
        <f>IF(ISNUMBER(T93)=TRUE,IF(_xlfn.RANK.EQ(T93,$T$3:$T$112)&lt;='Tournament Setup'!$B$46,_xlfn.RANK.EQ(T93,$T$2:$T$111),""),"")</f>
        <v/>
      </c>
      <c r="W93" s="30" t="str">
        <f>IF(AND($F93='Tournament Setup'!$A$29,SUM($O93,$Q93,$S93)=0),$H93,"")</f>
        <v/>
      </c>
      <c r="X93" s="47" t="str">
        <f>IF(ISNUMBER(W93),IF(COUNTIFS(X$1:X92,_xlfn.RANK.EQ(W93,W$2:W$111,0))&gt;0,_xlfn.MAXIFS(X$1:X92,W$1:W92,W93)+1,_xlfn.RANK.EQ(W93,W$2:W$111,0)),"")</f>
        <v/>
      </c>
      <c r="Y93" s="1" t="str">
        <f>IF(ISNUMBER(W93)=TRUE,IF(_xlfn.RANK.EQ(W93,$W$2:$W$111)&lt;='Tournament Setup'!$B$29,_xlfn.RANK.EQ(W93,$W$2:$W$111),""),"")</f>
        <v/>
      </c>
      <c r="Z93" s="31" t="str">
        <f>IF(AND($F93='Tournament Setup'!$A$29,SUM($O93,$Q93)=0,$E93="M",$Y93&gt;'Tournament Setup'!$B$29),$H93,"")</f>
        <v/>
      </c>
      <c r="AA93" s="1" t="str">
        <f>IF(ISNUMBER(Z93)=TRUE,IF(_xlfn.RANK.EQ(Z93,$Z$2:$Z$111)&lt;='Tournament Setup'!$C$29,_xlfn.RANK.EQ(Z93,$Z$2:$Z$111),""),"")</f>
        <v/>
      </c>
      <c r="AB93" s="31" t="str">
        <f>IF(AND($F93='Tournament Setup'!$A$29,SUM($O93,$S93)=0,$E93="F",$Y93&gt;'Tournament Setup'!$B$29),$H93,"")</f>
        <v/>
      </c>
      <c r="AC93" s="12" t="str">
        <f>IF(ISNUMBER(AB93)=TRUE,IF(_xlfn.RANK.EQ(AB93,$AB$2:$AB$111)&lt;='Tournament Setup'!$D$29,_xlfn.RANK.EQ(AB93,$AB$2:$AB$111),""),"")</f>
        <v/>
      </c>
      <c r="AD93" s="30" t="str">
        <f>IF(AND($F93='Tournament Setup'!$A$30,$I93&lt;&gt;0),$I93,"")</f>
        <v/>
      </c>
      <c r="AE93" s="47" t="str">
        <f>IF(ISNUMBER(AD93),IF(COUNTIFS(AE$1:AE92,_xlfn.RANK.EQ(AD93,AD$2:AD$111,0))&gt;0,_xlfn.MAXIFS(AE$1:AE92,AD$1:AD92,AD93)+1,_xlfn.RANK.EQ(AD93,AD$2:AD$111,0)),"")</f>
        <v/>
      </c>
      <c r="AF93" s="1" t="str">
        <f>IF(ISNUMBER(AD93)=TRUE,IF(_xlfn.RANK.EQ(AD93,$AD$2:$AD$111)&lt;='Tournament Setup'!$B$46,_xlfn.RANK.EQ(AD93,$AD$2:$AD$111),""),"")</f>
        <v/>
      </c>
      <c r="AG93" s="30" t="str">
        <f>IF(AND($F93='Tournament Setup'!$A$30,SUM($O93,$Q93,$S93)=0),$H93,"")</f>
        <v/>
      </c>
      <c r="AH93" s="47" t="str">
        <f>IF(ISNUMBER(AG93),IF(COUNTIFS(AH$1:AH92,_xlfn.RANK.EQ(AG93,AG$2:AG$111,0))&gt;0,_xlfn.MAXIFS(AH$1:AH92,AG$1:AG92,AG93)+1,_xlfn.RANK.EQ(AG93,AG$2:AG$111,0)),"")</f>
        <v/>
      </c>
      <c r="AI93" s="1" t="str">
        <f>IF(ISNUMBER(AG93)=TRUE,IF(_xlfn.RANK.EQ(AG93,$AG$2:$AG$111)&lt;='Tournament Setup'!$B$30,_xlfn.RANK.EQ(AG93,$AG$2:$AG$111),""),"")</f>
        <v/>
      </c>
      <c r="AJ93" s="31" t="str">
        <f>IF(AND($F93='Tournament Setup'!$A$30,SUM($O93,$Q93)=0,$E93="M",$AI93&gt;'Tournament Setup'!$B$30),$H93,"")</f>
        <v/>
      </c>
      <c r="AK93" s="1" t="str">
        <f>IF(ISNUMBER(AJ93)=TRUE,IF(_xlfn.RANK.EQ(AJ93,$AJ$2:$AJ$111)&lt;='Tournament Setup'!$C$30,_xlfn.RANK.EQ(AJ93,$AJ$2:$AJ$111),""),"")</f>
        <v/>
      </c>
      <c r="AL93" s="31" t="str">
        <f>IF(AND($F93='Tournament Setup'!$A$30,SUM($O93,$S93)=0,$E93="F",$AI93&gt;'Tournament Setup'!$B$30),$H93,"")</f>
        <v/>
      </c>
      <c r="AM93" s="12" t="str">
        <f>IF(ISNUMBER(AL93)=TRUE,IF(_xlfn.RANK.EQ(AL93,$AL$2:$AL$111)&lt;='Tournament Setup'!$D$30,_xlfn.RANK.EQ(AL93,$AL$2:$AL$111),""),"")</f>
        <v/>
      </c>
      <c r="AN93" s="30" t="str">
        <f>IF(AND($F93='Tournament Setup'!$A$31,$I93&lt;&gt;0),$I93,"")</f>
        <v/>
      </c>
      <c r="AO93" s="47" t="str">
        <f>IF(ISNUMBER(AN93),IF(COUNTIFS(AO$1:AO92,_xlfn.RANK.EQ(AN93,AN$2:AN$111,0))&gt;0,_xlfn.MAXIFS(AO$1:AO92,AN$1:AN92,AN93)+1,_xlfn.RANK.EQ(AN93,AN$2:AN$111,0)),"")</f>
        <v/>
      </c>
      <c r="AP93" s="1" t="str">
        <f>IF(ISNUMBER(AN93)=TRUE,IF(_xlfn.RANK.EQ(AN93,$AN$2:$AN$111)&lt;='Tournament Setup'!$B$46,_xlfn.RANK.EQ(AN93,$AN$2:$AN$111),""),"")</f>
        <v/>
      </c>
      <c r="AQ93" s="30" t="str">
        <f>IF(AND($F93='Tournament Setup'!$A$31,SUM($O93,$Q93,$S93)=0),$H93,"")</f>
        <v/>
      </c>
      <c r="AR93" s="47" t="str">
        <f>IF(ISNUMBER(AQ93),IF(COUNTIFS(AR$1:AR92,_xlfn.RANK.EQ(AQ93,AQ$2:AQ$111,0))&gt;0,_xlfn.MAXIFS(AR$1:AR92,AQ$1:AQ92,AQ93)+1,_xlfn.RANK.EQ(AQ93,AQ$2:AQ$111,0)),"")</f>
        <v/>
      </c>
      <c r="AS93" s="1" t="str">
        <f>IF(ISNUMBER(AQ93)=TRUE,IF(_xlfn.RANK.EQ(AQ93,$AQ$2:$AQ$111)&lt;='Tournament Setup'!$B$31,_xlfn.RANK.EQ(AQ93,$AQ$2:$AQ$111),""),"")</f>
        <v/>
      </c>
      <c r="AT93" s="31" t="str">
        <f>IF(AND($F93='Tournament Setup'!$A$31,SUM($O93,$Q93)=0,$E93="M",$AS93&gt;'Tournament Setup'!$B$31),$H93,"")</f>
        <v/>
      </c>
      <c r="AU93" s="1" t="str">
        <f>IF(ISNUMBER(AT93)=TRUE,IF(_xlfn.RANK.EQ(AT93,$AT$2:$AT$111)&lt;='Tournament Setup'!$C$31,_xlfn.RANK.EQ(AT93,$AT$2:$AT$111),""),"")</f>
        <v/>
      </c>
      <c r="AV93" s="31" t="str">
        <f>IF(AND($F93='Tournament Setup'!$A$31,SUM($O93,$S93)=0,$E93="F",$AS93&gt;'Tournament Setup'!$B$31),$H93,"")</f>
        <v/>
      </c>
      <c r="AW93" s="12" t="str">
        <f>IF(ISNUMBER(AV93)=TRUE,IF(_xlfn.RANK.EQ(AV93,$AV$2:$AV$111)&lt;='Tournament Setup'!$D$31,_xlfn.RANK.EQ(AV93,$AV$2:$AV$111),""),"")</f>
        <v/>
      </c>
      <c r="AX93" s="30" t="str">
        <f>IF(AND($F93='Tournament Setup'!$A$32,$I93&lt;&gt;0),$I93,"")</f>
        <v/>
      </c>
      <c r="AY93" s="47" t="str">
        <f>IF(ISNUMBER(AX93),IF(COUNTIFS(AY$1:AY92,_xlfn.RANK.EQ(AX93,AX$2:AX$111,0))&gt;0,_xlfn.MAXIFS(AY$1:AY92,AX$1:AX92,AX93)+1,_xlfn.RANK.EQ(AX93,AX$2:AX$111,0)),"")</f>
        <v/>
      </c>
      <c r="AZ93" s="1" t="str">
        <f>IF(ISNUMBER(AX93)=TRUE,IF(_xlfn.RANK.EQ(AX93,$AX$2:$AX$111)&lt;='Tournament Setup'!$B$46,_xlfn.RANK.EQ(AX93,$AX$2:$AX$111),""),"")</f>
        <v/>
      </c>
      <c r="BA93" s="30" t="str">
        <f>IF(AND($F93='Tournament Setup'!$A$32,SUM($O93,$Q93,$S93)=0),$H93,"")</f>
        <v/>
      </c>
      <c r="BB93" s="47" t="str">
        <f>IF(ISNUMBER(BA93),IF(COUNTIFS(BB$1:BB92,_xlfn.RANK.EQ(BA93,BA$2:BA$111,0))&gt;0,_xlfn.MAXIFS(BB$1:BB92,BA$1:BA92,BA93)+1,_xlfn.RANK.EQ(BA93,BA$2:BA$111,0)),"")</f>
        <v/>
      </c>
      <c r="BC93" s="1" t="str">
        <f>IF(ISNUMBER(BA93)=TRUE,IF(_xlfn.RANK.EQ(BA93,$BA$2:$BA$111)&lt;='Tournament Setup'!$B$32,_xlfn.RANK.EQ(BA93,$BA$2:$BA$111),""),"")</f>
        <v/>
      </c>
      <c r="BD93" s="31" t="str">
        <f>IF(AND($F93='Tournament Setup'!$A$32,SUM($O93,$Q93)=0,$E93="M",$BC93&gt;'Tournament Setup'!$B$32),$H93,"")</f>
        <v/>
      </c>
      <c r="BE93" s="1" t="str">
        <f>IF(ISNUMBER(BD93)=TRUE,IF(_xlfn.RANK.EQ(BD93,$BD$2:$BD$111)&lt;='Tournament Setup'!$C$32,_xlfn.RANK.EQ(BD93,$BD$2:$BD$111),""),"")</f>
        <v/>
      </c>
      <c r="BF93" s="31" t="str">
        <f>IF(AND($F93='Tournament Setup'!$A$32,SUM($O93,$S93)=0,$E93="F",$BC93&gt;'Tournament Setup'!$B$32),$H93,"")</f>
        <v/>
      </c>
      <c r="BG93" s="12" t="str">
        <f>IF(ISNUMBER(BF93)=TRUE,IF(_xlfn.RANK.EQ(BF93,$BF$2:$BF$111)&lt;='Tournament Setup'!$D$32,_xlfn.RANK.EQ(BF93,$BF$2:$BF$111),""),"")</f>
        <v/>
      </c>
      <c r="BH93" s="30" t="str">
        <f>IF(AND($F93='Tournament Setup'!$A$33,$I93&lt;&gt;0),$I93,"")</f>
        <v/>
      </c>
      <c r="BI93" s="47" t="str">
        <f>IF(ISNUMBER(BH93),IF(COUNTIFS(BI$1:BI92,_xlfn.RANK.EQ(BH93,BH$2:BH$111,0))&gt;0,_xlfn.MAXIFS(BI$1:BI92,BH$1:BH92,BH93)+1,_xlfn.RANK.EQ(BH93,BH$2:BH$111,0)),"")</f>
        <v/>
      </c>
      <c r="BJ93" s="1" t="str">
        <f>IF(ISNUMBER(BH93)=TRUE,IF(_xlfn.RANK.EQ(BH93,$BH$2:$BH$111)&lt;='Tournament Setup'!$B$46,_xlfn.RANK.EQ(BH93,$BH$2:$BH$111),""),"")</f>
        <v/>
      </c>
      <c r="BK93" s="30" t="str">
        <f>IF(AND($F93='Tournament Setup'!$A$33,SUM($O93,$Q93,$S93)=0),$H93,"")</f>
        <v/>
      </c>
      <c r="BL93" s="47" t="str">
        <f>IF(ISNUMBER(BK93),IF(COUNTIFS(BL$1:BL92,_xlfn.RANK.EQ(BK93,BK$2:BK$111,0))&gt;0,_xlfn.MAXIFS(BL$1:BL92,BK$1:BK92,BK93)+1,_xlfn.RANK.EQ(BK93,BK$2:BK$111,0)),"")</f>
        <v/>
      </c>
      <c r="BM93" s="1" t="str">
        <f>IF(ISNUMBER(BK93)=TRUE,IF(_xlfn.RANK.EQ(BK93,$BK$2:$BK$111)&lt;='Tournament Setup'!$B$33,_xlfn.RANK.EQ(BK93,$BK$2:$BK$111),""),"")</f>
        <v/>
      </c>
      <c r="BN93" s="31" t="str">
        <f>IF(AND($F93='Tournament Setup'!$A$33,SUM($O93,$Q93)=0,$E93="M",$BM93&gt;'Tournament Setup'!$B$33),$H93,"")</f>
        <v/>
      </c>
      <c r="BO93" s="1" t="str">
        <f>IF(ISNUMBER(BN93)=TRUE,IF(_xlfn.RANK.EQ(BN93,$BN$2:$BN$111)&lt;='Tournament Setup'!$C$33,_xlfn.RANK.EQ(BN93,$BN$2:$BN$111),""),"")</f>
        <v/>
      </c>
      <c r="BP93" s="31" t="str">
        <f>IF(AND($F93='Tournament Setup'!$A$33,SUM($O93,$S93)=0,$E93="F",$BM93&gt;'Tournament Setup'!$B$33),$H93,"")</f>
        <v/>
      </c>
      <c r="BQ93" s="12" t="str">
        <f>IF(ISNUMBER(BP93)=TRUE,IF(_xlfn.RANK.EQ(BP93,$BP$2:$BP$111)&lt;='Tournament Setup'!$D$33,_xlfn.RANK.EQ(BP93,$BP$2:$BP$111),""),"")</f>
        <v/>
      </c>
      <c r="BR93" s="30" t="str">
        <f>IF($G93='Tournament Setup'!$A$38,$H93,"")</f>
        <v/>
      </c>
      <c r="BS93" s="47" t="str">
        <f>IF(ISNUMBER(BR93),IF(COUNTIFS(BS$1:BS92,_xlfn.RANK.EQ(BR93,BR$2:BR$111,0))&gt;0,_xlfn.MAXIFS(BS$1:BS92,BR$1:BR92,BR93)+1,_xlfn.RANK.EQ(BR93,BR$2:BR$111,0)),"")</f>
        <v/>
      </c>
      <c r="BT93" s="1" t="str">
        <f>IF(ISNUMBER(BR93)=TRUE,IF(_xlfn.RANK.EQ(BR93,$BR$2:$BR$111)&lt;='Tournament Setup'!$B$38,_xlfn.RANK.EQ(BR93,$BR$2:$BR$111),""),"")</f>
        <v/>
      </c>
      <c r="BU93" s="31" t="str">
        <f>IF(AND($G93='Tournament Setup'!$A$38,$E93="M",$BT93&gt;'Tournament Setup'!$B$38),$H93,"")</f>
        <v/>
      </c>
      <c r="BV93" s="1" t="str">
        <f>IF(ISNUMBER(BU93)=TRUE,IF(_xlfn.RANK.EQ(BU93,$BU$2:$BU$111)&lt;='Tournament Setup'!$C$38,_xlfn.RANK.EQ(BU93,$BU$2:$BU$111),""),"")</f>
        <v/>
      </c>
      <c r="BW93" s="31" t="str">
        <f>IF(AND($G93='Tournament Setup'!$A$38,$E93="F",$BT93&gt;'Tournament Setup'!$B$38),$H93,"")</f>
        <v/>
      </c>
      <c r="BX93" s="12" t="str">
        <f>IF(ISNUMBER(BW93)=TRUE,IF(_xlfn.RANK.EQ(BW93,$BW$2:$BW$111)&lt;='Tournament Setup'!$D$38,_xlfn.RANK.EQ(BW93,$BW$2:$BW$111),""),"")</f>
        <v/>
      </c>
      <c r="BY93" s="30" t="str">
        <f>IF($G93='Tournament Setup'!$A$39,$H93,"")</f>
        <v/>
      </c>
      <c r="BZ93" s="47" t="str">
        <f>IF(ISNUMBER(BY93),IF(COUNTIFS(BZ$1:BZ92,_xlfn.RANK.EQ(BY93,BY$2:BY$111,0))&gt;0,_xlfn.MAXIFS(BZ$1:BZ92,BY$1:BY92,BY93)+1,_xlfn.RANK.EQ(BY93,BY$2:BY$111,0)),"")</f>
        <v/>
      </c>
      <c r="CA93" s="1" t="str">
        <f>IF(ISNUMBER(BY93)=TRUE,IF(_xlfn.RANK.EQ(BY93,$BY$2:$BY$111)&lt;='Tournament Setup'!$B$39,_xlfn.RANK.EQ(BY93,$BY$2:$BY$111),""),"")</f>
        <v/>
      </c>
      <c r="CB93" s="31" t="str">
        <f>IF(AND($G93='Tournament Setup'!$A$39,$E93="M",$CA93&gt;'Tournament Setup'!$B$39),$H93,"")</f>
        <v/>
      </c>
      <c r="CC93" s="1" t="str">
        <f>IF(ISNUMBER(CB93)=TRUE,IF(_xlfn.RANK.EQ(CB93,$CB$2:$CB$111)&lt;='Tournament Setup'!$C$39,_xlfn.RANK.EQ(CB93,$CB$2:$CB$111),""),"")</f>
        <v/>
      </c>
      <c r="CD93" s="31" t="str">
        <f>IF(AND($G93='Tournament Setup'!$A$39,$E93="F",$CA93&gt;'Tournament Setup'!$B$39),$H93,"")</f>
        <v/>
      </c>
      <c r="CE93" s="12" t="str">
        <f>IF(ISNUMBER(CD93)=TRUE,IF(_xlfn.RANK.EQ(CD93,$CD$2:$CD$111)&lt;='Tournament Setup'!$D$39,_xlfn.RANK.EQ(CD93,$CD$2:$CD$111),""),"")</f>
        <v/>
      </c>
      <c r="CF93" s="30" t="str">
        <f>IF($G93='Tournament Setup'!$A$40,$H93,"")</f>
        <v/>
      </c>
      <c r="CG93" s="47" t="str">
        <f>IF(ISNUMBER(CF93),IF(COUNTIFS(CG$1:CG92,_xlfn.RANK.EQ(CF93,CF$2:CF$111,0))&gt;0,_xlfn.MAXIFS(CG$1:CG92,CF$1:CF92,CF93)+1,_xlfn.RANK.EQ(CF93,CF$2:CF$111,0)),"")</f>
        <v/>
      </c>
      <c r="CH93" s="1" t="str">
        <f>IF(ISNUMBER(CF93)=TRUE,IF(_xlfn.RANK.EQ(CF93,$CF$2:$CF$111)&lt;='Tournament Setup'!$B$40,_xlfn.RANK.EQ(CF93,$CF$2:$CF$111),""),"")</f>
        <v/>
      </c>
      <c r="CI93" s="31" t="str">
        <f>IF(AND($G93='Tournament Setup'!$A$40,$E93="M",$CH93&gt;'Tournament Setup'!$B$40),$H93,"")</f>
        <v/>
      </c>
      <c r="CJ93" s="1" t="str">
        <f>IF(ISNUMBER(CI93)=TRUE,IF(_xlfn.RANK.EQ(CI93,$CI$2:$CI$111)&lt;='Tournament Setup'!$C$40,_xlfn.RANK.EQ(CI93,$CI$2:$CI$111),""),"")</f>
        <v/>
      </c>
      <c r="CK93" s="31" t="str">
        <f>IF(AND($G93='Tournament Setup'!$A$40,$E93="F",$CH93&gt;'Tournament Setup'!$B$40),$H93,"")</f>
        <v/>
      </c>
      <c r="CL93" s="12" t="str">
        <f>IF(ISNUMBER(CK93)=TRUE,IF(_xlfn.RANK.EQ(CK93,$CK$2:$CK$111)&lt;='Tournament Setup'!$D$40,_xlfn.RANK.EQ(CK93,$CK$2:$CK$111),""),"")</f>
        <v/>
      </c>
      <c r="CM93" s="30" t="str">
        <f>IF($G93='Tournament Setup'!$A$41,$H93,"")</f>
        <v/>
      </c>
      <c r="CN93" s="47" t="str">
        <f>IF(ISNUMBER(CM93),IF(COUNTIFS(CN$1:CN92,_xlfn.RANK.EQ(CM93,CM$2:CM$111,0))&gt;0,_xlfn.MAXIFS(CN$1:CN92,CM$1:CM92,CM93)+1,_xlfn.RANK.EQ(CM93,CM$2:CM$111,0)),"")</f>
        <v/>
      </c>
      <c r="CO93" s="1" t="str">
        <f>IF(ISNUMBER(CM93)=TRUE,IF(_xlfn.RANK.EQ(CM93,$CM$2:$CM$111)&lt;='Tournament Setup'!$B$41,_xlfn.RANK.EQ(CM93,$CM$2:$CM$111),""),"")</f>
        <v/>
      </c>
      <c r="CP93" s="31" t="str">
        <f>IF(AND($G93='Tournament Setup'!$A$41,$E93="M",$CO93&gt;'Tournament Setup'!$B$41),$H93,"")</f>
        <v/>
      </c>
      <c r="CQ93" s="1" t="str">
        <f>IF(ISNUMBER(CP93)=TRUE,IF(_xlfn.RANK.EQ(CP93,$CP$2:$CP$111)&lt;='Tournament Setup'!$C$41,_xlfn.RANK.EQ(CP93,$CP$2:$CP$111),""),"")</f>
        <v/>
      </c>
      <c r="CR93" s="31" t="str">
        <f>IF(AND($G93='Tournament Setup'!$A$41,$E93="F",$CO93&gt;'Tournament Setup'!$B$41),$H93,"")</f>
        <v/>
      </c>
      <c r="CS93" s="12" t="str">
        <f>IF(ISNUMBER(CR93)=TRUE,IF(_xlfn.RANK.EQ(CR93,$CR$2:$CR$111)&lt;='Tournament Setup'!$D$41,_xlfn.RANK.EQ(CR93,$CR$2:$CR$111),""),"")</f>
        <v/>
      </c>
    </row>
    <row r="94" spans="2:97" x14ac:dyDescent="0.3">
      <c r="B94" t="str">
        <f>IFERROR(INDEX('Tournament List'!$B:$B,MATCH($A94,'Tournament List'!$A:$A,0)),"")</f>
        <v/>
      </c>
      <c r="C94" t="str">
        <f>IFERROR(INDEX('Tournament List'!$C:$C,MATCH($A94,'Tournament List'!$A:$A,0)),"")</f>
        <v/>
      </c>
      <c r="D94" t="str">
        <f t="shared" si="15"/>
        <v xml:space="preserve"> </v>
      </c>
      <c r="E94" s="1" t="str">
        <f>IFERROR(INDEX('Tournament List'!F:F,MATCH($A94,'Tournament List'!$A:$A,0)),"")</f>
        <v/>
      </c>
      <c r="F94" t="str">
        <f>IFERROR(INDEX('Tournament List'!M:M,MATCH($A94,'Tournament List'!$A:$A,0)),"")</f>
        <v/>
      </c>
      <c r="G94" s="1" t="str">
        <f>IFERROR(INDEX('Tournament List'!W:W,MATCH($A94,'Tournament List'!$A:$A,0)),"")</f>
        <v/>
      </c>
      <c r="H94" s="129" t="str">
        <f>IFERROR(INDEX('Tournament List'!Z:Z,MATCH($A94,'Tournament List'!$A:$A,0)),"")</f>
        <v/>
      </c>
      <c r="I94" s="152" t="str">
        <f>IFERROR(INDEX('Tournament List'!T:T,MATCH($A94,'Tournament List'!$A:$A,0)),"")</f>
        <v/>
      </c>
      <c r="J94" s="56" t="str">
        <f>IF(ISNUMBER(I94),IF(COUNTIFS(J$1:J93,_xlfn.RANK.EQ(I94,I$2:I$111,0))&gt;0,_xlfn.MAXIFS(J$1:J93,I$1:I93,I94)+1,_xlfn.RANK.EQ(I94,I$2:I$111,0)),"")</f>
        <v/>
      </c>
      <c r="K94" s="11" t="str">
        <f t="shared" si="16"/>
        <v/>
      </c>
      <c r="L94" s="56" t="str">
        <f>IF(ISNUMBER(H94),IF(COUNTIFS(L$1:L93,_xlfn.RANK.EQ(H94,H$2:H$111,0))&gt;0,_xlfn.MAXIFS(L$1:L93,H$1:H93,H94)+1,_xlfn.RANK.EQ(H94,H$2:H$111,0)),"")</f>
        <v/>
      </c>
      <c r="M94" s="151" t="str">
        <f t="shared" si="17"/>
        <v/>
      </c>
      <c r="N94" s="47" t="str">
        <f>IF(ISNUMBER(M94),IF(COUNTIFS(N$1:N93,_xlfn.RANK.EQ(M94,M$2:M$111,0))&gt;0,_xlfn.MAXIFS(N$1:N93,M$1:M93,M94)+1,_xlfn.RANK.EQ(M94,M$2:M$111,0)),"")</f>
        <v/>
      </c>
      <c r="O94" s="1" t="str">
        <f>IF(ISNUMBER(M94)=TRUE,IF(_xlfn.RANK.EQ(M94,$M$2:$M$111)&lt;='Tournament Setup'!$B$23,_xlfn.RANK.EQ(M94,$M$2:$M$111),""),"")</f>
        <v/>
      </c>
      <c r="P94" s="150" t="str">
        <f t="shared" si="18"/>
        <v/>
      </c>
      <c r="Q94" s="1" t="str">
        <f>IF(ISNUMBER(P94)=TRUE,IF(_xlfn.RANK.EQ(P94,$P$2:$P$111)&lt;='Tournament Setup'!$B$24,_xlfn.RANK.EQ(P94,$P$2:$P$111),""),"")</f>
        <v/>
      </c>
      <c r="R94" s="150" t="str">
        <f t="shared" si="19"/>
        <v/>
      </c>
      <c r="S94" s="12" t="str">
        <f>IF(ISNUMBER(R94)=TRUE,IF(_xlfn.RANK.EQ(R94,$R$2:$R$111)&lt;='Tournament Setup'!$B$25,_xlfn.RANK.EQ(R94,$R$2:$R$111),""),"")</f>
        <v/>
      </c>
      <c r="T94" s="152" t="str">
        <f>IF(AND($F94='Tournament Setup'!$A$29,$I94&lt;&gt;0),$I94,"")</f>
        <v/>
      </c>
      <c r="U94" s="47" t="str">
        <f>IF(ISNUMBER(T94),IF(COUNTIFS(U$1:U93,_xlfn.RANK.EQ(T94,T$2:T$111,0))&gt;0,_xlfn.MAXIFS(U$1:U93,T$1:T93,T94)+1,_xlfn.RANK.EQ(T94,T$2:T$111,0)),"")</f>
        <v/>
      </c>
      <c r="V94" s="1" t="str">
        <f>IF(ISNUMBER(T94)=TRUE,IF(_xlfn.RANK.EQ(T94,$T$3:$T$112)&lt;='Tournament Setup'!$B$46,_xlfn.RANK.EQ(T94,$T$2:$T$111),""),"")</f>
        <v/>
      </c>
      <c r="W94" s="30" t="str">
        <f>IF(AND($F94='Tournament Setup'!$A$29,SUM($O94,$Q94,$S94)=0),$H94,"")</f>
        <v/>
      </c>
      <c r="X94" s="47" t="str">
        <f>IF(ISNUMBER(W94),IF(COUNTIFS(X$1:X93,_xlfn.RANK.EQ(W94,W$2:W$111,0))&gt;0,_xlfn.MAXIFS(X$1:X93,W$1:W93,W94)+1,_xlfn.RANK.EQ(W94,W$2:W$111,0)),"")</f>
        <v/>
      </c>
      <c r="Y94" s="1" t="str">
        <f>IF(ISNUMBER(W94)=TRUE,IF(_xlfn.RANK.EQ(W94,$W$2:$W$111)&lt;='Tournament Setup'!$B$29,_xlfn.RANK.EQ(W94,$W$2:$W$111),""),"")</f>
        <v/>
      </c>
      <c r="Z94" s="31" t="str">
        <f>IF(AND($F94='Tournament Setup'!$A$29,SUM($O94,$Q94)=0,$E94="M",$Y94&gt;'Tournament Setup'!$B$29),$H94,"")</f>
        <v/>
      </c>
      <c r="AA94" s="1" t="str">
        <f>IF(ISNUMBER(Z94)=TRUE,IF(_xlfn.RANK.EQ(Z94,$Z$2:$Z$111)&lt;='Tournament Setup'!$C$29,_xlfn.RANK.EQ(Z94,$Z$2:$Z$111),""),"")</f>
        <v/>
      </c>
      <c r="AB94" s="31" t="str">
        <f>IF(AND($F94='Tournament Setup'!$A$29,SUM($O94,$S94)=0,$E94="F",$Y94&gt;'Tournament Setup'!$B$29),$H94,"")</f>
        <v/>
      </c>
      <c r="AC94" s="12" t="str">
        <f>IF(ISNUMBER(AB94)=TRUE,IF(_xlfn.RANK.EQ(AB94,$AB$2:$AB$111)&lt;='Tournament Setup'!$D$29,_xlfn.RANK.EQ(AB94,$AB$2:$AB$111),""),"")</f>
        <v/>
      </c>
      <c r="AD94" s="30" t="str">
        <f>IF(AND($F94='Tournament Setup'!$A$30,$I94&lt;&gt;0),$I94,"")</f>
        <v/>
      </c>
      <c r="AE94" s="47" t="str">
        <f>IF(ISNUMBER(AD94),IF(COUNTIFS(AE$1:AE93,_xlfn.RANK.EQ(AD94,AD$2:AD$111,0))&gt;0,_xlfn.MAXIFS(AE$1:AE93,AD$1:AD93,AD94)+1,_xlfn.RANK.EQ(AD94,AD$2:AD$111,0)),"")</f>
        <v/>
      </c>
      <c r="AF94" s="1" t="str">
        <f>IF(ISNUMBER(AD94)=TRUE,IF(_xlfn.RANK.EQ(AD94,$AD$2:$AD$111)&lt;='Tournament Setup'!$B$46,_xlfn.RANK.EQ(AD94,$AD$2:$AD$111),""),"")</f>
        <v/>
      </c>
      <c r="AG94" s="30" t="str">
        <f>IF(AND($F94='Tournament Setup'!$A$30,SUM($O94,$Q94,$S94)=0),$H94,"")</f>
        <v/>
      </c>
      <c r="AH94" s="47" t="str">
        <f>IF(ISNUMBER(AG94),IF(COUNTIFS(AH$1:AH93,_xlfn.RANK.EQ(AG94,AG$2:AG$111,0))&gt;0,_xlfn.MAXIFS(AH$1:AH93,AG$1:AG93,AG94)+1,_xlfn.RANK.EQ(AG94,AG$2:AG$111,0)),"")</f>
        <v/>
      </c>
      <c r="AI94" s="1" t="str">
        <f>IF(ISNUMBER(AG94)=TRUE,IF(_xlfn.RANK.EQ(AG94,$AG$2:$AG$111)&lt;='Tournament Setup'!$B$30,_xlfn.RANK.EQ(AG94,$AG$2:$AG$111),""),"")</f>
        <v/>
      </c>
      <c r="AJ94" s="31" t="str">
        <f>IF(AND($F94='Tournament Setup'!$A$30,SUM($O94,$Q94)=0,$E94="M",$AI94&gt;'Tournament Setup'!$B$30),$H94,"")</f>
        <v/>
      </c>
      <c r="AK94" s="1" t="str">
        <f>IF(ISNUMBER(AJ94)=TRUE,IF(_xlfn.RANK.EQ(AJ94,$AJ$2:$AJ$111)&lt;='Tournament Setup'!$C$30,_xlfn.RANK.EQ(AJ94,$AJ$2:$AJ$111),""),"")</f>
        <v/>
      </c>
      <c r="AL94" s="31" t="str">
        <f>IF(AND($F94='Tournament Setup'!$A$30,SUM($O94,$S94)=0,$E94="F",$AI94&gt;'Tournament Setup'!$B$30),$H94,"")</f>
        <v/>
      </c>
      <c r="AM94" s="12" t="str">
        <f>IF(ISNUMBER(AL94)=TRUE,IF(_xlfn.RANK.EQ(AL94,$AL$2:$AL$111)&lt;='Tournament Setup'!$D$30,_xlfn.RANK.EQ(AL94,$AL$2:$AL$111),""),"")</f>
        <v/>
      </c>
      <c r="AN94" s="30" t="str">
        <f>IF(AND($F94='Tournament Setup'!$A$31,$I94&lt;&gt;0),$I94,"")</f>
        <v/>
      </c>
      <c r="AO94" s="47" t="str">
        <f>IF(ISNUMBER(AN94),IF(COUNTIFS(AO$1:AO93,_xlfn.RANK.EQ(AN94,AN$2:AN$111,0))&gt;0,_xlfn.MAXIFS(AO$1:AO93,AN$1:AN93,AN94)+1,_xlfn.RANK.EQ(AN94,AN$2:AN$111,0)),"")</f>
        <v/>
      </c>
      <c r="AP94" s="1" t="str">
        <f>IF(ISNUMBER(AN94)=TRUE,IF(_xlfn.RANK.EQ(AN94,$AN$2:$AN$111)&lt;='Tournament Setup'!$B$46,_xlfn.RANK.EQ(AN94,$AN$2:$AN$111),""),"")</f>
        <v/>
      </c>
      <c r="AQ94" s="30" t="str">
        <f>IF(AND($F94='Tournament Setup'!$A$31,SUM($O94,$Q94,$S94)=0),$H94,"")</f>
        <v/>
      </c>
      <c r="AR94" s="47" t="str">
        <f>IF(ISNUMBER(AQ94),IF(COUNTIFS(AR$1:AR93,_xlfn.RANK.EQ(AQ94,AQ$2:AQ$111,0))&gt;0,_xlfn.MAXIFS(AR$1:AR93,AQ$1:AQ93,AQ94)+1,_xlfn.RANK.EQ(AQ94,AQ$2:AQ$111,0)),"")</f>
        <v/>
      </c>
      <c r="AS94" s="1" t="str">
        <f>IF(ISNUMBER(AQ94)=TRUE,IF(_xlfn.RANK.EQ(AQ94,$AQ$2:$AQ$111)&lt;='Tournament Setup'!$B$31,_xlfn.RANK.EQ(AQ94,$AQ$2:$AQ$111),""),"")</f>
        <v/>
      </c>
      <c r="AT94" s="31" t="str">
        <f>IF(AND($F94='Tournament Setup'!$A$31,SUM($O94,$Q94)=0,$E94="M",$AS94&gt;'Tournament Setup'!$B$31),$H94,"")</f>
        <v/>
      </c>
      <c r="AU94" s="1" t="str">
        <f>IF(ISNUMBER(AT94)=TRUE,IF(_xlfn.RANK.EQ(AT94,$AT$2:$AT$111)&lt;='Tournament Setup'!$C$31,_xlfn.RANK.EQ(AT94,$AT$2:$AT$111),""),"")</f>
        <v/>
      </c>
      <c r="AV94" s="31" t="str">
        <f>IF(AND($F94='Tournament Setup'!$A$31,SUM($O94,$S94)=0,$E94="F",$AS94&gt;'Tournament Setup'!$B$31),$H94,"")</f>
        <v/>
      </c>
      <c r="AW94" s="12" t="str">
        <f>IF(ISNUMBER(AV94)=TRUE,IF(_xlfn.RANK.EQ(AV94,$AV$2:$AV$111)&lt;='Tournament Setup'!$D$31,_xlfn.RANK.EQ(AV94,$AV$2:$AV$111),""),"")</f>
        <v/>
      </c>
      <c r="AX94" s="30" t="str">
        <f>IF(AND($F94='Tournament Setup'!$A$32,$I94&lt;&gt;0),$I94,"")</f>
        <v/>
      </c>
      <c r="AY94" s="47" t="str">
        <f>IF(ISNUMBER(AX94),IF(COUNTIFS(AY$1:AY93,_xlfn.RANK.EQ(AX94,AX$2:AX$111,0))&gt;0,_xlfn.MAXIFS(AY$1:AY93,AX$1:AX93,AX94)+1,_xlfn.RANK.EQ(AX94,AX$2:AX$111,0)),"")</f>
        <v/>
      </c>
      <c r="AZ94" s="1" t="str">
        <f>IF(ISNUMBER(AX94)=TRUE,IF(_xlfn.RANK.EQ(AX94,$AX$2:$AX$111)&lt;='Tournament Setup'!$B$46,_xlfn.RANK.EQ(AX94,$AX$2:$AX$111),""),"")</f>
        <v/>
      </c>
      <c r="BA94" s="30" t="str">
        <f>IF(AND($F94='Tournament Setup'!$A$32,SUM($O94,$Q94,$S94)=0),$H94,"")</f>
        <v/>
      </c>
      <c r="BB94" s="47" t="str">
        <f>IF(ISNUMBER(BA94),IF(COUNTIFS(BB$1:BB93,_xlfn.RANK.EQ(BA94,BA$2:BA$111,0))&gt;0,_xlfn.MAXIFS(BB$1:BB93,BA$1:BA93,BA94)+1,_xlfn.RANK.EQ(BA94,BA$2:BA$111,0)),"")</f>
        <v/>
      </c>
      <c r="BC94" s="1" t="str">
        <f>IF(ISNUMBER(BA94)=TRUE,IF(_xlfn.RANK.EQ(BA94,$BA$2:$BA$111)&lt;='Tournament Setup'!$B$32,_xlfn.RANK.EQ(BA94,$BA$2:$BA$111),""),"")</f>
        <v/>
      </c>
      <c r="BD94" s="31" t="str">
        <f>IF(AND($F94='Tournament Setup'!$A$32,SUM($O94,$Q94)=0,$E94="M",$BC94&gt;'Tournament Setup'!$B$32),$H94,"")</f>
        <v/>
      </c>
      <c r="BE94" s="1" t="str">
        <f>IF(ISNUMBER(BD94)=TRUE,IF(_xlfn.RANK.EQ(BD94,$BD$2:$BD$111)&lt;='Tournament Setup'!$C$32,_xlfn.RANK.EQ(BD94,$BD$2:$BD$111),""),"")</f>
        <v/>
      </c>
      <c r="BF94" s="31" t="str">
        <f>IF(AND($F94='Tournament Setup'!$A$32,SUM($O94,$S94)=0,$E94="F",$BC94&gt;'Tournament Setup'!$B$32),$H94,"")</f>
        <v/>
      </c>
      <c r="BG94" s="12" t="str">
        <f>IF(ISNUMBER(BF94)=TRUE,IF(_xlfn.RANK.EQ(BF94,$BF$2:$BF$111)&lt;='Tournament Setup'!$D$32,_xlfn.RANK.EQ(BF94,$BF$2:$BF$111),""),"")</f>
        <v/>
      </c>
      <c r="BH94" s="30" t="str">
        <f>IF(AND($F94='Tournament Setup'!$A$33,$I94&lt;&gt;0),$I94,"")</f>
        <v/>
      </c>
      <c r="BI94" s="47" t="str">
        <f>IF(ISNUMBER(BH94),IF(COUNTIFS(BI$1:BI93,_xlfn.RANK.EQ(BH94,BH$2:BH$111,0))&gt;0,_xlfn.MAXIFS(BI$1:BI93,BH$1:BH93,BH94)+1,_xlfn.RANK.EQ(BH94,BH$2:BH$111,0)),"")</f>
        <v/>
      </c>
      <c r="BJ94" s="1" t="str">
        <f>IF(ISNUMBER(BH94)=TRUE,IF(_xlfn.RANK.EQ(BH94,$BH$2:$BH$111)&lt;='Tournament Setup'!$B$46,_xlfn.RANK.EQ(BH94,$BH$2:$BH$111),""),"")</f>
        <v/>
      </c>
      <c r="BK94" s="30" t="str">
        <f>IF(AND($F94='Tournament Setup'!$A$33,SUM($O94,$Q94,$S94)=0),$H94,"")</f>
        <v/>
      </c>
      <c r="BL94" s="47" t="str">
        <f>IF(ISNUMBER(BK94),IF(COUNTIFS(BL$1:BL93,_xlfn.RANK.EQ(BK94,BK$2:BK$111,0))&gt;0,_xlfn.MAXIFS(BL$1:BL93,BK$1:BK93,BK94)+1,_xlfn.RANK.EQ(BK94,BK$2:BK$111,0)),"")</f>
        <v/>
      </c>
      <c r="BM94" s="1" t="str">
        <f>IF(ISNUMBER(BK94)=TRUE,IF(_xlfn.RANK.EQ(BK94,$BK$2:$BK$111)&lt;='Tournament Setup'!$B$33,_xlfn.RANK.EQ(BK94,$BK$2:$BK$111),""),"")</f>
        <v/>
      </c>
      <c r="BN94" s="31" t="str">
        <f>IF(AND($F94='Tournament Setup'!$A$33,SUM($O94,$Q94)=0,$E94="M",$BM94&gt;'Tournament Setup'!$B$33),$H94,"")</f>
        <v/>
      </c>
      <c r="BO94" s="1" t="str">
        <f>IF(ISNUMBER(BN94)=TRUE,IF(_xlfn.RANK.EQ(BN94,$BN$2:$BN$111)&lt;='Tournament Setup'!$C$33,_xlfn.RANK.EQ(BN94,$BN$2:$BN$111),""),"")</f>
        <v/>
      </c>
      <c r="BP94" s="31" t="str">
        <f>IF(AND($F94='Tournament Setup'!$A$33,SUM($O94,$S94)=0,$E94="F",$BM94&gt;'Tournament Setup'!$B$33),$H94,"")</f>
        <v/>
      </c>
      <c r="BQ94" s="12" t="str">
        <f>IF(ISNUMBER(BP94)=TRUE,IF(_xlfn.RANK.EQ(BP94,$BP$2:$BP$111)&lt;='Tournament Setup'!$D$33,_xlfn.RANK.EQ(BP94,$BP$2:$BP$111),""),"")</f>
        <v/>
      </c>
      <c r="BR94" s="30" t="str">
        <f>IF($G94='Tournament Setup'!$A$38,$H94,"")</f>
        <v/>
      </c>
      <c r="BS94" s="47" t="str">
        <f>IF(ISNUMBER(BR94),IF(COUNTIFS(BS$1:BS93,_xlfn.RANK.EQ(BR94,BR$2:BR$111,0))&gt;0,_xlfn.MAXIFS(BS$1:BS93,BR$1:BR93,BR94)+1,_xlfn.RANK.EQ(BR94,BR$2:BR$111,0)),"")</f>
        <v/>
      </c>
      <c r="BT94" s="1" t="str">
        <f>IF(ISNUMBER(BR94)=TRUE,IF(_xlfn.RANK.EQ(BR94,$BR$2:$BR$111)&lt;='Tournament Setup'!$B$38,_xlfn.RANK.EQ(BR94,$BR$2:$BR$111),""),"")</f>
        <v/>
      </c>
      <c r="BU94" s="31" t="str">
        <f>IF(AND($G94='Tournament Setup'!$A$38,$E94="M",$BT94&gt;'Tournament Setup'!$B$38),$H94,"")</f>
        <v/>
      </c>
      <c r="BV94" s="1" t="str">
        <f>IF(ISNUMBER(BU94)=TRUE,IF(_xlfn.RANK.EQ(BU94,$BU$2:$BU$111)&lt;='Tournament Setup'!$C$38,_xlfn.RANK.EQ(BU94,$BU$2:$BU$111),""),"")</f>
        <v/>
      </c>
      <c r="BW94" s="31" t="str">
        <f>IF(AND($G94='Tournament Setup'!$A$38,$E94="F",$BT94&gt;'Tournament Setup'!$B$38),$H94,"")</f>
        <v/>
      </c>
      <c r="BX94" s="12" t="str">
        <f>IF(ISNUMBER(BW94)=TRUE,IF(_xlfn.RANK.EQ(BW94,$BW$2:$BW$111)&lt;='Tournament Setup'!$D$38,_xlfn.RANK.EQ(BW94,$BW$2:$BW$111),""),"")</f>
        <v/>
      </c>
      <c r="BY94" s="30" t="str">
        <f>IF($G94='Tournament Setup'!$A$39,$H94,"")</f>
        <v/>
      </c>
      <c r="BZ94" s="47" t="str">
        <f>IF(ISNUMBER(BY94),IF(COUNTIFS(BZ$1:BZ93,_xlfn.RANK.EQ(BY94,BY$2:BY$111,0))&gt;0,_xlfn.MAXIFS(BZ$1:BZ93,BY$1:BY93,BY94)+1,_xlfn.RANK.EQ(BY94,BY$2:BY$111,0)),"")</f>
        <v/>
      </c>
      <c r="CA94" s="1" t="str">
        <f>IF(ISNUMBER(BY94)=TRUE,IF(_xlfn.RANK.EQ(BY94,$BY$2:$BY$111)&lt;='Tournament Setup'!$B$39,_xlfn.RANK.EQ(BY94,$BY$2:$BY$111),""),"")</f>
        <v/>
      </c>
      <c r="CB94" s="31" t="str">
        <f>IF(AND($G94='Tournament Setup'!$A$39,$E94="M",$CA94&gt;'Tournament Setup'!$B$39),$H94,"")</f>
        <v/>
      </c>
      <c r="CC94" s="1" t="str">
        <f>IF(ISNUMBER(CB94)=TRUE,IF(_xlfn.RANK.EQ(CB94,$CB$2:$CB$111)&lt;='Tournament Setup'!$C$39,_xlfn.RANK.EQ(CB94,$CB$2:$CB$111),""),"")</f>
        <v/>
      </c>
      <c r="CD94" s="31" t="str">
        <f>IF(AND($G94='Tournament Setup'!$A$39,$E94="F",$CA94&gt;'Tournament Setup'!$B$39),$H94,"")</f>
        <v/>
      </c>
      <c r="CE94" s="12" t="str">
        <f>IF(ISNUMBER(CD94)=TRUE,IF(_xlfn.RANK.EQ(CD94,$CD$2:$CD$111)&lt;='Tournament Setup'!$D$39,_xlfn.RANK.EQ(CD94,$CD$2:$CD$111),""),"")</f>
        <v/>
      </c>
      <c r="CF94" s="30" t="str">
        <f>IF($G94='Tournament Setup'!$A$40,$H94,"")</f>
        <v/>
      </c>
      <c r="CG94" s="47" t="str">
        <f>IF(ISNUMBER(CF94),IF(COUNTIFS(CG$1:CG93,_xlfn.RANK.EQ(CF94,CF$2:CF$111,0))&gt;0,_xlfn.MAXIFS(CG$1:CG93,CF$1:CF93,CF94)+1,_xlfn.RANK.EQ(CF94,CF$2:CF$111,0)),"")</f>
        <v/>
      </c>
      <c r="CH94" s="1" t="str">
        <f>IF(ISNUMBER(CF94)=TRUE,IF(_xlfn.RANK.EQ(CF94,$CF$2:$CF$111)&lt;='Tournament Setup'!$B$40,_xlfn.RANK.EQ(CF94,$CF$2:$CF$111),""),"")</f>
        <v/>
      </c>
      <c r="CI94" s="31" t="str">
        <f>IF(AND($G94='Tournament Setup'!$A$40,$E94="M",$CH94&gt;'Tournament Setup'!$B$40),$H94,"")</f>
        <v/>
      </c>
      <c r="CJ94" s="1" t="str">
        <f>IF(ISNUMBER(CI94)=TRUE,IF(_xlfn.RANK.EQ(CI94,$CI$2:$CI$111)&lt;='Tournament Setup'!$C$40,_xlfn.RANK.EQ(CI94,$CI$2:$CI$111),""),"")</f>
        <v/>
      </c>
      <c r="CK94" s="31" t="str">
        <f>IF(AND($G94='Tournament Setup'!$A$40,$E94="F",$CH94&gt;'Tournament Setup'!$B$40),$H94,"")</f>
        <v/>
      </c>
      <c r="CL94" s="12" t="str">
        <f>IF(ISNUMBER(CK94)=TRUE,IF(_xlfn.RANK.EQ(CK94,$CK$2:$CK$111)&lt;='Tournament Setup'!$D$40,_xlfn.RANK.EQ(CK94,$CK$2:$CK$111),""),"")</f>
        <v/>
      </c>
      <c r="CM94" s="30" t="str">
        <f>IF($G94='Tournament Setup'!$A$41,$H94,"")</f>
        <v/>
      </c>
      <c r="CN94" s="47" t="str">
        <f>IF(ISNUMBER(CM94),IF(COUNTIFS(CN$1:CN93,_xlfn.RANK.EQ(CM94,CM$2:CM$111,0))&gt;0,_xlfn.MAXIFS(CN$1:CN93,CM$1:CM93,CM94)+1,_xlfn.RANK.EQ(CM94,CM$2:CM$111,0)),"")</f>
        <v/>
      </c>
      <c r="CO94" s="1" t="str">
        <f>IF(ISNUMBER(CM94)=TRUE,IF(_xlfn.RANK.EQ(CM94,$CM$2:$CM$111)&lt;='Tournament Setup'!$B$41,_xlfn.RANK.EQ(CM94,$CM$2:$CM$111),""),"")</f>
        <v/>
      </c>
      <c r="CP94" s="31" t="str">
        <f>IF(AND($G94='Tournament Setup'!$A$41,$E94="M",$CO94&gt;'Tournament Setup'!$B$41),$H94,"")</f>
        <v/>
      </c>
      <c r="CQ94" s="1" t="str">
        <f>IF(ISNUMBER(CP94)=TRUE,IF(_xlfn.RANK.EQ(CP94,$CP$2:$CP$111)&lt;='Tournament Setup'!$C$41,_xlfn.RANK.EQ(CP94,$CP$2:$CP$111),""),"")</f>
        <v/>
      </c>
      <c r="CR94" s="31" t="str">
        <f>IF(AND($G94='Tournament Setup'!$A$41,$E94="F",$CO94&gt;'Tournament Setup'!$B$41),$H94,"")</f>
        <v/>
      </c>
      <c r="CS94" s="12" t="str">
        <f>IF(ISNUMBER(CR94)=TRUE,IF(_xlfn.RANK.EQ(CR94,$CR$2:$CR$111)&lt;='Tournament Setup'!$D$41,_xlfn.RANK.EQ(CR94,$CR$2:$CR$111),""),"")</f>
        <v/>
      </c>
    </row>
    <row r="95" spans="2:97" x14ac:dyDescent="0.3">
      <c r="B95" t="str">
        <f>IFERROR(INDEX('Tournament List'!$B:$B,MATCH($A95,'Tournament List'!$A:$A,0)),"")</f>
        <v/>
      </c>
      <c r="C95" t="str">
        <f>IFERROR(INDEX('Tournament List'!$C:$C,MATCH($A95,'Tournament List'!$A:$A,0)),"")</f>
        <v/>
      </c>
      <c r="D95" t="str">
        <f t="shared" si="15"/>
        <v xml:space="preserve"> </v>
      </c>
      <c r="E95" s="1" t="str">
        <f>IFERROR(INDEX('Tournament List'!F:F,MATCH($A95,'Tournament List'!$A:$A,0)),"")</f>
        <v/>
      </c>
      <c r="F95" t="str">
        <f>IFERROR(INDEX('Tournament List'!M:M,MATCH($A95,'Tournament List'!$A:$A,0)),"")</f>
        <v/>
      </c>
      <c r="G95" s="1" t="str">
        <f>IFERROR(INDEX('Tournament List'!W:W,MATCH($A95,'Tournament List'!$A:$A,0)),"")</f>
        <v/>
      </c>
      <c r="H95" s="129" t="str">
        <f>IFERROR(INDEX('Tournament List'!Z:Z,MATCH($A95,'Tournament List'!$A:$A,0)),"")</f>
        <v/>
      </c>
      <c r="I95" s="152" t="str">
        <f>IFERROR(INDEX('Tournament List'!T:T,MATCH($A95,'Tournament List'!$A:$A,0)),"")</f>
        <v/>
      </c>
      <c r="J95" s="56" t="str">
        <f>IF(ISNUMBER(I95),IF(COUNTIFS(J$1:J94,_xlfn.RANK.EQ(I95,I$2:I$111,0))&gt;0,_xlfn.MAXIFS(J$1:J94,I$1:I94,I95)+1,_xlfn.RANK.EQ(I95,I$2:I$111,0)),"")</f>
        <v/>
      </c>
      <c r="K95" s="11" t="str">
        <f t="shared" si="16"/>
        <v/>
      </c>
      <c r="L95" s="56" t="str">
        <f>IF(ISNUMBER(H95),IF(COUNTIFS(L$1:L94,_xlfn.RANK.EQ(H95,H$2:H$111,0))&gt;0,_xlfn.MAXIFS(L$1:L94,H$1:H94,H95)+1,_xlfn.RANK.EQ(H95,H$2:H$111,0)),"")</f>
        <v/>
      </c>
      <c r="M95" s="151" t="str">
        <f t="shared" si="17"/>
        <v/>
      </c>
      <c r="N95" s="47" t="str">
        <f>IF(ISNUMBER(M95),IF(COUNTIFS(N$1:N94,_xlfn.RANK.EQ(M95,M$2:M$111,0))&gt;0,_xlfn.MAXIFS(N$1:N94,M$1:M94,M95)+1,_xlfn.RANK.EQ(M95,M$2:M$111,0)),"")</f>
        <v/>
      </c>
      <c r="O95" s="1" t="str">
        <f>IF(ISNUMBER(M95)=TRUE,IF(_xlfn.RANK.EQ(M95,$M$2:$M$111)&lt;='Tournament Setup'!$B$23,_xlfn.RANK.EQ(M95,$M$2:$M$111),""),"")</f>
        <v/>
      </c>
      <c r="P95" s="150" t="str">
        <f t="shared" si="18"/>
        <v/>
      </c>
      <c r="Q95" s="1" t="str">
        <f>IF(ISNUMBER(P95)=TRUE,IF(_xlfn.RANK.EQ(P95,$P$2:$P$111)&lt;='Tournament Setup'!$B$24,_xlfn.RANK.EQ(P95,$P$2:$P$111),""),"")</f>
        <v/>
      </c>
      <c r="R95" s="150" t="str">
        <f t="shared" si="19"/>
        <v/>
      </c>
      <c r="S95" s="12" t="str">
        <f>IF(ISNUMBER(R95)=TRUE,IF(_xlfn.RANK.EQ(R95,$R$2:$R$111)&lt;='Tournament Setup'!$B$25,_xlfn.RANK.EQ(R95,$R$2:$R$111),""),"")</f>
        <v/>
      </c>
      <c r="T95" s="152" t="str">
        <f>IF(AND($F95='Tournament Setup'!$A$29,$I95&lt;&gt;0),$I95,"")</f>
        <v/>
      </c>
      <c r="U95" s="47" t="str">
        <f>IF(ISNUMBER(T95),IF(COUNTIFS(U$1:U94,_xlfn.RANK.EQ(T95,T$2:T$111,0))&gt;0,_xlfn.MAXIFS(U$1:U94,T$1:T94,T95)+1,_xlfn.RANK.EQ(T95,T$2:T$111,0)),"")</f>
        <v/>
      </c>
      <c r="V95" s="1" t="str">
        <f>IF(ISNUMBER(T95)=TRUE,IF(_xlfn.RANK.EQ(T95,$T$3:$T$112)&lt;='Tournament Setup'!$B$46,_xlfn.RANK.EQ(T95,$T$2:$T$111),""),"")</f>
        <v/>
      </c>
      <c r="W95" s="30" t="str">
        <f>IF(AND($F95='Tournament Setup'!$A$29,SUM($O95,$Q95,$S95)=0),$H95,"")</f>
        <v/>
      </c>
      <c r="X95" s="47" t="str">
        <f>IF(ISNUMBER(W95),IF(COUNTIFS(X$1:X94,_xlfn.RANK.EQ(W95,W$2:W$111,0))&gt;0,_xlfn.MAXIFS(X$1:X94,W$1:W94,W95)+1,_xlfn.RANK.EQ(W95,W$2:W$111,0)),"")</f>
        <v/>
      </c>
      <c r="Y95" s="1" t="str">
        <f>IF(ISNUMBER(W95)=TRUE,IF(_xlfn.RANK.EQ(W95,$W$2:$W$111)&lt;='Tournament Setup'!$B$29,_xlfn.RANK.EQ(W95,$W$2:$W$111),""),"")</f>
        <v/>
      </c>
      <c r="Z95" s="31" t="str">
        <f>IF(AND($F95='Tournament Setup'!$A$29,SUM($O95,$Q95)=0,$E95="M",$Y95&gt;'Tournament Setup'!$B$29),$H95,"")</f>
        <v/>
      </c>
      <c r="AA95" s="1" t="str">
        <f>IF(ISNUMBER(Z95)=TRUE,IF(_xlfn.RANK.EQ(Z95,$Z$2:$Z$111)&lt;='Tournament Setup'!$C$29,_xlfn.RANK.EQ(Z95,$Z$2:$Z$111),""),"")</f>
        <v/>
      </c>
      <c r="AB95" s="31" t="str">
        <f>IF(AND($F95='Tournament Setup'!$A$29,SUM($O95,$S95)=0,$E95="F",$Y95&gt;'Tournament Setup'!$B$29),$H95,"")</f>
        <v/>
      </c>
      <c r="AC95" s="12" t="str">
        <f>IF(ISNUMBER(AB95)=TRUE,IF(_xlfn.RANK.EQ(AB95,$AB$2:$AB$111)&lt;='Tournament Setup'!$D$29,_xlfn.RANK.EQ(AB95,$AB$2:$AB$111),""),"")</f>
        <v/>
      </c>
      <c r="AD95" s="30" t="str">
        <f>IF(AND($F95='Tournament Setup'!$A$30,$I95&lt;&gt;0),$I95,"")</f>
        <v/>
      </c>
      <c r="AE95" s="47" t="str">
        <f>IF(ISNUMBER(AD95),IF(COUNTIFS(AE$1:AE94,_xlfn.RANK.EQ(AD95,AD$2:AD$111,0))&gt;0,_xlfn.MAXIFS(AE$1:AE94,AD$1:AD94,AD95)+1,_xlfn.RANK.EQ(AD95,AD$2:AD$111,0)),"")</f>
        <v/>
      </c>
      <c r="AF95" s="1" t="str">
        <f>IF(ISNUMBER(AD95)=TRUE,IF(_xlfn.RANK.EQ(AD95,$AD$2:$AD$111)&lt;='Tournament Setup'!$B$46,_xlfn.RANK.EQ(AD95,$AD$2:$AD$111),""),"")</f>
        <v/>
      </c>
      <c r="AG95" s="30" t="str">
        <f>IF(AND($F95='Tournament Setup'!$A$30,SUM($O95,$Q95,$S95)=0),$H95,"")</f>
        <v/>
      </c>
      <c r="AH95" s="47" t="str">
        <f>IF(ISNUMBER(AG95),IF(COUNTIFS(AH$1:AH94,_xlfn.RANK.EQ(AG95,AG$2:AG$111,0))&gt;0,_xlfn.MAXIFS(AH$1:AH94,AG$1:AG94,AG95)+1,_xlfn.RANK.EQ(AG95,AG$2:AG$111,0)),"")</f>
        <v/>
      </c>
      <c r="AI95" s="1" t="str">
        <f>IF(ISNUMBER(AG95)=TRUE,IF(_xlfn.RANK.EQ(AG95,$AG$2:$AG$111)&lt;='Tournament Setup'!$B$30,_xlfn.RANK.EQ(AG95,$AG$2:$AG$111),""),"")</f>
        <v/>
      </c>
      <c r="AJ95" s="31" t="str">
        <f>IF(AND($F95='Tournament Setup'!$A$30,SUM($O95,$Q95)=0,$E95="M",$AI95&gt;'Tournament Setup'!$B$30),$H95,"")</f>
        <v/>
      </c>
      <c r="AK95" s="1" t="str">
        <f>IF(ISNUMBER(AJ95)=TRUE,IF(_xlfn.RANK.EQ(AJ95,$AJ$2:$AJ$111)&lt;='Tournament Setup'!$C$30,_xlfn.RANK.EQ(AJ95,$AJ$2:$AJ$111),""),"")</f>
        <v/>
      </c>
      <c r="AL95" s="31" t="str">
        <f>IF(AND($F95='Tournament Setup'!$A$30,SUM($O95,$S95)=0,$E95="F",$AI95&gt;'Tournament Setup'!$B$30),$H95,"")</f>
        <v/>
      </c>
      <c r="AM95" s="12" t="str">
        <f>IF(ISNUMBER(AL95)=TRUE,IF(_xlfn.RANK.EQ(AL95,$AL$2:$AL$111)&lt;='Tournament Setup'!$D$30,_xlfn.RANK.EQ(AL95,$AL$2:$AL$111),""),"")</f>
        <v/>
      </c>
      <c r="AN95" s="30" t="str">
        <f>IF(AND($F95='Tournament Setup'!$A$31,$I95&lt;&gt;0),$I95,"")</f>
        <v/>
      </c>
      <c r="AO95" s="47" t="str">
        <f>IF(ISNUMBER(AN95),IF(COUNTIFS(AO$1:AO94,_xlfn.RANK.EQ(AN95,AN$2:AN$111,0))&gt;0,_xlfn.MAXIFS(AO$1:AO94,AN$1:AN94,AN95)+1,_xlfn.RANK.EQ(AN95,AN$2:AN$111,0)),"")</f>
        <v/>
      </c>
      <c r="AP95" s="1" t="str">
        <f>IF(ISNUMBER(AN95)=TRUE,IF(_xlfn.RANK.EQ(AN95,$AN$2:$AN$111)&lt;='Tournament Setup'!$B$46,_xlfn.RANK.EQ(AN95,$AN$2:$AN$111),""),"")</f>
        <v/>
      </c>
      <c r="AQ95" s="30" t="str">
        <f>IF(AND($F95='Tournament Setup'!$A$31,SUM($O95,$Q95,$S95)=0),$H95,"")</f>
        <v/>
      </c>
      <c r="AR95" s="47" t="str">
        <f>IF(ISNUMBER(AQ95),IF(COUNTIFS(AR$1:AR94,_xlfn.RANK.EQ(AQ95,AQ$2:AQ$111,0))&gt;0,_xlfn.MAXIFS(AR$1:AR94,AQ$1:AQ94,AQ95)+1,_xlfn.RANK.EQ(AQ95,AQ$2:AQ$111,0)),"")</f>
        <v/>
      </c>
      <c r="AS95" s="1" t="str">
        <f>IF(ISNUMBER(AQ95)=TRUE,IF(_xlfn.RANK.EQ(AQ95,$AQ$2:$AQ$111)&lt;='Tournament Setup'!$B$31,_xlfn.RANK.EQ(AQ95,$AQ$2:$AQ$111),""),"")</f>
        <v/>
      </c>
      <c r="AT95" s="31" t="str">
        <f>IF(AND($F95='Tournament Setup'!$A$31,SUM($O95,$Q95)=0,$E95="M",$AS95&gt;'Tournament Setup'!$B$31),$H95,"")</f>
        <v/>
      </c>
      <c r="AU95" s="1" t="str">
        <f>IF(ISNUMBER(AT95)=TRUE,IF(_xlfn.RANK.EQ(AT95,$AT$2:$AT$111)&lt;='Tournament Setup'!$C$31,_xlfn.RANK.EQ(AT95,$AT$2:$AT$111),""),"")</f>
        <v/>
      </c>
      <c r="AV95" s="31" t="str">
        <f>IF(AND($F95='Tournament Setup'!$A$31,SUM($O95,$S95)=0,$E95="F",$AS95&gt;'Tournament Setup'!$B$31),$H95,"")</f>
        <v/>
      </c>
      <c r="AW95" s="12" t="str">
        <f>IF(ISNUMBER(AV95)=TRUE,IF(_xlfn.RANK.EQ(AV95,$AV$2:$AV$111)&lt;='Tournament Setup'!$D$31,_xlfn.RANK.EQ(AV95,$AV$2:$AV$111),""),"")</f>
        <v/>
      </c>
      <c r="AX95" s="30" t="str">
        <f>IF(AND($F95='Tournament Setup'!$A$32,$I95&lt;&gt;0),$I95,"")</f>
        <v/>
      </c>
      <c r="AY95" s="47" t="str">
        <f>IF(ISNUMBER(AX95),IF(COUNTIFS(AY$1:AY94,_xlfn.RANK.EQ(AX95,AX$2:AX$111,0))&gt;0,_xlfn.MAXIFS(AY$1:AY94,AX$1:AX94,AX95)+1,_xlfn.RANK.EQ(AX95,AX$2:AX$111,0)),"")</f>
        <v/>
      </c>
      <c r="AZ95" s="1" t="str">
        <f>IF(ISNUMBER(AX95)=TRUE,IF(_xlfn.RANK.EQ(AX95,$AX$2:$AX$111)&lt;='Tournament Setup'!$B$46,_xlfn.RANK.EQ(AX95,$AX$2:$AX$111),""),"")</f>
        <v/>
      </c>
      <c r="BA95" s="30" t="str">
        <f>IF(AND($F95='Tournament Setup'!$A$32,SUM($O95,$Q95,$S95)=0),$H95,"")</f>
        <v/>
      </c>
      <c r="BB95" s="47" t="str">
        <f>IF(ISNUMBER(BA95),IF(COUNTIFS(BB$1:BB94,_xlfn.RANK.EQ(BA95,BA$2:BA$111,0))&gt;0,_xlfn.MAXIFS(BB$1:BB94,BA$1:BA94,BA95)+1,_xlfn.RANK.EQ(BA95,BA$2:BA$111,0)),"")</f>
        <v/>
      </c>
      <c r="BC95" s="1" t="str">
        <f>IF(ISNUMBER(BA95)=TRUE,IF(_xlfn.RANK.EQ(BA95,$BA$2:$BA$111)&lt;='Tournament Setup'!$B$32,_xlfn.RANK.EQ(BA95,$BA$2:$BA$111),""),"")</f>
        <v/>
      </c>
      <c r="BD95" s="31" t="str">
        <f>IF(AND($F95='Tournament Setup'!$A$32,SUM($O95,$Q95)=0,$E95="M",$BC95&gt;'Tournament Setup'!$B$32),$H95,"")</f>
        <v/>
      </c>
      <c r="BE95" s="1" t="str">
        <f>IF(ISNUMBER(BD95)=TRUE,IF(_xlfn.RANK.EQ(BD95,$BD$2:$BD$111)&lt;='Tournament Setup'!$C$32,_xlfn.RANK.EQ(BD95,$BD$2:$BD$111),""),"")</f>
        <v/>
      </c>
      <c r="BF95" s="31" t="str">
        <f>IF(AND($F95='Tournament Setup'!$A$32,SUM($O95,$S95)=0,$E95="F",$BC95&gt;'Tournament Setup'!$B$32),$H95,"")</f>
        <v/>
      </c>
      <c r="BG95" s="12" t="str">
        <f>IF(ISNUMBER(BF95)=TRUE,IF(_xlfn.RANK.EQ(BF95,$BF$2:$BF$111)&lt;='Tournament Setup'!$D$32,_xlfn.RANK.EQ(BF95,$BF$2:$BF$111),""),"")</f>
        <v/>
      </c>
      <c r="BH95" s="30" t="str">
        <f>IF(AND($F95='Tournament Setup'!$A$33,$I95&lt;&gt;0),$I95,"")</f>
        <v/>
      </c>
      <c r="BI95" s="47" t="str">
        <f>IF(ISNUMBER(BH95),IF(COUNTIFS(BI$1:BI94,_xlfn.RANK.EQ(BH95,BH$2:BH$111,0))&gt;0,_xlfn.MAXIFS(BI$1:BI94,BH$1:BH94,BH95)+1,_xlfn.RANK.EQ(BH95,BH$2:BH$111,0)),"")</f>
        <v/>
      </c>
      <c r="BJ95" s="1" t="str">
        <f>IF(ISNUMBER(BH95)=TRUE,IF(_xlfn.RANK.EQ(BH95,$BH$2:$BH$111)&lt;='Tournament Setup'!$B$46,_xlfn.RANK.EQ(BH95,$BH$2:$BH$111),""),"")</f>
        <v/>
      </c>
      <c r="BK95" s="30" t="str">
        <f>IF(AND($F95='Tournament Setup'!$A$33,SUM($O95,$Q95,$S95)=0),$H95,"")</f>
        <v/>
      </c>
      <c r="BL95" s="47" t="str">
        <f>IF(ISNUMBER(BK95),IF(COUNTIFS(BL$1:BL94,_xlfn.RANK.EQ(BK95,BK$2:BK$111,0))&gt;0,_xlfn.MAXIFS(BL$1:BL94,BK$1:BK94,BK95)+1,_xlfn.RANK.EQ(BK95,BK$2:BK$111,0)),"")</f>
        <v/>
      </c>
      <c r="BM95" s="1" t="str">
        <f>IF(ISNUMBER(BK95)=TRUE,IF(_xlfn.RANK.EQ(BK95,$BK$2:$BK$111)&lt;='Tournament Setup'!$B$33,_xlfn.RANK.EQ(BK95,$BK$2:$BK$111),""),"")</f>
        <v/>
      </c>
      <c r="BN95" s="31" t="str">
        <f>IF(AND($F95='Tournament Setup'!$A$33,SUM($O95,$Q95)=0,$E95="M",$BM95&gt;'Tournament Setup'!$B$33),$H95,"")</f>
        <v/>
      </c>
      <c r="BO95" s="1" t="str">
        <f>IF(ISNUMBER(BN95)=TRUE,IF(_xlfn.RANK.EQ(BN95,$BN$2:$BN$111)&lt;='Tournament Setup'!$C$33,_xlfn.RANK.EQ(BN95,$BN$2:$BN$111),""),"")</f>
        <v/>
      </c>
      <c r="BP95" s="31" t="str">
        <f>IF(AND($F95='Tournament Setup'!$A$33,SUM($O95,$S95)=0,$E95="F",$BM95&gt;'Tournament Setup'!$B$33),$H95,"")</f>
        <v/>
      </c>
      <c r="BQ95" s="12" t="str">
        <f>IF(ISNUMBER(BP95)=TRUE,IF(_xlfn.RANK.EQ(BP95,$BP$2:$BP$111)&lt;='Tournament Setup'!$D$33,_xlfn.RANK.EQ(BP95,$BP$2:$BP$111),""),"")</f>
        <v/>
      </c>
      <c r="BR95" s="30" t="str">
        <f>IF($G95='Tournament Setup'!$A$38,$H95,"")</f>
        <v/>
      </c>
      <c r="BS95" s="47" t="str">
        <f>IF(ISNUMBER(BR95),IF(COUNTIFS(BS$1:BS94,_xlfn.RANK.EQ(BR95,BR$2:BR$111,0))&gt;0,_xlfn.MAXIFS(BS$1:BS94,BR$1:BR94,BR95)+1,_xlfn.RANK.EQ(BR95,BR$2:BR$111,0)),"")</f>
        <v/>
      </c>
      <c r="BT95" s="1" t="str">
        <f>IF(ISNUMBER(BR95)=TRUE,IF(_xlfn.RANK.EQ(BR95,$BR$2:$BR$111)&lt;='Tournament Setup'!$B$38,_xlfn.RANK.EQ(BR95,$BR$2:$BR$111),""),"")</f>
        <v/>
      </c>
      <c r="BU95" s="31" t="str">
        <f>IF(AND($G95='Tournament Setup'!$A$38,$E95="M",$BT95&gt;'Tournament Setup'!$B$38),$H95,"")</f>
        <v/>
      </c>
      <c r="BV95" s="1" t="str">
        <f>IF(ISNUMBER(BU95)=TRUE,IF(_xlfn.RANK.EQ(BU95,$BU$2:$BU$111)&lt;='Tournament Setup'!$C$38,_xlfn.RANK.EQ(BU95,$BU$2:$BU$111),""),"")</f>
        <v/>
      </c>
      <c r="BW95" s="31" t="str">
        <f>IF(AND($G95='Tournament Setup'!$A$38,$E95="F",$BT95&gt;'Tournament Setup'!$B$38),$H95,"")</f>
        <v/>
      </c>
      <c r="BX95" s="12" t="str">
        <f>IF(ISNUMBER(BW95)=TRUE,IF(_xlfn.RANK.EQ(BW95,$BW$2:$BW$111)&lt;='Tournament Setup'!$D$38,_xlfn.RANK.EQ(BW95,$BW$2:$BW$111),""),"")</f>
        <v/>
      </c>
      <c r="BY95" s="30" t="str">
        <f>IF($G95='Tournament Setup'!$A$39,$H95,"")</f>
        <v/>
      </c>
      <c r="BZ95" s="47" t="str">
        <f>IF(ISNUMBER(BY95),IF(COUNTIFS(BZ$1:BZ94,_xlfn.RANK.EQ(BY95,BY$2:BY$111,0))&gt;0,_xlfn.MAXIFS(BZ$1:BZ94,BY$1:BY94,BY95)+1,_xlfn.RANK.EQ(BY95,BY$2:BY$111,0)),"")</f>
        <v/>
      </c>
      <c r="CA95" s="1" t="str">
        <f>IF(ISNUMBER(BY95)=TRUE,IF(_xlfn.RANK.EQ(BY95,$BY$2:$BY$111)&lt;='Tournament Setup'!$B$39,_xlfn.RANK.EQ(BY95,$BY$2:$BY$111),""),"")</f>
        <v/>
      </c>
      <c r="CB95" s="31" t="str">
        <f>IF(AND($G95='Tournament Setup'!$A$39,$E95="M",$CA95&gt;'Tournament Setup'!$B$39),$H95,"")</f>
        <v/>
      </c>
      <c r="CC95" s="1" t="str">
        <f>IF(ISNUMBER(CB95)=TRUE,IF(_xlfn.RANK.EQ(CB95,$CB$2:$CB$111)&lt;='Tournament Setup'!$C$39,_xlfn.RANK.EQ(CB95,$CB$2:$CB$111),""),"")</f>
        <v/>
      </c>
      <c r="CD95" s="31" t="str">
        <f>IF(AND($G95='Tournament Setup'!$A$39,$E95="F",$CA95&gt;'Tournament Setup'!$B$39),$H95,"")</f>
        <v/>
      </c>
      <c r="CE95" s="12" t="str">
        <f>IF(ISNUMBER(CD95)=TRUE,IF(_xlfn.RANK.EQ(CD95,$CD$2:$CD$111)&lt;='Tournament Setup'!$D$39,_xlfn.RANK.EQ(CD95,$CD$2:$CD$111),""),"")</f>
        <v/>
      </c>
      <c r="CF95" s="30" t="str">
        <f>IF($G95='Tournament Setup'!$A$40,$H95,"")</f>
        <v/>
      </c>
      <c r="CG95" s="47" t="str">
        <f>IF(ISNUMBER(CF95),IF(COUNTIFS(CG$1:CG94,_xlfn.RANK.EQ(CF95,CF$2:CF$111,0))&gt;0,_xlfn.MAXIFS(CG$1:CG94,CF$1:CF94,CF95)+1,_xlfn.RANK.EQ(CF95,CF$2:CF$111,0)),"")</f>
        <v/>
      </c>
      <c r="CH95" s="1" t="str">
        <f>IF(ISNUMBER(CF95)=TRUE,IF(_xlfn.RANK.EQ(CF95,$CF$2:$CF$111)&lt;='Tournament Setup'!$B$40,_xlfn.RANK.EQ(CF95,$CF$2:$CF$111),""),"")</f>
        <v/>
      </c>
      <c r="CI95" s="31" t="str">
        <f>IF(AND($G95='Tournament Setup'!$A$40,$E95="M",$CH95&gt;'Tournament Setup'!$B$40),$H95,"")</f>
        <v/>
      </c>
      <c r="CJ95" s="1" t="str">
        <f>IF(ISNUMBER(CI95)=TRUE,IF(_xlfn.RANK.EQ(CI95,$CI$2:$CI$111)&lt;='Tournament Setup'!$C$40,_xlfn.RANK.EQ(CI95,$CI$2:$CI$111),""),"")</f>
        <v/>
      </c>
      <c r="CK95" s="31" t="str">
        <f>IF(AND($G95='Tournament Setup'!$A$40,$E95="F",$CH95&gt;'Tournament Setup'!$B$40),$H95,"")</f>
        <v/>
      </c>
      <c r="CL95" s="12" t="str">
        <f>IF(ISNUMBER(CK95)=TRUE,IF(_xlfn.RANK.EQ(CK95,$CK$2:$CK$111)&lt;='Tournament Setup'!$D$40,_xlfn.RANK.EQ(CK95,$CK$2:$CK$111),""),"")</f>
        <v/>
      </c>
      <c r="CM95" s="30" t="str">
        <f>IF($G95='Tournament Setup'!$A$41,$H95,"")</f>
        <v/>
      </c>
      <c r="CN95" s="47" t="str">
        <f>IF(ISNUMBER(CM95),IF(COUNTIFS(CN$1:CN94,_xlfn.RANK.EQ(CM95,CM$2:CM$111,0))&gt;0,_xlfn.MAXIFS(CN$1:CN94,CM$1:CM94,CM95)+1,_xlfn.RANK.EQ(CM95,CM$2:CM$111,0)),"")</f>
        <v/>
      </c>
      <c r="CO95" s="1" t="str">
        <f>IF(ISNUMBER(CM95)=TRUE,IF(_xlfn.RANK.EQ(CM95,$CM$2:$CM$111)&lt;='Tournament Setup'!$B$41,_xlfn.RANK.EQ(CM95,$CM$2:$CM$111),""),"")</f>
        <v/>
      </c>
      <c r="CP95" s="31" t="str">
        <f>IF(AND($G95='Tournament Setup'!$A$41,$E95="M",$CO95&gt;'Tournament Setup'!$B$41),$H95,"")</f>
        <v/>
      </c>
      <c r="CQ95" s="1" t="str">
        <f>IF(ISNUMBER(CP95)=TRUE,IF(_xlfn.RANK.EQ(CP95,$CP$2:$CP$111)&lt;='Tournament Setup'!$C$41,_xlfn.RANK.EQ(CP95,$CP$2:$CP$111),""),"")</f>
        <v/>
      </c>
      <c r="CR95" s="31" t="str">
        <f>IF(AND($G95='Tournament Setup'!$A$41,$E95="F",$CO95&gt;'Tournament Setup'!$B$41),$H95,"")</f>
        <v/>
      </c>
      <c r="CS95" s="12" t="str">
        <f>IF(ISNUMBER(CR95)=TRUE,IF(_xlfn.RANK.EQ(CR95,$CR$2:$CR$111)&lt;='Tournament Setup'!$D$41,_xlfn.RANK.EQ(CR95,$CR$2:$CR$111),""),"")</f>
        <v/>
      </c>
    </row>
    <row r="96" spans="2:97" x14ac:dyDescent="0.3">
      <c r="B96" t="str">
        <f>IFERROR(INDEX('Tournament List'!$B:$B,MATCH($A96,'Tournament List'!$A:$A,0)),"")</f>
        <v/>
      </c>
      <c r="C96" t="str">
        <f>IFERROR(INDEX('Tournament List'!$C:$C,MATCH($A96,'Tournament List'!$A:$A,0)),"")</f>
        <v/>
      </c>
      <c r="D96" t="str">
        <f t="shared" si="15"/>
        <v xml:space="preserve"> </v>
      </c>
      <c r="E96" s="1" t="str">
        <f>IFERROR(INDEX('Tournament List'!F:F,MATCH($A96,'Tournament List'!$A:$A,0)),"")</f>
        <v/>
      </c>
      <c r="F96" t="str">
        <f>IFERROR(INDEX('Tournament List'!M:M,MATCH($A96,'Tournament List'!$A:$A,0)),"")</f>
        <v/>
      </c>
      <c r="G96" s="1" t="str">
        <f>IFERROR(INDEX('Tournament List'!W:W,MATCH($A96,'Tournament List'!$A:$A,0)),"")</f>
        <v/>
      </c>
      <c r="H96" s="129" t="str">
        <f>IFERROR(INDEX('Tournament List'!Z:Z,MATCH($A96,'Tournament List'!$A:$A,0)),"")</f>
        <v/>
      </c>
      <c r="I96" s="152" t="str">
        <f>IFERROR(INDEX('Tournament List'!T:T,MATCH($A96,'Tournament List'!$A:$A,0)),"")</f>
        <v/>
      </c>
      <c r="J96" s="56" t="str">
        <f>IF(ISNUMBER(I96),IF(COUNTIFS(J$1:J95,_xlfn.RANK.EQ(I96,I$2:I$111,0))&gt;0,_xlfn.MAXIFS(J$1:J95,I$1:I95,I96)+1,_xlfn.RANK.EQ(I96,I$2:I$111,0)),"")</f>
        <v/>
      </c>
      <c r="K96" s="11" t="str">
        <f t="shared" si="16"/>
        <v/>
      </c>
      <c r="L96" s="56" t="str">
        <f>IF(ISNUMBER(H96),IF(COUNTIFS(L$1:L95,_xlfn.RANK.EQ(H96,H$2:H$111,0))&gt;0,_xlfn.MAXIFS(L$1:L95,H$1:H95,H96)+1,_xlfn.RANK.EQ(H96,H$2:H$111,0)),"")</f>
        <v/>
      </c>
      <c r="M96" s="151" t="str">
        <f t="shared" si="17"/>
        <v/>
      </c>
      <c r="N96" s="47" t="str">
        <f>IF(ISNUMBER(M96),IF(COUNTIFS(N$1:N95,_xlfn.RANK.EQ(M96,M$2:M$111,0))&gt;0,_xlfn.MAXIFS(N$1:N95,M$1:M95,M96)+1,_xlfn.RANK.EQ(M96,M$2:M$111,0)),"")</f>
        <v/>
      </c>
      <c r="O96" s="1" t="str">
        <f>IF(ISNUMBER(M96)=TRUE,IF(_xlfn.RANK.EQ(M96,$M$2:$M$111)&lt;='Tournament Setup'!$B$23,_xlfn.RANK.EQ(M96,$M$2:$M$111),""),"")</f>
        <v/>
      </c>
      <c r="P96" s="150" t="str">
        <f t="shared" si="18"/>
        <v/>
      </c>
      <c r="Q96" s="1" t="str">
        <f>IF(ISNUMBER(P96)=TRUE,IF(_xlfn.RANK.EQ(P96,$P$2:$P$111)&lt;='Tournament Setup'!$B$24,_xlfn.RANK.EQ(P96,$P$2:$P$111),""),"")</f>
        <v/>
      </c>
      <c r="R96" s="150" t="str">
        <f t="shared" si="19"/>
        <v/>
      </c>
      <c r="S96" s="12" t="str">
        <f>IF(ISNUMBER(R96)=TRUE,IF(_xlfn.RANK.EQ(R96,$R$2:$R$111)&lt;='Tournament Setup'!$B$25,_xlfn.RANK.EQ(R96,$R$2:$R$111),""),"")</f>
        <v/>
      </c>
      <c r="T96" s="152" t="str">
        <f>IF(AND($F96='Tournament Setup'!$A$29,$I96&lt;&gt;0),$I96,"")</f>
        <v/>
      </c>
      <c r="U96" s="47" t="str">
        <f>IF(ISNUMBER(T96),IF(COUNTIFS(U$1:U95,_xlfn.RANK.EQ(T96,T$2:T$111,0))&gt;0,_xlfn.MAXIFS(U$1:U95,T$1:T95,T96)+1,_xlfn.RANK.EQ(T96,T$2:T$111,0)),"")</f>
        <v/>
      </c>
      <c r="V96" s="1" t="str">
        <f>IF(ISNUMBER(T96)=TRUE,IF(_xlfn.RANK.EQ(T96,$T$3:$T$112)&lt;='Tournament Setup'!$B$46,_xlfn.RANK.EQ(T96,$T$2:$T$111),""),"")</f>
        <v/>
      </c>
      <c r="W96" s="30" t="str">
        <f>IF(AND($F96='Tournament Setup'!$A$29,SUM($O96,$Q96,$S96)=0),$H96,"")</f>
        <v/>
      </c>
      <c r="X96" s="47" t="str">
        <f>IF(ISNUMBER(W96),IF(COUNTIFS(X$1:X95,_xlfn.RANK.EQ(W96,W$2:W$111,0))&gt;0,_xlfn.MAXIFS(X$1:X95,W$1:W95,W96)+1,_xlfn.RANK.EQ(W96,W$2:W$111,0)),"")</f>
        <v/>
      </c>
      <c r="Y96" s="1" t="str">
        <f>IF(ISNUMBER(W96)=TRUE,IF(_xlfn.RANK.EQ(W96,$W$2:$W$111)&lt;='Tournament Setup'!$B$29,_xlfn.RANK.EQ(W96,$W$2:$W$111),""),"")</f>
        <v/>
      </c>
      <c r="Z96" s="31" t="str">
        <f>IF(AND($F96='Tournament Setup'!$A$29,SUM($O96,$Q96)=0,$E96="M",$Y96&gt;'Tournament Setup'!$B$29),$H96,"")</f>
        <v/>
      </c>
      <c r="AA96" s="1" t="str">
        <f>IF(ISNUMBER(Z96)=TRUE,IF(_xlfn.RANK.EQ(Z96,$Z$2:$Z$111)&lt;='Tournament Setup'!$C$29,_xlfn.RANK.EQ(Z96,$Z$2:$Z$111),""),"")</f>
        <v/>
      </c>
      <c r="AB96" s="31" t="str">
        <f>IF(AND($F96='Tournament Setup'!$A$29,SUM($O96,$S96)=0,$E96="F",$Y96&gt;'Tournament Setup'!$B$29),$H96,"")</f>
        <v/>
      </c>
      <c r="AC96" s="12" t="str">
        <f>IF(ISNUMBER(AB96)=TRUE,IF(_xlfn.RANK.EQ(AB96,$AB$2:$AB$111)&lt;='Tournament Setup'!$D$29,_xlfn.RANK.EQ(AB96,$AB$2:$AB$111),""),"")</f>
        <v/>
      </c>
      <c r="AD96" s="30" t="str">
        <f>IF(AND($F96='Tournament Setup'!$A$30,$I96&lt;&gt;0),$I96,"")</f>
        <v/>
      </c>
      <c r="AE96" s="47" t="str">
        <f>IF(ISNUMBER(AD96),IF(COUNTIFS(AE$1:AE95,_xlfn.RANK.EQ(AD96,AD$2:AD$111,0))&gt;0,_xlfn.MAXIFS(AE$1:AE95,AD$1:AD95,AD96)+1,_xlfn.RANK.EQ(AD96,AD$2:AD$111,0)),"")</f>
        <v/>
      </c>
      <c r="AF96" s="1" t="str">
        <f>IF(ISNUMBER(AD96)=TRUE,IF(_xlfn.RANK.EQ(AD96,$AD$2:$AD$111)&lt;='Tournament Setup'!$B$46,_xlfn.RANK.EQ(AD96,$AD$2:$AD$111),""),"")</f>
        <v/>
      </c>
      <c r="AG96" s="30" t="str">
        <f>IF(AND($F96='Tournament Setup'!$A$30,SUM($O96,$Q96,$S96)=0),$H96,"")</f>
        <v/>
      </c>
      <c r="AH96" s="47" t="str">
        <f>IF(ISNUMBER(AG96),IF(COUNTIFS(AH$1:AH95,_xlfn.RANK.EQ(AG96,AG$2:AG$111,0))&gt;0,_xlfn.MAXIFS(AH$1:AH95,AG$1:AG95,AG96)+1,_xlfn.RANK.EQ(AG96,AG$2:AG$111,0)),"")</f>
        <v/>
      </c>
      <c r="AI96" s="1" t="str">
        <f>IF(ISNUMBER(AG96)=TRUE,IF(_xlfn.RANK.EQ(AG96,$AG$2:$AG$111)&lt;='Tournament Setup'!$B$30,_xlfn.RANK.EQ(AG96,$AG$2:$AG$111),""),"")</f>
        <v/>
      </c>
      <c r="AJ96" s="31" t="str">
        <f>IF(AND($F96='Tournament Setup'!$A$30,SUM($O96,$Q96)=0,$E96="M",$AI96&gt;'Tournament Setup'!$B$30),$H96,"")</f>
        <v/>
      </c>
      <c r="AK96" s="1" t="str">
        <f>IF(ISNUMBER(AJ96)=TRUE,IF(_xlfn.RANK.EQ(AJ96,$AJ$2:$AJ$111)&lt;='Tournament Setup'!$C$30,_xlfn.RANK.EQ(AJ96,$AJ$2:$AJ$111),""),"")</f>
        <v/>
      </c>
      <c r="AL96" s="31" t="str">
        <f>IF(AND($F96='Tournament Setup'!$A$30,SUM($O96,$S96)=0,$E96="F",$AI96&gt;'Tournament Setup'!$B$30),$H96,"")</f>
        <v/>
      </c>
      <c r="AM96" s="12" t="str">
        <f>IF(ISNUMBER(AL96)=TRUE,IF(_xlfn.RANK.EQ(AL96,$AL$2:$AL$111)&lt;='Tournament Setup'!$D$30,_xlfn.RANK.EQ(AL96,$AL$2:$AL$111),""),"")</f>
        <v/>
      </c>
      <c r="AN96" s="30" t="str">
        <f>IF(AND($F96='Tournament Setup'!$A$31,$I96&lt;&gt;0),$I96,"")</f>
        <v/>
      </c>
      <c r="AO96" s="47" t="str">
        <f>IF(ISNUMBER(AN96),IF(COUNTIFS(AO$1:AO95,_xlfn.RANK.EQ(AN96,AN$2:AN$111,0))&gt;0,_xlfn.MAXIFS(AO$1:AO95,AN$1:AN95,AN96)+1,_xlfn.RANK.EQ(AN96,AN$2:AN$111,0)),"")</f>
        <v/>
      </c>
      <c r="AP96" s="1" t="str">
        <f>IF(ISNUMBER(AN96)=TRUE,IF(_xlfn.RANK.EQ(AN96,$AN$2:$AN$111)&lt;='Tournament Setup'!$B$46,_xlfn.RANK.EQ(AN96,$AN$2:$AN$111),""),"")</f>
        <v/>
      </c>
      <c r="AQ96" s="30" t="str">
        <f>IF(AND($F96='Tournament Setup'!$A$31,SUM($O96,$Q96,$S96)=0),$H96,"")</f>
        <v/>
      </c>
      <c r="AR96" s="47" t="str">
        <f>IF(ISNUMBER(AQ96),IF(COUNTIFS(AR$1:AR95,_xlfn.RANK.EQ(AQ96,AQ$2:AQ$111,0))&gt;0,_xlfn.MAXIFS(AR$1:AR95,AQ$1:AQ95,AQ96)+1,_xlfn.RANK.EQ(AQ96,AQ$2:AQ$111,0)),"")</f>
        <v/>
      </c>
      <c r="AS96" s="1" t="str">
        <f>IF(ISNUMBER(AQ96)=TRUE,IF(_xlfn.RANK.EQ(AQ96,$AQ$2:$AQ$111)&lt;='Tournament Setup'!$B$31,_xlfn.RANK.EQ(AQ96,$AQ$2:$AQ$111),""),"")</f>
        <v/>
      </c>
      <c r="AT96" s="31" t="str">
        <f>IF(AND($F96='Tournament Setup'!$A$31,SUM($O96,$Q96)=0,$E96="M",$AS96&gt;'Tournament Setup'!$B$31),$H96,"")</f>
        <v/>
      </c>
      <c r="AU96" s="1" t="str">
        <f>IF(ISNUMBER(AT96)=TRUE,IF(_xlfn.RANK.EQ(AT96,$AT$2:$AT$111)&lt;='Tournament Setup'!$C$31,_xlfn.RANK.EQ(AT96,$AT$2:$AT$111),""),"")</f>
        <v/>
      </c>
      <c r="AV96" s="31" t="str">
        <f>IF(AND($F96='Tournament Setup'!$A$31,SUM($O96,$S96)=0,$E96="F",$AS96&gt;'Tournament Setup'!$B$31),$H96,"")</f>
        <v/>
      </c>
      <c r="AW96" s="12" t="str">
        <f>IF(ISNUMBER(AV96)=TRUE,IF(_xlfn.RANK.EQ(AV96,$AV$2:$AV$111)&lt;='Tournament Setup'!$D$31,_xlfn.RANK.EQ(AV96,$AV$2:$AV$111),""),"")</f>
        <v/>
      </c>
      <c r="AX96" s="30" t="str">
        <f>IF(AND($F96='Tournament Setup'!$A$32,$I96&lt;&gt;0),$I96,"")</f>
        <v/>
      </c>
      <c r="AY96" s="47" t="str">
        <f>IF(ISNUMBER(AX96),IF(COUNTIFS(AY$1:AY95,_xlfn.RANK.EQ(AX96,AX$2:AX$111,0))&gt;0,_xlfn.MAXIFS(AY$1:AY95,AX$1:AX95,AX96)+1,_xlfn.RANK.EQ(AX96,AX$2:AX$111,0)),"")</f>
        <v/>
      </c>
      <c r="AZ96" s="1" t="str">
        <f>IF(ISNUMBER(AX96)=TRUE,IF(_xlfn.RANK.EQ(AX96,$AX$2:$AX$111)&lt;='Tournament Setup'!$B$46,_xlfn.RANK.EQ(AX96,$AX$2:$AX$111),""),"")</f>
        <v/>
      </c>
      <c r="BA96" s="30" t="str">
        <f>IF(AND($F96='Tournament Setup'!$A$32,SUM($O96,$Q96,$S96)=0),$H96,"")</f>
        <v/>
      </c>
      <c r="BB96" s="47" t="str">
        <f>IF(ISNUMBER(BA96),IF(COUNTIFS(BB$1:BB95,_xlfn.RANK.EQ(BA96,BA$2:BA$111,0))&gt;0,_xlfn.MAXIFS(BB$1:BB95,BA$1:BA95,BA96)+1,_xlfn.RANK.EQ(BA96,BA$2:BA$111,0)),"")</f>
        <v/>
      </c>
      <c r="BC96" s="1" t="str">
        <f>IF(ISNUMBER(BA96)=TRUE,IF(_xlfn.RANK.EQ(BA96,$BA$2:$BA$111)&lt;='Tournament Setup'!$B$32,_xlfn.RANK.EQ(BA96,$BA$2:$BA$111),""),"")</f>
        <v/>
      </c>
      <c r="BD96" s="31" t="str">
        <f>IF(AND($F96='Tournament Setup'!$A$32,SUM($O96,$Q96)=0,$E96="M",$BC96&gt;'Tournament Setup'!$B$32),$H96,"")</f>
        <v/>
      </c>
      <c r="BE96" s="1" t="str">
        <f>IF(ISNUMBER(BD96)=TRUE,IF(_xlfn.RANK.EQ(BD96,$BD$2:$BD$111)&lt;='Tournament Setup'!$C$32,_xlfn.RANK.EQ(BD96,$BD$2:$BD$111),""),"")</f>
        <v/>
      </c>
      <c r="BF96" s="31" t="str">
        <f>IF(AND($F96='Tournament Setup'!$A$32,SUM($O96,$S96)=0,$E96="F",$BC96&gt;'Tournament Setup'!$B$32),$H96,"")</f>
        <v/>
      </c>
      <c r="BG96" s="12" t="str">
        <f>IF(ISNUMBER(BF96)=TRUE,IF(_xlfn.RANK.EQ(BF96,$BF$2:$BF$111)&lt;='Tournament Setup'!$D$32,_xlfn.RANK.EQ(BF96,$BF$2:$BF$111),""),"")</f>
        <v/>
      </c>
      <c r="BH96" s="30" t="str">
        <f>IF(AND($F96='Tournament Setup'!$A$33,$I96&lt;&gt;0),$I96,"")</f>
        <v/>
      </c>
      <c r="BI96" s="47" t="str">
        <f>IF(ISNUMBER(BH96),IF(COUNTIFS(BI$1:BI95,_xlfn.RANK.EQ(BH96,BH$2:BH$111,0))&gt;0,_xlfn.MAXIFS(BI$1:BI95,BH$1:BH95,BH96)+1,_xlfn.RANK.EQ(BH96,BH$2:BH$111,0)),"")</f>
        <v/>
      </c>
      <c r="BJ96" s="1" t="str">
        <f>IF(ISNUMBER(BH96)=TRUE,IF(_xlfn.RANK.EQ(BH96,$BH$2:$BH$111)&lt;='Tournament Setup'!$B$46,_xlfn.RANK.EQ(BH96,$BH$2:$BH$111),""),"")</f>
        <v/>
      </c>
      <c r="BK96" s="30" t="str">
        <f>IF(AND($F96='Tournament Setup'!$A$33,SUM($O96,$Q96,$S96)=0),$H96,"")</f>
        <v/>
      </c>
      <c r="BL96" s="47" t="str">
        <f>IF(ISNUMBER(BK96),IF(COUNTIFS(BL$1:BL95,_xlfn.RANK.EQ(BK96,BK$2:BK$111,0))&gt;0,_xlfn.MAXIFS(BL$1:BL95,BK$1:BK95,BK96)+1,_xlfn.RANK.EQ(BK96,BK$2:BK$111,0)),"")</f>
        <v/>
      </c>
      <c r="BM96" s="1" t="str">
        <f>IF(ISNUMBER(BK96)=TRUE,IF(_xlfn.RANK.EQ(BK96,$BK$2:$BK$111)&lt;='Tournament Setup'!$B$33,_xlfn.RANK.EQ(BK96,$BK$2:$BK$111),""),"")</f>
        <v/>
      </c>
      <c r="BN96" s="31" t="str">
        <f>IF(AND($F96='Tournament Setup'!$A$33,SUM($O96,$Q96)=0,$E96="M",$BM96&gt;'Tournament Setup'!$B$33),$H96,"")</f>
        <v/>
      </c>
      <c r="BO96" s="1" t="str">
        <f>IF(ISNUMBER(BN96)=TRUE,IF(_xlfn.RANK.EQ(BN96,$BN$2:$BN$111)&lt;='Tournament Setup'!$C$33,_xlfn.RANK.EQ(BN96,$BN$2:$BN$111),""),"")</f>
        <v/>
      </c>
      <c r="BP96" s="31" t="str">
        <f>IF(AND($F96='Tournament Setup'!$A$33,SUM($O96,$S96)=0,$E96="F",$BM96&gt;'Tournament Setup'!$B$33),$H96,"")</f>
        <v/>
      </c>
      <c r="BQ96" s="12" t="str">
        <f>IF(ISNUMBER(BP96)=TRUE,IF(_xlfn.RANK.EQ(BP96,$BP$2:$BP$111)&lt;='Tournament Setup'!$D$33,_xlfn.RANK.EQ(BP96,$BP$2:$BP$111),""),"")</f>
        <v/>
      </c>
      <c r="BR96" s="30" t="str">
        <f>IF($G96='Tournament Setup'!$A$38,$H96,"")</f>
        <v/>
      </c>
      <c r="BS96" s="47" t="str">
        <f>IF(ISNUMBER(BR96),IF(COUNTIFS(BS$1:BS95,_xlfn.RANK.EQ(BR96,BR$2:BR$111,0))&gt;0,_xlfn.MAXIFS(BS$1:BS95,BR$1:BR95,BR96)+1,_xlfn.RANK.EQ(BR96,BR$2:BR$111,0)),"")</f>
        <v/>
      </c>
      <c r="BT96" s="1" t="str">
        <f>IF(ISNUMBER(BR96)=TRUE,IF(_xlfn.RANK.EQ(BR96,$BR$2:$BR$111)&lt;='Tournament Setup'!$B$38,_xlfn.RANK.EQ(BR96,$BR$2:$BR$111),""),"")</f>
        <v/>
      </c>
      <c r="BU96" s="31" t="str">
        <f>IF(AND($G96='Tournament Setup'!$A$38,$E96="M",$BT96&gt;'Tournament Setup'!$B$38),$H96,"")</f>
        <v/>
      </c>
      <c r="BV96" s="1" t="str">
        <f>IF(ISNUMBER(BU96)=TRUE,IF(_xlfn.RANK.EQ(BU96,$BU$2:$BU$111)&lt;='Tournament Setup'!$C$38,_xlfn.RANK.EQ(BU96,$BU$2:$BU$111),""),"")</f>
        <v/>
      </c>
      <c r="BW96" s="31" t="str">
        <f>IF(AND($G96='Tournament Setup'!$A$38,$E96="F",$BT96&gt;'Tournament Setup'!$B$38),$H96,"")</f>
        <v/>
      </c>
      <c r="BX96" s="12" t="str">
        <f>IF(ISNUMBER(BW96)=TRUE,IF(_xlfn.RANK.EQ(BW96,$BW$2:$BW$111)&lt;='Tournament Setup'!$D$38,_xlfn.RANK.EQ(BW96,$BW$2:$BW$111),""),"")</f>
        <v/>
      </c>
      <c r="BY96" s="30" t="str">
        <f>IF($G96='Tournament Setup'!$A$39,$H96,"")</f>
        <v/>
      </c>
      <c r="BZ96" s="47" t="str">
        <f>IF(ISNUMBER(BY96),IF(COUNTIFS(BZ$1:BZ95,_xlfn.RANK.EQ(BY96,BY$2:BY$111,0))&gt;0,_xlfn.MAXIFS(BZ$1:BZ95,BY$1:BY95,BY96)+1,_xlfn.RANK.EQ(BY96,BY$2:BY$111,0)),"")</f>
        <v/>
      </c>
      <c r="CA96" s="1" t="str">
        <f>IF(ISNUMBER(BY96)=TRUE,IF(_xlfn.RANK.EQ(BY96,$BY$2:$BY$111)&lt;='Tournament Setup'!$B$39,_xlfn.RANK.EQ(BY96,$BY$2:$BY$111),""),"")</f>
        <v/>
      </c>
      <c r="CB96" s="31" t="str">
        <f>IF(AND($G96='Tournament Setup'!$A$39,$E96="M",$CA96&gt;'Tournament Setup'!$B$39),$H96,"")</f>
        <v/>
      </c>
      <c r="CC96" s="1" t="str">
        <f>IF(ISNUMBER(CB96)=TRUE,IF(_xlfn.RANK.EQ(CB96,$CB$2:$CB$111)&lt;='Tournament Setup'!$C$39,_xlfn.RANK.EQ(CB96,$CB$2:$CB$111),""),"")</f>
        <v/>
      </c>
      <c r="CD96" s="31" t="str">
        <f>IF(AND($G96='Tournament Setup'!$A$39,$E96="F",$CA96&gt;'Tournament Setup'!$B$39),$H96,"")</f>
        <v/>
      </c>
      <c r="CE96" s="12" t="str">
        <f>IF(ISNUMBER(CD96)=TRUE,IF(_xlfn.RANK.EQ(CD96,$CD$2:$CD$111)&lt;='Tournament Setup'!$D$39,_xlfn.RANK.EQ(CD96,$CD$2:$CD$111),""),"")</f>
        <v/>
      </c>
      <c r="CF96" s="30" t="str">
        <f>IF($G96='Tournament Setup'!$A$40,$H96,"")</f>
        <v/>
      </c>
      <c r="CG96" s="47" t="str">
        <f>IF(ISNUMBER(CF96),IF(COUNTIFS(CG$1:CG95,_xlfn.RANK.EQ(CF96,CF$2:CF$111,0))&gt;0,_xlfn.MAXIFS(CG$1:CG95,CF$1:CF95,CF96)+1,_xlfn.RANK.EQ(CF96,CF$2:CF$111,0)),"")</f>
        <v/>
      </c>
      <c r="CH96" s="1" t="str">
        <f>IF(ISNUMBER(CF96)=TRUE,IF(_xlfn.RANK.EQ(CF96,$CF$2:$CF$111)&lt;='Tournament Setup'!$B$40,_xlfn.RANK.EQ(CF96,$CF$2:$CF$111),""),"")</f>
        <v/>
      </c>
      <c r="CI96" s="31" t="str">
        <f>IF(AND($G96='Tournament Setup'!$A$40,$E96="M",$CH96&gt;'Tournament Setup'!$B$40),$H96,"")</f>
        <v/>
      </c>
      <c r="CJ96" s="1" t="str">
        <f>IF(ISNUMBER(CI96)=TRUE,IF(_xlfn.RANK.EQ(CI96,$CI$2:$CI$111)&lt;='Tournament Setup'!$C$40,_xlfn.RANK.EQ(CI96,$CI$2:$CI$111),""),"")</f>
        <v/>
      </c>
      <c r="CK96" s="31" t="str">
        <f>IF(AND($G96='Tournament Setup'!$A$40,$E96="F",$CH96&gt;'Tournament Setup'!$B$40),$H96,"")</f>
        <v/>
      </c>
      <c r="CL96" s="12" t="str">
        <f>IF(ISNUMBER(CK96)=TRUE,IF(_xlfn.RANK.EQ(CK96,$CK$2:$CK$111)&lt;='Tournament Setup'!$D$40,_xlfn.RANK.EQ(CK96,$CK$2:$CK$111),""),"")</f>
        <v/>
      </c>
      <c r="CM96" s="30" t="str">
        <f>IF($G96='Tournament Setup'!$A$41,$H96,"")</f>
        <v/>
      </c>
      <c r="CN96" s="47" t="str">
        <f>IF(ISNUMBER(CM96),IF(COUNTIFS(CN$1:CN95,_xlfn.RANK.EQ(CM96,CM$2:CM$111,0))&gt;0,_xlfn.MAXIFS(CN$1:CN95,CM$1:CM95,CM96)+1,_xlfn.RANK.EQ(CM96,CM$2:CM$111,0)),"")</f>
        <v/>
      </c>
      <c r="CO96" s="1" t="str">
        <f>IF(ISNUMBER(CM96)=TRUE,IF(_xlfn.RANK.EQ(CM96,$CM$2:$CM$111)&lt;='Tournament Setup'!$B$41,_xlfn.RANK.EQ(CM96,$CM$2:$CM$111),""),"")</f>
        <v/>
      </c>
      <c r="CP96" s="31" t="str">
        <f>IF(AND($G96='Tournament Setup'!$A$41,$E96="M",$CO96&gt;'Tournament Setup'!$B$41),$H96,"")</f>
        <v/>
      </c>
      <c r="CQ96" s="1" t="str">
        <f>IF(ISNUMBER(CP96)=TRUE,IF(_xlfn.RANK.EQ(CP96,$CP$2:$CP$111)&lt;='Tournament Setup'!$C$41,_xlfn.RANK.EQ(CP96,$CP$2:$CP$111),""),"")</f>
        <v/>
      </c>
      <c r="CR96" s="31" t="str">
        <f>IF(AND($G96='Tournament Setup'!$A$41,$E96="F",$CO96&gt;'Tournament Setup'!$B$41),$H96,"")</f>
        <v/>
      </c>
      <c r="CS96" s="12" t="str">
        <f>IF(ISNUMBER(CR96)=TRUE,IF(_xlfn.RANK.EQ(CR96,$CR$2:$CR$111)&lt;='Tournament Setup'!$D$41,_xlfn.RANK.EQ(CR96,$CR$2:$CR$111),""),"")</f>
        <v/>
      </c>
    </row>
    <row r="97" spans="2:97" x14ac:dyDescent="0.3">
      <c r="B97" t="str">
        <f>IFERROR(INDEX('Tournament List'!$B:$B,MATCH($A97,'Tournament List'!$A:$A,0)),"")</f>
        <v/>
      </c>
      <c r="C97" t="str">
        <f>IFERROR(INDEX('Tournament List'!$C:$C,MATCH($A97,'Tournament List'!$A:$A,0)),"")</f>
        <v/>
      </c>
      <c r="D97" t="str">
        <f t="shared" si="15"/>
        <v xml:space="preserve"> </v>
      </c>
      <c r="E97" s="1" t="str">
        <f>IFERROR(INDEX('Tournament List'!F:F,MATCH($A97,'Tournament List'!$A:$A,0)),"")</f>
        <v/>
      </c>
      <c r="F97" t="str">
        <f>IFERROR(INDEX('Tournament List'!M:M,MATCH($A97,'Tournament List'!$A:$A,0)),"")</f>
        <v/>
      </c>
      <c r="G97" s="1" t="str">
        <f>IFERROR(INDEX('Tournament List'!W:W,MATCH($A97,'Tournament List'!$A:$A,0)),"")</f>
        <v/>
      </c>
      <c r="H97" s="129" t="str">
        <f>IFERROR(INDEX('Tournament List'!Z:Z,MATCH($A97,'Tournament List'!$A:$A,0)),"")</f>
        <v/>
      </c>
      <c r="I97" s="152" t="str">
        <f>IFERROR(INDEX('Tournament List'!T:T,MATCH($A97,'Tournament List'!$A:$A,0)),"")</f>
        <v/>
      </c>
      <c r="J97" s="56" t="str">
        <f>IF(ISNUMBER(I97),IF(COUNTIFS(J$1:J96,_xlfn.RANK.EQ(I97,I$2:I$111,0))&gt;0,_xlfn.MAXIFS(J$1:J96,I$1:I96,I97)+1,_xlfn.RANK.EQ(I97,I$2:I$111,0)),"")</f>
        <v/>
      </c>
      <c r="K97" s="11" t="str">
        <f t="shared" si="16"/>
        <v/>
      </c>
      <c r="L97" s="56" t="str">
        <f>IF(ISNUMBER(H97),IF(COUNTIFS(L$1:L96,_xlfn.RANK.EQ(H97,H$2:H$111,0))&gt;0,_xlfn.MAXIFS(L$1:L96,H$1:H96,H97)+1,_xlfn.RANK.EQ(H97,H$2:H$111,0)),"")</f>
        <v/>
      </c>
      <c r="M97" s="151" t="str">
        <f t="shared" si="17"/>
        <v/>
      </c>
      <c r="N97" s="47" t="str">
        <f>IF(ISNUMBER(M97),IF(COUNTIFS(N$1:N96,_xlfn.RANK.EQ(M97,M$2:M$111,0))&gt;0,_xlfn.MAXIFS(N$1:N96,M$1:M96,M97)+1,_xlfn.RANK.EQ(M97,M$2:M$111,0)),"")</f>
        <v/>
      </c>
      <c r="O97" s="1" t="str">
        <f>IF(ISNUMBER(M97)=TRUE,IF(_xlfn.RANK.EQ(M97,$M$2:$M$111)&lt;='Tournament Setup'!$B$23,_xlfn.RANK.EQ(M97,$M$2:$M$111),""),"")</f>
        <v/>
      </c>
      <c r="P97" s="150" t="str">
        <f t="shared" si="18"/>
        <v/>
      </c>
      <c r="Q97" s="1" t="str">
        <f>IF(ISNUMBER(P97)=TRUE,IF(_xlfn.RANK.EQ(P97,$P$2:$P$111)&lt;='Tournament Setup'!$B$24,_xlfn.RANK.EQ(P97,$P$2:$P$111),""),"")</f>
        <v/>
      </c>
      <c r="R97" s="150" t="str">
        <f t="shared" si="19"/>
        <v/>
      </c>
      <c r="S97" s="12" t="str">
        <f>IF(ISNUMBER(R97)=TRUE,IF(_xlfn.RANK.EQ(R97,$R$2:$R$111)&lt;='Tournament Setup'!$B$25,_xlfn.RANK.EQ(R97,$R$2:$R$111),""),"")</f>
        <v/>
      </c>
      <c r="T97" s="152" t="str">
        <f>IF(AND($F97='Tournament Setup'!$A$29,$I97&lt;&gt;0),$I97,"")</f>
        <v/>
      </c>
      <c r="U97" s="47" t="str">
        <f>IF(ISNUMBER(T97),IF(COUNTIFS(U$1:U96,_xlfn.RANK.EQ(T97,T$2:T$111,0))&gt;0,_xlfn.MAXIFS(U$1:U96,T$1:T96,T97)+1,_xlfn.RANK.EQ(T97,T$2:T$111,0)),"")</f>
        <v/>
      </c>
      <c r="V97" s="1" t="str">
        <f>IF(ISNUMBER(T97)=TRUE,IF(_xlfn.RANK.EQ(T97,$T$3:$T$112)&lt;='Tournament Setup'!$B$46,_xlfn.RANK.EQ(T97,$T$2:$T$111),""),"")</f>
        <v/>
      </c>
      <c r="W97" s="30" t="str">
        <f>IF(AND($F97='Tournament Setup'!$A$29,SUM($O97,$Q97,$S97)=0),$H97,"")</f>
        <v/>
      </c>
      <c r="X97" s="47" t="str">
        <f>IF(ISNUMBER(W97),IF(COUNTIFS(X$1:X96,_xlfn.RANK.EQ(W97,W$2:W$111,0))&gt;0,_xlfn.MAXIFS(X$1:X96,W$1:W96,W97)+1,_xlfn.RANK.EQ(W97,W$2:W$111,0)),"")</f>
        <v/>
      </c>
      <c r="Y97" s="1" t="str">
        <f>IF(ISNUMBER(W97)=TRUE,IF(_xlfn.RANK.EQ(W97,$W$2:$W$111)&lt;='Tournament Setup'!$B$29,_xlfn.RANK.EQ(W97,$W$2:$W$111),""),"")</f>
        <v/>
      </c>
      <c r="Z97" s="31" t="str">
        <f>IF(AND($F97='Tournament Setup'!$A$29,SUM($O97,$Q97)=0,$E97="M",$Y97&gt;'Tournament Setup'!$B$29),$H97,"")</f>
        <v/>
      </c>
      <c r="AA97" s="1" t="str">
        <f>IF(ISNUMBER(Z97)=TRUE,IF(_xlfn.RANK.EQ(Z97,$Z$2:$Z$111)&lt;='Tournament Setup'!$C$29,_xlfn.RANK.EQ(Z97,$Z$2:$Z$111),""),"")</f>
        <v/>
      </c>
      <c r="AB97" s="31" t="str">
        <f>IF(AND($F97='Tournament Setup'!$A$29,SUM($O97,$S97)=0,$E97="F",$Y97&gt;'Tournament Setup'!$B$29),$H97,"")</f>
        <v/>
      </c>
      <c r="AC97" s="12" t="str">
        <f>IF(ISNUMBER(AB97)=TRUE,IF(_xlfn.RANK.EQ(AB97,$AB$2:$AB$111)&lt;='Tournament Setup'!$D$29,_xlfn.RANK.EQ(AB97,$AB$2:$AB$111),""),"")</f>
        <v/>
      </c>
      <c r="AD97" s="30" t="str">
        <f>IF(AND($F97='Tournament Setup'!$A$30,$I97&lt;&gt;0),$I97,"")</f>
        <v/>
      </c>
      <c r="AE97" s="47" t="str">
        <f>IF(ISNUMBER(AD97),IF(COUNTIFS(AE$1:AE96,_xlfn.RANK.EQ(AD97,AD$2:AD$111,0))&gt;0,_xlfn.MAXIFS(AE$1:AE96,AD$1:AD96,AD97)+1,_xlfn.RANK.EQ(AD97,AD$2:AD$111,0)),"")</f>
        <v/>
      </c>
      <c r="AF97" s="1" t="str">
        <f>IF(ISNUMBER(AD97)=TRUE,IF(_xlfn.RANK.EQ(AD97,$AD$2:$AD$111)&lt;='Tournament Setup'!$B$46,_xlfn.RANK.EQ(AD97,$AD$2:$AD$111),""),"")</f>
        <v/>
      </c>
      <c r="AG97" s="30" t="str">
        <f>IF(AND($F97='Tournament Setup'!$A$30,SUM($O97,$Q97,$S97)=0),$H97,"")</f>
        <v/>
      </c>
      <c r="AH97" s="47" t="str">
        <f>IF(ISNUMBER(AG97),IF(COUNTIFS(AH$1:AH96,_xlfn.RANK.EQ(AG97,AG$2:AG$111,0))&gt;0,_xlfn.MAXIFS(AH$1:AH96,AG$1:AG96,AG97)+1,_xlfn.RANK.EQ(AG97,AG$2:AG$111,0)),"")</f>
        <v/>
      </c>
      <c r="AI97" s="1" t="str">
        <f>IF(ISNUMBER(AG97)=TRUE,IF(_xlfn.RANK.EQ(AG97,$AG$2:$AG$111)&lt;='Tournament Setup'!$B$30,_xlfn.RANK.EQ(AG97,$AG$2:$AG$111),""),"")</f>
        <v/>
      </c>
      <c r="AJ97" s="31" t="str">
        <f>IF(AND($F97='Tournament Setup'!$A$30,SUM($O97,$Q97)=0,$E97="M",$AI97&gt;'Tournament Setup'!$B$30),$H97,"")</f>
        <v/>
      </c>
      <c r="AK97" s="1" t="str">
        <f>IF(ISNUMBER(AJ97)=TRUE,IF(_xlfn.RANK.EQ(AJ97,$AJ$2:$AJ$111)&lt;='Tournament Setup'!$C$30,_xlfn.RANK.EQ(AJ97,$AJ$2:$AJ$111),""),"")</f>
        <v/>
      </c>
      <c r="AL97" s="31" t="str">
        <f>IF(AND($F97='Tournament Setup'!$A$30,SUM($O97,$S97)=0,$E97="F",$AI97&gt;'Tournament Setup'!$B$30),$H97,"")</f>
        <v/>
      </c>
      <c r="AM97" s="12" t="str">
        <f>IF(ISNUMBER(AL97)=TRUE,IF(_xlfn.RANK.EQ(AL97,$AL$2:$AL$111)&lt;='Tournament Setup'!$D$30,_xlfn.RANK.EQ(AL97,$AL$2:$AL$111),""),"")</f>
        <v/>
      </c>
      <c r="AN97" s="30" t="str">
        <f>IF(AND($F97='Tournament Setup'!$A$31,$I97&lt;&gt;0),$I97,"")</f>
        <v/>
      </c>
      <c r="AO97" s="47" t="str">
        <f>IF(ISNUMBER(AN97),IF(COUNTIFS(AO$1:AO96,_xlfn.RANK.EQ(AN97,AN$2:AN$111,0))&gt;0,_xlfn.MAXIFS(AO$1:AO96,AN$1:AN96,AN97)+1,_xlfn.RANK.EQ(AN97,AN$2:AN$111,0)),"")</f>
        <v/>
      </c>
      <c r="AP97" s="1" t="str">
        <f>IF(ISNUMBER(AN97)=TRUE,IF(_xlfn.RANK.EQ(AN97,$AN$2:$AN$111)&lt;='Tournament Setup'!$B$46,_xlfn.RANK.EQ(AN97,$AN$2:$AN$111),""),"")</f>
        <v/>
      </c>
      <c r="AQ97" s="30" t="str">
        <f>IF(AND($F97='Tournament Setup'!$A$31,SUM($O97,$Q97,$S97)=0),$H97,"")</f>
        <v/>
      </c>
      <c r="AR97" s="47" t="str">
        <f>IF(ISNUMBER(AQ97),IF(COUNTIFS(AR$1:AR96,_xlfn.RANK.EQ(AQ97,AQ$2:AQ$111,0))&gt;0,_xlfn.MAXIFS(AR$1:AR96,AQ$1:AQ96,AQ97)+1,_xlfn.RANK.EQ(AQ97,AQ$2:AQ$111,0)),"")</f>
        <v/>
      </c>
      <c r="AS97" s="1" t="str">
        <f>IF(ISNUMBER(AQ97)=TRUE,IF(_xlfn.RANK.EQ(AQ97,$AQ$2:$AQ$111)&lt;='Tournament Setup'!$B$31,_xlfn.RANK.EQ(AQ97,$AQ$2:$AQ$111),""),"")</f>
        <v/>
      </c>
      <c r="AT97" s="31" t="str">
        <f>IF(AND($F97='Tournament Setup'!$A$31,SUM($O97,$Q97)=0,$E97="M",$AS97&gt;'Tournament Setup'!$B$31),$H97,"")</f>
        <v/>
      </c>
      <c r="AU97" s="1" t="str">
        <f>IF(ISNUMBER(AT97)=TRUE,IF(_xlfn.RANK.EQ(AT97,$AT$2:$AT$111)&lt;='Tournament Setup'!$C$31,_xlfn.RANK.EQ(AT97,$AT$2:$AT$111),""),"")</f>
        <v/>
      </c>
      <c r="AV97" s="31" t="str">
        <f>IF(AND($F97='Tournament Setup'!$A$31,SUM($O97,$S97)=0,$E97="F",$AS97&gt;'Tournament Setup'!$B$31),$H97,"")</f>
        <v/>
      </c>
      <c r="AW97" s="12" t="str">
        <f>IF(ISNUMBER(AV97)=TRUE,IF(_xlfn.RANK.EQ(AV97,$AV$2:$AV$111)&lt;='Tournament Setup'!$D$31,_xlfn.RANK.EQ(AV97,$AV$2:$AV$111),""),"")</f>
        <v/>
      </c>
      <c r="AX97" s="30" t="str">
        <f>IF(AND($F97='Tournament Setup'!$A$32,$I97&lt;&gt;0),$I97,"")</f>
        <v/>
      </c>
      <c r="AY97" s="47" t="str">
        <f>IF(ISNUMBER(AX97),IF(COUNTIFS(AY$1:AY96,_xlfn.RANK.EQ(AX97,AX$2:AX$111,0))&gt;0,_xlfn.MAXIFS(AY$1:AY96,AX$1:AX96,AX97)+1,_xlfn.RANK.EQ(AX97,AX$2:AX$111,0)),"")</f>
        <v/>
      </c>
      <c r="AZ97" s="1" t="str">
        <f>IF(ISNUMBER(AX97)=TRUE,IF(_xlfn.RANK.EQ(AX97,$AX$2:$AX$111)&lt;='Tournament Setup'!$B$46,_xlfn.RANK.EQ(AX97,$AX$2:$AX$111),""),"")</f>
        <v/>
      </c>
      <c r="BA97" s="30" t="str">
        <f>IF(AND($F97='Tournament Setup'!$A$32,SUM($O97,$Q97,$S97)=0),$H97,"")</f>
        <v/>
      </c>
      <c r="BB97" s="47" t="str">
        <f>IF(ISNUMBER(BA97),IF(COUNTIFS(BB$1:BB96,_xlfn.RANK.EQ(BA97,BA$2:BA$111,0))&gt;0,_xlfn.MAXIFS(BB$1:BB96,BA$1:BA96,BA97)+1,_xlfn.RANK.EQ(BA97,BA$2:BA$111,0)),"")</f>
        <v/>
      </c>
      <c r="BC97" s="1" t="str">
        <f>IF(ISNUMBER(BA97)=TRUE,IF(_xlfn.RANK.EQ(BA97,$BA$2:$BA$111)&lt;='Tournament Setup'!$B$32,_xlfn.RANK.EQ(BA97,$BA$2:$BA$111),""),"")</f>
        <v/>
      </c>
      <c r="BD97" s="31" t="str">
        <f>IF(AND($F97='Tournament Setup'!$A$32,SUM($O97,$Q97)=0,$E97="M",$BC97&gt;'Tournament Setup'!$B$32),$H97,"")</f>
        <v/>
      </c>
      <c r="BE97" s="1" t="str">
        <f>IF(ISNUMBER(BD97)=TRUE,IF(_xlfn.RANK.EQ(BD97,$BD$2:$BD$111)&lt;='Tournament Setup'!$C$32,_xlfn.RANK.EQ(BD97,$BD$2:$BD$111),""),"")</f>
        <v/>
      </c>
      <c r="BF97" s="31" t="str">
        <f>IF(AND($F97='Tournament Setup'!$A$32,SUM($O97,$S97)=0,$E97="F",$BC97&gt;'Tournament Setup'!$B$32),$H97,"")</f>
        <v/>
      </c>
      <c r="BG97" s="12" t="str">
        <f>IF(ISNUMBER(BF97)=TRUE,IF(_xlfn.RANK.EQ(BF97,$BF$2:$BF$111)&lt;='Tournament Setup'!$D$32,_xlfn.RANK.EQ(BF97,$BF$2:$BF$111),""),"")</f>
        <v/>
      </c>
      <c r="BH97" s="30" t="str">
        <f>IF(AND($F97='Tournament Setup'!$A$33,$I97&lt;&gt;0),$I97,"")</f>
        <v/>
      </c>
      <c r="BI97" s="47" t="str">
        <f>IF(ISNUMBER(BH97),IF(COUNTIFS(BI$1:BI96,_xlfn.RANK.EQ(BH97,BH$2:BH$111,0))&gt;0,_xlfn.MAXIFS(BI$1:BI96,BH$1:BH96,BH97)+1,_xlfn.RANK.EQ(BH97,BH$2:BH$111,0)),"")</f>
        <v/>
      </c>
      <c r="BJ97" s="1" t="str">
        <f>IF(ISNUMBER(BH97)=TRUE,IF(_xlfn.RANK.EQ(BH97,$BH$2:$BH$111)&lt;='Tournament Setup'!$B$46,_xlfn.RANK.EQ(BH97,$BH$2:$BH$111),""),"")</f>
        <v/>
      </c>
      <c r="BK97" s="30" t="str">
        <f>IF(AND($F97='Tournament Setup'!$A$33,SUM($O97,$Q97,$S97)=0),$H97,"")</f>
        <v/>
      </c>
      <c r="BL97" s="47" t="str">
        <f>IF(ISNUMBER(BK97),IF(COUNTIFS(BL$1:BL96,_xlfn.RANK.EQ(BK97,BK$2:BK$111,0))&gt;0,_xlfn.MAXIFS(BL$1:BL96,BK$1:BK96,BK97)+1,_xlfn.RANK.EQ(BK97,BK$2:BK$111,0)),"")</f>
        <v/>
      </c>
      <c r="BM97" s="1" t="str">
        <f>IF(ISNUMBER(BK97)=TRUE,IF(_xlfn.RANK.EQ(BK97,$BK$2:$BK$111)&lt;='Tournament Setup'!$B$33,_xlfn.RANK.EQ(BK97,$BK$2:$BK$111),""),"")</f>
        <v/>
      </c>
      <c r="BN97" s="31" t="str">
        <f>IF(AND($F97='Tournament Setup'!$A$33,SUM($O97,$Q97)=0,$E97="M",$BM97&gt;'Tournament Setup'!$B$33),$H97,"")</f>
        <v/>
      </c>
      <c r="BO97" s="1" t="str">
        <f>IF(ISNUMBER(BN97)=TRUE,IF(_xlfn.RANK.EQ(BN97,$BN$2:$BN$111)&lt;='Tournament Setup'!$C$33,_xlfn.RANK.EQ(BN97,$BN$2:$BN$111),""),"")</f>
        <v/>
      </c>
      <c r="BP97" s="31" t="str">
        <f>IF(AND($F97='Tournament Setup'!$A$33,SUM($O97,$S97)=0,$E97="F",$BM97&gt;'Tournament Setup'!$B$33),$H97,"")</f>
        <v/>
      </c>
      <c r="BQ97" s="12" t="str">
        <f>IF(ISNUMBER(BP97)=TRUE,IF(_xlfn.RANK.EQ(BP97,$BP$2:$BP$111)&lt;='Tournament Setup'!$D$33,_xlfn.RANK.EQ(BP97,$BP$2:$BP$111),""),"")</f>
        <v/>
      </c>
      <c r="BR97" s="30" t="str">
        <f>IF($G97='Tournament Setup'!$A$38,$H97,"")</f>
        <v/>
      </c>
      <c r="BS97" s="47" t="str">
        <f>IF(ISNUMBER(BR97),IF(COUNTIFS(BS$1:BS96,_xlfn.RANK.EQ(BR97,BR$2:BR$111,0))&gt;0,_xlfn.MAXIFS(BS$1:BS96,BR$1:BR96,BR97)+1,_xlfn.RANK.EQ(BR97,BR$2:BR$111,0)),"")</f>
        <v/>
      </c>
      <c r="BT97" s="1" t="str">
        <f>IF(ISNUMBER(BR97)=TRUE,IF(_xlfn.RANK.EQ(BR97,$BR$2:$BR$111)&lt;='Tournament Setup'!$B$38,_xlfn.RANK.EQ(BR97,$BR$2:$BR$111),""),"")</f>
        <v/>
      </c>
      <c r="BU97" s="31" t="str">
        <f>IF(AND($G97='Tournament Setup'!$A$38,$E97="M",$BT97&gt;'Tournament Setup'!$B$38),$H97,"")</f>
        <v/>
      </c>
      <c r="BV97" s="1" t="str">
        <f>IF(ISNUMBER(BU97)=TRUE,IF(_xlfn.RANK.EQ(BU97,$BU$2:$BU$111)&lt;='Tournament Setup'!$C$38,_xlfn.RANK.EQ(BU97,$BU$2:$BU$111),""),"")</f>
        <v/>
      </c>
      <c r="BW97" s="31" t="str">
        <f>IF(AND($G97='Tournament Setup'!$A$38,$E97="F",$BT97&gt;'Tournament Setup'!$B$38),$H97,"")</f>
        <v/>
      </c>
      <c r="BX97" s="12" t="str">
        <f>IF(ISNUMBER(BW97)=TRUE,IF(_xlfn.RANK.EQ(BW97,$BW$2:$BW$111)&lt;='Tournament Setup'!$D$38,_xlfn.RANK.EQ(BW97,$BW$2:$BW$111),""),"")</f>
        <v/>
      </c>
      <c r="BY97" s="30" t="str">
        <f>IF($G97='Tournament Setup'!$A$39,$H97,"")</f>
        <v/>
      </c>
      <c r="BZ97" s="47" t="str">
        <f>IF(ISNUMBER(BY97),IF(COUNTIFS(BZ$1:BZ96,_xlfn.RANK.EQ(BY97,BY$2:BY$111,0))&gt;0,_xlfn.MAXIFS(BZ$1:BZ96,BY$1:BY96,BY97)+1,_xlfn.RANK.EQ(BY97,BY$2:BY$111,0)),"")</f>
        <v/>
      </c>
      <c r="CA97" s="1" t="str">
        <f>IF(ISNUMBER(BY97)=TRUE,IF(_xlfn.RANK.EQ(BY97,$BY$2:$BY$111)&lt;='Tournament Setup'!$B$39,_xlfn.RANK.EQ(BY97,$BY$2:$BY$111),""),"")</f>
        <v/>
      </c>
      <c r="CB97" s="31" t="str">
        <f>IF(AND($G97='Tournament Setup'!$A$39,$E97="M",$CA97&gt;'Tournament Setup'!$B$39),$H97,"")</f>
        <v/>
      </c>
      <c r="CC97" s="1" t="str">
        <f>IF(ISNUMBER(CB97)=TRUE,IF(_xlfn.RANK.EQ(CB97,$CB$2:$CB$111)&lt;='Tournament Setup'!$C$39,_xlfn.RANK.EQ(CB97,$CB$2:$CB$111),""),"")</f>
        <v/>
      </c>
      <c r="CD97" s="31" t="str">
        <f>IF(AND($G97='Tournament Setup'!$A$39,$E97="F",$CA97&gt;'Tournament Setup'!$B$39),$H97,"")</f>
        <v/>
      </c>
      <c r="CE97" s="12" t="str">
        <f>IF(ISNUMBER(CD97)=TRUE,IF(_xlfn.RANK.EQ(CD97,$CD$2:$CD$111)&lt;='Tournament Setup'!$D$39,_xlfn.RANK.EQ(CD97,$CD$2:$CD$111),""),"")</f>
        <v/>
      </c>
      <c r="CF97" s="30" t="str">
        <f>IF($G97='Tournament Setup'!$A$40,$H97,"")</f>
        <v/>
      </c>
      <c r="CG97" s="47" t="str">
        <f>IF(ISNUMBER(CF97),IF(COUNTIFS(CG$1:CG96,_xlfn.RANK.EQ(CF97,CF$2:CF$111,0))&gt;0,_xlfn.MAXIFS(CG$1:CG96,CF$1:CF96,CF97)+1,_xlfn.RANK.EQ(CF97,CF$2:CF$111,0)),"")</f>
        <v/>
      </c>
      <c r="CH97" s="1" t="str">
        <f>IF(ISNUMBER(CF97)=TRUE,IF(_xlfn.RANK.EQ(CF97,$CF$2:$CF$111)&lt;='Tournament Setup'!$B$40,_xlfn.RANK.EQ(CF97,$CF$2:$CF$111),""),"")</f>
        <v/>
      </c>
      <c r="CI97" s="31" t="str">
        <f>IF(AND($G97='Tournament Setup'!$A$40,$E97="M",$CH97&gt;'Tournament Setup'!$B$40),$H97,"")</f>
        <v/>
      </c>
      <c r="CJ97" s="1" t="str">
        <f>IF(ISNUMBER(CI97)=TRUE,IF(_xlfn.RANK.EQ(CI97,$CI$2:$CI$111)&lt;='Tournament Setup'!$C$40,_xlfn.RANK.EQ(CI97,$CI$2:$CI$111),""),"")</f>
        <v/>
      </c>
      <c r="CK97" s="31" t="str">
        <f>IF(AND($G97='Tournament Setup'!$A$40,$E97="F",$CH97&gt;'Tournament Setup'!$B$40),$H97,"")</f>
        <v/>
      </c>
      <c r="CL97" s="12" t="str">
        <f>IF(ISNUMBER(CK97)=TRUE,IF(_xlfn.RANK.EQ(CK97,$CK$2:$CK$111)&lt;='Tournament Setup'!$D$40,_xlfn.RANK.EQ(CK97,$CK$2:$CK$111),""),"")</f>
        <v/>
      </c>
      <c r="CM97" s="30" t="str">
        <f>IF($G97='Tournament Setup'!$A$41,$H97,"")</f>
        <v/>
      </c>
      <c r="CN97" s="47" t="str">
        <f>IF(ISNUMBER(CM97),IF(COUNTIFS(CN$1:CN96,_xlfn.RANK.EQ(CM97,CM$2:CM$111,0))&gt;0,_xlfn.MAXIFS(CN$1:CN96,CM$1:CM96,CM97)+1,_xlfn.RANK.EQ(CM97,CM$2:CM$111,0)),"")</f>
        <v/>
      </c>
      <c r="CO97" s="1" t="str">
        <f>IF(ISNUMBER(CM97)=TRUE,IF(_xlfn.RANK.EQ(CM97,$CM$2:$CM$111)&lt;='Tournament Setup'!$B$41,_xlfn.RANK.EQ(CM97,$CM$2:$CM$111),""),"")</f>
        <v/>
      </c>
      <c r="CP97" s="31" t="str">
        <f>IF(AND($G97='Tournament Setup'!$A$41,$E97="M",$CO97&gt;'Tournament Setup'!$B$41),$H97,"")</f>
        <v/>
      </c>
      <c r="CQ97" s="1" t="str">
        <f>IF(ISNUMBER(CP97)=TRUE,IF(_xlfn.RANK.EQ(CP97,$CP$2:$CP$111)&lt;='Tournament Setup'!$C$41,_xlfn.RANK.EQ(CP97,$CP$2:$CP$111),""),"")</f>
        <v/>
      </c>
      <c r="CR97" s="31" t="str">
        <f>IF(AND($G97='Tournament Setup'!$A$41,$E97="F",$CO97&gt;'Tournament Setup'!$B$41),$H97,"")</f>
        <v/>
      </c>
      <c r="CS97" s="12" t="str">
        <f>IF(ISNUMBER(CR97)=TRUE,IF(_xlfn.RANK.EQ(CR97,$CR$2:$CR$111)&lt;='Tournament Setup'!$D$41,_xlfn.RANK.EQ(CR97,$CR$2:$CR$111),""),"")</f>
        <v/>
      </c>
    </row>
    <row r="98" spans="2:97" x14ac:dyDescent="0.3">
      <c r="B98" t="str">
        <f>IFERROR(INDEX('Tournament List'!$B:$B,MATCH($A98,'Tournament List'!$A:$A,0)),"")</f>
        <v/>
      </c>
      <c r="C98" t="str">
        <f>IFERROR(INDEX('Tournament List'!$C:$C,MATCH($A98,'Tournament List'!$A:$A,0)),"")</f>
        <v/>
      </c>
      <c r="D98" t="str">
        <f t="shared" ref="D98:D101" si="20">B98&amp;" "&amp;C98</f>
        <v xml:space="preserve"> </v>
      </c>
      <c r="E98" s="1" t="str">
        <f>IFERROR(INDEX('Tournament List'!F:F,MATCH($A98,'Tournament List'!$A:$A,0)),"")</f>
        <v/>
      </c>
      <c r="F98" t="str">
        <f>IFERROR(INDEX('Tournament List'!M:M,MATCH($A98,'Tournament List'!$A:$A,0)),"")</f>
        <v/>
      </c>
      <c r="G98" s="1" t="str">
        <f>IFERROR(INDEX('Tournament List'!W:W,MATCH($A98,'Tournament List'!$A:$A,0)),"")</f>
        <v/>
      </c>
      <c r="H98" s="129" t="str">
        <f>IFERROR(INDEX('Tournament List'!Z:Z,MATCH($A98,'Tournament List'!$A:$A,0)),"")</f>
        <v/>
      </c>
      <c r="I98" s="152" t="str">
        <f>IFERROR(INDEX('Tournament List'!T:T,MATCH($A98,'Tournament List'!$A:$A,0)),"")</f>
        <v/>
      </c>
      <c r="J98" s="56" t="str">
        <f>IF(ISNUMBER(I98),IF(COUNTIFS(J$1:J87,_xlfn.RANK.EQ(I98,I$2:I$111,0))&gt;0,_xlfn.MAXIFS(J$1:J87,I$1:I87,I98)+1,_xlfn.RANK.EQ(I98,I$2:I$111,0)),"")</f>
        <v/>
      </c>
      <c r="K98" s="11" t="str">
        <f t="shared" ref="K98:K101" si="21">IF(ISNUMBER(H98)=TRUE,IF(H98&gt;0,_xlfn.RANK.EQ(H98,$H$2:$H$111,0),""),"")</f>
        <v/>
      </c>
      <c r="L98" s="56" t="str">
        <f>IF(ISNUMBER(H98),IF(COUNTIFS(L$1:L87,_xlfn.RANK.EQ(H98,H$2:H$111,0))&gt;0,_xlfn.MAXIFS(L$1:L87,H$1:H87,H98)+1,_xlfn.RANK.EQ(H98,H$2:H$111,0)),"")</f>
        <v/>
      </c>
      <c r="M98" s="151" t="str">
        <f t="shared" ref="M98:M101" si="22">IF(F98&lt;&gt;"Collegiate"=TRUE,$H98,"")</f>
        <v/>
      </c>
      <c r="N98" s="47" t="str">
        <f>IF(ISNUMBER(M98),IF(COUNTIFS(N$1:N87,_xlfn.RANK.EQ(M98,M$2:M$111,0))&gt;0,_xlfn.MAXIFS(N$1:N87,M$1:M87,M98)+1,_xlfn.RANK.EQ(M98,M$2:M$111,0)),"")</f>
        <v/>
      </c>
      <c r="O98" s="1" t="str">
        <f>IF(ISNUMBER(M98)=TRUE,IF(_xlfn.RANK.EQ(M98,$M$2:$M$111)&lt;='Tournament Setup'!$B$23,_xlfn.RANK.EQ(M98,$M$2:$M$111),""),"")</f>
        <v/>
      </c>
      <c r="P98" s="150" t="str">
        <f t="shared" ref="P98:P101" si="23">IF(AND($E98="M",SUM($O98)=0,F98&lt;&gt;"Collegiate")=TRUE,$H98,"")</f>
        <v/>
      </c>
      <c r="Q98" s="1" t="str">
        <f>IF(ISNUMBER(P98)=TRUE,IF(_xlfn.RANK.EQ(P98,$P$2:$P$111)&lt;='Tournament Setup'!$B$24,_xlfn.RANK.EQ(P98,$P$2:$P$111),""),"")</f>
        <v/>
      </c>
      <c r="R98" s="150" t="str">
        <f t="shared" ref="R98:R101" si="24">IF(AND($E98="F",SUM($O98)=0,F98&lt;&gt;"Collegiate")=TRUE,$H98,"")</f>
        <v/>
      </c>
      <c r="S98" s="12" t="str">
        <f>IF(ISNUMBER(R98)=TRUE,IF(_xlfn.RANK.EQ(R98,$R$2:$R$111)&lt;='Tournament Setup'!$B$25,_xlfn.RANK.EQ(R98,$R$2:$R$111),""),"")</f>
        <v/>
      </c>
      <c r="T98" s="152" t="str">
        <f>IF(AND($F98='Tournament Setup'!$A$29,$I98&lt;&gt;0),$I98,"")</f>
        <v/>
      </c>
      <c r="U98" s="47" t="str">
        <f>IF(ISNUMBER(T98),IF(COUNTIFS(U$1:U87,_xlfn.RANK.EQ(T98,T$2:T$111,0))&gt;0,_xlfn.MAXIFS(U$1:U87,T$1:T87,T98)+1,_xlfn.RANK.EQ(T98,T$2:T$111,0)),"")</f>
        <v/>
      </c>
      <c r="V98" s="1" t="str">
        <f>IF(ISNUMBER(T98)=TRUE,IF(_xlfn.RANK.EQ(T98,$T$3:$T$112)&lt;='Tournament Setup'!$B$46,_xlfn.RANK.EQ(T98,$T$2:$T$111),""),"")</f>
        <v/>
      </c>
      <c r="W98" s="30" t="str">
        <f>IF(AND($F98='Tournament Setup'!$A$29,SUM($O98,$Q98,$S98)=0),$H98,"")</f>
        <v/>
      </c>
      <c r="X98" s="47" t="str">
        <f>IF(ISNUMBER(W98),IF(COUNTIFS(X$1:X87,_xlfn.RANK.EQ(W98,W$2:W$111,0))&gt;0,_xlfn.MAXIFS(X$1:X87,W$1:W87,W98)+1,_xlfn.RANK.EQ(W98,W$2:W$111,0)),"")</f>
        <v/>
      </c>
      <c r="Y98" s="1" t="str">
        <f>IF(ISNUMBER(W98)=TRUE,IF(_xlfn.RANK.EQ(W98,$W$2:$W$111)&lt;='Tournament Setup'!$B$29,_xlfn.RANK.EQ(W98,$W$2:$W$111),""),"")</f>
        <v/>
      </c>
      <c r="Z98" s="31" t="str">
        <f>IF(AND($F98='Tournament Setup'!$A$29,SUM($O98,$Q98)=0,$E98="M",$Y98&gt;'Tournament Setup'!$B$29),$H98,"")</f>
        <v/>
      </c>
      <c r="AA98" s="1" t="str">
        <f>IF(ISNUMBER(Z98)=TRUE,IF(_xlfn.RANK.EQ(Z98,$Z$2:$Z$111)&lt;='Tournament Setup'!$C$29,_xlfn.RANK.EQ(Z98,$Z$2:$Z$111),""),"")</f>
        <v/>
      </c>
      <c r="AB98" s="31" t="str">
        <f>IF(AND($F98='Tournament Setup'!$A$29,SUM($O98,$S98)=0,$E98="F",$Y98&gt;'Tournament Setup'!$B$29),$H98,"")</f>
        <v/>
      </c>
      <c r="AC98" s="12" t="str">
        <f>IF(ISNUMBER(AB98)=TRUE,IF(_xlfn.RANK.EQ(AB98,$AB$2:$AB$111)&lt;='Tournament Setup'!$D$29,_xlfn.RANK.EQ(AB98,$AB$2:$AB$111),""),"")</f>
        <v/>
      </c>
      <c r="AD98" s="30" t="str">
        <f>IF(AND($F98='Tournament Setup'!$A$30,$I98&lt;&gt;0),$I98,"")</f>
        <v/>
      </c>
      <c r="AE98" s="47" t="str">
        <f>IF(ISNUMBER(AD98),IF(COUNTIFS(AE$1:AE87,_xlfn.RANK.EQ(AD98,AD$2:AD$111,0))&gt;0,_xlfn.MAXIFS(AE$1:AE87,AD$1:AD87,AD98)+1,_xlfn.RANK.EQ(AD98,AD$2:AD$111,0)),"")</f>
        <v/>
      </c>
      <c r="AF98" s="1" t="str">
        <f>IF(ISNUMBER(AD98)=TRUE,IF(_xlfn.RANK.EQ(AD98,$AD$2:$AD$111)&lt;='Tournament Setup'!$B$46,_xlfn.RANK.EQ(AD98,$AD$2:$AD$111),""),"")</f>
        <v/>
      </c>
      <c r="AG98" s="30" t="str">
        <f>IF(AND($F98='Tournament Setup'!$A$30,SUM($O98,$Q98,$S98)=0),$H98,"")</f>
        <v/>
      </c>
      <c r="AH98" s="47" t="str">
        <f>IF(ISNUMBER(AG98),IF(COUNTIFS(AH$1:AH87,_xlfn.RANK.EQ(AG98,AG$2:AG$111,0))&gt;0,_xlfn.MAXIFS(AH$1:AH87,AG$1:AG87,AG98)+1,_xlfn.RANK.EQ(AG98,AG$2:AG$111,0)),"")</f>
        <v/>
      </c>
      <c r="AI98" s="1" t="str">
        <f>IF(ISNUMBER(AG98)=TRUE,IF(_xlfn.RANK.EQ(AG98,$AG$2:$AG$111)&lt;='Tournament Setup'!$B$30,_xlfn.RANK.EQ(AG98,$AG$2:$AG$111),""),"")</f>
        <v/>
      </c>
      <c r="AJ98" s="31" t="str">
        <f>IF(AND($F98='Tournament Setup'!$A$30,SUM($O98,$Q98)=0,$E98="M",$AI98&gt;'Tournament Setup'!$B$30),$H98,"")</f>
        <v/>
      </c>
      <c r="AK98" s="1" t="str">
        <f>IF(ISNUMBER(AJ98)=TRUE,IF(_xlfn.RANK.EQ(AJ98,$AJ$2:$AJ$111)&lt;='Tournament Setup'!$C$30,_xlfn.RANK.EQ(AJ98,$AJ$2:$AJ$111),""),"")</f>
        <v/>
      </c>
      <c r="AL98" s="31" t="str">
        <f>IF(AND($F98='Tournament Setup'!$A$30,SUM($O98,$S98)=0,$E98="F",$AI98&gt;'Tournament Setup'!$B$30),$H98,"")</f>
        <v/>
      </c>
      <c r="AM98" s="12" t="str">
        <f>IF(ISNUMBER(AL98)=TRUE,IF(_xlfn.RANK.EQ(AL98,$AL$2:$AL$111)&lt;='Tournament Setup'!$D$30,_xlfn.RANK.EQ(AL98,$AL$2:$AL$111),""),"")</f>
        <v/>
      </c>
      <c r="AN98" s="30" t="str">
        <f>IF(AND($F98='Tournament Setup'!$A$31,$I98&lt;&gt;0),$I98,"")</f>
        <v/>
      </c>
      <c r="AO98" s="47" t="str">
        <f>IF(ISNUMBER(AN98),IF(COUNTIFS(AO$1:AO87,_xlfn.RANK.EQ(AN98,AN$2:AN$111,0))&gt;0,_xlfn.MAXIFS(AO$1:AO87,AN$1:AN87,AN98)+1,_xlfn.RANK.EQ(AN98,AN$2:AN$111,0)),"")</f>
        <v/>
      </c>
      <c r="AP98" s="1" t="str">
        <f>IF(ISNUMBER(AN98)=TRUE,IF(_xlfn.RANK.EQ(AN98,$AN$2:$AN$111)&lt;='Tournament Setup'!$B$46,_xlfn.RANK.EQ(AN98,$AN$2:$AN$111),""),"")</f>
        <v/>
      </c>
      <c r="AQ98" s="30" t="str">
        <f>IF(AND($F98='Tournament Setup'!$A$31,SUM($O98,$Q98,$S98)=0),$H98,"")</f>
        <v/>
      </c>
      <c r="AR98" s="47" t="str">
        <f>IF(ISNUMBER(AQ98),IF(COUNTIFS(AR$1:AR87,_xlfn.RANK.EQ(AQ98,AQ$2:AQ$111,0))&gt;0,_xlfn.MAXIFS(AR$1:AR87,AQ$1:AQ87,AQ98)+1,_xlfn.RANK.EQ(AQ98,AQ$2:AQ$111,0)),"")</f>
        <v/>
      </c>
      <c r="AS98" s="1" t="str">
        <f>IF(ISNUMBER(AQ98)=TRUE,IF(_xlfn.RANK.EQ(AQ98,$AQ$2:$AQ$111)&lt;='Tournament Setup'!$B$31,_xlfn.RANK.EQ(AQ98,$AQ$2:$AQ$111),""),"")</f>
        <v/>
      </c>
      <c r="AT98" s="31" t="str">
        <f>IF(AND($F98='Tournament Setup'!$A$31,SUM($O98,$Q98)=0,$E98="M",$AS98&gt;'Tournament Setup'!$B$31),$H98,"")</f>
        <v/>
      </c>
      <c r="AU98" s="1" t="str">
        <f>IF(ISNUMBER(AT98)=TRUE,IF(_xlfn.RANK.EQ(AT98,$AT$2:$AT$111)&lt;='Tournament Setup'!$C$31,_xlfn.RANK.EQ(AT98,$AT$2:$AT$111),""),"")</f>
        <v/>
      </c>
      <c r="AV98" s="31" t="str">
        <f>IF(AND($F98='Tournament Setup'!$A$31,SUM($O98,$S98)=0,$E98="F",$AS98&gt;'Tournament Setup'!$B$31),$H98,"")</f>
        <v/>
      </c>
      <c r="AW98" s="12" t="str">
        <f>IF(ISNUMBER(AV98)=TRUE,IF(_xlfn.RANK.EQ(AV98,$AV$2:$AV$111)&lt;='Tournament Setup'!$D$31,_xlfn.RANK.EQ(AV98,$AV$2:$AV$111),""),"")</f>
        <v/>
      </c>
      <c r="AX98" s="30" t="str">
        <f>IF(AND($F98='Tournament Setup'!$A$32,$I98&lt;&gt;0),$I98,"")</f>
        <v/>
      </c>
      <c r="AY98" s="47" t="str">
        <f>IF(ISNUMBER(AX98),IF(COUNTIFS(AY$1:AY87,_xlfn.RANK.EQ(AX98,AX$2:AX$111,0))&gt;0,_xlfn.MAXIFS(AY$1:AY87,AX$1:AX87,AX98)+1,_xlfn.RANK.EQ(AX98,AX$2:AX$111,0)),"")</f>
        <v/>
      </c>
      <c r="AZ98" s="1" t="str">
        <f>IF(ISNUMBER(AX98)=TRUE,IF(_xlfn.RANK.EQ(AX98,$AX$2:$AX$111)&lt;='Tournament Setup'!$B$46,_xlfn.RANK.EQ(AX98,$AX$2:$AX$111),""),"")</f>
        <v/>
      </c>
      <c r="BA98" s="30" t="str">
        <f>IF(AND($F98='Tournament Setup'!$A$32,SUM($O98,$Q98,$S98)=0),$H98,"")</f>
        <v/>
      </c>
      <c r="BB98" s="47" t="str">
        <f>IF(ISNUMBER(BA98),IF(COUNTIFS(BB$1:BB87,_xlfn.RANK.EQ(BA98,BA$2:BA$111,0))&gt;0,_xlfn.MAXIFS(BB$1:BB87,BA$1:BA87,BA98)+1,_xlfn.RANK.EQ(BA98,BA$2:BA$111,0)),"")</f>
        <v/>
      </c>
      <c r="BC98" s="1" t="str">
        <f>IF(ISNUMBER(BA98)=TRUE,IF(_xlfn.RANK.EQ(BA98,$BA$2:$BA$111)&lt;='Tournament Setup'!$B$32,_xlfn.RANK.EQ(BA98,$BA$2:$BA$111),""),"")</f>
        <v/>
      </c>
      <c r="BD98" s="31" t="str">
        <f>IF(AND($F98='Tournament Setup'!$A$32,SUM($O98,$Q98)=0,$E98="M",$BC98&gt;'Tournament Setup'!$B$32),$H98,"")</f>
        <v/>
      </c>
      <c r="BE98" s="1" t="str">
        <f>IF(ISNUMBER(BD98)=TRUE,IF(_xlfn.RANK.EQ(BD98,$BD$2:$BD$111)&lt;='Tournament Setup'!$C$32,_xlfn.RANK.EQ(BD98,$BD$2:$BD$111),""),"")</f>
        <v/>
      </c>
      <c r="BF98" s="31" t="str">
        <f>IF(AND($F98='Tournament Setup'!$A$32,SUM($O98,$S98)=0,$E98="F",$BC98&gt;'Tournament Setup'!$B$32),$H98,"")</f>
        <v/>
      </c>
      <c r="BG98" s="12" t="str">
        <f>IF(ISNUMBER(BF98)=TRUE,IF(_xlfn.RANK.EQ(BF98,$BF$2:$BF$111)&lt;='Tournament Setup'!$D$32,_xlfn.RANK.EQ(BF98,$BF$2:$BF$111),""),"")</f>
        <v/>
      </c>
      <c r="BH98" s="30" t="str">
        <f>IF(AND($F98='Tournament Setup'!$A$33,$I98&lt;&gt;0),$I98,"")</f>
        <v/>
      </c>
      <c r="BI98" s="47" t="str">
        <f>IF(ISNUMBER(BH98),IF(COUNTIFS(BI$1:BI87,_xlfn.RANK.EQ(BH98,BH$2:BH$111,0))&gt;0,_xlfn.MAXIFS(BI$1:BI87,BH$1:BH87,BH98)+1,_xlfn.RANK.EQ(BH98,BH$2:BH$111,0)),"")</f>
        <v/>
      </c>
      <c r="BJ98" s="1" t="str">
        <f>IF(ISNUMBER(BH98)=TRUE,IF(_xlfn.RANK.EQ(BH98,$BH$2:$BH$111)&lt;='Tournament Setup'!$B$46,_xlfn.RANK.EQ(BH98,$BH$2:$BH$111),""),"")</f>
        <v/>
      </c>
      <c r="BK98" s="30" t="str">
        <f>IF(AND($F98='Tournament Setup'!$A$33,SUM($O98,$Q98,$S98)=0),$H98,"")</f>
        <v/>
      </c>
      <c r="BL98" s="47" t="str">
        <f>IF(ISNUMBER(BK98),IF(COUNTIFS(BL$1:BL87,_xlfn.RANK.EQ(BK98,BK$2:BK$111,0))&gt;0,_xlfn.MAXIFS(BL$1:BL87,BK$1:BK87,BK98)+1,_xlfn.RANK.EQ(BK98,BK$2:BK$111,0)),"")</f>
        <v/>
      </c>
      <c r="BM98" s="1" t="str">
        <f>IF(ISNUMBER(BK98)=TRUE,IF(_xlfn.RANK.EQ(BK98,$BK$2:$BK$111)&lt;='Tournament Setup'!$B$33,_xlfn.RANK.EQ(BK98,$BK$2:$BK$111),""),"")</f>
        <v/>
      </c>
      <c r="BN98" s="31" t="str">
        <f>IF(AND($F98='Tournament Setup'!$A$33,SUM($O98,$Q98)=0,$E98="M",$BM98&gt;'Tournament Setup'!$B$33),$H98,"")</f>
        <v/>
      </c>
      <c r="BO98" s="1" t="str">
        <f>IF(ISNUMBER(BN98)=TRUE,IF(_xlfn.RANK.EQ(BN98,$BN$2:$BN$111)&lt;='Tournament Setup'!$C$33,_xlfn.RANK.EQ(BN98,$BN$2:$BN$111),""),"")</f>
        <v/>
      </c>
      <c r="BP98" s="31" t="str">
        <f>IF(AND($F98='Tournament Setup'!$A$33,SUM($O98,$S98)=0,$E98="F",$BM98&gt;'Tournament Setup'!$B$33),$H98,"")</f>
        <v/>
      </c>
      <c r="BQ98" s="12" t="str">
        <f>IF(ISNUMBER(BP98)=TRUE,IF(_xlfn.RANK.EQ(BP98,$BP$2:$BP$111)&lt;='Tournament Setup'!$D$33,_xlfn.RANK.EQ(BP98,$BP$2:$BP$111),""),"")</f>
        <v/>
      </c>
      <c r="BR98" s="30" t="str">
        <f>IF($G98='Tournament Setup'!$A$38,$H98,"")</f>
        <v/>
      </c>
      <c r="BS98" s="47" t="str">
        <f>IF(ISNUMBER(BR98),IF(COUNTIFS(BS$1:BS87,_xlfn.RANK.EQ(BR98,BR$2:BR$111,0))&gt;0,_xlfn.MAXIFS(BS$1:BS87,BR$1:BR87,BR98)+1,_xlfn.RANK.EQ(BR98,BR$2:BR$111,0)),"")</f>
        <v/>
      </c>
      <c r="BT98" s="1" t="str">
        <f>IF(ISNUMBER(BR98)=TRUE,IF(_xlfn.RANK.EQ(BR98,$BR$2:$BR$111)&lt;='Tournament Setup'!$B$38,_xlfn.RANK.EQ(BR98,$BR$2:$BR$111),""),"")</f>
        <v/>
      </c>
      <c r="BU98" s="31" t="str">
        <f>IF(AND($G98='Tournament Setup'!$A$38,$E98="M",$BT98&gt;'Tournament Setup'!$B$38),$H98,"")</f>
        <v/>
      </c>
      <c r="BV98" s="1" t="str">
        <f>IF(ISNUMBER(BU98)=TRUE,IF(_xlfn.RANK.EQ(BU98,$BU$2:$BU$111)&lt;='Tournament Setup'!$C$38,_xlfn.RANK.EQ(BU98,$BU$2:$BU$111),""),"")</f>
        <v/>
      </c>
      <c r="BW98" s="31" t="str">
        <f>IF(AND($G98='Tournament Setup'!$A$38,$E98="F",$BT98&gt;'Tournament Setup'!$B$38),$H98,"")</f>
        <v/>
      </c>
      <c r="BX98" s="12" t="str">
        <f>IF(ISNUMBER(BW98)=TRUE,IF(_xlfn.RANK.EQ(BW98,$BW$2:$BW$111)&lt;='Tournament Setup'!$D$38,_xlfn.RANK.EQ(BW98,$BW$2:$BW$111),""),"")</f>
        <v/>
      </c>
      <c r="BY98" s="30" t="str">
        <f>IF($G98='Tournament Setup'!$A$39,$H98,"")</f>
        <v/>
      </c>
      <c r="BZ98" s="47" t="str">
        <f>IF(ISNUMBER(BY98),IF(COUNTIFS(BZ$1:BZ87,_xlfn.RANK.EQ(BY98,BY$2:BY$111,0))&gt;0,_xlfn.MAXIFS(BZ$1:BZ87,BY$1:BY87,BY98)+1,_xlfn.RANK.EQ(BY98,BY$2:BY$111,0)),"")</f>
        <v/>
      </c>
      <c r="CA98" s="1" t="str">
        <f>IF(ISNUMBER(BY98)=TRUE,IF(_xlfn.RANK.EQ(BY98,$BY$2:$BY$111)&lt;='Tournament Setup'!$B$39,_xlfn.RANK.EQ(BY98,$BY$2:$BY$111),""),"")</f>
        <v/>
      </c>
      <c r="CB98" s="31" t="str">
        <f>IF(AND($G98='Tournament Setup'!$A$39,$E98="M",$CA98&gt;'Tournament Setup'!$B$39),$H98,"")</f>
        <v/>
      </c>
      <c r="CC98" s="1" t="str">
        <f>IF(ISNUMBER(CB98)=TRUE,IF(_xlfn.RANK.EQ(CB98,$CB$2:$CB$111)&lt;='Tournament Setup'!$C$39,_xlfn.RANK.EQ(CB98,$CB$2:$CB$111),""),"")</f>
        <v/>
      </c>
      <c r="CD98" s="31" t="str">
        <f>IF(AND($G98='Tournament Setup'!$A$39,$E98="F",$CA98&gt;'Tournament Setup'!$B$39),$H98,"")</f>
        <v/>
      </c>
      <c r="CE98" s="12" t="str">
        <f>IF(ISNUMBER(CD98)=TRUE,IF(_xlfn.RANK.EQ(CD98,$CD$2:$CD$111)&lt;='Tournament Setup'!$D$39,_xlfn.RANK.EQ(CD98,$CD$2:$CD$111),""),"")</f>
        <v/>
      </c>
      <c r="CF98" s="30" t="str">
        <f>IF($G98='Tournament Setup'!$A$40,$H98,"")</f>
        <v/>
      </c>
      <c r="CG98" s="47" t="str">
        <f>IF(ISNUMBER(CF98),IF(COUNTIFS(CG$1:CG87,_xlfn.RANK.EQ(CF98,CF$2:CF$111,0))&gt;0,_xlfn.MAXIFS(CG$1:CG87,CF$1:CF87,CF98)+1,_xlfn.RANK.EQ(CF98,CF$2:CF$111,0)),"")</f>
        <v/>
      </c>
      <c r="CH98" s="1" t="str">
        <f>IF(ISNUMBER(CF98)=TRUE,IF(_xlfn.RANK.EQ(CF98,$CF$2:$CF$111)&lt;='Tournament Setup'!$B$40,_xlfn.RANK.EQ(CF98,$CF$2:$CF$111),""),"")</f>
        <v/>
      </c>
      <c r="CI98" s="31" t="str">
        <f>IF(AND($G98='Tournament Setup'!$A$40,$E98="M",$CH98&gt;'Tournament Setup'!$B$40),$H98,"")</f>
        <v/>
      </c>
      <c r="CJ98" s="1" t="str">
        <f>IF(ISNUMBER(CI98)=TRUE,IF(_xlfn.RANK.EQ(CI98,$CI$2:$CI$111)&lt;='Tournament Setup'!$C$40,_xlfn.RANK.EQ(CI98,$CI$2:$CI$111),""),"")</f>
        <v/>
      </c>
      <c r="CK98" s="31" t="str">
        <f>IF(AND($G98='Tournament Setup'!$A$40,$E98="F",$CH98&gt;'Tournament Setup'!$B$40),$H98,"")</f>
        <v/>
      </c>
      <c r="CL98" s="12" t="str">
        <f>IF(ISNUMBER(CK98)=TRUE,IF(_xlfn.RANK.EQ(CK98,$CK$2:$CK$111)&lt;='Tournament Setup'!$D$40,_xlfn.RANK.EQ(CK98,$CK$2:$CK$111),""),"")</f>
        <v/>
      </c>
      <c r="CM98" s="30" t="str">
        <f>IF($G98='Tournament Setup'!$A$41,$H98,"")</f>
        <v/>
      </c>
      <c r="CN98" s="47" t="str">
        <f>IF(ISNUMBER(CM98),IF(COUNTIFS(CN$1:CN87,_xlfn.RANK.EQ(CM98,CM$2:CM$111,0))&gt;0,_xlfn.MAXIFS(CN$1:CN87,CM$1:CM87,CM98)+1,_xlfn.RANK.EQ(CM98,CM$2:CM$111,0)),"")</f>
        <v/>
      </c>
      <c r="CO98" s="1" t="str">
        <f>IF(ISNUMBER(CM98)=TRUE,IF(_xlfn.RANK.EQ(CM98,$CM$2:$CM$111)&lt;='Tournament Setup'!$B$41,_xlfn.RANK.EQ(CM98,$CM$2:$CM$111),""),"")</f>
        <v/>
      </c>
      <c r="CP98" s="31" t="str">
        <f>IF(AND($G98='Tournament Setup'!$A$41,$E98="M",$CO98&gt;'Tournament Setup'!$B$41),$H98,"")</f>
        <v/>
      </c>
      <c r="CQ98" s="1" t="str">
        <f>IF(ISNUMBER(CP98)=TRUE,IF(_xlfn.RANK.EQ(CP98,$CP$2:$CP$111)&lt;='Tournament Setup'!$C$41,_xlfn.RANK.EQ(CP98,$CP$2:$CP$111),""),"")</f>
        <v/>
      </c>
      <c r="CR98" s="31" t="str">
        <f>IF(AND($G98='Tournament Setup'!$A$41,$E98="F",$CO98&gt;'Tournament Setup'!$B$41),$H98,"")</f>
        <v/>
      </c>
      <c r="CS98" s="12" t="str">
        <f>IF(ISNUMBER(CR98)=TRUE,IF(_xlfn.RANK.EQ(CR98,$CR$2:$CR$111)&lt;='Tournament Setup'!$D$41,_xlfn.RANK.EQ(CR98,$CR$2:$CR$111),""),"")</f>
        <v/>
      </c>
    </row>
    <row r="99" spans="2:97" x14ac:dyDescent="0.3">
      <c r="B99" t="str">
        <f>IFERROR(INDEX('Tournament List'!$B:$B,MATCH($A99,'Tournament List'!$A:$A,0)),"")</f>
        <v/>
      </c>
      <c r="C99" t="str">
        <f>IFERROR(INDEX('Tournament List'!$C:$C,MATCH($A99,'Tournament List'!$A:$A,0)),"")</f>
        <v/>
      </c>
      <c r="D99" t="str">
        <f t="shared" si="20"/>
        <v xml:space="preserve"> </v>
      </c>
      <c r="E99" s="1" t="str">
        <f>IFERROR(INDEX('Tournament List'!F:F,MATCH($A99,'Tournament List'!$A:$A,0)),"")</f>
        <v/>
      </c>
      <c r="F99" t="str">
        <f>IFERROR(INDEX('Tournament List'!M:M,MATCH($A99,'Tournament List'!$A:$A,0)),"")</f>
        <v/>
      </c>
      <c r="G99" s="1" t="str">
        <f>IFERROR(INDEX('Tournament List'!W:W,MATCH($A99,'Tournament List'!$A:$A,0)),"")</f>
        <v/>
      </c>
      <c r="H99" s="129" t="str">
        <f>IFERROR(INDEX('Tournament List'!Z:Z,MATCH($A99,'Tournament List'!$A:$A,0)),"")</f>
        <v/>
      </c>
      <c r="I99" s="152" t="str">
        <f>IFERROR(INDEX('Tournament List'!T:T,MATCH($A99,'Tournament List'!$A:$A,0)),"")</f>
        <v/>
      </c>
      <c r="J99" s="56" t="str">
        <f>IF(ISNUMBER(I99),IF(COUNTIFS(J$1:J98,_xlfn.RANK.EQ(I99,I$2:I$111,0))&gt;0,_xlfn.MAXIFS(J$1:J98,I$1:I98,I99)+1,_xlfn.RANK.EQ(I99,I$2:I$111,0)),"")</f>
        <v/>
      </c>
      <c r="K99" s="11" t="str">
        <f t="shared" si="21"/>
        <v/>
      </c>
      <c r="L99" s="56" t="str">
        <f>IF(ISNUMBER(H99),IF(COUNTIFS(L$1:L98,_xlfn.RANK.EQ(H99,H$2:H$111,0))&gt;0,_xlfn.MAXIFS(L$1:L98,H$1:H98,H99)+1,_xlfn.RANK.EQ(H99,H$2:H$111,0)),"")</f>
        <v/>
      </c>
      <c r="M99" s="151" t="str">
        <f t="shared" si="22"/>
        <v/>
      </c>
      <c r="N99" s="47" t="str">
        <f>IF(ISNUMBER(M99),IF(COUNTIFS(N$1:N98,_xlfn.RANK.EQ(M99,M$2:M$111,0))&gt;0,_xlfn.MAXIFS(N$1:N98,M$1:M98,M99)+1,_xlfn.RANK.EQ(M99,M$2:M$111,0)),"")</f>
        <v/>
      </c>
      <c r="O99" s="1" t="str">
        <f>IF(ISNUMBER(M99)=TRUE,IF(_xlfn.RANK.EQ(M99,$M$2:$M$111)&lt;='Tournament Setup'!$B$23,_xlfn.RANK.EQ(M99,$M$2:$M$111),""),"")</f>
        <v/>
      </c>
      <c r="P99" s="150" t="str">
        <f t="shared" si="23"/>
        <v/>
      </c>
      <c r="Q99" s="1" t="str">
        <f>IF(ISNUMBER(P99)=TRUE,IF(_xlfn.RANK.EQ(P99,$P$2:$P$111)&lt;='Tournament Setup'!$B$24,_xlfn.RANK.EQ(P99,$P$2:$P$111),""),"")</f>
        <v/>
      </c>
      <c r="R99" s="150" t="str">
        <f t="shared" si="24"/>
        <v/>
      </c>
      <c r="S99" s="12" t="str">
        <f>IF(ISNUMBER(R99)=TRUE,IF(_xlfn.RANK.EQ(R99,$R$2:$R$111)&lt;='Tournament Setup'!$B$25,_xlfn.RANK.EQ(R99,$R$2:$R$111),""),"")</f>
        <v/>
      </c>
      <c r="T99" s="152" t="str">
        <f>IF(AND($F99='Tournament Setup'!$A$29,$I99&lt;&gt;0),$I99,"")</f>
        <v/>
      </c>
      <c r="U99" s="47" t="str">
        <f>IF(ISNUMBER(T99),IF(COUNTIFS(U$1:U98,_xlfn.RANK.EQ(T99,T$2:T$111,0))&gt;0,_xlfn.MAXIFS(U$1:U98,T$1:T98,T99)+1,_xlfn.RANK.EQ(T99,T$2:T$111,0)),"")</f>
        <v/>
      </c>
      <c r="V99" s="1" t="str">
        <f>IF(ISNUMBER(T99)=TRUE,IF(_xlfn.RANK.EQ(T99,$T$3:$T$112)&lt;='Tournament Setup'!$B$46,_xlfn.RANK.EQ(T99,$T$2:$T$111),""),"")</f>
        <v/>
      </c>
      <c r="W99" s="30" t="str">
        <f>IF(AND($F99='Tournament Setup'!$A$29,SUM($O99,$Q99,$S99)=0),$H99,"")</f>
        <v/>
      </c>
      <c r="X99" s="47" t="str">
        <f>IF(ISNUMBER(W99),IF(COUNTIFS(X$1:X98,_xlfn.RANK.EQ(W99,W$2:W$111,0))&gt;0,_xlfn.MAXIFS(X$1:X98,W$1:W98,W99)+1,_xlfn.RANK.EQ(W99,W$2:W$111,0)),"")</f>
        <v/>
      </c>
      <c r="Y99" s="1" t="str">
        <f>IF(ISNUMBER(W99)=TRUE,IF(_xlfn.RANK.EQ(W99,$W$2:$W$111)&lt;='Tournament Setup'!$B$29,_xlfn.RANK.EQ(W99,$W$2:$W$111),""),"")</f>
        <v/>
      </c>
      <c r="Z99" s="31" t="str">
        <f>IF(AND($F99='Tournament Setup'!$A$29,SUM($O99,$Q99)=0,$E99="M",$Y99&gt;'Tournament Setup'!$B$29),$H99,"")</f>
        <v/>
      </c>
      <c r="AA99" s="1" t="str">
        <f>IF(ISNUMBER(Z99)=TRUE,IF(_xlfn.RANK.EQ(Z99,$Z$2:$Z$111)&lt;='Tournament Setup'!$C$29,_xlfn.RANK.EQ(Z99,$Z$2:$Z$111),""),"")</f>
        <v/>
      </c>
      <c r="AB99" s="31" t="str">
        <f>IF(AND($F99='Tournament Setup'!$A$29,SUM($O99,$S99)=0,$E99="F",$Y99&gt;'Tournament Setup'!$B$29),$H99,"")</f>
        <v/>
      </c>
      <c r="AC99" s="12" t="str">
        <f>IF(ISNUMBER(AB99)=TRUE,IF(_xlfn.RANK.EQ(AB99,$AB$2:$AB$111)&lt;='Tournament Setup'!$D$29,_xlfn.RANK.EQ(AB99,$AB$2:$AB$111),""),"")</f>
        <v/>
      </c>
      <c r="AD99" s="30" t="str">
        <f>IF(AND($F99='Tournament Setup'!$A$30,$I99&lt;&gt;0),$I99,"")</f>
        <v/>
      </c>
      <c r="AE99" s="47" t="str">
        <f>IF(ISNUMBER(AD99),IF(COUNTIFS(AE$1:AE98,_xlfn.RANK.EQ(AD99,AD$2:AD$111,0))&gt;0,_xlfn.MAXIFS(AE$1:AE98,AD$1:AD98,AD99)+1,_xlfn.RANK.EQ(AD99,AD$2:AD$111,0)),"")</f>
        <v/>
      </c>
      <c r="AF99" s="1" t="str">
        <f>IF(ISNUMBER(AD99)=TRUE,IF(_xlfn.RANK.EQ(AD99,$AD$2:$AD$111)&lt;='Tournament Setup'!$B$46,_xlfn.RANK.EQ(AD99,$AD$2:$AD$111),""),"")</f>
        <v/>
      </c>
      <c r="AG99" s="30" t="str">
        <f>IF(AND($F99='Tournament Setup'!$A$30,SUM($O99,$Q99,$S99)=0),$H99,"")</f>
        <v/>
      </c>
      <c r="AH99" s="47" t="str">
        <f>IF(ISNUMBER(AG99),IF(COUNTIFS(AH$1:AH98,_xlfn.RANK.EQ(AG99,AG$2:AG$111,0))&gt;0,_xlfn.MAXIFS(AH$1:AH98,AG$1:AG98,AG99)+1,_xlfn.RANK.EQ(AG99,AG$2:AG$111,0)),"")</f>
        <v/>
      </c>
      <c r="AI99" s="1" t="str">
        <f>IF(ISNUMBER(AG99)=TRUE,IF(_xlfn.RANK.EQ(AG99,$AG$2:$AG$111)&lt;='Tournament Setup'!$B$30,_xlfn.RANK.EQ(AG99,$AG$2:$AG$111),""),"")</f>
        <v/>
      </c>
      <c r="AJ99" s="31" t="str">
        <f>IF(AND($F99='Tournament Setup'!$A$30,SUM($O99,$Q99)=0,$E99="M",$AI99&gt;'Tournament Setup'!$B$30),$H99,"")</f>
        <v/>
      </c>
      <c r="AK99" s="1" t="str">
        <f>IF(ISNUMBER(AJ99)=TRUE,IF(_xlfn.RANK.EQ(AJ99,$AJ$2:$AJ$111)&lt;='Tournament Setup'!$C$30,_xlfn.RANK.EQ(AJ99,$AJ$2:$AJ$111),""),"")</f>
        <v/>
      </c>
      <c r="AL99" s="31" t="str">
        <f>IF(AND($F99='Tournament Setup'!$A$30,SUM($O99,$S99)=0,$E99="F",$AI99&gt;'Tournament Setup'!$B$30),$H99,"")</f>
        <v/>
      </c>
      <c r="AM99" s="12" t="str">
        <f>IF(ISNUMBER(AL99)=TRUE,IF(_xlfn.RANK.EQ(AL99,$AL$2:$AL$111)&lt;='Tournament Setup'!$D$30,_xlfn.RANK.EQ(AL99,$AL$2:$AL$111),""),"")</f>
        <v/>
      </c>
      <c r="AN99" s="30" t="str">
        <f>IF(AND($F99='Tournament Setup'!$A$31,$I99&lt;&gt;0),$I99,"")</f>
        <v/>
      </c>
      <c r="AO99" s="47" t="str">
        <f>IF(ISNUMBER(AN99),IF(COUNTIFS(AO$1:AO98,_xlfn.RANK.EQ(AN99,AN$2:AN$111,0))&gt;0,_xlfn.MAXIFS(AO$1:AO98,AN$1:AN98,AN99)+1,_xlfn.RANK.EQ(AN99,AN$2:AN$111,0)),"")</f>
        <v/>
      </c>
      <c r="AP99" s="1" t="str">
        <f>IF(ISNUMBER(AN99)=TRUE,IF(_xlfn.RANK.EQ(AN99,$AN$2:$AN$111)&lt;='Tournament Setup'!$B$46,_xlfn.RANK.EQ(AN99,$AN$2:$AN$111),""),"")</f>
        <v/>
      </c>
      <c r="AQ99" s="30" t="str">
        <f>IF(AND($F99='Tournament Setup'!$A$31,SUM($O99,$Q99,$S99)=0),$H99,"")</f>
        <v/>
      </c>
      <c r="AR99" s="47" t="str">
        <f>IF(ISNUMBER(AQ99),IF(COUNTIFS(AR$1:AR98,_xlfn.RANK.EQ(AQ99,AQ$2:AQ$111,0))&gt;0,_xlfn.MAXIFS(AR$1:AR98,AQ$1:AQ98,AQ99)+1,_xlfn.RANK.EQ(AQ99,AQ$2:AQ$111,0)),"")</f>
        <v/>
      </c>
      <c r="AS99" s="1" t="str">
        <f>IF(ISNUMBER(AQ99)=TRUE,IF(_xlfn.RANK.EQ(AQ99,$AQ$2:$AQ$111)&lt;='Tournament Setup'!$B$31,_xlfn.RANK.EQ(AQ99,$AQ$2:$AQ$111),""),"")</f>
        <v/>
      </c>
      <c r="AT99" s="31" t="str">
        <f>IF(AND($F99='Tournament Setup'!$A$31,SUM($O99,$Q99)=0,$E99="M",$AS99&gt;'Tournament Setup'!$B$31),$H99,"")</f>
        <v/>
      </c>
      <c r="AU99" s="1" t="str">
        <f>IF(ISNUMBER(AT99)=TRUE,IF(_xlfn.RANK.EQ(AT99,$AT$2:$AT$111)&lt;='Tournament Setup'!$C$31,_xlfn.RANK.EQ(AT99,$AT$2:$AT$111),""),"")</f>
        <v/>
      </c>
      <c r="AV99" s="31" t="str">
        <f>IF(AND($F99='Tournament Setup'!$A$31,SUM($O99,$S99)=0,$E99="F",$AS99&gt;'Tournament Setup'!$B$31),$H99,"")</f>
        <v/>
      </c>
      <c r="AW99" s="12" t="str">
        <f>IF(ISNUMBER(AV99)=TRUE,IF(_xlfn.RANK.EQ(AV99,$AV$2:$AV$111)&lt;='Tournament Setup'!$D$31,_xlfn.RANK.EQ(AV99,$AV$2:$AV$111),""),"")</f>
        <v/>
      </c>
      <c r="AX99" s="30" t="str">
        <f>IF(AND($F99='Tournament Setup'!$A$32,$I99&lt;&gt;0),$I99,"")</f>
        <v/>
      </c>
      <c r="AY99" s="47" t="str">
        <f>IF(ISNUMBER(AX99),IF(COUNTIFS(AY$1:AY98,_xlfn.RANK.EQ(AX99,AX$2:AX$111,0))&gt;0,_xlfn.MAXIFS(AY$1:AY98,AX$1:AX98,AX99)+1,_xlfn.RANK.EQ(AX99,AX$2:AX$111,0)),"")</f>
        <v/>
      </c>
      <c r="AZ99" s="1" t="str">
        <f>IF(ISNUMBER(AX99)=TRUE,IF(_xlfn.RANK.EQ(AX99,$AX$2:$AX$111)&lt;='Tournament Setup'!$B$46,_xlfn.RANK.EQ(AX99,$AX$2:$AX$111),""),"")</f>
        <v/>
      </c>
      <c r="BA99" s="30" t="str">
        <f>IF(AND($F99='Tournament Setup'!$A$32,SUM($O99,$Q99,$S99)=0),$H99,"")</f>
        <v/>
      </c>
      <c r="BB99" s="47" t="str">
        <f>IF(ISNUMBER(BA99),IF(COUNTIFS(BB$1:BB98,_xlfn.RANK.EQ(BA99,BA$2:BA$111,0))&gt;0,_xlfn.MAXIFS(BB$1:BB98,BA$1:BA98,BA99)+1,_xlfn.RANK.EQ(BA99,BA$2:BA$111,0)),"")</f>
        <v/>
      </c>
      <c r="BC99" s="1" t="str">
        <f>IF(ISNUMBER(BA99)=TRUE,IF(_xlfn.RANK.EQ(BA99,$BA$2:$BA$111)&lt;='Tournament Setup'!$B$32,_xlfn.RANK.EQ(BA99,$BA$2:$BA$111),""),"")</f>
        <v/>
      </c>
      <c r="BD99" s="31" t="str">
        <f>IF(AND($F99='Tournament Setup'!$A$32,SUM($O99,$Q99)=0,$E99="M",$BC99&gt;'Tournament Setup'!$B$32),$H99,"")</f>
        <v/>
      </c>
      <c r="BE99" s="1" t="str">
        <f>IF(ISNUMBER(BD99)=TRUE,IF(_xlfn.RANK.EQ(BD99,$BD$2:$BD$111)&lt;='Tournament Setup'!$C$32,_xlfn.RANK.EQ(BD99,$BD$2:$BD$111),""),"")</f>
        <v/>
      </c>
      <c r="BF99" s="31" t="str">
        <f>IF(AND($F99='Tournament Setup'!$A$32,SUM($O99,$S99)=0,$E99="F",$BC99&gt;'Tournament Setup'!$B$32),$H99,"")</f>
        <v/>
      </c>
      <c r="BG99" s="12" t="str">
        <f>IF(ISNUMBER(BF99)=TRUE,IF(_xlfn.RANK.EQ(BF99,$BF$2:$BF$111)&lt;='Tournament Setup'!$D$32,_xlfn.RANK.EQ(BF99,$BF$2:$BF$111),""),"")</f>
        <v/>
      </c>
      <c r="BH99" s="30" t="str">
        <f>IF(AND($F99='Tournament Setup'!$A$33,$I99&lt;&gt;0),$I99,"")</f>
        <v/>
      </c>
      <c r="BI99" s="47" t="str">
        <f>IF(ISNUMBER(BH99),IF(COUNTIFS(BI$1:BI98,_xlfn.RANK.EQ(BH99,BH$2:BH$111,0))&gt;0,_xlfn.MAXIFS(BI$1:BI98,BH$1:BH98,BH99)+1,_xlfn.RANK.EQ(BH99,BH$2:BH$111,0)),"")</f>
        <v/>
      </c>
      <c r="BJ99" s="1" t="str">
        <f>IF(ISNUMBER(BH99)=TRUE,IF(_xlfn.RANK.EQ(BH99,$BH$2:$BH$111)&lt;='Tournament Setup'!$B$46,_xlfn.RANK.EQ(BH99,$BH$2:$BH$111),""),"")</f>
        <v/>
      </c>
      <c r="BK99" s="30" t="str">
        <f>IF(AND($F99='Tournament Setup'!$A$33,SUM($O99,$Q99,$S99)=0),$H99,"")</f>
        <v/>
      </c>
      <c r="BL99" s="47" t="str">
        <f>IF(ISNUMBER(BK99),IF(COUNTIFS(BL$1:BL98,_xlfn.RANK.EQ(BK99,BK$2:BK$111,0))&gt;0,_xlfn.MAXIFS(BL$1:BL98,BK$1:BK98,BK99)+1,_xlfn.RANK.EQ(BK99,BK$2:BK$111,0)),"")</f>
        <v/>
      </c>
      <c r="BM99" s="1" t="str">
        <f>IF(ISNUMBER(BK99)=TRUE,IF(_xlfn.RANK.EQ(BK99,$BK$2:$BK$111)&lt;='Tournament Setup'!$B$33,_xlfn.RANK.EQ(BK99,$BK$2:$BK$111),""),"")</f>
        <v/>
      </c>
      <c r="BN99" s="31" t="str">
        <f>IF(AND($F99='Tournament Setup'!$A$33,SUM($O99,$Q99)=0,$E99="M",$BM99&gt;'Tournament Setup'!$B$33),$H99,"")</f>
        <v/>
      </c>
      <c r="BO99" s="1" t="str">
        <f>IF(ISNUMBER(BN99)=TRUE,IF(_xlfn.RANK.EQ(BN99,$BN$2:$BN$111)&lt;='Tournament Setup'!$C$33,_xlfn.RANK.EQ(BN99,$BN$2:$BN$111),""),"")</f>
        <v/>
      </c>
      <c r="BP99" s="31" t="str">
        <f>IF(AND($F99='Tournament Setup'!$A$33,SUM($O99,$S99)=0,$E99="F",$BM99&gt;'Tournament Setup'!$B$33),$H99,"")</f>
        <v/>
      </c>
      <c r="BQ99" s="12" t="str">
        <f>IF(ISNUMBER(BP99)=TRUE,IF(_xlfn.RANK.EQ(BP99,$BP$2:$BP$111)&lt;='Tournament Setup'!$D$33,_xlfn.RANK.EQ(BP99,$BP$2:$BP$111),""),"")</f>
        <v/>
      </c>
      <c r="BR99" s="30" t="str">
        <f>IF($G99='Tournament Setup'!$A$38,$H99,"")</f>
        <v/>
      </c>
      <c r="BS99" s="47" t="str">
        <f>IF(ISNUMBER(BR99),IF(COUNTIFS(BS$1:BS98,_xlfn.RANK.EQ(BR99,BR$2:BR$111,0))&gt;0,_xlfn.MAXIFS(BS$1:BS98,BR$1:BR98,BR99)+1,_xlfn.RANK.EQ(BR99,BR$2:BR$111,0)),"")</f>
        <v/>
      </c>
      <c r="BT99" s="1" t="str">
        <f>IF(ISNUMBER(BR99)=TRUE,IF(_xlfn.RANK.EQ(BR99,$BR$2:$BR$111)&lt;='Tournament Setup'!$B$38,_xlfn.RANK.EQ(BR99,$BR$2:$BR$111),""),"")</f>
        <v/>
      </c>
      <c r="BU99" s="31" t="str">
        <f>IF(AND($G99='Tournament Setup'!$A$38,$E99="M",$BT99&gt;'Tournament Setup'!$B$38),$H99,"")</f>
        <v/>
      </c>
      <c r="BV99" s="1" t="str">
        <f>IF(ISNUMBER(BU99)=TRUE,IF(_xlfn.RANK.EQ(BU99,$BU$2:$BU$111)&lt;='Tournament Setup'!$C$38,_xlfn.RANK.EQ(BU99,$BU$2:$BU$111),""),"")</f>
        <v/>
      </c>
      <c r="BW99" s="31" t="str">
        <f>IF(AND($G99='Tournament Setup'!$A$38,$E99="F",$BT99&gt;'Tournament Setup'!$B$38),$H99,"")</f>
        <v/>
      </c>
      <c r="BX99" s="12" t="str">
        <f>IF(ISNUMBER(BW99)=TRUE,IF(_xlfn.RANK.EQ(BW99,$BW$2:$BW$111)&lt;='Tournament Setup'!$D$38,_xlfn.RANK.EQ(BW99,$BW$2:$BW$111),""),"")</f>
        <v/>
      </c>
      <c r="BY99" s="30" t="str">
        <f>IF($G99='Tournament Setup'!$A$39,$H99,"")</f>
        <v/>
      </c>
      <c r="BZ99" s="47" t="str">
        <f>IF(ISNUMBER(BY99),IF(COUNTIFS(BZ$1:BZ98,_xlfn.RANK.EQ(BY99,BY$2:BY$111,0))&gt;0,_xlfn.MAXIFS(BZ$1:BZ98,BY$1:BY98,BY99)+1,_xlfn.RANK.EQ(BY99,BY$2:BY$111,0)),"")</f>
        <v/>
      </c>
      <c r="CA99" s="1" t="str">
        <f>IF(ISNUMBER(BY99)=TRUE,IF(_xlfn.RANK.EQ(BY99,$BY$2:$BY$111)&lt;='Tournament Setup'!$B$39,_xlfn.RANK.EQ(BY99,$BY$2:$BY$111),""),"")</f>
        <v/>
      </c>
      <c r="CB99" s="31" t="str">
        <f>IF(AND($G99='Tournament Setup'!$A$39,$E99="M",$CA99&gt;'Tournament Setup'!$B$39),$H99,"")</f>
        <v/>
      </c>
      <c r="CC99" s="1" t="str">
        <f>IF(ISNUMBER(CB99)=TRUE,IF(_xlfn.RANK.EQ(CB99,$CB$2:$CB$111)&lt;='Tournament Setup'!$C$39,_xlfn.RANK.EQ(CB99,$CB$2:$CB$111),""),"")</f>
        <v/>
      </c>
      <c r="CD99" s="31" t="str">
        <f>IF(AND($G99='Tournament Setup'!$A$39,$E99="F",$CA99&gt;'Tournament Setup'!$B$39),$H99,"")</f>
        <v/>
      </c>
      <c r="CE99" s="12" t="str">
        <f>IF(ISNUMBER(CD99)=TRUE,IF(_xlfn.RANK.EQ(CD99,$CD$2:$CD$111)&lt;='Tournament Setup'!$D$39,_xlfn.RANK.EQ(CD99,$CD$2:$CD$111),""),"")</f>
        <v/>
      </c>
      <c r="CF99" s="30" t="str">
        <f>IF($G99='Tournament Setup'!$A$40,$H99,"")</f>
        <v/>
      </c>
      <c r="CG99" s="47" t="str">
        <f>IF(ISNUMBER(CF99),IF(COUNTIFS(CG$1:CG98,_xlfn.RANK.EQ(CF99,CF$2:CF$111,0))&gt;0,_xlfn.MAXIFS(CG$1:CG98,CF$1:CF98,CF99)+1,_xlfn.RANK.EQ(CF99,CF$2:CF$111,0)),"")</f>
        <v/>
      </c>
      <c r="CH99" s="1" t="str">
        <f>IF(ISNUMBER(CF99)=TRUE,IF(_xlfn.RANK.EQ(CF99,$CF$2:$CF$111)&lt;='Tournament Setup'!$B$40,_xlfn.RANK.EQ(CF99,$CF$2:$CF$111),""),"")</f>
        <v/>
      </c>
      <c r="CI99" s="31" t="str">
        <f>IF(AND($G99='Tournament Setup'!$A$40,$E99="M",$CH99&gt;'Tournament Setup'!$B$40),$H99,"")</f>
        <v/>
      </c>
      <c r="CJ99" s="1" t="str">
        <f>IF(ISNUMBER(CI99)=TRUE,IF(_xlfn.RANK.EQ(CI99,$CI$2:$CI$111)&lt;='Tournament Setup'!$C$40,_xlfn.RANK.EQ(CI99,$CI$2:$CI$111),""),"")</f>
        <v/>
      </c>
      <c r="CK99" s="31" t="str">
        <f>IF(AND($G99='Tournament Setup'!$A$40,$E99="F",$CH99&gt;'Tournament Setup'!$B$40),$H99,"")</f>
        <v/>
      </c>
      <c r="CL99" s="12" t="str">
        <f>IF(ISNUMBER(CK99)=TRUE,IF(_xlfn.RANK.EQ(CK99,$CK$2:$CK$111)&lt;='Tournament Setup'!$D$40,_xlfn.RANK.EQ(CK99,$CK$2:$CK$111),""),"")</f>
        <v/>
      </c>
      <c r="CM99" s="30" t="str">
        <f>IF($G99='Tournament Setup'!$A$41,$H99,"")</f>
        <v/>
      </c>
      <c r="CN99" s="47" t="str">
        <f>IF(ISNUMBER(CM99),IF(COUNTIFS(CN$1:CN98,_xlfn.RANK.EQ(CM99,CM$2:CM$111,0))&gt;0,_xlfn.MAXIFS(CN$1:CN98,CM$1:CM98,CM99)+1,_xlfn.RANK.EQ(CM99,CM$2:CM$111,0)),"")</f>
        <v/>
      </c>
      <c r="CO99" s="1" t="str">
        <f>IF(ISNUMBER(CM99)=TRUE,IF(_xlfn.RANK.EQ(CM99,$CM$2:$CM$111)&lt;='Tournament Setup'!$B$41,_xlfn.RANK.EQ(CM99,$CM$2:$CM$111),""),"")</f>
        <v/>
      </c>
      <c r="CP99" s="31" t="str">
        <f>IF(AND($G99='Tournament Setup'!$A$41,$E99="M",$CO99&gt;'Tournament Setup'!$B$41),$H99,"")</f>
        <v/>
      </c>
      <c r="CQ99" s="1" t="str">
        <f>IF(ISNUMBER(CP99)=TRUE,IF(_xlfn.RANK.EQ(CP99,$CP$2:$CP$111)&lt;='Tournament Setup'!$C$41,_xlfn.RANK.EQ(CP99,$CP$2:$CP$111),""),"")</f>
        <v/>
      </c>
      <c r="CR99" s="31" t="str">
        <f>IF(AND($G99='Tournament Setup'!$A$41,$E99="F",$CO99&gt;'Tournament Setup'!$B$41),$H99,"")</f>
        <v/>
      </c>
      <c r="CS99" s="12" t="str">
        <f>IF(ISNUMBER(CR99)=TRUE,IF(_xlfn.RANK.EQ(CR99,$CR$2:$CR$111)&lt;='Tournament Setup'!$D$41,_xlfn.RANK.EQ(CR99,$CR$2:$CR$111),""),"")</f>
        <v/>
      </c>
    </row>
    <row r="100" spans="2:97" x14ac:dyDescent="0.3">
      <c r="B100" t="str">
        <f>IFERROR(INDEX('Tournament List'!$B:$B,MATCH($A100,'Tournament List'!$A:$A,0)),"")</f>
        <v/>
      </c>
      <c r="C100" t="str">
        <f>IFERROR(INDEX('Tournament List'!$C:$C,MATCH($A100,'Tournament List'!$A:$A,0)),"")</f>
        <v/>
      </c>
      <c r="D100" t="str">
        <f t="shared" si="20"/>
        <v xml:space="preserve"> </v>
      </c>
      <c r="E100" s="1" t="str">
        <f>IFERROR(INDEX('Tournament List'!F:F,MATCH($A100,'Tournament List'!$A:$A,0)),"")</f>
        <v/>
      </c>
      <c r="F100" t="str">
        <f>IFERROR(INDEX('Tournament List'!M:M,MATCH($A100,'Tournament List'!$A:$A,0)),"")</f>
        <v/>
      </c>
      <c r="G100" s="1" t="str">
        <f>IFERROR(INDEX('Tournament List'!W:W,MATCH($A100,'Tournament List'!$A:$A,0)),"")</f>
        <v/>
      </c>
      <c r="H100" s="129" t="str">
        <f>IFERROR(INDEX('Tournament List'!Z:Z,MATCH($A100,'Tournament List'!$A:$A,0)),"")</f>
        <v/>
      </c>
      <c r="I100" s="152" t="str">
        <f>IFERROR(INDEX('Tournament List'!T:T,MATCH($A100,'Tournament List'!$A:$A,0)),"")</f>
        <v/>
      </c>
      <c r="J100" s="56" t="str">
        <f>IF(ISNUMBER(I100),IF(COUNTIFS(J$1:J99,_xlfn.RANK.EQ(I100,I$2:I$111,0))&gt;0,_xlfn.MAXIFS(J$1:J99,I$1:I99,I100)+1,_xlfn.RANK.EQ(I100,I$2:I$111,0)),"")</f>
        <v/>
      </c>
      <c r="K100" s="11" t="str">
        <f t="shared" si="21"/>
        <v/>
      </c>
      <c r="L100" s="56" t="str">
        <f>IF(ISNUMBER(H100),IF(COUNTIFS(L$1:L99,_xlfn.RANK.EQ(H100,H$2:H$111,0))&gt;0,_xlfn.MAXIFS(L$1:L99,H$1:H99,H100)+1,_xlfn.RANK.EQ(H100,H$2:H$111,0)),"")</f>
        <v/>
      </c>
      <c r="M100" s="151" t="str">
        <f t="shared" si="22"/>
        <v/>
      </c>
      <c r="N100" s="47" t="str">
        <f>IF(ISNUMBER(M100),IF(COUNTIFS(N$1:N99,_xlfn.RANK.EQ(M100,M$2:M$111,0))&gt;0,_xlfn.MAXIFS(N$1:N99,M$1:M99,M100)+1,_xlfn.RANK.EQ(M100,M$2:M$111,0)),"")</f>
        <v/>
      </c>
      <c r="O100" s="1" t="str">
        <f>IF(ISNUMBER(M100)=TRUE,IF(_xlfn.RANK.EQ(M100,$M$2:$M$111)&lt;='Tournament Setup'!$B$23,_xlfn.RANK.EQ(M100,$M$2:$M$111),""),"")</f>
        <v/>
      </c>
      <c r="P100" s="150" t="str">
        <f t="shared" si="23"/>
        <v/>
      </c>
      <c r="Q100" s="1" t="str">
        <f>IF(ISNUMBER(P100)=TRUE,IF(_xlfn.RANK.EQ(P100,$P$2:$P$111)&lt;='Tournament Setup'!$B$24,_xlfn.RANK.EQ(P100,$P$2:$P$111),""),"")</f>
        <v/>
      </c>
      <c r="R100" s="150" t="str">
        <f t="shared" si="24"/>
        <v/>
      </c>
      <c r="S100" s="12" t="str">
        <f>IF(ISNUMBER(R100)=TRUE,IF(_xlfn.RANK.EQ(R100,$R$2:$R$111)&lt;='Tournament Setup'!$B$25,_xlfn.RANK.EQ(R100,$R$2:$R$111),""),"")</f>
        <v/>
      </c>
      <c r="T100" s="152" t="str">
        <f>IF(AND($F100='Tournament Setup'!$A$29,$I100&lt;&gt;0),$I100,"")</f>
        <v/>
      </c>
      <c r="U100" s="47" t="str">
        <f>IF(ISNUMBER(T100),IF(COUNTIFS(U$1:U99,_xlfn.RANK.EQ(T100,T$2:T$111,0))&gt;0,_xlfn.MAXIFS(U$1:U99,T$1:T99,T100)+1,_xlfn.RANK.EQ(T100,T$2:T$111,0)),"")</f>
        <v/>
      </c>
      <c r="V100" s="1" t="str">
        <f>IF(ISNUMBER(T100)=TRUE,IF(_xlfn.RANK.EQ(T100,$T$3:$T$112)&lt;='Tournament Setup'!$B$46,_xlfn.RANK.EQ(T100,$T$2:$T$111),""),"")</f>
        <v/>
      </c>
      <c r="W100" s="30" t="str">
        <f>IF(AND($F100='Tournament Setup'!$A$29,SUM($O100,$Q100,$S100)=0),$H100,"")</f>
        <v/>
      </c>
      <c r="X100" s="47" t="str">
        <f>IF(ISNUMBER(W100),IF(COUNTIFS(X$1:X99,_xlfn.RANK.EQ(W100,W$2:W$111,0))&gt;0,_xlfn.MAXIFS(X$1:X99,W$1:W99,W100)+1,_xlfn.RANK.EQ(W100,W$2:W$111,0)),"")</f>
        <v/>
      </c>
      <c r="Y100" s="1" t="str">
        <f>IF(ISNUMBER(W100)=TRUE,IF(_xlfn.RANK.EQ(W100,$W$2:$W$111)&lt;='Tournament Setup'!$B$29,_xlfn.RANK.EQ(W100,$W$2:$W$111),""),"")</f>
        <v/>
      </c>
      <c r="Z100" s="31" t="str">
        <f>IF(AND($F100='Tournament Setup'!$A$29,SUM($O100,$Q100)=0,$E100="M",$Y100&gt;'Tournament Setup'!$B$29),$H100,"")</f>
        <v/>
      </c>
      <c r="AA100" s="1" t="str">
        <f>IF(ISNUMBER(Z100)=TRUE,IF(_xlfn.RANK.EQ(Z100,$Z$2:$Z$111)&lt;='Tournament Setup'!$C$29,_xlfn.RANK.EQ(Z100,$Z$2:$Z$111),""),"")</f>
        <v/>
      </c>
      <c r="AB100" s="31" t="str">
        <f>IF(AND($F100='Tournament Setup'!$A$29,SUM($O100,$S100)=0,$E100="F",$Y100&gt;'Tournament Setup'!$B$29),$H100,"")</f>
        <v/>
      </c>
      <c r="AC100" s="12" t="str">
        <f>IF(ISNUMBER(AB100)=TRUE,IF(_xlfn.RANK.EQ(AB100,$AB$2:$AB$111)&lt;='Tournament Setup'!$D$29,_xlfn.RANK.EQ(AB100,$AB$2:$AB$111),""),"")</f>
        <v/>
      </c>
      <c r="AD100" s="30" t="str">
        <f>IF(AND($F100='Tournament Setup'!$A$30,$I100&lt;&gt;0),$I100,"")</f>
        <v/>
      </c>
      <c r="AE100" s="47" t="str">
        <f>IF(ISNUMBER(AD100),IF(COUNTIFS(AE$1:AE99,_xlfn.RANK.EQ(AD100,AD$2:AD$111,0))&gt;0,_xlfn.MAXIFS(AE$1:AE99,AD$1:AD99,AD100)+1,_xlfn.RANK.EQ(AD100,AD$2:AD$111,0)),"")</f>
        <v/>
      </c>
      <c r="AF100" s="1" t="str">
        <f>IF(ISNUMBER(AD100)=TRUE,IF(_xlfn.RANK.EQ(AD100,$AD$2:$AD$111)&lt;='Tournament Setup'!$B$46,_xlfn.RANK.EQ(AD100,$AD$2:$AD$111),""),"")</f>
        <v/>
      </c>
      <c r="AG100" s="30" t="str">
        <f>IF(AND($F100='Tournament Setup'!$A$30,SUM($O100,$Q100,$S100)=0),$H100,"")</f>
        <v/>
      </c>
      <c r="AH100" s="47" t="str">
        <f>IF(ISNUMBER(AG100),IF(COUNTIFS(AH$1:AH99,_xlfn.RANK.EQ(AG100,AG$2:AG$111,0))&gt;0,_xlfn.MAXIFS(AH$1:AH99,AG$1:AG99,AG100)+1,_xlfn.RANK.EQ(AG100,AG$2:AG$111,0)),"")</f>
        <v/>
      </c>
      <c r="AI100" s="1" t="str">
        <f>IF(ISNUMBER(AG100)=TRUE,IF(_xlfn.RANK.EQ(AG100,$AG$2:$AG$111)&lt;='Tournament Setup'!$B$30,_xlfn.RANK.EQ(AG100,$AG$2:$AG$111),""),"")</f>
        <v/>
      </c>
      <c r="AJ100" s="31" t="str">
        <f>IF(AND($F100='Tournament Setup'!$A$30,SUM($O100,$Q100)=0,$E100="M",$AI100&gt;'Tournament Setup'!$B$30),$H100,"")</f>
        <v/>
      </c>
      <c r="AK100" s="1" t="str">
        <f>IF(ISNUMBER(AJ100)=TRUE,IF(_xlfn.RANK.EQ(AJ100,$AJ$2:$AJ$111)&lt;='Tournament Setup'!$C$30,_xlfn.RANK.EQ(AJ100,$AJ$2:$AJ$111),""),"")</f>
        <v/>
      </c>
      <c r="AL100" s="31" t="str">
        <f>IF(AND($F100='Tournament Setup'!$A$30,SUM($O100,$S100)=0,$E100="F",$AI100&gt;'Tournament Setup'!$B$30),$H100,"")</f>
        <v/>
      </c>
      <c r="AM100" s="12" t="str">
        <f>IF(ISNUMBER(AL100)=TRUE,IF(_xlfn.RANK.EQ(AL100,$AL$2:$AL$111)&lt;='Tournament Setup'!$D$30,_xlfn.RANK.EQ(AL100,$AL$2:$AL$111),""),"")</f>
        <v/>
      </c>
      <c r="AN100" s="30" t="str">
        <f>IF(AND($F100='Tournament Setup'!$A$31,$I100&lt;&gt;0),$I100,"")</f>
        <v/>
      </c>
      <c r="AO100" s="47" t="str">
        <f>IF(ISNUMBER(AN100),IF(COUNTIFS(AO$1:AO99,_xlfn.RANK.EQ(AN100,AN$2:AN$111,0))&gt;0,_xlfn.MAXIFS(AO$1:AO99,AN$1:AN99,AN100)+1,_xlfn.RANK.EQ(AN100,AN$2:AN$111,0)),"")</f>
        <v/>
      </c>
      <c r="AP100" s="1" t="str">
        <f>IF(ISNUMBER(AN100)=TRUE,IF(_xlfn.RANK.EQ(AN100,$AN$2:$AN$111)&lt;='Tournament Setup'!$B$46,_xlfn.RANK.EQ(AN100,$AN$2:$AN$111),""),"")</f>
        <v/>
      </c>
      <c r="AQ100" s="30" t="str">
        <f>IF(AND($F100='Tournament Setup'!$A$31,SUM($O100,$Q100,$S100)=0),$H100,"")</f>
        <v/>
      </c>
      <c r="AR100" s="47" t="str">
        <f>IF(ISNUMBER(AQ100),IF(COUNTIFS(AR$1:AR99,_xlfn.RANK.EQ(AQ100,AQ$2:AQ$111,0))&gt;0,_xlfn.MAXIFS(AR$1:AR99,AQ$1:AQ99,AQ100)+1,_xlfn.RANK.EQ(AQ100,AQ$2:AQ$111,0)),"")</f>
        <v/>
      </c>
      <c r="AS100" s="1" t="str">
        <f>IF(ISNUMBER(AQ100)=TRUE,IF(_xlfn.RANK.EQ(AQ100,$AQ$2:$AQ$111)&lt;='Tournament Setup'!$B$31,_xlfn.RANK.EQ(AQ100,$AQ$2:$AQ$111),""),"")</f>
        <v/>
      </c>
      <c r="AT100" s="31" t="str">
        <f>IF(AND($F100='Tournament Setup'!$A$31,SUM($O100,$Q100)=0,$E100="M",$AS100&gt;'Tournament Setup'!$B$31),$H100,"")</f>
        <v/>
      </c>
      <c r="AU100" s="1" t="str">
        <f>IF(ISNUMBER(AT100)=TRUE,IF(_xlfn.RANK.EQ(AT100,$AT$2:$AT$111)&lt;='Tournament Setup'!$C$31,_xlfn.RANK.EQ(AT100,$AT$2:$AT$111),""),"")</f>
        <v/>
      </c>
      <c r="AV100" s="31" t="str">
        <f>IF(AND($F100='Tournament Setup'!$A$31,SUM($O100,$S100)=0,$E100="F",$AS100&gt;'Tournament Setup'!$B$31),$H100,"")</f>
        <v/>
      </c>
      <c r="AW100" s="12" t="str">
        <f>IF(ISNUMBER(AV100)=TRUE,IF(_xlfn.RANK.EQ(AV100,$AV$2:$AV$111)&lt;='Tournament Setup'!$D$31,_xlfn.RANK.EQ(AV100,$AV$2:$AV$111),""),"")</f>
        <v/>
      </c>
      <c r="AX100" s="30" t="str">
        <f>IF(AND($F100='Tournament Setup'!$A$32,$I100&lt;&gt;0),$I100,"")</f>
        <v/>
      </c>
      <c r="AY100" s="47" t="str">
        <f>IF(ISNUMBER(AX100),IF(COUNTIFS(AY$1:AY99,_xlfn.RANK.EQ(AX100,AX$2:AX$111,0))&gt;0,_xlfn.MAXIFS(AY$1:AY99,AX$1:AX99,AX100)+1,_xlfn.RANK.EQ(AX100,AX$2:AX$111,0)),"")</f>
        <v/>
      </c>
      <c r="AZ100" s="1" t="str">
        <f>IF(ISNUMBER(AX100)=TRUE,IF(_xlfn.RANK.EQ(AX100,$AX$2:$AX$111)&lt;='Tournament Setup'!$B$46,_xlfn.RANK.EQ(AX100,$AX$2:$AX$111),""),"")</f>
        <v/>
      </c>
      <c r="BA100" s="30" t="str">
        <f>IF(AND($F100='Tournament Setup'!$A$32,SUM($O100,$Q100,$S100)=0),$H100,"")</f>
        <v/>
      </c>
      <c r="BB100" s="47" t="str">
        <f>IF(ISNUMBER(BA100),IF(COUNTIFS(BB$1:BB99,_xlfn.RANK.EQ(BA100,BA$2:BA$111,0))&gt;0,_xlfn.MAXIFS(BB$1:BB99,BA$1:BA99,BA100)+1,_xlfn.RANK.EQ(BA100,BA$2:BA$111,0)),"")</f>
        <v/>
      </c>
      <c r="BC100" s="1" t="str">
        <f>IF(ISNUMBER(BA100)=TRUE,IF(_xlfn.RANK.EQ(BA100,$BA$2:$BA$111)&lt;='Tournament Setup'!$B$32,_xlfn.RANK.EQ(BA100,$BA$2:$BA$111),""),"")</f>
        <v/>
      </c>
      <c r="BD100" s="31" t="str">
        <f>IF(AND($F100='Tournament Setup'!$A$32,SUM($O100,$Q100)=0,$E100="M",$BC100&gt;'Tournament Setup'!$B$32),$H100,"")</f>
        <v/>
      </c>
      <c r="BE100" s="1" t="str">
        <f>IF(ISNUMBER(BD100)=TRUE,IF(_xlfn.RANK.EQ(BD100,$BD$2:$BD$111)&lt;='Tournament Setup'!$C$32,_xlfn.RANK.EQ(BD100,$BD$2:$BD$111),""),"")</f>
        <v/>
      </c>
      <c r="BF100" s="31" t="str">
        <f>IF(AND($F100='Tournament Setup'!$A$32,SUM($O100,$S100)=0,$E100="F",$BC100&gt;'Tournament Setup'!$B$32),$H100,"")</f>
        <v/>
      </c>
      <c r="BG100" s="12" t="str">
        <f>IF(ISNUMBER(BF100)=TRUE,IF(_xlfn.RANK.EQ(BF100,$BF$2:$BF$111)&lt;='Tournament Setup'!$D$32,_xlfn.RANK.EQ(BF100,$BF$2:$BF$111),""),"")</f>
        <v/>
      </c>
      <c r="BH100" s="30" t="str">
        <f>IF(AND($F100='Tournament Setup'!$A$33,$I100&lt;&gt;0),$I100,"")</f>
        <v/>
      </c>
      <c r="BI100" s="47" t="str">
        <f>IF(ISNUMBER(BH100),IF(COUNTIFS(BI$1:BI99,_xlfn.RANK.EQ(BH100,BH$2:BH$111,0))&gt;0,_xlfn.MAXIFS(BI$1:BI99,BH$1:BH99,BH100)+1,_xlfn.RANK.EQ(BH100,BH$2:BH$111,0)),"")</f>
        <v/>
      </c>
      <c r="BJ100" s="1" t="str">
        <f>IF(ISNUMBER(BH100)=TRUE,IF(_xlfn.RANK.EQ(BH100,$BH$2:$BH$111)&lt;='Tournament Setup'!$B$46,_xlfn.RANK.EQ(BH100,$BH$2:$BH$111),""),"")</f>
        <v/>
      </c>
      <c r="BK100" s="30" t="str">
        <f>IF(AND($F100='Tournament Setup'!$A$33,SUM($O100,$Q100,$S100)=0),$H100,"")</f>
        <v/>
      </c>
      <c r="BL100" s="47" t="str">
        <f>IF(ISNUMBER(BK100),IF(COUNTIFS(BL$1:BL99,_xlfn.RANK.EQ(BK100,BK$2:BK$111,0))&gt;0,_xlfn.MAXIFS(BL$1:BL99,BK$1:BK99,BK100)+1,_xlfn.RANK.EQ(BK100,BK$2:BK$111,0)),"")</f>
        <v/>
      </c>
      <c r="BM100" s="1" t="str">
        <f>IF(ISNUMBER(BK100)=TRUE,IF(_xlfn.RANK.EQ(BK100,$BK$2:$BK$111)&lt;='Tournament Setup'!$B$33,_xlfn.RANK.EQ(BK100,$BK$2:$BK$111),""),"")</f>
        <v/>
      </c>
      <c r="BN100" s="31" t="str">
        <f>IF(AND($F100='Tournament Setup'!$A$33,SUM($O100,$Q100)=0,$E100="M",$BM100&gt;'Tournament Setup'!$B$33),$H100,"")</f>
        <v/>
      </c>
      <c r="BO100" s="1" t="str">
        <f>IF(ISNUMBER(BN100)=TRUE,IF(_xlfn.RANK.EQ(BN100,$BN$2:$BN$111)&lt;='Tournament Setup'!$C$33,_xlfn.RANK.EQ(BN100,$BN$2:$BN$111),""),"")</f>
        <v/>
      </c>
      <c r="BP100" s="31" t="str">
        <f>IF(AND($F100='Tournament Setup'!$A$33,SUM($O100,$S100)=0,$E100="F",$BM100&gt;'Tournament Setup'!$B$33),$H100,"")</f>
        <v/>
      </c>
      <c r="BQ100" s="12" t="str">
        <f>IF(ISNUMBER(BP100)=TRUE,IF(_xlfn.RANK.EQ(BP100,$BP$2:$BP$111)&lt;='Tournament Setup'!$D$33,_xlfn.RANK.EQ(BP100,$BP$2:$BP$111),""),"")</f>
        <v/>
      </c>
      <c r="BR100" s="30" t="str">
        <f>IF($G100='Tournament Setup'!$A$38,$H100,"")</f>
        <v/>
      </c>
      <c r="BS100" s="47" t="str">
        <f>IF(ISNUMBER(BR100),IF(COUNTIFS(BS$1:BS99,_xlfn.RANK.EQ(BR100,BR$2:BR$111,0))&gt;0,_xlfn.MAXIFS(BS$1:BS99,BR$1:BR99,BR100)+1,_xlfn.RANK.EQ(BR100,BR$2:BR$111,0)),"")</f>
        <v/>
      </c>
      <c r="BT100" s="1" t="str">
        <f>IF(ISNUMBER(BR100)=TRUE,IF(_xlfn.RANK.EQ(BR100,$BR$2:$BR$111)&lt;='Tournament Setup'!$B$38,_xlfn.RANK.EQ(BR100,$BR$2:$BR$111),""),"")</f>
        <v/>
      </c>
      <c r="BU100" s="31" t="str">
        <f>IF(AND($G100='Tournament Setup'!$A$38,$E100="M",$BT100&gt;'Tournament Setup'!$B$38),$H100,"")</f>
        <v/>
      </c>
      <c r="BV100" s="1" t="str">
        <f>IF(ISNUMBER(BU100)=TRUE,IF(_xlfn.RANK.EQ(BU100,$BU$2:$BU$111)&lt;='Tournament Setup'!$C$38,_xlfn.RANK.EQ(BU100,$BU$2:$BU$111),""),"")</f>
        <v/>
      </c>
      <c r="BW100" s="31" t="str">
        <f>IF(AND($G100='Tournament Setup'!$A$38,$E100="F",$BT100&gt;'Tournament Setup'!$B$38),$H100,"")</f>
        <v/>
      </c>
      <c r="BX100" s="12" t="str">
        <f>IF(ISNUMBER(BW100)=TRUE,IF(_xlfn.RANK.EQ(BW100,$BW$2:$BW$111)&lt;='Tournament Setup'!$D$38,_xlfn.RANK.EQ(BW100,$BW$2:$BW$111),""),"")</f>
        <v/>
      </c>
      <c r="BY100" s="30" t="str">
        <f>IF($G100='Tournament Setup'!$A$39,$H100,"")</f>
        <v/>
      </c>
      <c r="BZ100" s="47" t="str">
        <f>IF(ISNUMBER(BY100),IF(COUNTIFS(BZ$1:BZ99,_xlfn.RANK.EQ(BY100,BY$2:BY$111,0))&gt;0,_xlfn.MAXIFS(BZ$1:BZ99,BY$1:BY99,BY100)+1,_xlfn.RANK.EQ(BY100,BY$2:BY$111,0)),"")</f>
        <v/>
      </c>
      <c r="CA100" s="1" t="str">
        <f>IF(ISNUMBER(BY100)=TRUE,IF(_xlfn.RANK.EQ(BY100,$BY$2:$BY$111)&lt;='Tournament Setup'!$B$39,_xlfn.RANK.EQ(BY100,$BY$2:$BY$111),""),"")</f>
        <v/>
      </c>
      <c r="CB100" s="31" t="str">
        <f>IF(AND($G100='Tournament Setup'!$A$39,$E100="M",$CA100&gt;'Tournament Setup'!$B$39),$H100,"")</f>
        <v/>
      </c>
      <c r="CC100" s="1" t="str">
        <f>IF(ISNUMBER(CB100)=TRUE,IF(_xlfn.RANK.EQ(CB100,$CB$2:$CB$111)&lt;='Tournament Setup'!$C$39,_xlfn.RANK.EQ(CB100,$CB$2:$CB$111),""),"")</f>
        <v/>
      </c>
      <c r="CD100" s="31" t="str">
        <f>IF(AND($G100='Tournament Setup'!$A$39,$E100="F",$CA100&gt;'Tournament Setup'!$B$39),$H100,"")</f>
        <v/>
      </c>
      <c r="CE100" s="12" t="str">
        <f>IF(ISNUMBER(CD100)=TRUE,IF(_xlfn.RANK.EQ(CD100,$CD$2:$CD$111)&lt;='Tournament Setup'!$D$39,_xlfn.RANK.EQ(CD100,$CD$2:$CD$111),""),"")</f>
        <v/>
      </c>
      <c r="CF100" s="30" t="str">
        <f>IF($G100='Tournament Setup'!$A$40,$H100,"")</f>
        <v/>
      </c>
      <c r="CG100" s="47" t="str">
        <f>IF(ISNUMBER(CF100),IF(COUNTIFS(CG$1:CG99,_xlfn.RANK.EQ(CF100,CF$2:CF$111,0))&gt;0,_xlfn.MAXIFS(CG$1:CG99,CF$1:CF99,CF100)+1,_xlfn.RANK.EQ(CF100,CF$2:CF$111,0)),"")</f>
        <v/>
      </c>
      <c r="CH100" s="1" t="str">
        <f>IF(ISNUMBER(CF100)=TRUE,IF(_xlfn.RANK.EQ(CF100,$CF$2:$CF$111)&lt;='Tournament Setup'!$B$40,_xlfn.RANK.EQ(CF100,$CF$2:$CF$111),""),"")</f>
        <v/>
      </c>
      <c r="CI100" s="31" t="str">
        <f>IF(AND($G100='Tournament Setup'!$A$40,$E100="M",$CH100&gt;'Tournament Setup'!$B$40),$H100,"")</f>
        <v/>
      </c>
      <c r="CJ100" s="1" t="str">
        <f>IF(ISNUMBER(CI100)=TRUE,IF(_xlfn.RANK.EQ(CI100,$CI$2:$CI$111)&lt;='Tournament Setup'!$C$40,_xlfn.RANK.EQ(CI100,$CI$2:$CI$111),""),"")</f>
        <v/>
      </c>
      <c r="CK100" s="31" t="str">
        <f>IF(AND($G100='Tournament Setup'!$A$40,$E100="F",$CH100&gt;'Tournament Setup'!$B$40),$H100,"")</f>
        <v/>
      </c>
      <c r="CL100" s="12" t="str">
        <f>IF(ISNUMBER(CK100)=TRUE,IF(_xlfn.RANK.EQ(CK100,$CK$2:$CK$111)&lt;='Tournament Setup'!$D$40,_xlfn.RANK.EQ(CK100,$CK$2:$CK$111),""),"")</f>
        <v/>
      </c>
      <c r="CM100" s="30" t="str">
        <f>IF($G100='Tournament Setup'!$A$41,$H100,"")</f>
        <v/>
      </c>
      <c r="CN100" s="47" t="str">
        <f>IF(ISNUMBER(CM100),IF(COUNTIFS(CN$1:CN99,_xlfn.RANK.EQ(CM100,CM$2:CM$111,0))&gt;0,_xlfn.MAXIFS(CN$1:CN99,CM$1:CM99,CM100)+1,_xlfn.RANK.EQ(CM100,CM$2:CM$111,0)),"")</f>
        <v/>
      </c>
      <c r="CO100" s="1" t="str">
        <f>IF(ISNUMBER(CM100)=TRUE,IF(_xlfn.RANK.EQ(CM100,$CM$2:$CM$111)&lt;='Tournament Setup'!$B$41,_xlfn.RANK.EQ(CM100,$CM$2:$CM$111),""),"")</f>
        <v/>
      </c>
      <c r="CP100" s="31" t="str">
        <f>IF(AND($G100='Tournament Setup'!$A$41,$E100="M",$CO100&gt;'Tournament Setup'!$B$41),$H100,"")</f>
        <v/>
      </c>
      <c r="CQ100" s="1" t="str">
        <f>IF(ISNUMBER(CP100)=TRUE,IF(_xlfn.RANK.EQ(CP100,$CP$2:$CP$111)&lt;='Tournament Setup'!$C$41,_xlfn.RANK.EQ(CP100,$CP$2:$CP$111),""),"")</f>
        <v/>
      </c>
      <c r="CR100" s="31" t="str">
        <f>IF(AND($G100='Tournament Setup'!$A$41,$E100="F",$CO100&gt;'Tournament Setup'!$B$41),$H100,"")</f>
        <v/>
      </c>
      <c r="CS100" s="12" t="str">
        <f>IF(ISNUMBER(CR100)=TRUE,IF(_xlfn.RANK.EQ(CR100,$CR$2:$CR$111)&lt;='Tournament Setup'!$D$41,_xlfn.RANK.EQ(CR100,$CR$2:$CR$111),""),"")</f>
        <v/>
      </c>
    </row>
    <row r="101" spans="2:97" x14ac:dyDescent="0.3">
      <c r="B101" t="str">
        <f>IFERROR(INDEX('Tournament List'!$B:$B,MATCH($A101,'Tournament List'!$A:$A,0)),"")</f>
        <v/>
      </c>
      <c r="C101" t="str">
        <f>IFERROR(INDEX('Tournament List'!$C:$C,MATCH($A101,'Tournament List'!$A:$A,0)),"")</f>
        <v/>
      </c>
      <c r="D101" t="str">
        <f t="shared" si="20"/>
        <v xml:space="preserve"> </v>
      </c>
      <c r="E101" s="1" t="str">
        <f>IFERROR(INDEX('Tournament List'!F:F,MATCH($A101,'Tournament List'!$A:$A,0)),"")</f>
        <v/>
      </c>
      <c r="F101" t="str">
        <f>IFERROR(INDEX('Tournament List'!M:M,MATCH($A101,'Tournament List'!$A:$A,0)),"")</f>
        <v/>
      </c>
      <c r="G101" s="1" t="str">
        <f>IFERROR(INDEX('Tournament List'!W:W,MATCH($A101,'Tournament List'!$A:$A,0)),"")</f>
        <v/>
      </c>
      <c r="H101" s="129" t="str">
        <f>IFERROR(INDEX('Tournament List'!Z:Z,MATCH($A101,'Tournament List'!$A:$A,0)),"")</f>
        <v/>
      </c>
      <c r="I101" s="152" t="str">
        <f>IFERROR(INDEX('Tournament List'!T:T,MATCH($A101,'Tournament List'!$A:$A,0)),"")</f>
        <v/>
      </c>
      <c r="J101" s="56" t="str">
        <f>IF(ISNUMBER(I101),IF(COUNTIFS(J$1:J100,_xlfn.RANK.EQ(I101,I$2:I$111,0))&gt;0,_xlfn.MAXIFS(J$1:J100,I$1:I100,I101)+1,_xlfn.RANK.EQ(I101,I$2:I$111,0)),"")</f>
        <v/>
      </c>
      <c r="K101" s="11" t="str">
        <f t="shared" si="21"/>
        <v/>
      </c>
      <c r="L101" s="56" t="str">
        <f>IF(ISNUMBER(H101),IF(COUNTIFS(L$1:L100,_xlfn.RANK.EQ(H101,H$2:H$111,0))&gt;0,_xlfn.MAXIFS(L$1:L100,H$1:H100,H101)+1,_xlfn.RANK.EQ(H101,H$2:H$111,0)),"")</f>
        <v/>
      </c>
      <c r="M101" s="151" t="str">
        <f t="shared" si="22"/>
        <v/>
      </c>
      <c r="N101" s="47" t="str">
        <f>IF(ISNUMBER(M101),IF(COUNTIFS(N$1:N100,_xlfn.RANK.EQ(M101,M$2:M$111,0))&gt;0,_xlfn.MAXIFS(N$1:N100,M$1:M100,M101)+1,_xlfn.RANK.EQ(M101,M$2:M$111,0)),"")</f>
        <v/>
      </c>
      <c r="O101" s="1" t="str">
        <f>IF(ISNUMBER(M101)=TRUE,IF(_xlfn.RANK.EQ(M101,$M$2:$M$111)&lt;='Tournament Setup'!$B$23,_xlfn.RANK.EQ(M101,$M$2:$M$111),""),"")</f>
        <v/>
      </c>
      <c r="P101" s="150" t="str">
        <f t="shared" si="23"/>
        <v/>
      </c>
      <c r="Q101" s="1" t="str">
        <f>IF(ISNUMBER(P101)=TRUE,IF(_xlfn.RANK.EQ(P101,$P$2:$P$111)&lt;='Tournament Setup'!$B$24,_xlfn.RANK.EQ(P101,$P$2:$P$111),""),"")</f>
        <v/>
      </c>
      <c r="R101" s="150" t="str">
        <f t="shared" si="24"/>
        <v/>
      </c>
      <c r="S101" s="12" t="str">
        <f>IF(ISNUMBER(R101)=TRUE,IF(_xlfn.RANK.EQ(R101,$R$2:$R$111)&lt;='Tournament Setup'!$B$25,_xlfn.RANK.EQ(R101,$R$2:$R$111),""),"")</f>
        <v/>
      </c>
      <c r="T101" s="152" t="str">
        <f>IF(AND($F101='Tournament Setup'!$A$29,$I101&lt;&gt;0),$I101,"")</f>
        <v/>
      </c>
      <c r="U101" s="47" t="str">
        <f>IF(ISNUMBER(T101),IF(COUNTIFS(U$1:U100,_xlfn.RANK.EQ(T101,T$2:T$111,0))&gt;0,_xlfn.MAXIFS(U$1:U100,T$1:T100,T101)+1,_xlfn.RANK.EQ(T101,T$2:T$111,0)),"")</f>
        <v/>
      </c>
      <c r="V101" s="1" t="str">
        <f>IF(ISNUMBER(T101)=TRUE,IF(_xlfn.RANK.EQ(T101,$T$3:$T$112)&lt;='Tournament Setup'!$B$46,_xlfn.RANK.EQ(T101,$T$2:$T$111),""),"")</f>
        <v/>
      </c>
      <c r="W101" s="30" t="str">
        <f>IF(AND($F101='Tournament Setup'!$A$29,SUM($O101,$Q101,$S101)=0),$H101,"")</f>
        <v/>
      </c>
      <c r="X101" s="47" t="str">
        <f>IF(ISNUMBER(W101),IF(COUNTIFS(X$1:X100,_xlfn.RANK.EQ(W101,W$2:W$111,0))&gt;0,_xlfn.MAXIFS(X$1:X100,W$1:W100,W101)+1,_xlfn.RANK.EQ(W101,W$2:W$111,0)),"")</f>
        <v/>
      </c>
      <c r="Y101" s="1" t="str">
        <f>IF(ISNUMBER(W101)=TRUE,IF(_xlfn.RANK.EQ(W101,$W$2:$W$111)&lt;='Tournament Setup'!$B$29,_xlfn.RANK.EQ(W101,$W$2:$W$111),""),"")</f>
        <v/>
      </c>
      <c r="Z101" s="31" t="str">
        <f>IF(AND($F101='Tournament Setup'!$A$29,SUM($O101,$Q101)=0,$E101="M",$Y101&gt;'Tournament Setup'!$B$29),$H101,"")</f>
        <v/>
      </c>
      <c r="AA101" s="1" t="str">
        <f>IF(ISNUMBER(Z101)=TRUE,IF(_xlfn.RANK.EQ(Z101,$Z$2:$Z$111)&lt;='Tournament Setup'!$C$29,_xlfn.RANK.EQ(Z101,$Z$2:$Z$111),""),"")</f>
        <v/>
      </c>
      <c r="AB101" s="31" t="str">
        <f>IF(AND($F101='Tournament Setup'!$A$29,SUM($O101,$S101)=0,$E101="F",$Y101&gt;'Tournament Setup'!$B$29),$H101,"")</f>
        <v/>
      </c>
      <c r="AC101" s="12" t="str">
        <f>IF(ISNUMBER(AB101)=TRUE,IF(_xlfn.RANK.EQ(AB101,$AB$2:$AB$111)&lt;='Tournament Setup'!$D$29,_xlfn.RANK.EQ(AB101,$AB$2:$AB$111),""),"")</f>
        <v/>
      </c>
      <c r="AD101" s="30" t="str">
        <f>IF(AND($F101='Tournament Setup'!$A$30,$I101&lt;&gt;0),$I101,"")</f>
        <v/>
      </c>
      <c r="AE101" s="47" t="str">
        <f>IF(ISNUMBER(AD101),IF(COUNTIFS(AE$1:AE100,_xlfn.RANK.EQ(AD101,AD$2:AD$111,0))&gt;0,_xlfn.MAXIFS(AE$1:AE100,AD$1:AD100,AD101)+1,_xlfn.RANK.EQ(AD101,AD$2:AD$111,0)),"")</f>
        <v/>
      </c>
      <c r="AF101" s="1" t="str">
        <f>IF(ISNUMBER(AD101)=TRUE,IF(_xlfn.RANK.EQ(AD101,$AD$2:$AD$111)&lt;='Tournament Setup'!$B$46,_xlfn.RANK.EQ(AD101,$AD$2:$AD$111),""),"")</f>
        <v/>
      </c>
      <c r="AG101" s="30" t="str">
        <f>IF(AND($F101='Tournament Setup'!$A$30,SUM($O101,$Q101,$S101)=0),$H101,"")</f>
        <v/>
      </c>
      <c r="AH101" s="47" t="str">
        <f>IF(ISNUMBER(AG101),IF(COUNTIFS(AH$1:AH100,_xlfn.RANK.EQ(AG101,AG$2:AG$111,0))&gt;0,_xlfn.MAXIFS(AH$1:AH100,AG$1:AG100,AG101)+1,_xlfn.RANK.EQ(AG101,AG$2:AG$111,0)),"")</f>
        <v/>
      </c>
      <c r="AI101" s="1" t="str">
        <f>IF(ISNUMBER(AG101)=TRUE,IF(_xlfn.RANK.EQ(AG101,$AG$2:$AG$111)&lt;='Tournament Setup'!$B$30,_xlfn.RANK.EQ(AG101,$AG$2:$AG$111),""),"")</f>
        <v/>
      </c>
      <c r="AJ101" s="31" t="str">
        <f>IF(AND($F101='Tournament Setup'!$A$30,SUM($O101,$Q101)=0,$E101="M",$AI101&gt;'Tournament Setup'!$B$30),$H101,"")</f>
        <v/>
      </c>
      <c r="AK101" s="1" t="str">
        <f>IF(ISNUMBER(AJ101)=TRUE,IF(_xlfn.RANK.EQ(AJ101,$AJ$2:$AJ$111)&lt;='Tournament Setup'!$C$30,_xlfn.RANK.EQ(AJ101,$AJ$2:$AJ$111),""),"")</f>
        <v/>
      </c>
      <c r="AL101" s="31" t="str">
        <f>IF(AND($F101='Tournament Setup'!$A$30,SUM($O101,$S101)=0,$E101="F",$AI101&gt;'Tournament Setup'!$B$30),$H101,"")</f>
        <v/>
      </c>
      <c r="AM101" s="12" t="str">
        <f>IF(ISNUMBER(AL101)=TRUE,IF(_xlfn.RANK.EQ(AL101,$AL$2:$AL$111)&lt;='Tournament Setup'!$D$30,_xlfn.RANK.EQ(AL101,$AL$2:$AL$111),""),"")</f>
        <v/>
      </c>
      <c r="AN101" s="30" t="str">
        <f>IF(AND($F101='Tournament Setup'!$A$31,$I101&lt;&gt;0),$I101,"")</f>
        <v/>
      </c>
      <c r="AO101" s="47" t="str">
        <f>IF(ISNUMBER(AN101),IF(COUNTIFS(AO$1:AO100,_xlfn.RANK.EQ(AN101,AN$2:AN$111,0))&gt;0,_xlfn.MAXIFS(AO$1:AO100,AN$1:AN100,AN101)+1,_xlfn.RANK.EQ(AN101,AN$2:AN$111,0)),"")</f>
        <v/>
      </c>
      <c r="AP101" s="1" t="str">
        <f>IF(ISNUMBER(AN101)=TRUE,IF(_xlfn.RANK.EQ(AN101,$AN$2:$AN$111)&lt;='Tournament Setup'!$B$46,_xlfn.RANK.EQ(AN101,$AN$2:$AN$111),""),"")</f>
        <v/>
      </c>
      <c r="AQ101" s="30" t="str">
        <f>IF(AND($F101='Tournament Setup'!$A$31,SUM($O101,$Q101,$S101)=0),$H101,"")</f>
        <v/>
      </c>
      <c r="AR101" s="47" t="str">
        <f>IF(ISNUMBER(AQ101),IF(COUNTIFS(AR$1:AR100,_xlfn.RANK.EQ(AQ101,AQ$2:AQ$111,0))&gt;0,_xlfn.MAXIFS(AR$1:AR100,AQ$1:AQ100,AQ101)+1,_xlfn.RANK.EQ(AQ101,AQ$2:AQ$111,0)),"")</f>
        <v/>
      </c>
      <c r="AS101" s="1" t="str">
        <f>IF(ISNUMBER(AQ101)=TRUE,IF(_xlfn.RANK.EQ(AQ101,$AQ$2:$AQ$111)&lt;='Tournament Setup'!$B$31,_xlfn.RANK.EQ(AQ101,$AQ$2:$AQ$111),""),"")</f>
        <v/>
      </c>
      <c r="AT101" s="31" t="str">
        <f>IF(AND($F101='Tournament Setup'!$A$31,SUM($O101,$Q101)=0,$E101="M",$AS101&gt;'Tournament Setup'!$B$31),$H101,"")</f>
        <v/>
      </c>
      <c r="AU101" s="1" t="str">
        <f>IF(ISNUMBER(AT101)=TRUE,IF(_xlfn.RANK.EQ(AT101,$AT$2:$AT$111)&lt;='Tournament Setup'!$C$31,_xlfn.RANK.EQ(AT101,$AT$2:$AT$111),""),"")</f>
        <v/>
      </c>
      <c r="AV101" s="31" t="str">
        <f>IF(AND($F101='Tournament Setup'!$A$31,SUM($O101,$S101)=0,$E101="F",$AS101&gt;'Tournament Setup'!$B$31),$H101,"")</f>
        <v/>
      </c>
      <c r="AW101" s="12" t="str">
        <f>IF(ISNUMBER(AV101)=TRUE,IF(_xlfn.RANK.EQ(AV101,$AV$2:$AV$111)&lt;='Tournament Setup'!$D$31,_xlfn.RANK.EQ(AV101,$AV$2:$AV$111),""),"")</f>
        <v/>
      </c>
      <c r="AX101" s="30" t="str">
        <f>IF(AND($F101='Tournament Setup'!$A$32,$I101&lt;&gt;0),$I101,"")</f>
        <v/>
      </c>
      <c r="AY101" s="47" t="str">
        <f>IF(ISNUMBER(AX101),IF(COUNTIFS(AY$1:AY100,_xlfn.RANK.EQ(AX101,AX$2:AX$111,0))&gt;0,_xlfn.MAXIFS(AY$1:AY100,AX$1:AX100,AX101)+1,_xlfn.RANK.EQ(AX101,AX$2:AX$111,0)),"")</f>
        <v/>
      </c>
      <c r="AZ101" s="1" t="str">
        <f>IF(ISNUMBER(AX101)=TRUE,IF(_xlfn.RANK.EQ(AX101,$AX$2:$AX$111)&lt;='Tournament Setup'!$B$46,_xlfn.RANK.EQ(AX101,$AX$2:$AX$111),""),"")</f>
        <v/>
      </c>
      <c r="BA101" s="30" t="str">
        <f>IF(AND($F101='Tournament Setup'!$A$32,SUM($O101,$Q101,$S101)=0),$H101,"")</f>
        <v/>
      </c>
      <c r="BB101" s="47" t="str">
        <f>IF(ISNUMBER(BA101),IF(COUNTIFS(BB$1:BB100,_xlfn.RANK.EQ(BA101,BA$2:BA$111,0))&gt;0,_xlfn.MAXIFS(BB$1:BB100,BA$1:BA100,BA101)+1,_xlfn.RANK.EQ(BA101,BA$2:BA$111,0)),"")</f>
        <v/>
      </c>
      <c r="BC101" s="1" t="str">
        <f>IF(ISNUMBER(BA101)=TRUE,IF(_xlfn.RANK.EQ(BA101,$BA$2:$BA$111)&lt;='Tournament Setup'!$B$32,_xlfn.RANK.EQ(BA101,$BA$2:$BA$111),""),"")</f>
        <v/>
      </c>
      <c r="BD101" s="31" t="str">
        <f>IF(AND($F101='Tournament Setup'!$A$32,SUM($O101,$Q101)=0,$E101="M",$BC101&gt;'Tournament Setup'!$B$32),$H101,"")</f>
        <v/>
      </c>
      <c r="BE101" s="1" t="str">
        <f>IF(ISNUMBER(BD101)=TRUE,IF(_xlfn.RANK.EQ(BD101,$BD$2:$BD$111)&lt;='Tournament Setup'!$C$32,_xlfn.RANK.EQ(BD101,$BD$2:$BD$111),""),"")</f>
        <v/>
      </c>
      <c r="BF101" s="31" t="str">
        <f>IF(AND($F101='Tournament Setup'!$A$32,SUM($O101,$S101)=0,$E101="F",$BC101&gt;'Tournament Setup'!$B$32),$H101,"")</f>
        <v/>
      </c>
      <c r="BG101" s="12" t="str">
        <f>IF(ISNUMBER(BF101)=TRUE,IF(_xlfn.RANK.EQ(BF101,$BF$2:$BF$111)&lt;='Tournament Setup'!$D$32,_xlfn.RANK.EQ(BF101,$BF$2:$BF$111),""),"")</f>
        <v/>
      </c>
      <c r="BH101" s="30" t="str">
        <f>IF(AND($F101='Tournament Setup'!$A$33,$I101&lt;&gt;0),$I101,"")</f>
        <v/>
      </c>
      <c r="BI101" s="47" t="str">
        <f>IF(ISNUMBER(BH101),IF(COUNTIFS(BI$1:BI100,_xlfn.RANK.EQ(BH101,BH$2:BH$111,0))&gt;0,_xlfn.MAXIFS(BI$1:BI100,BH$1:BH100,BH101)+1,_xlfn.RANK.EQ(BH101,BH$2:BH$111,0)),"")</f>
        <v/>
      </c>
      <c r="BJ101" s="1" t="str">
        <f>IF(ISNUMBER(BH101)=TRUE,IF(_xlfn.RANK.EQ(BH101,$BH$2:$BH$111)&lt;='Tournament Setup'!$B$46,_xlfn.RANK.EQ(BH101,$BH$2:$BH$111),""),"")</f>
        <v/>
      </c>
      <c r="BK101" s="30" t="str">
        <f>IF(AND($F101='Tournament Setup'!$A$33,SUM($O101,$Q101,$S101)=0),$H101,"")</f>
        <v/>
      </c>
      <c r="BL101" s="47" t="str">
        <f>IF(ISNUMBER(BK101),IF(COUNTIFS(BL$1:BL100,_xlfn.RANK.EQ(BK101,BK$2:BK$111,0))&gt;0,_xlfn.MAXIFS(BL$1:BL100,BK$1:BK100,BK101)+1,_xlfn.RANK.EQ(BK101,BK$2:BK$111,0)),"")</f>
        <v/>
      </c>
      <c r="BM101" s="1" t="str">
        <f>IF(ISNUMBER(BK101)=TRUE,IF(_xlfn.RANK.EQ(BK101,$BK$2:$BK$111)&lt;='Tournament Setup'!$B$33,_xlfn.RANK.EQ(BK101,$BK$2:$BK$111),""),"")</f>
        <v/>
      </c>
      <c r="BN101" s="31" t="str">
        <f>IF(AND($F101='Tournament Setup'!$A$33,SUM($O101,$Q101)=0,$E101="M",$BM101&gt;'Tournament Setup'!$B$33),$H101,"")</f>
        <v/>
      </c>
      <c r="BO101" s="1" t="str">
        <f>IF(ISNUMBER(BN101)=TRUE,IF(_xlfn.RANK.EQ(BN101,$BN$2:$BN$111)&lt;='Tournament Setup'!$C$33,_xlfn.RANK.EQ(BN101,$BN$2:$BN$111),""),"")</f>
        <v/>
      </c>
      <c r="BP101" s="31" t="str">
        <f>IF(AND($F101='Tournament Setup'!$A$33,SUM($O101,$S101)=0,$E101="F",$BM101&gt;'Tournament Setup'!$B$33),$H101,"")</f>
        <v/>
      </c>
      <c r="BQ101" s="12" t="str">
        <f>IF(ISNUMBER(BP101)=TRUE,IF(_xlfn.RANK.EQ(BP101,$BP$2:$BP$111)&lt;='Tournament Setup'!$D$33,_xlfn.RANK.EQ(BP101,$BP$2:$BP$111),""),"")</f>
        <v/>
      </c>
      <c r="BR101" s="30" t="str">
        <f>IF($G101='Tournament Setup'!$A$38,$H101,"")</f>
        <v/>
      </c>
      <c r="BS101" s="47" t="str">
        <f>IF(ISNUMBER(BR101),IF(COUNTIFS(BS$1:BS100,_xlfn.RANK.EQ(BR101,BR$2:BR$111,0))&gt;0,_xlfn.MAXIFS(BS$1:BS100,BR$1:BR100,BR101)+1,_xlfn.RANK.EQ(BR101,BR$2:BR$111,0)),"")</f>
        <v/>
      </c>
      <c r="BT101" s="1" t="str">
        <f>IF(ISNUMBER(BR101)=TRUE,IF(_xlfn.RANK.EQ(BR101,$BR$2:$BR$111)&lt;='Tournament Setup'!$B$38,_xlfn.RANK.EQ(BR101,$BR$2:$BR$111),""),"")</f>
        <v/>
      </c>
      <c r="BU101" s="31" t="str">
        <f>IF(AND($G101='Tournament Setup'!$A$38,$E101="M",$BT101&gt;'Tournament Setup'!$B$38),$H101,"")</f>
        <v/>
      </c>
      <c r="BV101" s="1" t="str">
        <f>IF(ISNUMBER(BU101)=TRUE,IF(_xlfn.RANK.EQ(BU101,$BU$2:$BU$111)&lt;='Tournament Setup'!$C$38,_xlfn.RANK.EQ(BU101,$BU$2:$BU$111),""),"")</f>
        <v/>
      </c>
      <c r="BW101" s="31" t="str">
        <f>IF(AND($G101='Tournament Setup'!$A$38,$E101="F",$BT101&gt;'Tournament Setup'!$B$38),$H101,"")</f>
        <v/>
      </c>
      <c r="BX101" s="12" t="str">
        <f>IF(ISNUMBER(BW101)=TRUE,IF(_xlfn.RANK.EQ(BW101,$BW$2:$BW$111)&lt;='Tournament Setup'!$D$38,_xlfn.RANK.EQ(BW101,$BW$2:$BW$111),""),"")</f>
        <v/>
      </c>
      <c r="BY101" s="30" t="str">
        <f>IF($G101='Tournament Setup'!$A$39,$H101,"")</f>
        <v/>
      </c>
      <c r="BZ101" s="47" t="str">
        <f>IF(ISNUMBER(BY101),IF(COUNTIFS(BZ$1:BZ100,_xlfn.RANK.EQ(BY101,BY$2:BY$111,0))&gt;0,_xlfn.MAXIFS(BZ$1:BZ100,BY$1:BY100,BY101)+1,_xlfn.RANK.EQ(BY101,BY$2:BY$111,0)),"")</f>
        <v/>
      </c>
      <c r="CA101" s="1" t="str">
        <f>IF(ISNUMBER(BY101)=TRUE,IF(_xlfn.RANK.EQ(BY101,$BY$2:$BY$111)&lt;='Tournament Setup'!$B$39,_xlfn.RANK.EQ(BY101,$BY$2:$BY$111),""),"")</f>
        <v/>
      </c>
      <c r="CB101" s="31" t="str">
        <f>IF(AND($G101='Tournament Setup'!$A$39,$E101="M",$CA101&gt;'Tournament Setup'!$B$39),$H101,"")</f>
        <v/>
      </c>
      <c r="CC101" s="1" t="str">
        <f>IF(ISNUMBER(CB101)=TRUE,IF(_xlfn.RANK.EQ(CB101,$CB$2:$CB$111)&lt;='Tournament Setup'!$C$39,_xlfn.RANK.EQ(CB101,$CB$2:$CB$111),""),"")</f>
        <v/>
      </c>
      <c r="CD101" s="31" t="str">
        <f>IF(AND($G101='Tournament Setup'!$A$39,$E101="F",$CA101&gt;'Tournament Setup'!$B$39),$H101,"")</f>
        <v/>
      </c>
      <c r="CE101" s="12" t="str">
        <f>IF(ISNUMBER(CD101)=TRUE,IF(_xlfn.RANK.EQ(CD101,$CD$2:$CD$111)&lt;='Tournament Setup'!$D$39,_xlfn.RANK.EQ(CD101,$CD$2:$CD$111),""),"")</f>
        <v/>
      </c>
      <c r="CF101" s="30" t="str">
        <f>IF($G101='Tournament Setup'!$A$40,$H101,"")</f>
        <v/>
      </c>
      <c r="CG101" s="47" t="str">
        <f>IF(ISNUMBER(CF101),IF(COUNTIFS(CG$1:CG100,_xlfn.RANK.EQ(CF101,CF$2:CF$111,0))&gt;0,_xlfn.MAXIFS(CG$1:CG100,CF$1:CF100,CF101)+1,_xlfn.RANK.EQ(CF101,CF$2:CF$111,0)),"")</f>
        <v/>
      </c>
      <c r="CH101" s="1" t="str">
        <f>IF(ISNUMBER(CF101)=TRUE,IF(_xlfn.RANK.EQ(CF101,$CF$2:$CF$111)&lt;='Tournament Setup'!$B$40,_xlfn.RANK.EQ(CF101,$CF$2:$CF$111),""),"")</f>
        <v/>
      </c>
      <c r="CI101" s="31" t="str">
        <f>IF(AND($G101='Tournament Setup'!$A$40,$E101="M",$CH101&gt;'Tournament Setup'!$B$40),$H101,"")</f>
        <v/>
      </c>
      <c r="CJ101" s="1" t="str">
        <f>IF(ISNUMBER(CI101)=TRUE,IF(_xlfn.RANK.EQ(CI101,$CI$2:$CI$111)&lt;='Tournament Setup'!$C$40,_xlfn.RANK.EQ(CI101,$CI$2:$CI$111),""),"")</f>
        <v/>
      </c>
      <c r="CK101" s="31" t="str">
        <f>IF(AND($G101='Tournament Setup'!$A$40,$E101="F",$CH101&gt;'Tournament Setup'!$B$40),$H101,"")</f>
        <v/>
      </c>
      <c r="CL101" s="12" t="str">
        <f>IF(ISNUMBER(CK101)=TRUE,IF(_xlfn.RANK.EQ(CK101,$CK$2:$CK$111)&lt;='Tournament Setup'!$D$40,_xlfn.RANK.EQ(CK101,$CK$2:$CK$111),""),"")</f>
        <v/>
      </c>
      <c r="CM101" s="30" t="str">
        <f>IF($G101='Tournament Setup'!$A$41,$H101,"")</f>
        <v/>
      </c>
      <c r="CN101" s="47" t="str">
        <f>IF(ISNUMBER(CM101),IF(COUNTIFS(CN$1:CN100,_xlfn.RANK.EQ(CM101,CM$2:CM$111,0))&gt;0,_xlfn.MAXIFS(CN$1:CN100,CM$1:CM100,CM101)+1,_xlfn.RANK.EQ(CM101,CM$2:CM$111,0)),"")</f>
        <v/>
      </c>
      <c r="CO101" s="1" t="str">
        <f>IF(ISNUMBER(CM101)=TRUE,IF(_xlfn.RANK.EQ(CM101,$CM$2:$CM$111)&lt;='Tournament Setup'!$B$41,_xlfn.RANK.EQ(CM101,$CM$2:$CM$111),""),"")</f>
        <v/>
      </c>
      <c r="CP101" s="31" t="str">
        <f>IF(AND($G101='Tournament Setup'!$A$41,$E101="M",$CO101&gt;'Tournament Setup'!$B$41),$H101,"")</f>
        <v/>
      </c>
      <c r="CQ101" s="1" t="str">
        <f>IF(ISNUMBER(CP101)=TRUE,IF(_xlfn.RANK.EQ(CP101,$CP$2:$CP$111)&lt;='Tournament Setup'!$C$41,_xlfn.RANK.EQ(CP101,$CP$2:$CP$111),""),"")</f>
        <v/>
      </c>
      <c r="CR101" s="31" t="str">
        <f>IF(AND($G101='Tournament Setup'!$A$41,$E101="F",$CO101&gt;'Tournament Setup'!$B$41),$H101,"")</f>
        <v/>
      </c>
      <c r="CS101" s="12" t="str">
        <f>IF(ISNUMBER(CR101)=TRUE,IF(_xlfn.RANK.EQ(CR101,$CR$2:$CR$111)&lt;='Tournament Setup'!$D$41,_xlfn.RANK.EQ(CR101,$CR$2:$CR$111),""),"")</f>
        <v/>
      </c>
    </row>
    <row r="102" spans="2:97" x14ac:dyDescent="0.3">
      <c r="B102" t="str">
        <f>IFERROR(INDEX('Tournament List'!$B:$B,MATCH($A102,'Tournament List'!$A:$A,0)),"")</f>
        <v/>
      </c>
      <c r="C102" t="str">
        <f>IFERROR(INDEX('Tournament List'!$C:$C,MATCH($A102,'Tournament List'!$A:$A,0)),"")</f>
        <v/>
      </c>
      <c r="D102" t="str">
        <f t="shared" si="15"/>
        <v xml:space="preserve"> </v>
      </c>
      <c r="E102" s="1" t="str">
        <f>IFERROR(INDEX('Tournament List'!F:F,MATCH($A102,'Tournament List'!$A:$A,0)),"")</f>
        <v/>
      </c>
      <c r="F102" t="str">
        <f>IFERROR(INDEX('Tournament List'!M:M,MATCH($A102,'Tournament List'!$A:$A,0)),"")</f>
        <v/>
      </c>
      <c r="G102" s="1" t="str">
        <f>IFERROR(INDEX('Tournament List'!W:W,MATCH($A102,'Tournament List'!$A:$A,0)),"")</f>
        <v/>
      </c>
      <c r="H102" s="129" t="str">
        <f>IFERROR(INDEX('Tournament List'!Z:Z,MATCH($A102,'Tournament List'!$A:$A,0)),"")</f>
        <v/>
      </c>
      <c r="I102" s="152" t="str">
        <f>IFERROR(INDEX('Tournament List'!T:T,MATCH($A102,'Tournament List'!$A:$A,0)),"")</f>
        <v/>
      </c>
      <c r="J102" s="56" t="str">
        <f>IF(ISNUMBER(I102),IF(COUNTIFS(J$1:J79,_xlfn.RANK.EQ(I102,I$2:I$111,0))&gt;0,_xlfn.MAXIFS(J$1:J79,I$1:I79,I102)+1,_xlfn.RANK.EQ(I102,I$2:I$111,0)),"")</f>
        <v/>
      </c>
      <c r="K102" s="11" t="str">
        <f t="shared" si="16"/>
        <v/>
      </c>
      <c r="L102" s="56" t="str">
        <f>IF(ISNUMBER(H102),IF(COUNTIFS(L$1:L79,_xlfn.RANK.EQ(H102,H$2:H$111,0))&gt;0,_xlfn.MAXIFS(L$1:L79,H$1:H79,H102)+1,_xlfn.RANK.EQ(H102,H$2:H$111,0)),"")</f>
        <v/>
      </c>
      <c r="M102" s="151" t="str">
        <f t="shared" si="17"/>
        <v/>
      </c>
      <c r="N102" s="47" t="str">
        <f>IF(ISNUMBER(M102),IF(COUNTIFS(N$1:N79,_xlfn.RANK.EQ(M102,M$2:M$111,0))&gt;0,_xlfn.MAXIFS(N$1:N79,M$1:M79,M102)+1,_xlfn.RANK.EQ(M102,M$2:M$111,0)),"")</f>
        <v/>
      </c>
      <c r="O102" s="1" t="str">
        <f>IF(ISNUMBER(M102)=TRUE,IF(_xlfn.RANK.EQ(M102,$M$2:$M$111)&lt;='Tournament Setup'!$B$23,_xlfn.RANK.EQ(M102,$M$2:$M$111),""),"")</f>
        <v/>
      </c>
      <c r="P102" s="150" t="str">
        <f t="shared" si="18"/>
        <v/>
      </c>
      <c r="Q102" s="1" t="str">
        <f>IF(ISNUMBER(P102)=TRUE,IF(_xlfn.RANK.EQ(P102,$P$2:$P$111)&lt;='Tournament Setup'!$B$24,_xlfn.RANK.EQ(P102,$P$2:$P$111),""),"")</f>
        <v/>
      </c>
      <c r="R102" s="150" t="str">
        <f t="shared" si="19"/>
        <v/>
      </c>
      <c r="S102" s="12" t="str">
        <f>IF(ISNUMBER(R102)=TRUE,IF(_xlfn.RANK.EQ(R102,$R$2:$R$111)&lt;='Tournament Setup'!$B$25,_xlfn.RANK.EQ(R102,$R$2:$R$111),""),"")</f>
        <v/>
      </c>
      <c r="T102" s="152" t="str">
        <f>IF(AND($F102='Tournament Setup'!$A$29,$I102&lt;&gt;0),$I102,"")</f>
        <v/>
      </c>
      <c r="U102" s="47" t="str">
        <f>IF(ISNUMBER(T102),IF(COUNTIFS(U$1:U79,_xlfn.RANK.EQ(T102,T$2:T$111,0))&gt;0,_xlfn.MAXIFS(U$1:U79,T$1:T79,T102)+1,_xlfn.RANK.EQ(T102,T$2:T$111,0)),"")</f>
        <v/>
      </c>
      <c r="V102" s="1" t="str">
        <f>IF(ISNUMBER(T102)=TRUE,IF(_xlfn.RANK.EQ(T102,$T$3:$T$112)&lt;='Tournament Setup'!$B$46,_xlfn.RANK.EQ(T102,$T$2:$T$111),""),"")</f>
        <v/>
      </c>
      <c r="W102" s="30" t="str">
        <f>IF(AND($F102='Tournament Setup'!$A$29,SUM($O102,$Q102,$S102)=0),$H102,"")</f>
        <v/>
      </c>
      <c r="X102" s="47" t="str">
        <f>IF(ISNUMBER(W102),IF(COUNTIFS(X$1:X79,_xlfn.RANK.EQ(W102,W$2:W$111,0))&gt;0,_xlfn.MAXIFS(X$1:X79,W$1:W79,W102)+1,_xlfn.RANK.EQ(W102,W$2:W$111,0)),"")</f>
        <v/>
      </c>
      <c r="Y102" s="1" t="str">
        <f>IF(ISNUMBER(W102)=TRUE,IF(_xlfn.RANK.EQ(W102,$W$2:$W$111)&lt;='Tournament Setup'!$B$29,_xlfn.RANK.EQ(W102,$W$2:$W$111),""),"")</f>
        <v/>
      </c>
      <c r="Z102" s="31" t="str">
        <f>IF(AND($F102='Tournament Setup'!$A$29,SUM($O102,$Q102)=0,$E102="M",$Y102&gt;'Tournament Setup'!$B$29),$H102,"")</f>
        <v/>
      </c>
      <c r="AA102" s="1" t="str">
        <f>IF(ISNUMBER(Z102)=TRUE,IF(_xlfn.RANK.EQ(Z102,$Z$2:$Z$111)&lt;='Tournament Setup'!$C$29,_xlfn.RANK.EQ(Z102,$Z$2:$Z$111),""),"")</f>
        <v/>
      </c>
      <c r="AB102" s="31" t="str">
        <f>IF(AND($F102='Tournament Setup'!$A$29,SUM($O102,$S102)=0,$E102="F",$Y102&gt;'Tournament Setup'!$B$29),$H102,"")</f>
        <v/>
      </c>
      <c r="AC102" s="12" t="str">
        <f>IF(ISNUMBER(AB102)=TRUE,IF(_xlfn.RANK.EQ(AB102,$AB$2:$AB$111)&lt;='Tournament Setup'!$D$29,_xlfn.RANK.EQ(AB102,$AB$2:$AB$111),""),"")</f>
        <v/>
      </c>
      <c r="AD102" s="30" t="str">
        <f>IF(AND($F102='Tournament Setup'!$A$30,$I102&lt;&gt;0),$I102,"")</f>
        <v/>
      </c>
      <c r="AE102" s="47" t="str">
        <f>IF(ISNUMBER(AD102),IF(COUNTIFS(AE$1:AE79,_xlfn.RANK.EQ(AD102,AD$2:AD$111,0))&gt;0,_xlfn.MAXIFS(AE$1:AE79,AD$1:AD79,AD102)+1,_xlfn.RANK.EQ(AD102,AD$2:AD$111,0)),"")</f>
        <v/>
      </c>
      <c r="AF102" s="1" t="str">
        <f>IF(ISNUMBER(AD102)=TRUE,IF(_xlfn.RANK.EQ(AD102,$AD$2:$AD$111)&lt;='Tournament Setup'!$B$46,_xlfn.RANK.EQ(AD102,$AD$2:$AD$111),""),"")</f>
        <v/>
      </c>
      <c r="AG102" s="30" t="str">
        <f>IF(AND($F102='Tournament Setup'!$A$30,SUM($O102,$Q102,$S102)=0),$H102,"")</f>
        <v/>
      </c>
      <c r="AH102" s="47" t="str">
        <f>IF(ISNUMBER(AG102),IF(COUNTIFS(AH$1:AH79,_xlfn.RANK.EQ(AG102,AG$2:AG$111,0))&gt;0,_xlfn.MAXIFS(AH$1:AH79,AG$1:AG79,AG102)+1,_xlfn.RANK.EQ(AG102,AG$2:AG$111,0)),"")</f>
        <v/>
      </c>
      <c r="AI102" s="1" t="str">
        <f>IF(ISNUMBER(AG102)=TRUE,IF(_xlfn.RANK.EQ(AG102,$AG$2:$AG$111)&lt;='Tournament Setup'!$B$30,_xlfn.RANK.EQ(AG102,$AG$2:$AG$111),""),"")</f>
        <v/>
      </c>
      <c r="AJ102" s="31" t="str">
        <f>IF(AND($F102='Tournament Setup'!$A$30,SUM($O102,$Q102)=0,$E102="M",$AI102&gt;'Tournament Setup'!$B$30),$H102,"")</f>
        <v/>
      </c>
      <c r="AK102" s="1" t="str">
        <f>IF(ISNUMBER(AJ102)=TRUE,IF(_xlfn.RANK.EQ(AJ102,$AJ$2:$AJ$111)&lt;='Tournament Setup'!$C$30,_xlfn.RANK.EQ(AJ102,$AJ$2:$AJ$111),""),"")</f>
        <v/>
      </c>
      <c r="AL102" s="31" t="str">
        <f>IF(AND($F102='Tournament Setup'!$A$30,SUM($O102,$S102)=0,$E102="F",$AI102&gt;'Tournament Setup'!$B$30),$H102,"")</f>
        <v/>
      </c>
      <c r="AM102" s="12" t="str">
        <f>IF(ISNUMBER(AL102)=TRUE,IF(_xlfn.RANK.EQ(AL102,$AL$2:$AL$111)&lt;='Tournament Setup'!$D$30,_xlfn.RANK.EQ(AL102,$AL$2:$AL$111),""),"")</f>
        <v/>
      </c>
      <c r="AN102" s="30" t="str">
        <f>IF(AND($F102='Tournament Setup'!$A$31,$I102&lt;&gt;0),$I102,"")</f>
        <v/>
      </c>
      <c r="AO102" s="47" t="str">
        <f>IF(ISNUMBER(AN102),IF(COUNTIFS(AO$1:AO79,_xlfn.RANK.EQ(AN102,AN$2:AN$111,0))&gt;0,_xlfn.MAXIFS(AO$1:AO79,AN$1:AN79,AN102)+1,_xlfn.RANK.EQ(AN102,AN$2:AN$111,0)),"")</f>
        <v/>
      </c>
      <c r="AP102" s="1" t="str">
        <f>IF(ISNUMBER(AN102)=TRUE,IF(_xlfn.RANK.EQ(AN102,$AN$2:$AN$111)&lt;='Tournament Setup'!$B$46,_xlfn.RANK.EQ(AN102,$AN$2:$AN$111),""),"")</f>
        <v/>
      </c>
      <c r="AQ102" s="30" t="str">
        <f>IF(AND($F102='Tournament Setup'!$A$31,SUM($O102,$Q102,$S102)=0),$H102,"")</f>
        <v/>
      </c>
      <c r="AR102" s="47" t="str">
        <f>IF(ISNUMBER(AQ102),IF(COUNTIFS(AR$1:AR79,_xlfn.RANK.EQ(AQ102,AQ$2:AQ$111,0))&gt;0,_xlfn.MAXIFS(AR$1:AR79,AQ$1:AQ79,AQ102)+1,_xlfn.RANK.EQ(AQ102,AQ$2:AQ$111,0)),"")</f>
        <v/>
      </c>
      <c r="AS102" s="1" t="str">
        <f>IF(ISNUMBER(AQ102)=TRUE,IF(_xlfn.RANK.EQ(AQ102,$AQ$2:$AQ$111)&lt;='Tournament Setup'!$B$31,_xlfn.RANK.EQ(AQ102,$AQ$2:$AQ$111),""),"")</f>
        <v/>
      </c>
      <c r="AT102" s="31" t="str">
        <f>IF(AND($F102='Tournament Setup'!$A$31,SUM($O102,$Q102)=0,$E102="M",$AS102&gt;'Tournament Setup'!$B$31),$H102,"")</f>
        <v/>
      </c>
      <c r="AU102" s="1" t="str">
        <f>IF(ISNUMBER(AT102)=TRUE,IF(_xlfn.RANK.EQ(AT102,$AT$2:$AT$111)&lt;='Tournament Setup'!$C$31,_xlfn.RANK.EQ(AT102,$AT$2:$AT$111),""),"")</f>
        <v/>
      </c>
      <c r="AV102" s="31" t="str">
        <f>IF(AND($F102='Tournament Setup'!$A$31,SUM($O102,$S102)=0,$E102="F",$AS102&gt;'Tournament Setup'!$B$31),$H102,"")</f>
        <v/>
      </c>
      <c r="AW102" s="12" t="str">
        <f>IF(ISNUMBER(AV102)=TRUE,IF(_xlfn.RANK.EQ(AV102,$AV$2:$AV$111)&lt;='Tournament Setup'!$D$31,_xlfn.RANK.EQ(AV102,$AV$2:$AV$111),""),"")</f>
        <v/>
      </c>
      <c r="AX102" s="30" t="str">
        <f>IF(AND($F102='Tournament Setup'!$A$32,$I102&lt;&gt;0),$I102,"")</f>
        <v/>
      </c>
      <c r="AY102" s="47" t="str">
        <f>IF(ISNUMBER(AX102),IF(COUNTIFS(AY$1:AY79,_xlfn.RANK.EQ(AX102,AX$2:AX$111,0))&gt;0,_xlfn.MAXIFS(AY$1:AY79,AX$1:AX79,AX102)+1,_xlfn.RANK.EQ(AX102,AX$2:AX$111,0)),"")</f>
        <v/>
      </c>
      <c r="AZ102" s="1" t="str">
        <f>IF(ISNUMBER(AX102)=TRUE,IF(_xlfn.RANK.EQ(AX102,$AX$2:$AX$111)&lt;='Tournament Setup'!$B$46,_xlfn.RANK.EQ(AX102,$AX$2:$AX$111),""),"")</f>
        <v/>
      </c>
      <c r="BA102" s="30" t="str">
        <f>IF(AND($F102='Tournament Setup'!$A$32,SUM($O102,$Q102,$S102)=0),$H102,"")</f>
        <v/>
      </c>
      <c r="BB102" s="47" t="str">
        <f>IF(ISNUMBER(BA102),IF(COUNTIFS(BB$1:BB79,_xlfn.RANK.EQ(BA102,BA$2:BA$111,0))&gt;0,_xlfn.MAXIFS(BB$1:BB79,BA$1:BA79,BA102)+1,_xlfn.RANK.EQ(BA102,BA$2:BA$111,0)),"")</f>
        <v/>
      </c>
      <c r="BC102" s="1" t="str">
        <f>IF(ISNUMBER(BA102)=TRUE,IF(_xlfn.RANK.EQ(BA102,$BA$2:$BA$111)&lt;='Tournament Setup'!$B$32,_xlfn.RANK.EQ(BA102,$BA$2:$BA$111),""),"")</f>
        <v/>
      </c>
      <c r="BD102" s="31" t="str">
        <f>IF(AND($F102='Tournament Setup'!$A$32,SUM($O102,$Q102)=0,$E102="M",$BC102&gt;'Tournament Setup'!$B$32),$H102,"")</f>
        <v/>
      </c>
      <c r="BE102" s="1" t="str">
        <f>IF(ISNUMBER(BD102)=TRUE,IF(_xlfn.RANK.EQ(BD102,$BD$2:$BD$111)&lt;='Tournament Setup'!$C$32,_xlfn.RANK.EQ(BD102,$BD$2:$BD$111),""),"")</f>
        <v/>
      </c>
      <c r="BF102" s="31" t="str">
        <f>IF(AND($F102='Tournament Setup'!$A$32,SUM($O102,$S102)=0,$E102="F",$BC102&gt;'Tournament Setup'!$B$32),$H102,"")</f>
        <v/>
      </c>
      <c r="BG102" s="12" t="str">
        <f>IF(ISNUMBER(BF102)=TRUE,IF(_xlfn.RANK.EQ(BF102,$BF$2:$BF$111)&lt;='Tournament Setup'!$D$32,_xlfn.RANK.EQ(BF102,$BF$2:$BF$111),""),"")</f>
        <v/>
      </c>
      <c r="BH102" s="30" t="str">
        <f>IF(AND($F102='Tournament Setup'!$A$33,$I102&lt;&gt;0),$I102,"")</f>
        <v/>
      </c>
      <c r="BI102" s="47" t="str">
        <f>IF(ISNUMBER(BH102),IF(COUNTIFS(BI$1:BI79,_xlfn.RANK.EQ(BH102,BH$2:BH$111,0))&gt;0,_xlfn.MAXIFS(BI$1:BI79,BH$1:BH79,BH102)+1,_xlfn.RANK.EQ(BH102,BH$2:BH$111,0)),"")</f>
        <v/>
      </c>
      <c r="BJ102" s="1" t="str">
        <f>IF(ISNUMBER(BH102)=TRUE,IF(_xlfn.RANK.EQ(BH102,$BH$2:$BH$111)&lt;='Tournament Setup'!$B$46,_xlfn.RANK.EQ(BH102,$BH$2:$BH$111),""),"")</f>
        <v/>
      </c>
      <c r="BK102" s="30" t="str">
        <f>IF(AND($F102='Tournament Setup'!$A$33,SUM($O102,$Q102,$S102)=0),$H102,"")</f>
        <v/>
      </c>
      <c r="BL102" s="47" t="str">
        <f>IF(ISNUMBER(BK102),IF(COUNTIFS(BL$1:BL79,_xlfn.RANK.EQ(BK102,BK$2:BK$111,0))&gt;0,_xlfn.MAXIFS(BL$1:BL79,BK$1:BK79,BK102)+1,_xlfn.RANK.EQ(BK102,BK$2:BK$111,0)),"")</f>
        <v/>
      </c>
      <c r="BM102" s="1" t="str">
        <f>IF(ISNUMBER(BK102)=TRUE,IF(_xlfn.RANK.EQ(BK102,$BK$2:$BK$111)&lt;='Tournament Setup'!$B$33,_xlfn.RANK.EQ(BK102,$BK$2:$BK$111),""),"")</f>
        <v/>
      </c>
      <c r="BN102" s="31" t="str">
        <f>IF(AND($F102='Tournament Setup'!$A$33,SUM($O102,$Q102)=0,$E102="M",$BM102&gt;'Tournament Setup'!$B$33),$H102,"")</f>
        <v/>
      </c>
      <c r="BO102" s="1" t="str">
        <f>IF(ISNUMBER(BN102)=TRUE,IF(_xlfn.RANK.EQ(BN102,$BN$2:$BN$111)&lt;='Tournament Setup'!$C$33,_xlfn.RANK.EQ(BN102,$BN$2:$BN$111),""),"")</f>
        <v/>
      </c>
      <c r="BP102" s="31" t="str">
        <f>IF(AND($F102='Tournament Setup'!$A$33,SUM($O102,$S102)=0,$E102="F",$BM102&gt;'Tournament Setup'!$B$33),$H102,"")</f>
        <v/>
      </c>
      <c r="BQ102" s="12" t="str">
        <f>IF(ISNUMBER(BP102)=TRUE,IF(_xlfn.RANK.EQ(BP102,$BP$2:$BP$111)&lt;='Tournament Setup'!$D$33,_xlfn.RANK.EQ(BP102,$BP$2:$BP$111),""),"")</f>
        <v/>
      </c>
      <c r="BR102" s="30" t="str">
        <f>IF($G102='Tournament Setup'!$A$38,$H102,"")</f>
        <v/>
      </c>
      <c r="BS102" s="47" t="str">
        <f>IF(ISNUMBER(BR102),IF(COUNTIFS(BS$1:BS79,_xlfn.RANK.EQ(BR102,BR$2:BR$111,0))&gt;0,_xlfn.MAXIFS(BS$1:BS79,BR$1:BR79,BR102)+1,_xlfn.RANK.EQ(BR102,BR$2:BR$111,0)),"")</f>
        <v/>
      </c>
      <c r="BT102" s="1" t="str">
        <f>IF(ISNUMBER(BR102)=TRUE,IF(_xlfn.RANK.EQ(BR102,$BR$2:$BR$111)&lt;='Tournament Setup'!$B$38,_xlfn.RANK.EQ(BR102,$BR$2:$BR$111),""),"")</f>
        <v/>
      </c>
      <c r="BU102" s="31" t="str">
        <f>IF(AND($G102='Tournament Setup'!$A$38,$E102="M",$BT102&gt;'Tournament Setup'!$B$38),$H102,"")</f>
        <v/>
      </c>
      <c r="BV102" s="1" t="str">
        <f>IF(ISNUMBER(BU102)=TRUE,IF(_xlfn.RANK.EQ(BU102,$BU$2:$BU$111)&lt;='Tournament Setup'!$C$38,_xlfn.RANK.EQ(BU102,$BU$2:$BU$111),""),"")</f>
        <v/>
      </c>
      <c r="BW102" s="31" t="str">
        <f>IF(AND($G102='Tournament Setup'!$A$38,$E102="F",$BT102&gt;'Tournament Setup'!$B$38),$H102,"")</f>
        <v/>
      </c>
      <c r="BX102" s="12" t="str">
        <f>IF(ISNUMBER(BW102)=TRUE,IF(_xlfn.RANK.EQ(BW102,$BW$2:$BW$111)&lt;='Tournament Setup'!$D$38,_xlfn.RANK.EQ(BW102,$BW$2:$BW$111),""),"")</f>
        <v/>
      </c>
      <c r="BY102" s="30" t="str">
        <f>IF($G102='Tournament Setup'!$A$39,$H102,"")</f>
        <v/>
      </c>
      <c r="BZ102" s="47" t="str">
        <f>IF(ISNUMBER(BY102),IF(COUNTIFS(BZ$1:BZ79,_xlfn.RANK.EQ(BY102,BY$2:BY$111,0))&gt;0,_xlfn.MAXIFS(BZ$1:BZ79,BY$1:BY79,BY102)+1,_xlfn.RANK.EQ(BY102,BY$2:BY$111,0)),"")</f>
        <v/>
      </c>
      <c r="CA102" s="1" t="str">
        <f>IF(ISNUMBER(BY102)=TRUE,IF(_xlfn.RANK.EQ(BY102,$BY$2:$BY$111)&lt;='Tournament Setup'!$B$39,_xlfn.RANK.EQ(BY102,$BY$2:$BY$111),""),"")</f>
        <v/>
      </c>
      <c r="CB102" s="31" t="str">
        <f>IF(AND($G102='Tournament Setup'!$A$39,$E102="M",$CA102&gt;'Tournament Setup'!$B$39),$H102,"")</f>
        <v/>
      </c>
      <c r="CC102" s="1" t="str">
        <f>IF(ISNUMBER(CB102)=TRUE,IF(_xlfn.RANK.EQ(CB102,$CB$2:$CB$111)&lt;='Tournament Setup'!$C$39,_xlfn.RANK.EQ(CB102,$CB$2:$CB$111),""),"")</f>
        <v/>
      </c>
      <c r="CD102" s="31" t="str">
        <f>IF(AND($G102='Tournament Setup'!$A$39,$E102="F",$CA102&gt;'Tournament Setup'!$B$39),$H102,"")</f>
        <v/>
      </c>
      <c r="CE102" s="12" t="str">
        <f>IF(ISNUMBER(CD102)=TRUE,IF(_xlfn.RANK.EQ(CD102,$CD$2:$CD$111)&lt;='Tournament Setup'!$D$39,_xlfn.RANK.EQ(CD102,$CD$2:$CD$111),""),"")</f>
        <v/>
      </c>
      <c r="CF102" s="30" t="str">
        <f>IF($G102='Tournament Setup'!$A$40,$H102,"")</f>
        <v/>
      </c>
      <c r="CG102" s="47" t="str">
        <f>IF(ISNUMBER(CF102),IF(COUNTIFS(CG$1:CG79,_xlfn.RANK.EQ(CF102,CF$2:CF$111,0))&gt;0,_xlfn.MAXIFS(CG$1:CG79,CF$1:CF79,CF102)+1,_xlfn.RANK.EQ(CF102,CF$2:CF$111,0)),"")</f>
        <v/>
      </c>
      <c r="CH102" s="1" t="str">
        <f>IF(ISNUMBER(CF102)=TRUE,IF(_xlfn.RANK.EQ(CF102,$CF$2:$CF$111)&lt;='Tournament Setup'!$B$40,_xlfn.RANK.EQ(CF102,$CF$2:$CF$111),""),"")</f>
        <v/>
      </c>
      <c r="CI102" s="31" t="str">
        <f>IF(AND($G102='Tournament Setup'!$A$40,$E102="M",$CH102&gt;'Tournament Setup'!$B$40),$H102,"")</f>
        <v/>
      </c>
      <c r="CJ102" s="1" t="str">
        <f>IF(ISNUMBER(CI102)=TRUE,IF(_xlfn.RANK.EQ(CI102,$CI$2:$CI$111)&lt;='Tournament Setup'!$C$40,_xlfn.RANK.EQ(CI102,$CI$2:$CI$111),""),"")</f>
        <v/>
      </c>
      <c r="CK102" s="31" t="str">
        <f>IF(AND($G102='Tournament Setup'!$A$40,$E102="F",$CH102&gt;'Tournament Setup'!$B$40),$H102,"")</f>
        <v/>
      </c>
      <c r="CL102" s="12" t="str">
        <f>IF(ISNUMBER(CK102)=TRUE,IF(_xlfn.RANK.EQ(CK102,$CK$2:$CK$111)&lt;='Tournament Setup'!$D$40,_xlfn.RANK.EQ(CK102,$CK$2:$CK$111),""),"")</f>
        <v/>
      </c>
      <c r="CM102" s="30" t="str">
        <f>IF($G102='Tournament Setup'!$A$41,$H102,"")</f>
        <v/>
      </c>
      <c r="CN102" s="47" t="str">
        <f>IF(ISNUMBER(CM102),IF(COUNTIFS(CN$1:CN79,_xlfn.RANK.EQ(CM102,CM$2:CM$111,0))&gt;0,_xlfn.MAXIFS(CN$1:CN79,CM$1:CM79,CM102)+1,_xlfn.RANK.EQ(CM102,CM$2:CM$111,0)),"")</f>
        <v/>
      </c>
      <c r="CO102" s="1" t="str">
        <f>IF(ISNUMBER(CM102)=TRUE,IF(_xlfn.RANK.EQ(CM102,$CM$2:$CM$111)&lt;='Tournament Setup'!$B$41,_xlfn.RANK.EQ(CM102,$CM$2:$CM$111),""),"")</f>
        <v/>
      </c>
      <c r="CP102" s="31" t="str">
        <f>IF(AND($G102='Tournament Setup'!$A$41,$E102="M",$CO102&gt;'Tournament Setup'!$B$41),$H102,"")</f>
        <v/>
      </c>
      <c r="CQ102" s="1" t="str">
        <f>IF(ISNUMBER(CP102)=TRUE,IF(_xlfn.RANK.EQ(CP102,$CP$2:$CP$111)&lt;='Tournament Setup'!$C$41,_xlfn.RANK.EQ(CP102,$CP$2:$CP$111),""),"")</f>
        <v/>
      </c>
      <c r="CR102" s="31" t="str">
        <f>IF(AND($G102='Tournament Setup'!$A$41,$E102="F",$CO102&gt;'Tournament Setup'!$B$41),$H102,"")</f>
        <v/>
      </c>
      <c r="CS102" s="12" t="str">
        <f>IF(ISNUMBER(CR102)=TRUE,IF(_xlfn.RANK.EQ(CR102,$CR$2:$CR$111)&lt;='Tournament Setup'!$D$41,_xlfn.RANK.EQ(CR102,$CR$2:$CR$111),""),"")</f>
        <v/>
      </c>
    </row>
    <row r="103" spans="2:97" x14ac:dyDescent="0.3">
      <c r="B103" t="str">
        <f>IFERROR(INDEX('Tournament List'!$B:$B,MATCH($A103,'Tournament List'!$A:$A,0)),"")</f>
        <v/>
      </c>
      <c r="C103" t="str">
        <f>IFERROR(INDEX('Tournament List'!$C:$C,MATCH($A103,'Tournament List'!$A:$A,0)),"")</f>
        <v/>
      </c>
      <c r="D103" t="str">
        <f t="shared" si="15"/>
        <v xml:space="preserve"> </v>
      </c>
      <c r="E103" s="1" t="str">
        <f>IFERROR(INDEX('Tournament List'!F:F,MATCH($A103,'Tournament List'!$A:$A,0)),"")</f>
        <v/>
      </c>
      <c r="F103" t="str">
        <f>IFERROR(INDEX('Tournament List'!M:M,MATCH($A103,'Tournament List'!$A:$A,0)),"")</f>
        <v/>
      </c>
      <c r="G103" s="1" t="str">
        <f>IFERROR(INDEX('Tournament List'!W:W,MATCH($A103,'Tournament List'!$A:$A,0)),"")</f>
        <v/>
      </c>
      <c r="H103" s="129" t="str">
        <f>IFERROR(INDEX('Tournament List'!Z:Z,MATCH($A103,'Tournament List'!$A:$A,0)),"")</f>
        <v/>
      </c>
      <c r="I103" s="152" t="str">
        <f>IFERROR(INDEX('Tournament List'!T:T,MATCH($A103,'Tournament List'!$A:$A,0)),"")</f>
        <v/>
      </c>
      <c r="J103" s="56" t="str">
        <f>IF(ISNUMBER(I103),IF(COUNTIFS(J$1:J102,_xlfn.RANK.EQ(I103,I$2:I$111,0))&gt;0,_xlfn.MAXIFS(J$1:J102,I$1:I102,I103)+1,_xlfn.RANK.EQ(I103,I$2:I$111,0)),"")</f>
        <v/>
      </c>
      <c r="K103" s="11" t="str">
        <f t="shared" si="16"/>
        <v/>
      </c>
      <c r="L103" s="56" t="str">
        <f>IF(ISNUMBER(H103),IF(COUNTIFS(L$1:L102,_xlfn.RANK.EQ(H103,H$2:H$111,0))&gt;0,_xlfn.MAXIFS(L$1:L102,H$1:H102,H103)+1,_xlfn.RANK.EQ(H103,H$2:H$111,0)),"")</f>
        <v/>
      </c>
      <c r="M103" s="151" t="str">
        <f t="shared" si="17"/>
        <v/>
      </c>
      <c r="N103" s="47" t="str">
        <f>IF(ISNUMBER(M103),IF(COUNTIFS(N$1:N102,_xlfn.RANK.EQ(M103,M$2:M$111,0))&gt;0,_xlfn.MAXIFS(N$1:N102,M$1:M102,M103)+1,_xlfn.RANK.EQ(M103,M$2:M$111,0)),"")</f>
        <v/>
      </c>
      <c r="O103" s="1" t="str">
        <f>IF(ISNUMBER(M103)=TRUE,IF(_xlfn.RANK.EQ(M103,$M$2:$M$111)&lt;='Tournament Setup'!$B$23,_xlfn.RANK.EQ(M103,$M$2:$M$111),""),"")</f>
        <v/>
      </c>
      <c r="P103" s="150" t="str">
        <f t="shared" si="18"/>
        <v/>
      </c>
      <c r="Q103" s="1" t="str">
        <f>IF(ISNUMBER(P103)=TRUE,IF(_xlfn.RANK.EQ(P103,$P$2:$P$111)&lt;='Tournament Setup'!$B$24,_xlfn.RANK.EQ(P103,$P$2:$P$111),""),"")</f>
        <v/>
      </c>
      <c r="R103" s="150" t="str">
        <f t="shared" si="19"/>
        <v/>
      </c>
      <c r="S103" s="12" t="str">
        <f>IF(ISNUMBER(R103)=TRUE,IF(_xlfn.RANK.EQ(R103,$R$2:$R$111)&lt;='Tournament Setup'!$B$25,_xlfn.RANK.EQ(R103,$R$2:$R$111),""),"")</f>
        <v/>
      </c>
      <c r="T103" s="152" t="str">
        <f>IF(AND($F103='Tournament Setup'!$A$29,$I103&lt;&gt;0),$I103,"")</f>
        <v/>
      </c>
      <c r="U103" s="47" t="str">
        <f>IF(ISNUMBER(T103),IF(COUNTIFS(U$1:U102,_xlfn.RANK.EQ(T103,T$2:T$111,0))&gt;0,_xlfn.MAXIFS(U$1:U102,T$1:T102,T103)+1,_xlfn.RANK.EQ(T103,T$2:T$111,0)),"")</f>
        <v/>
      </c>
      <c r="V103" s="1" t="str">
        <f>IF(ISNUMBER(T103)=TRUE,IF(_xlfn.RANK.EQ(T103,$T$3:$T$112)&lt;='Tournament Setup'!$B$46,_xlfn.RANK.EQ(T103,$T$2:$T$111),""),"")</f>
        <v/>
      </c>
      <c r="W103" s="30" t="str">
        <f>IF(AND($F103='Tournament Setup'!$A$29,SUM($O103,$Q103,$S103)=0),$H103,"")</f>
        <v/>
      </c>
      <c r="X103" s="47" t="str">
        <f>IF(ISNUMBER(W103),IF(COUNTIFS(X$1:X102,_xlfn.RANK.EQ(W103,W$2:W$111,0))&gt;0,_xlfn.MAXIFS(X$1:X102,W$1:W102,W103)+1,_xlfn.RANK.EQ(W103,W$2:W$111,0)),"")</f>
        <v/>
      </c>
      <c r="Y103" s="1" t="str">
        <f>IF(ISNUMBER(W103)=TRUE,IF(_xlfn.RANK.EQ(W103,$W$2:$W$111)&lt;='Tournament Setup'!$B$29,_xlfn.RANK.EQ(W103,$W$2:$W$111),""),"")</f>
        <v/>
      </c>
      <c r="Z103" s="31" t="str">
        <f>IF(AND($F103='Tournament Setup'!$A$29,SUM($O103,$Q103)=0,$E103="M",$Y103&gt;'Tournament Setup'!$B$29),$H103,"")</f>
        <v/>
      </c>
      <c r="AA103" s="1" t="str">
        <f>IF(ISNUMBER(Z103)=TRUE,IF(_xlfn.RANK.EQ(Z103,$Z$2:$Z$111)&lt;='Tournament Setup'!$C$29,_xlfn.RANK.EQ(Z103,$Z$2:$Z$111),""),"")</f>
        <v/>
      </c>
      <c r="AB103" s="31" t="str">
        <f>IF(AND($F103='Tournament Setup'!$A$29,SUM($O103,$S103)=0,$E103="F",$Y103&gt;'Tournament Setup'!$B$29),$H103,"")</f>
        <v/>
      </c>
      <c r="AC103" s="12" t="str">
        <f>IF(ISNUMBER(AB103)=TRUE,IF(_xlfn.RANK.EQ(AB103,$AB$2:$AB$111)&lt;='Tournament Setup'!$D$29,_xlfn.RANK.EQ(AB103,$AB$2:$AB$111),""),"")</f>
        <v/>
      </c>
      <c r="AD103" s="30" t="str">
        <f>IF(AND($F103='Tournament Setup'!$A$30,$I103&lt;&gt;0),$I103,"")</f>
        <v/>
      </c>
      <c r="AE103" s="47" t="str">
        <f>IF(ISNUMBER(AD103),IF(COUNTIFS(AE$1:AE102,_xlfn.RANK.EQ(AD103,AD$2:AD$111,0))&gt;0,_xlfn.MAXIFS(AE$1:AE102,AD$1:AD102,AD103)+1,_xlfn.RANK.EQ(AD103,AD$2:AD$111,0)),"")</f>
        <v/>
      </c>
      <c r="AF103" s="1" t="str">
        <f>IF(ISNUMBER(AD103)=TRUE,IF(_xlfn.RANK.EQ(AD103,$AD$2:$AD$111)&lt;='Tournament Setup'!$B$46,_xlfn.RANK.EQ(AD103,$AD$2:$AD$111),""),"")</f>
        <v/>
      </c>
      <c r="AG103" s="30" t="str">
        <f>IF(AND($F103='Tournament Setup'!$A$30,SUM($O103,$Q103,$S103)=0),$H103,"")</f>
        <v/>
      </c>
      <c r="AH103" s="47" t="str">
        <f>IF(ISNUMBER(AG103),IF(COUNTIFS(AH$1:AH102,_xlfn.RANK.EQ(AG103,AG$2:AG$111,0))&gt;0,_xlfn.MAXIFS(AH$1:AH102,AG$1:AG102,AG103)+1,_xlfn.RANK.EQ(AG103,AG$2:AG$111,0)),"")</f>
        <v/>
      </c>
      <c r="AI103" s="1" t="str">
        <f>IF(ISNUMBER(AG103)=TRUE,IF(_xlfn.RANK.EQ(AG103,$AG$2:$AG$111)&lt;='Tournament Setup'!$B$30,_xlfn.RANK.EQ(AG103,$AG$2:$AG$111),""),"")</f>
        <v/>
      </c>
      <c r="AJ103" s="31" t="str">
        <f>IF(AND($F103='Tournament Setup'!$A$30,SUM($O103,$Q103)=0,$E103="M",$AI103&gt;'Tournament Setup'!$B$30),$H103,"")</f>
        <v/>
      </c>
      <c r="AK103" s="1" t="str">
        <f>IF(ISNUMBER(AJ103)=TRUE,IF(_xlfn.RANK.EQ(AJ103,$AJ$2:$AJ$111)&lt;='Tournament Setup'!$C$30,_xlfn.RANK.EQ(AJ103,$AJ$2:$AJ$111),""),"")</f>
        <v/>
      </c>
      <c r="AL103" s="31" t="str">
        <f>IF(AND($F103='Tournament Setup'!$A$30,SUM($O103,$S103)=0,$E103="F",$AI103&gt;'Tournament Setup'!$B$30),$H103,"")</f>
        <v/>
      </c>
      <c r="AM103" s="12" t="str">
        <f>IF(ISNUMBER(AL103)=TRUE,IF(_xlfn.RANK.EQ(AL103,$AL$2:$AL$111)&lt;='Tournament Setup'!$D$30,_xlfn.RANK.EQ(AL103,$AL$2:$AL$111),""),"")</f>
        <v/>
      </c>
      <c r="AN103" s="30" t="str">
        <f>IF(AND($F103='Tournament Setup'!$A$31,$I103&lt;&gt;0),$I103,"")</f>
        <v/>
      </c>
      <c r="AO103" s="47" t="str">
        <f>IF(ISNUMBER(AN103),IF(COUNTIFS(AO$1:AO102,_xlfn.RANK.EQ(AN103,AN$2:AN$111,0))&gt;0,_xlfn.MAXIFS(AO$1:AO102,AN$1:AN102,AN103)+1,_xlfn.RANK.EQ(AN103,AN$2:AN$111,0)),"")</f>
        <v/>
      </c>
      <c r="AP103" s="1" t="str">
        <f>IF(ISNUMBER(AN103)=TRUE,IF(_xlfn.RANK.EQ(AN103,$AN$2:$AN$111)&lt;='Tournament Setup'!$B$46,_xlfn.RANK.EQ(AN103,$AN$2:$AN$111),""),"")</f>
        <v/>
      </c>
      <c r="AQ103" s="30" t="str">
        <f>IF(AND($F103='Tournament Setup'!$A$31,SUM($O103,$Q103,$S103)=0),$H103,"")</f>
        <v/>
      </c>
      <c r="AR103" s="47" t="str">
        <f>IF(ISNUMBER(AQ103),IF(COUNTIFS(AR$1:AR102,_xlfn.RANK.EQ(AQ103,AQ$2:AQ$111,0))&gt;0,_xlfn.MAXIFS(AR$1:AR102,AQ$1:AQ102,AQ103)+1,_xlfn.RANK.EQ(AQ103,AQ$2:AQ$111,0)),"")</f>
        <v/>
      </c>
      <c r="AS103" s="1" t="str">
        <f>IF(ISNUMBER(AQ103)=TRUE,IF(_xlfn.RANK.EQ(AQ103,$AQ$2:$AQ$111)&lt;='Tournament Setup'!$B$31,_xlfn.RANK.EQ(AQ103,$AQ$2:$AQ$111),""),"")</f>
        <v/>
      </c>
      <c r="AT103" s="31" t="str">
        <f>IF(AND($F103='Tournament Setup'!$A$31,SUM($O103,$Q103)=0,$E103="M",$AS103&gt;'Tournament Setup'!$B$31),$H103,"")</f>
        <v/>
      </c>
      <c r="AU103" s="1" t="str">
        <f>IF(ISNUMBER(AT103)=TRUE,IF(_xlfn.RANK.EQ(AT103,$AT$2:$AT$111)&lt;='Tournament Setup'!$C$31,_xlfn.RANK.EQ(AT103,$AT$2:$AT$111),""),"")</f>
        <v/>
      </c>
      <c r="AV103" s="31" t="str">
        <f>IF(AND($F103='Tournament Setup'!$A$31,SUM($O103,$S103)=0,$E103="F",$AS103&gt;'Tournament Setup'!$B$31),$H103,"")</f>
        <v/>
      </c>
      <c r="AW103" s="12" t="str">
        <f>IF(ISNUMBER(AV103)=TRUE,IF(_xlfn.RANK.EQ(AV103,$AV$2:$AV$111)&lt;='Tournament Setup'!$D$31,_xlfn.RANK.EQ(AV103,$AV$2:$AV$111),""),"")</f>
        <v/>
      </c>
      <c r="AX103" s="30" t="str">
        <f>IF(AND($F103='Tournament Setup'!$A$32,$I103&lt;&gt;0),$I103,"")</f>
        <v/>
      </c>
      <c r="AY103" s="47" t="str">
        <f>IF(ISNUMBER(AX103),IF(COUNTIFS(AY$1:AY102,_xlfn.RANK.EQ(AX103,AX$2:AX$111,0))&gt;0,_xlfn.MAXIFS(AY$1:AY102,AX$1:AX102,AX103)+1,_xlfn.RANK.EQ(AX103,AX$2:AX$111,0)),"")</f>
        <v/>
      </c>
      <c r="AZ103" s="1" t="str">
        <f>IF(ISNUMBER(AX103)=TRUE,IF(_xlfn.RANK.EQ(AX103,$AX$2:$AX$111)&lt;='Tournament Setup'!$B$46,_xlfn.RANK.EQ(AX103,$AX$2:$AX$111),""),"")</f>
        <v/>
      </c>
      <c r="BA103" s="30" t="str">
        <f>IF(AND($F103='Tournament Setup'!$A$32,SUM($O103,$Q103,$S103)=0),$H103,"")</f>
        <v/>
      </c>
      <c r="BB103" s="47" t="str">
        <f>IF(ISNUMBER(BA103),IF(COUNTIFS(BB$1:BB102,_xlfn.RANK.EQ(BA103,BA$2:BA$111,0))&gt;0,_xlfn.MAXIFS(BB$1:BB102,BA$1:BA102,BA103)+1,_xlfn.RANK.EQ(BA103,BA$2:BA$111,0)),"")</f>
        <v/>
      </c>
      <c r="BC103" s="1" t="str">
        <f>IF(ISNUMBER(BA103)=TRUE,IF(_xlfn.RANK.EQ(BA103,$BA$2:$BA$111)&lt;='Tournament Setup'!$B$32,_xlfn.RANK.EQ(BA103,$BA$2:$BA$111),""),"")</f>
        <v/>
      </c>
      <c r="BD103" s="31" t="str">
        <f>IF(AND($F103='Tournament Setup'!$A$32,SUM($O103,$Q103)=0,$E103="M",$BC103&gt;'Tournament Setup'!$B$32),$H103,"")</f>
        <v/>
      </c>
      <c r="BE103" s="1" t="str">
        <f>IF(ISNUMBER(BD103)=TRUE,IF(_xlfn.RANK.EQ(BD103,$BD$2:$BD$111)&lt;='Tournament Setup'!$C$32,_xlfn.RANK.EQ(BD103,$BD$2:$BD$111),""),"")</f>
        <v/>
      </c>
      <c r="BF103" s="31" t="str">
        <f>IF(AND($F103='Tournament Setup'!$A$32,SUM($O103,$S103)=0,$E103="F",$BC103&gt;'Tournament Setup'!$B$32),$H103,"")</f>
        <v/>
      </c>
      <c r="BG103" s="12" t="str">
        <f>IF(ISNUMBER(BF103)=TRUE,IF(_xlfn.RANK.EQ(BF103,$BF$2:$BF$111)&lt;='Tournament Setup'!$D$32,_xlfn.RANK.EQ(BF103,$BF$2:$BF$111),""),"")</f>
        <v/>
      </c>
      <c r="BH103" s="30" t="str">
        <f>IF(AND($F103='Tournament Setup'!$A$33,$I103&lt;&gt;0),$I103,"")</f>
        <v/>
      </c>
      <c r="BI103" s="47" t="str">
        <f>IF(ISNUMBER(BH103),IF(COUNTIFS(BI$1:BI102,_xlfn.RANK.EQ(BH103,BH$2:BH$111,0))&gt;0,_xlfn.MAXIFS(BI$1:BI102,BH$1:BH102,BH103)+1,_xlfn.RANK.EQ(BH103,BH$2:BH$111,0)),"")</f>
        <v/>
      </c>
      <c r="BJ103" s="1" t="str">
        <f>IF(ISNUMBER(BH103)=TRUE,IF(_xlfn.RANK.EQ(BH103,$BH$2:$BH$111)&lt;='Tournament Setup'!$B$46,_xlfn.RANK.EQ(BH103,$BH$2:$BH$111),""),"")</f>
        <v/>
      </c>
      <c r="BK103" s="30" t="str">
        <f>IF(AND($F103='Tournament Setup'!$A$33,SUM($O103,$Q103,$S103)=0),$H103,"")</f>
        <v/>
      </c>
      <c r="BL103" s="47" t="str">
        <f>IF(ISNUMBER(BK103),IF(COUNTIFS(BL$1:BL102,_xlfn.RANK.EQ(BK103,BK$2:BK$111,0))&gt;0,_xlfn.MAXIFS(BL$1:BL102,BK$1:BK102,BK103)+1,_xlfn.RANK.EQ(BK103,BK$2:BK$111,0)),"")</f>
        <v/>
      </c>
      <c r="BM103" s="1" t="str">
        <f>IF(ISNUMBER(BK103)=TRUE,IF(_xlfn.RANK.EQ(BK103,$BK$2:$BK$111)&lt;='Tournament Setup'!$B$33,_xlfn.RANK.EQ(BK103,$BK$2:$BK$111),""),"")</f>
        <v/>
      </c>
      <c r="BN103" s="31" t="str">
        <f>IF(AND($F103='Tournament Setup'!$A$33,SUM($O103,$Q103)=0,$E103="M",$BM103&gt;'Tournament Setup'!$B$33),$H103,"")</f>
        <v/>
      </c>
      <c r="BO103" s="1" t="str">
        <f>IF(ISNUMBER(BN103)=TRUE,IF(_xlfn.RANK.EQ(BN103,$BN$2:$BN$111)&lt;='Tournament Setup'!$C$33,_xlfn.RANK.EQ(BN103,$BN$2:$BN$111),""),"")</f>
        <v/>
      </c>
      <c r="BP103" s="31" t="str">
        <f>IF(AND($F103='Tournament Setup'!$A$33,SUM($O103,$S103)=0,$E103="F",$BM103&gt;'Tournament Setup'!$B$33),$H103,"")</f>
        <v/>
      </c>
      <c r="BQ103" s="12" t="str">
        <f>IF(ISNUMBER(BP103)=TRUE,IF(_xlfn.RANK.EQ(BP103,$BP$2:$BP$111)&lt;='Tournament Setup'!$D$33,_xlfn.RANK.EQ(BP103,$BP$2:$BP$111),""),"")</f>
        <v/>
      </c>
      <c r="BR103" s="30" t="str">
        <f>IF($G103='Tournament Setup'!$A$38,$H103,"")</f>
        <v/>
      </c>
      <c r="BS103" s="47" t="str">
        <f>IF(ISNUMBER(BR103),IF(COUNTIFS(BS$1:BS102,_xlfn.RANK.EQ(BR103,BR$2:BR$111,0))&gt;0,_xlfn.MAXIFS(BS$1:BS102,BR$1:BR102,BR103)+1,_xlfn.RANK.EQ(BR103,BR$2:BR$111,0)),"")</f>
        <v/>
      </c>
      <c r="BT103" s="1" t="str">
        <f>IF(ISNUMBER(BR103)=TRUE,IF(_xlfn.RANK.EQ(BR103,$BR$2:$BR$111)&lt;='Tournament Setup'!$B$38,_xlfn.RANK.EQ(BR103,$BR$2:$BR$111),""),"")</f>
        <v/>
      </c>
      <c r="BU103" s="31" t="str">
        <f>IF(AND($G103='Tournament Setup'!$A$38,$E103="M",$BT103&gt;'Tournament Setup'!$B$38),$H103,"")</f>
        <v/>
      </c>
      <c r="BV103" s="1" t="str">
        <f>IF(ISNUMBER(BU103)=TRUE,IF(_xlfn.RANK.EQ(BU103,$BU$2:$BU$111)&lt;='Tournament Setup'!$C$38,_xlfn.RANK.EQ(BU103,$BU$2:$BU$111),""),"")</f>
        <v/>
      </c>
      <c r="BW103" s="31" t="str">
        <f>IF(AND($G103='Tournament Setup'!$A$38,$E103="F",$BT103&gt;'Tournament Setup'!$B$38),$H103,"")</f>
        <v/>
      </c>
      <c r="BX103" s="12" t="str">
        <f>IF(ISNUMBER(BW103)=TRUE,IF(_xlfn.RANK.EQ(BW103,$BW$2:$BW$111)&lt;='Tournament Setup'!$D$38,_xlfn.RANK.EQ(BW103,$BW$2:$BW$111),""),"")</f>
        <v/>
      </c>
      <c r="BY103" s="30" t="str">
        <f>IF($G103='Tournament Setup'!$A$39,$H103,"")</f>
        <v/>
      </c>
      <c r="BZ103" s="47" t="str">
        <f>IF(ISNUMBER(BY103),IF(COUNTIFS(BZ$1:BZ102,_xlfn.RANK.EQ(BY103,BY$2:BY$111,0))&gt;0,_xlfn.MAXIFS(BZ$1:BZ102,BY$1:BY102,BY103)+1,_xlfn.RANK.EQ(BY103,BY$2:BY$111,0)),"")</f>
        <v/>
      </c>
      <c r="CA103" s="1" t="str">
        <f>IF(ISNUMBER(BY103)=TRUE,IF(_xlfn.RANK.EQ(BY103,$BY$2:$BY$111)&lt;='Tournament Setup'!$B$39,_xlfn.RANK.EQ(BY103,$BY$2:$BY$111),""),"")</f>
        <v/>
      </c>
      <c r="CB103" s="31" t="str">
        <f>IF(AND($G103='Tournament Setup'!$A$39,$E103="M",$CA103&gt;'Tournament Setup'!$B$39),$H103,"")</f>
        <v/>
      </c>
      <c r="CC103" s="1" t="str">
        <f>IF(ISNUMBER(CB103)=TRUE,IF(_xlfn.RANK.EQ(CB103,$CB$2:$CB$111)&lt;='Tournament Setup'!$C$39,_xlfn.RANK.EQ(CB103,$CB$2:$CB$111),""),"")</f>
        <v/>
      </c>
      <c r="CD103" s="31" t="str">
        <f>IF(AND($G103='Tournament Setup'!$A$39,$E103="F",$CA103&gt;'Tournament Setup'!$B$39),$H103,"")</f>
        <v/>
      </c>
      <c r="CE103" s="12" t="str">
        <f>IF(ISNUMBER(CD103)=TRUE,IF(_xlfn.RANK.EQ(CD103,$CD$2:$CD$111)&lt;='Tournament Setup'!$D$39,_xlfn.RANK.EQ(CD103,$CD$2:$CD$111),""),"")</f>
        <v/>
      </c>
      <c r="CF103" s="30" t="str">
        <f>IF($G103='Tournament Setup'!$A$40,$H103,"")</f>
        <v/>
      </c>
      <c r="CG103" s="47" t="str">
        <f>IF(ISNUMBER(CF103),IF(COUNTIFS(CG$1:CG102,_xlfn.RANK.EQ(CF103,CF$2:CF$111,0))&gt;0,_xlfn.MAXIFS(CG$1:CG102,CF$1:CF102,CF103)+1,_xlfn.RANK.EQ(CF103,CF$2:CF$111,0)),"")</f>
        <v/>
      </c>
      <c r="CH103" s="1" t="str">
        <f>IF(ISNUMBER(CF103)=TRUE,IF(_xlfn.RANK.EQ(CF103,$CF$2:$CF$111)&lt;='Tournament Setup'!$B$40,_xlfn.RANK.EQ(CF103,$CF$2:$CF$111),""),"")</f>
        <v/>
      </c>
      <c r="CI103" s="31" t="str">
        <f>IF(AND($G103='Tournament Setup'!$A$40,$E103="M",$CH103&gt;'Tournament Setup'!$B$40),$H103,"")</f>
        <v/>
      </c>
      <c r="CJ103" s="1" t="str">
        <f>IF(ISNUMBER(CI103)=TRUE,IF(_xlfn.RANK.EQ(CI103,$CI$2:$CI$111)&lt;='Tournament Setup'!$C$40,_xlfn.RANK.EQ(CI103,$CI$2:$CI$111),""),"")</f>
        <v/>
      </c>
      <c r="CK103" s="31" t="str">
        <f>IF(AND($G103='Tournament Setup'!$A$40,$E103="F",$CH103&gt;'Tournament Setup'!$B$40),$H103,"")</f>
        <v/>
      </c>
      <c r="CL103" s="12" t="str">
        <f>IF(ISNUMBER(CK103)=TRUE,IF(_xlfn.RANK.EQ(CK103,$CK$2:$CK$111)&lt;='Tournament Setup'!$D$40,_xlfn.RANK.EQ(CK103,$CK$2:$CK$111),""),"")</f>
        <v/>
      </c>
      <c r="CM103" s="30" t="str">
        <f>IF($G103='Tournament Setup'!$A$41,$H103,"")</f>
        <v/>
      </c>
      <c r="CN103" s="47" t="str">
        <f>IF(ISNUMBER(CM103),IF(COUNTIFS(CN$1:CN102,_xlfn.RANK.EQ(CM103,CM$2:CM$111,0))&gt;0,_xlfn.MAXIFS(CN$1:CN102,CM$1:CM102,CM103)+1,_xlfn.RANK.EQ(CM103,CM$2:CM$111,0)),"")</f>
        <v/>
      </c>
      <c r="CO103" s="1" t="str">
        <f>IF(ISNUMBER(CM103)=TRUE,IF(_xlfn.RANK.EQ(CM103,$CM$2:$CM$111)&lt;='Tournament Setup'!$B$41,_xlfn.RANK.EQ(CM103,$CM$2:$CM$111),""),"")</f>
        <v/>
      </c>
      <c r="CP103" s="31" t="str">
        <f>IF(AND($G103='Tournament Setup'!$A$41,$E103="M",$CO103&gt;'Tournament Setup'!$B$41),$H103,"")</f>
        <v/>
      </c>
      <c r="CQ103" s="1" t="str">
        <f>IF(ISNUMBER(CP103)=TRUE,IF(_xlfn.RANK.EQ(CP103,$CP$2:$CP$111)&lt;='Tournament Setup'!$C$41,_xlfn.RANK.EQ(CP103,$CP$2:$CP$111),""),"")</f>
        <v/>
      </c>
      <c r="CR103" s="31" t="str">
        <f>IF(AND($G103='Tournament Setup'!$A$41,$E103="F",$CO103&gt;'Tournament Setup'!$B$41),$H103,"")</f>
        <v/>
      </c>
      <c r="CS103" s="12" t="str">
        <f>IF(ISNUMBER(CR103)=TRUE,IF(_xlfn.RANK.EQ(CR103,$CR$2:$CR$111)&lt;='Tournament Setup'!$D$41,_xlfn.RANK.EQ(CR103,$CR$2:$CR$111),""),"")</f>
        <v/>
      </c>
    </row>
    <row r="104" spans="2:97" x14ac:dyDescent="0.3">
      <c r="B104" t="str">
        <f>IFERROR(INDEX('Tournament List'!$B:$B,MATCH($A104,'Tournament List'!$A:$A,0)),"")</f>
        <v/>
      </c>
      <c r="C104" t="str">
        <f>IFERROR(INDEX('Tournament List'!$C:$C,MATCH($A104,'Tournament List'!$A:$A,0)),"")</f>
        <v/>
      </c>
      <c r="D104" t="str">
        <f t="shared" si="5"/>
        <v xml:space="preserve"> </v>
      </c>
      <c r="E104" s="1" t="str">
        <f>IFERROR(INDEX('Tournament List'!F:F,MATCH($A104,'Tournament List'!$A:$A,0)),"")</f>
        <v/>
      </c>
      <c r="F104" t="str">
        <f>IFERROR(INDEX('Tournament List'!M:M,MATCH($A104,'Tournament List'!$A:$A,0)),"")</f>
        <v/>
      </c>
      <c r="G104" s="1" t="str">
        <f>IFERROR(INDEX('Tournament List'!W:W,MATCH($A104,'Tournament List'!$A:$A,0)),"")</f>
        <v/>
      </c>
      <c r="H104" s="129" t="str">
        <f>IFERROR(INDEX('Tournament List'!Z:Z,MATCH($A104,'Tournament List'!$A:$A,0)),"")</f>
        <v/>
      </c>
      <c r="I104" s="152" t="str">
        <f>IFERROR(INDEX('Tournament List'!T:T,MATCH($A104,'Tournament List'!$A:$A,0)),"")</f>
        <v/>
      </c>
      <c r="J104" s="56" t="str">
        <f>IF(ISNUMBER(I104),IF(COUNTIFS(J$1:J65,_xlfn.RANK.EQ(I104,I$2:I$111,0))&gt;0,_xlfn.MAXIFS(J$1:J65,I$1:I65,I104)+1,_xlfn.RANK.EQ(I104,I$2:I$111,0)),"")</f>
        <v/>
      </c>
      <c r="K104" s="11" t="str">
        <f t="shared" si="6"/>
        <v/>
      </c>
      <c r="L104" s="56" t="str">
        <f>IF(ISNUMBER(H104),IF(COUNTIFS(L$1:L65,_xlfn.RANK.EQ(H104,H$2:H$111,0))&gt;0,_xlfn.MAXIFS(L$1:L65,H$1:H65,H104)+1,_xlfn.RANK.EQ(H104,H$2:H$111,0)),"")</f>
        <v/>
      </c>
      <c r="M104" s="151" t="str">
        <f t="shared" si="7"/>
        <v/>
      </c>
      <c r="N104" s="47" t="str">
        <f>IF(ISNUMBER(M104),IF(COUNTIFS(N$1:N65,_xlfn.RANK.EQ(M104,M$2:M$111,0))&gt;0,_xlfn.MAXIFS(N$1:N65,M$1:M65,M104)+1,_xlfn.RANK.EQ(M104,M$2:M$111,0)),"")</f>
        <v/>
      </c>
      <c r="O104" s="1" t="str">
        <f>IF(ISNUMBER(M104)=TRUE,IF(_xlfn.RANK.EQ(M104,$M$2:$M$111)&lt;='Tournament Setup'!$B$23,_xlfn.RANK.EQ(M104,$M$2:$M$111),""),"")</f>
        <v/>
      </c>
      <c r="P104" s="150" t="str">
        <f t="shared" si="8"/>
        <v/>
      </c>
      <c r="Q104" s="1" t="str">
        <f>IF(ISNUMBER(P104)=TRUE,IF(_xlfn.RANK.EQ(P104,$P$2:$P$111)&lt;='Tournament Setup'!$B$24,_xlfn.RANK.EQ(P104,$P$2:$P$111),""),"")</f>
        <v/>
      </c>
      <c r="R104" s="150" t="str">
        <f t="shared" si="9"/>
        <v/>
      </c>
      <c r="S104" s="12" t="str">
        <f>IF(ISNUMBER(R104)=TRUE,IF(_xlfn.RANK.EQ(R104,$R$2:$R$111)&lt;='Tournament Setup'!$B$25,_xlfn.RANK.EQ(R104,$R$2:$R$111),""),"")</f>
        <v/>
      </c>
      <c r="T104" s="152" t="str">
        <f>IF(AND($F104='Tournament Setup'!$A$29,$I104&lt;&gt;0),$I104,"")</f>
        <v/>
      </c>
      <c r="U104" s="47" t="str">
        <f>IF(ISNUMBER(T104),IF(COUNTIFS(U$1:U65,_xlfn.RANK.EQ(T104,T$2:T$111,0))&gt;0,_xlfn.MAXIFS(U$1:U65,T$1:T65,T104)+1,_xlfn.RANK.EQ(T104,T$2:T$111,0)),"")</f>
        <v/>
      </c>
      <c r="V104" s="1" t="str">
        <f>IF(ISNUMBER(T104)=TRUE,IF(_xlfn.RANK.EQ(T104,$T$3:$T$112)&lt;='Tournament Setup'!$B$46,_xlfn.RANK.EQ(T104,$T$2:$T$111),""),"")</f>
        <v/>
      </c>
      <c r="W104" s="30" t="str">
        <f>IF(AND($F104='Tournament Setup'!$A$29,SUM($O104,$Q104,$S104)=0),$H104,"")</f>
        <v/>
      </c>
      <c r="X104" s="47" t="str">
        <f>IF(ISNUMBER(W104),IF(COUNTIFS(X$1:X65,_xlfn.RANK.EQ(W104,W$2:W$111,0))&gt;0,_xlfn.MAXIFS(X$1:X65,W$1:W65,W104)+1,_xlfn.RANK.EQ(W104,W$2:W$111,0)),"")</f>
        <v/>
      </c>
      <c r="Y104" s="1" t="str">
        <f>IF(ISNUMBER(W104)=TRUE,IF(_xlfn.RANK.EQ(W104,$W$2:$W$111)&lt;='Tournament Setup'!$B$29,_xlfn.RANK.EQ(W104,$W$2:$W$111),""),"")</f>
        <v/>
      </c>
      <c r="Z104" s="31" t="str">
        <f>IF(AND($F104='Tournament Setup'!$A$29,SUM($O104,$Q104)=0,$E104="M",$Y104&gt;'Tournament Setup'!$B$29),$H104,"")</f>
        <v/>
      </c>
      <c r="AA104" s="1" t="str">
        <f>IF(ISNUMBER(Z104)=TRUE,IF(_xlfn.RANK.EQ(Z104,$Z$2:$Z$111)&lt;='Tournament Setup'!$C$29,_xlfn.RANK.EQ(Z104,$Z$2:$Z$111),""),"")</f>
        <v/>
      </c>
      <c r="AB104" s="31" t="str">
        <f>IF(AND($F104='Tournament Setup'!$A$29,SUM($O104,$S104)=0,$E104="F",$Y104&gt;'Tournament Setup'!$B$29),$H104,"")</f>
        <v/>
      </c>
      <c r="AC104" s="12" t="str">
        <f>IF(ISNUMBER(AB104)=TRUE,IF(_xlfn.RANK.EQ(AB104,$AB$2:$AB$111)&lt;='Tournament Setup'!$D$29,_xlfn.RANK.EQ(AB104,$AB$2:$AB$111),""),"")</f>
        <v/>
      </c>
      <c r="AD104" s="30" t="str">
        <f>IF(AND($F104='Tournament Setup'!$A$30,$I104&lt;&gt;0),$I104,"")</f>
        <v/>
      </c>
      <c r="AE104" s="47" t="str">
        <f>IF(ISNUMBER(AD104),IF(COUNTIFS(AE$1:AE65,_xlfn.RANK.EQ(AD104,AD$2:AD$111,0))&gt;0,_xlfn.MAXIFS(AE$1:AE65,AD$1:AD65,AD104)+1,_xlfn.RANK.EQ(AD104,AD$2:AD$111,0)),"")</f>
        <v/>
      </c>
      <c r="AF104" s="1" t="str">
        <f>IF(ISNUMBER(AD104)=TRUE,IF(_xlfn.RANK.EQ(AD104,$AD$2:$AD$111)&lt;='Tournament Setup'!$B$46,_xlfn.RANK.EQ(AD104,$AD$2:$AD$111),""),"")</f>
        <v/>
      </c>
      <c r="AG104" s="30" t="str">
        <f>IF(AND($F104='Tournament Setup'!$A$30,SUM($O104,$Q104,$S104)=0),$H104,"")</f>
        <v/>
      </c>
      <c r="AH104" s="47" t="str">
        <f>IF(ISNUMBER(AG104),IF(COUNTIFS(AH$1:AH65,_xlfn.RANK.EQ(AG104,AG$2:AG$111,0))&gt;0,_xlfn.MAXIFS(AH$1:AH65,AG$1:AG65,AG104)+1,_xlfn.RANK.EQ(AG104,AG$2:AG$111,0)),"")</f>
        <v/>
      </c>
      <c r="AI104" s="1" t="str">
        <f>IF(ISNUMBER(AG104)=TRUE,IF(_xlfn.RANK.EQ(AG104,$AG$2:$AG$111)&lt;='Tournament Setup'!$B$30,_xlfn.RANK.EQ(AG104,$AG$2:$AG$111),""),"")</f>
        <v/>
      </c>
      <c r="AJ104" s="31" t="str">
        <f>IF(AND($F104='Tournament Setup'!$A$30,SUM($O104,$Q104)=0,$E104="M",$AI104&gt;'Tournament Setup'!$B$30),$H104,"")</f>
        <v/>
      </c>
      <c r="AK104" s="1" t="str">
        <f>IF(ISNUMBER(AJ104)=TRUE,IF(_xlfn.RANK.EQ(AJ104,$AJ$2:$AJ$111)&lt;='Tournament Setup'!$C$30,_xlfn.RANK.EQ(AJ104,$AJ$2:$AJ$111),""),"")</f>
        <v/>
      </c>
      <c r="AL104" s="31" t="str">
        <f>IF(AND($F104='Tournament Setup'!$A$30,SUM($O104,$S104)=0,$E104="F",$AI104&gt;'Tournament Setup'!$B$30),$H104,"")</f>
        <v/>
      </c>
      <c r="AM104" s="12" t="str">
        <f>IF(ISNUMBER(AL104)=TRUE,IF(_xlfn.RANK.EQ(AL104,$AL$2:$AL$111)&lt;='Tournament Setup'!$D$30,_xlfn.RANK.EQ(AL104,$AL$2:$AL$111),""),"")</f>
        <v/>
      </c>
      <c r="AN104" s="30" t="str">
        <f>IF(AND($F104='Tournament Setup'!$A$31,$I104&lt;&gt;0),$I104,"")</f>
        <v/>
      </c>
      <c r="AO104" s="47" t="str">
        <f>IF(ISNUMBER(AN104),IF(COUNTIFS(AO$1:AO65,_xlfn.RANK.EQ(AN104,AN$2:AN$111,0))&gt;0,_xlfn.MAXIFS(AO$1:AO65,AN$1:AN65,AN104)+1,_xlfn.RANK.EQ(AN104,AN$2:AN$111,0)),"")</f>
        <v/>
      </c>
      <c r="AP104" s="1" t="str">
        <f>IF(ISNUMBER(AN104)=TRUE,IF(_xlfn.RANK.EQ(AN104,$AN$2:$AN$111)&lt;='Tournament Setup'!$B$46,_xlfn.RANK.EQ(AN104,$AN$2:$AN$111),""),"")</f>
        <v/>
      </c>
      <c r="AQ104" s="30" t="str">
        <f>IF(AND($F104='Tournament Setup'!$A$31,SUM($O104,$Q104,$S104)=0),$H104,"")</f>
        <v/>
      </c>
      <c r="AR104" s="47" t="str">
        <f>IF(ISNUMBER(AQ104),IF(COUNTIFS(AR$1:AR65,_xlfn.RANK.EQ(AQ104,AQ$2:AQ$111,0))&gt;0,_xlfn.MAXIFS(AR$1:AR65,AQ$1:AQ65,AQ104)+1,_xlfn.RANK.EQ(AQ104,AQ$2:AQ$111,0)),"")</f>
        <v/>
      </c>
      <c r="AS104" s="1" t="str">
        <f>IF(ISNUMBER(AQ104)=TRUE,IF(_xlfn.RANK.EQ(AQ104,$AQ$2:$AQ$111)&lt;='Tournament Setup'!$B$31,_xlfn.RANK.EQ(AQ104,$AQ$2:$AQ$111),""),"")</f>
        <v/>
      </c>
      <c r="AT104" s="31" t="str">
        <f>IF(AND($F104='Tournament Setup'!$A$31,SUM($O104,$Q104)=0,$E104="M",$AS104&gt;'Tournament Setup'!$B$31),$H104,"")</f>
        <v/>
      </c>
      <c r="AU104" s="1" t="str">
        <f>IF(ISNUMBER(AT104)=TRUE,IF(_xlfn.RANK.EQ(AT104,$AT$2:$AT$111)&lt;='Tournament Setup'!$C$31,_xlfn.RANK.EQ(AT104,$AT$2:$AT$111),""),"")</f>
        <v/>
      </c>
      <c r="AV104" s="31" t="str">
        <f>IF(AND($F104='Tournament Setup'!$A$31,SUM($O104,$S104)=0,$E104="F",$AS104&gt;'Tournament Setup'!$B$31),$H104,"")</f>
        <v/>
      </c>
      <c r="AW104" s="12" t="str">
        <f>IF(ISNUMBER(AV104)=TRUE,IF(_xlfn.RANK.EQ(AV104,$AV$2:$AV$111)&lt;='Tournament Setup'!$D$31,_xlfn.RANK.EQ(AV104,$AV$2:$AV$111),""),"")</f>
        <v/>
      </c>
      <c r="AX104" s="30" t="str">
        <f>IF(AND($F104='Tournament Setup'!$A$32,$I104&lt;&gt;0),$I104,"")</f>
        <v/>
      </c>
      <c r="AY104" s="47" t="str">
        <f>IF(ISNUMBER(AX104),IF(COUNTIFS(AY$1:AY65,_xlfn.RANK.EQ(AX104,AX$2:AX$111,0))&gt;0,_xlfn.MAXIFS(AY$1:AY65,AX$1:AX65,AX104)+1,_xlfn.RANK.EQ(AX104,AX$2:AX$111,0)),"")</f>
        <v/>
      </c>
      <c r="AZ104" s="1" t="str">
        <f>IF(ISNUMBER(AX104)=TRUE,IF(_xlfn.RANK.EQ(AX104,$AX$2:$AX$111)&lt;='Tournament Setup'!$B$46,_xlfn.RANK.EQ(AX104,$AX$2:$AX$111),""),"")</f>
        <v/>
      </c>
      <c r="BA104" s="30" t="str">
        <f>IF(AND($F104='Tournament Setup'!$A$32,SUM($O104,$Q104,$S104)=0),$H104,"")</f>
        <v/>
      </c>
      <c r="BB104" s="47" t="str">
        <f>IF(ISNUMBER(BA104),IF(COUNTIFS(BB$1:BB65,_xlfn.RANK.EQ(BA104,BA$2:BA$111,0))&gt;0,_xlfn.MAXIFS(BB$1:BB65,BA$1:BA65,BA104)+1,_xlfn.RANK.EQ(BA104,BA$2:BA$111,0)),"")</f>
        <v/>
      </c>
      <c r="BC104" s="1" t="str">
        <f>IF(ISNUMBER(BA104)=TRUE,IF(_xlfn.RANK.EQ(BA104,$BA$2:$BA$111)&lt;='Tournament Setup'!$B$32,_xlfn.RANK.EQ(BA104,$BA$2:$BA$111),""),"")</f>
        <v/>
      </c>
      <c r="BD104" s="31" t="str">
        <f>IF(AND($F104='Tournament Setup'!$A$32,SUM($O104,$Q104)=0,$E104="M",$BC104&gt;'Tournament Setup'!$B$32),$H104,"")</f>
        <v/>
      </c>
      <c r="BE104" s="1" t="str">
        <f>IF(ISNUMBER(BD104)=TRUE,IF(_xlfn.RANK.EQ(BD104,$BD$2:$BD$111)&lt;='Tournament Setup'!$C$32,_xlfn.RANK.EQ(BD104,$BD$2:$BD$111),""),"")</f>
        <v/>
      </c>
      <c r="BF104" s="31" t="str">
        <f>IF(AND($F104='Tournament Setup'!$A$32,SUM($O104,$S104)=0,$E104="F",$BC104&gt;'Tournament Setup'!$B$32),$H104,"")</f>
        <v/>
      </c>
      <c r="BG104" s="12" t="str">
        <f>IF(ISNUMBER(BF104)=TRUE,IF(_xlfn.RANK.EQ(BF104,$BF$2:$BF$111)&lt;='Tournament Setup'!$D$32,_xlfn.RANK.EQ(BF104,$BF$2:$BF$111),""),"")</f>
        <v/>
      </c>
      <c r="BH104" s="30" t="str">
        <f>IF(AND($F104='Tournament Setup'!$A$33,$I104&lt;&gt;0),$I104,"")</f>
        <v/>
      </c>
      <c r="BI104" s="47" t="str">
        <f>IF(ISNUMBER(BH104),IF(COUNTIFS(BI$1:BI65,_xlfn.RANK.EQ(BH104,BH$2:BH$111,0))&gt;0,_xlfn.MAXIFS(BI$1:BI65,BH$1:BH65,BH104)+1,_xlfn.RANK.EQ(BH104,BH$2:BH$111,0)),"")</f>
        <v/>
      </c>
      <c r="BJ104" s="1" t="str">
        <f>IF(ISNUMBER(BH104)=TRUE,IF(_xlfn.RANK.EQ(BH104,$BH$2:$BH$111)&lt;='Tournament Setup'!$B$46,_xlfn.RANK.EQ(BH104,$BH$2:$BH$111),""),"")</f>
        <v/>
      </c>
      <c r="BK104" s="30" t="str">
        <f>IF(AND($F104='Tournament Setup'!$A$33,SUM($O104,$Q104,$S104)=0),$H104,"")</f>
        <v/>
      </c>
      <c r="BL104" s="47" t="str">
        <f>IF(ISNUMBER(BK104),IF(COUNTIFS(BL$1:BL65,_xlfn.RANK.EQ(BK104,BK$2:BK$111,0))&gt;0,_xlfn.MAXIFS(BL$1:BL65,BK$1:BK65,BK104)+1,_xlfn.RANK.EQ(BK104,BK$2:BK$111,0)),"")</f>
        <v/>
      </c>
      <c r="BM104" s="1" t="str">
        <f>IF(ISNUMBER(BK104)=TRUE,IF(_xlfn.RANK.EQ(BK104,$BK$2:$BK$111)&lt;='Tournament Setup'!$B$33,_xlfn.RANK.EQ(BK104,$BK$2:$BK$111),""),"")</f>
        <v/>
      </c>
      <c r="BN104" s="31" t="str">
        <f>IF(AND($F104='Tournament Setup'!$A$33,SUM($O104,$Q104)=0,$E104="M",$BM104&gt;'Tournament Setup'!$B$33),$H104,"")</f>
        <v/>
      </c>
      <c r="BO104" s="1" t="str">
        <f>IF(ISNUMBER(BN104)=TRUE,IF(_xlfn.RANK.EQ(BN104,$BN$2:$BN$111)&lt;='Tournament Setup'!$C$33,_xlfn.RANK.EQ(BN104,$BN$2:$BN$111),""),"")</f>
        <v/>
      </c>
      <c r="BP104" s="31" t="str">
        <f>IF(AND($F104='Tournament Setup'!$A$33,SUM($O104,$S104)=0,$E104="F",$BM104&gt;'Tournament Setup'!$B$33),$H104,"")</f>
        <v/>
      </c>
      <c r="BQ104" s="12" t="str">
        <f>IF(ISNUMBER(BP104)=TRUE,IF(_xlfn.RANK.EQ(BP104,$BP$2:$BP$111)&lt;='Tournament Setup'!$D$33,_xlfn.RANK.EQ(BP104,$BP$2:$BP$111),""),"")</f>
        <v/>
      </c>
      <c r="BR104" s="30" t="str">
        <f>IF($G104='Tournament Setup'!$A$38,$H104,"")</f>
        <v/>
      </c>
      <c r="BS104" s="47" t="str">
        <f>IF(ISNUMBER(BR104),IF(COUNTIFS(BS$1:BS65,_xlfn.RANK.EQ(BR104,BR$2:BR$111,0))&gt;0,_xlfn.MAXIFS(BS$1:BS65,BR$1:BR65,BR104)+1,_xlfn.RANK.EQ(BR104,BR$2:BR$111,0)),"")</f>
        <v/>
      </c>
      <c r="BT104" s="1" t="str">
        <f>IF(ISNUMBER(BR104)=TRUE,IF(_xlfn.RANK.EQ(BR104,$BR$2:$BR$111)&lt;='Tournament Setup'!$B$38,_xlfn.RANK.EQ(BR104,$BR$2:$BR$111),""),"")</f>
        <v/>
      </c>
      <c r="BU104" s="31" t="str">
        <f>IF(AND($G104='Tournament Setup'!$A$38,$E104="M",$BT104&gt;'Tournament Setup'!$B$38),$H104,"")</f>
        <v/>
      </c>
      <c r="BV104" s="1" t="str">
        <f>IF(ISNUMBER(BU104)=TRUE,IF(_xlfn.RANK.EQ(BU104,$BU$2:$BU$111)&lt;='Tournament Setup'!$C$38,_xlfn.RANK.EQ(BU104,$BU$2:$BU$111),""),"")</f>
        <v/>
      </c>
      <c r="BW104" s="31" t="str">
        <f>IF(AND($G104='Tournament Setup'!$A$38,$E104="F",$BT104&gt;'Tournament Setup'!$B$38),$H104,"")</f>
        <v/>
      </c>
      <c r="BX104" s="12" t="str">
        <f>IF(ISNUMBER(BW104)=TRUE,IF(_xlfn.RANK.EQ(BW104,$BW$2:$BW$111)&lt;='Tournament Setup'!$D$38,_xlfn.RANK.EQ(BW104,$BW$2:$BW$111),""),"")</f>
        <v/>
      </c>
      <c r="BY104" s="30" t="str">
        <f>IF($G104='Tournament Setup'!$A$39,$H104,"")</f>
        <v/>
      </c>
      <c r="BZ104" s="47" t="str">
        <f>IF(ISNUMBER(BY104),IF(COUNTIFS(BZ$1:BZ65,_xlfn.RANK.EQ(BY104,BY$2:BY$111,0))&gt;0,_xlfn.MAXIFS(BZ$1:BZ65,BY$1:BY65,BY104)+1,_xlfn.RANK.EQ(BY104,BY$2:BY$111,0)),"")</f>
        <v/>
      </c>
      <c r="CA104" s="1" t="str">
        <f>IF(ISNUMBER(BY104)=TRUE,IF(_xlfn.RANK.EQ(BY104,$BY$2:$BY$111)&lt;='Tournament Setup'!$B$39,_xlfn.RANK.EQ(BY104,$BY$2:$BY$111),""),"")</f>
        <v/>
      </c>
      <c r="CB104" s="31" t="str">
        <f>IF(AND($G104='Tournament Setup'!$A$39,$E104="M",$CA104&gt;'Tournament Setup'!$B$39),$H104,"")</f>
        <v/>
      </c>
      <c r="CC104" s="1" t="str">
        <f>IF(ISNUMBER(CB104)=TRUE,IF(_xlfn.RANK.EQ(CB104,$CB$2:$CB$111)&lt;='Tournament Setup'!$C$39,_xlfn.RANK.EQ(CB104,$CB$2:$CB$111),""),"")</f>
        <v/>
      </c>
      <c r="CD104" s="31" t="str">
        <f>IF(AND($G104='Tournament Setup'!$A$39,$E104="F",$CA104&gt;'Tournament Setup'!$B$39),$H104,"")</f>
        <v/>
      </c>
      <c r="CE104" s="12" t="str">
        <f>IF(ISNUMBER(CD104)=TRUE,IF(_xlfn.RANK.EQ(CD104,$CD$2:$CD$111)&lt;='Tournament Setup'!$D$39,_xlfn.RANK.EQ(CD104,$CD$2:$CD$111),""),"")</f>
        <v/>
      </c>
      <c r="CF104" s="30" t="str">
        <f>IF($G104='Tournament Setup'!$A$40,$H104,"")</f>
        <v/>
      </c>
      <c r="CG104" s="47" t="str">
        <f>IF(ISNUMBER(CF104),IF(COUNTIFS(CG$1:CG65,_xlfn.RANK.EQ(CF104,CF$2:CF$111,0))&gt;0,_xlfn.MAXIFS(CG$1:CG65,CF$1:CF65,CF104)+1,_xlfn.RANK.EQ(CF104,CF$2:CF$111,0)),"")</f>
        <v/>
      </c>
      <c r="CH104" s="1" t="str">
        <f>IF(ISNUMBER(CF104)=TRUE,IF(_xlfn.RANK.EQ(CF104,$CF$2:$CF$111)&lt;='Tournament Setup'!$B$40,_xlfn.RANK.EQ(CF104,$CF$2:$CF$111),""),"")</f>
        <v/>
      </c>
      <c r="CI104" s="31" t="str">
        <f>IF(AND($G104='Tournament Setup'!$A$40,$E104="M",$CH104&gt;'Tournament Setup'!$B$40),$H104,"")</f>
        <v/>
      </c>
      <c r="CJ104" s="1" t="str">
        <f>IF(ISNUMBER(CI104)=TRUE,IF(_xlfn.RANK.EQ(CI104,$CI$2:$CI$111)&lt;='Tournament Setup'!$C$40,_xlfn.RANK.EQ(CI104,$CI$2:$CI$111),""),"")</f>
        <v/>
      </c>
      <c r="CK104" s="31" t="str">
        <f>IF(AND($G104='Tournament Setup'!$A$40,$E104="F",$CH104&gt;'Tournament Setup'!$B$40),$H104,"")</f>
        <v/>
      </c>
      <c r="CL104" s="12" t="str">
        <f>IF(ISNUMBER(CK104)=TRUE,IF(_xlfn.RANK.EQ(CK104,$CK$2:$CK$111)&lt;='Tournament Setup'!$D$40,_xlfn.RANK.EQ(CK104,$CK$2:$CK$111),""),"")</f>
        <v/>
      </c>
      <c r="CM104" s="30" t="str">
        <f>IF($G104='Tournament Setup'!$A$41,$H104,"")</f>
        <v/>
      </c>
      <c r="CN104" s="47" t="str">
        <f>IF(ISNUMBER(CM104),IF(COUNTIFS(CN$1:CN65,_xlfn.RANK.EQ(CM104,CM$2:CM$111,0))&gt;0,_xlfn.MAXIFS(CN$1:CN65,CM$1:CM65,CM104)+1,_xlfn.RANK.EQ(CM104,CM$2:CM$111,0)),"")</f>
        <v/>
      </c>
      <c r="CO104" s="1" t="str">
        <f>IF(ISNUMBER(CM104)=TRUE,IF(_xlfn.RANK.EQ(CM104,$CM$2:$CM$111)&lt;='Tournament Setup'!$B$41,_xlfn.RANK.EQ(CM104,$CM$2:$CM$111),""),"")</f>
        <v/>
      </c>
      <c r="CP104" s="31" t="str">
        <f>IF(AND($G104='Tournament Setup'!$A$41,$E104="M",$CO104&gt;'Tournament Setup'!$B$41),$H104,"")</f>
        <v/>
      </c>
      <c r="CQ104" s="1" t="str">
        <f>IF(ISNUMBER(CP104)=TRUE,IF(_xlfn.RANK.EQ(CP104,$CP$2:$CP$111)&lt;='Tournament Setup'!$C$41,_xlfn.RANK.EQ(CP104,$CP$2:$CP$111),""),"")</f>
        <v/>
      </c>
      <c r="CR104" s="31" t="str">
        <f>IF(AND($G104='Tournament Setup'!$A$41,$E104="F",$CO104&gt;'Tournament Setup'!$B$41),$H104,"")</f>
        <v/>
      </c>
      <c r="CS104" s="12" t="str">
        <f>IF(ISNUMBER(CR104)=TRUE,IF(_xlfn.RANK.EQ(CR104,$CR$2:$CR$111)&lt;='Tournament Setup'!$D$41,_xlfn.RANK.EQ(CR104,$CR$2:$CR$111),""),"")</f>
        <v/>
      </c>
    </row>
    <row r="105" spans="2:97" x14ac:dyDescent="0.3">
      <c r="B105" t="str">
        <f>IFERROR(INDEX('Tournament List'!$B:$B,MATCH($A105,'Tournament List'!$A:$A,0)),"")</f>
        <v/>
      </c>
      <c r="C105" t="str">
        <f>IFERROR(INDEX('Tournament List'!$C:$C,MATCH($A105,'Tournament List'!$A:$A,0)),"")</f>
        <v/>
      </c>
      <c r="D105" t="str">
        <f t="shared" si="5"/>
        <v xml:space="preserve"> </v>
      </c>
      <c r="E105" s="1" t="str">
        <f>IFERROR(INDEX('Tournament List'!F:F,MATCH($A105,'Tournament List'!$A:$A,0)),"")</f>
        <v/>
      </c>
      <c r="F105" t="str">
        <f>IFERROR(INDEX('Tournament List'!M:M,MATCH($A105,'Tournament List'!$A:$A,0)),"")</f>
        <v/>
      </c>
      <c r="G105" s="1" t="str">
        <f>IFERROR(INDEX('Tournament List'!W:W,MATCH($A105,'Tournament List'!$A:$A,0)),"")</f>
        <v/>
      </c>
      <c r="H105" s="129" t="str">
        <f>IFERROR(INDEX('Tournament List'!Z:Z,MATCH($A105,'Tournament List'!$A:$A,0)),"")</f>
        <v/>
      </c>
      <c r="I105" s="152" t="str">
        <f>IFERROR(INDEX('Tournament List'!T:T,MATCH($A105,'Tournament List'!$A:$A,0)),"")</f>
        <v/>
      </c>
      <c r="J105" s="56" t="str">
        <f>IF(ISNUMBER(I105),IF(COUNTIFS(J$1:J104,_xlfn.RANK.EQ(I105,I$2:I$111,0))&gt;0,_xlfn.MAXIFS(J$1:J104,I$1:I104,I105)+1,_xlfn.RANK.EQ(I105,I$2:I$111,0)),"")</f>
        <v/>
      </c>
      <c r="K105" s="11" t="str">
        <f t="shared" si="6"/>
        <v/>
      </c>
      <c r="L105" s="56" t="str">
        <f>IF(ISNUMBER(H105),IF(COUNTIFS(L$1:L104,_xlfn.RANK.EQ(H105,H$2:H$111,0))&gt;0,_xlfn.MAXIFS(L$1:L104,H$1:H104,H105)+1,_xlfn.RANK.EQ(H105,H$2:H$111,0)),"")</f>
        <v/>
      </c>
      <c r="M105" s="151" t="str">
        <f t="shared" si="7"/>
        <v/>
      </c>
      <c r="N105" s="47" t="str">
        <f>IF(ISNUMBER(M105),IF(COUNTIFS(N$1:N104,_xlfn.RANK.EQ(M105,M$2:M$111,0))&gt;0,_xlfn.MAXIFS(N$1:N104,M$1:M104,M105)+1,_xlfn.RANK.EQ(M105,M$2:M$111,0)),"")</f>
        <v/>
      </c>
      <c r="O105" s="1" t="str">
        <f>IF(ISNUMBER(M105)=TRUE,IF(_xlfn.RANK.EQ(M105,$M$2:$M$111)&lt;='Tournament Setup'!$B$23,_xlfn.RANK.EQ(M105,$M$2:$M$111),""),"")</f>
        <v/>
      </c>
      <c r="P105" s="150" t="str">
        <f t="shared" si="8"/>
        <v/>
      </c>
      <c r="Q105" s="1" t="str">
        <f>IF(ISNUMBER(P105)=TRUE,IF(_xlfn.RANK.EQ(P105,$P$2:$P$111)&lt;='Tournament Setup'!$B$24,_xlfn.RANK.EQ(P105,$P$2:$P$111),""),"")</f>
        <v/>
      </c>
      <c r="R105" s="150" t="str">
        <f t="shared" si="9"/>
        <v/>
      </c>
      <c r="S105" s="12" t="str">
        <f>IF(ISNUMBER(R105)=TRUE,IF(_xlfn.RANK.EQ(R105,$R$2:$R$111)&lt;='Tournament Setup'!$B$25,_xlfn.RANK.EQ(R105,$R$2:$R$111),""),"")</f>
        <v/>
      </c>
      <c r="T105" s="152" t="str">
        <f>IF(AND($F105='Tournament Setup'!$A$29,$I105&lt;&gt;0),$I105,"")</f>
        <v/>
      </c>
      <c r="U105" s="47" t="str">
        <f>IF(ISNUMBER(T105),IF(COUNTIFS(U$1:U104,_xlfn.RANK.EQ(T105,T$2:T$111,0))&gt;0,_xlfn.MAXIFS(U$1:U104,T$1:T104,T105)+1,_xlfn.RANK.EQ(T105,T$2:T$111,0)),"")</f>
        <v/>
      </c>
      <c r="V105" s="1" t="str">
        <f>IF(ISNUMBER(T105)=TRUE,IF(_xlfn.RANK.EQ(T105,$T$3:$T$112)&lt;='Tournament Setup'!$B$46,_xlfn.RANK.EQ(T105,$T$2:$T$111),""),"")</f>
        <v/>
      </c>
      <c r="W105" s="30" t="str">
        <f>IF(AND($F105='Tournament Setup'!$A$29,SUM($O105,$Q105,$S105)=0),$H105,"")</f>
        <v/>
      </c>
      <c r="X105" s="47" t="str">
        <f>IF(ISNUMBER(W105),IF(COUNTIFS(X$1:X104,_xlfn.RANK.EQ(W105,W$2:W$111,0))&gt;0,_xlfn.MAXIFS(X$1:X104,W$1:W104,W105)+1,_xlfn.RANK.EQ(W105,W$2:W$111,0)),"")</f>
        <v/>
      </c>
      <c r="Y105" s="1" t="str">
        <f>IF(ISNUMBER(W105)=TRUE,IF(_xlfn.RANK.EQ(W105,$W$2:$W$111)&lt;='Tournament Setup'!$B$29,_xlfn.RANK.EQ(W105,$W$2:$W$111),""),"")</f>
        <v/>
      </c>
      <c r="Z105" s="31" t="str">
        <f>IF(AND($F105='Tournament Setup'!$A$29,SUM($O105,$Q105)=0,$E105="M",$Y105&gt;'Tournament Setup'!$B$29),$H105,"")</f>
        <v/>
      </c>
      <c r="AA105" s="1" t="str">
        <f>IF(ISNUMBER(Z105)=TRUE,IF(_xlfn.RANK.EQ(Z105,$Z$2:$Z$111)&lt;='Tournament Setup'!$C$29,_xlfn.RANK.EQ(Z105,$Z$2:$Z$111),""),"")</f>
        <v/>
      </c>
      <c r="AB105" s="31" t="str">
        <f>IF(AND($F105='Tournament Setup'!$A$29,SUM($O105,$S105)=0,$E105="F",$Y105&gt;'Tournament Setup'!$B$29),$H105,"")</f>
        <v/>
      </c>
      <c r="AC105" s="12" t="str">
        <f>IF(ISNUMBER(AB105)=TRUE,IF(_xlfn.RANK.EQ(AB105,$AB$2:$AB$111)&lt;='Tournament Setup'!$D$29,_xlfn.RANK.EQ(AB105,$AB$2:$AB$111),""),"")</f>
        <v/>
      </c>
      <c r="AD105" s="30" t="str">
        <f>IF(AND($F105='Tournament Setup'!$A$30,$I105&lt;&gt;0),$I105,"")</f>
        <v/>
      </c>
      <c r="AE105" s="47" t="str">
        <f>IF(ISNUMBER(AD105),IF(COUNTIFS(AE$1:AE104,_xlfn.RANK.EQ(AD105,AD$2:AD$111,0))&gt;0,_xlfn.MAXIFS(AE$1:AE104,AD$1:AD104,AD105)+1,_xlfn.RANK.EQ(AD105,AD$2:AD$111,0)),"")</f>
        <v/>
      </c>
      <c r="AF105" s="1" t="str">
        <f>IF(ISNUMBER(AD105)=TRUE,IF(_xlfn.RANK.EQ(AD105,$AD$2:$AD$111)&lt;='Tournament Setup'!$B$46,_xlfn.RANK.EQ(AD105,$AD$2:$AD$111),""),"")</f>
        <v/>
      </c>
      <c r="AG105" s="30" t="str">
        <f>IF(AND($F105='Tournament Setup'!$A$30,SUM($O105,$Q105,$S105)=0),$H105,"")</f>
        <v/>
      </c>
      <c r="AH105" s="47" t="str">
        <f>IF(ISNUMBER(AG105),IF(COUNTIFS(AH$1:AH104,_xlfn.RANK.EQ(AG105,AG$2:AG$111,0))&gt;0,_xlfn.MAXIFS(AH$1:AH104,AG$1:AG104,AG105)+1,_xlfn.RANK.EQ(AG105,AG$2:AG$111,0)),"")</f>
        <v/>
      </c>
      <c r="AI105" s="1" t="str">
        <f>IF(ISNUMBER(AG105)=TRUE,IF(_xlfn.RANK.EQ(AG105,$AG$2:$AG$111)&lt;='Tournament Setup'!$B$30,_xlfn.RANK.EQ(AG105,$AG$2:$AG$111),""),"")</f>
        <v/>
      </c>
      <c r="AJ105" s="31" t="str">
        <f>IF(AND($F105='Tournament Setup'!$A$30,SUM($O105,$Q105)=0,$E105="M",$AI105&gt;'Tournament Setup'!$B$30),$H105,"")</f>
        <v/>
      </c>
      <c r="AK105" s="1" t="str">
        <f>IF(ISNUMBER(AJ105)=TRUE,IF(_xlfn.RANK.EQ(AJ105,$AJ$2:$AJ$111)&lt;='Tournament Setup'!$C$30,_xlfn.RANK.EQ(AJ105,$AJ$2:$AJ$111),""),"")</f>
        <v/>
      </c>
      <c r="AL105" s="31" t="str">
        <f>IF(AND($F105='Tournament Setup'!$A$30,SUM($O105,$S105)=0,$E105="F",$AI105&gt;'Tournament Setup'!$B$30),$H105,"")</f>
        <v/>
      </c>
      <c r="AM105" s="12" t="str">
        <f>IF(ISNUMBER(AL105)=TRUE,IF(_xlfn.RANK.EQ(AL105,$AL$2:$AL$111)&lt;='Tournament Setup'!$D$30,_xlfn.RANK.EQ(AL105,$AL$2:$AL$111),""),"")</f>
        <v/>
      </c>
      <c r="AN105" s="30" t="str">
        <f>IF(AND($F105='Tournament Setup'!$A$31,$I105&lt;&gt;0),$I105,"")</f>
        <v/>
      </c>
      <c r="AO105" s="47" t="str">
        <f>IF(ISNUMBER(AN105),IF(COUNTIFS(AO$1:AO104,_xlfn.RANK.EQ(AN105,AN$2:AN$111,0))&gt;0,_xlfn.MAXIFS(AO$1:AO104,AN$1:AN104,AN105)+1,_xlfn.RANK.EQ(AN105,AN$2:AN$111,0)),"")</f>
        <v/>
      </c>
      <c r="AP105" s="1" t="str">
        <f>IF(ISNUMBER(AN105)=TRUE,IF(_xlfn.RANK.EQ(AN105,$AN$2:$AN$111)&lt;='Tournament Setup'!$B$46,_xlfn.RANK.EQ(AN105,$AN$2:$AN$111),""),"")</f>
        <v/>
      </c>
      <c r="AQ105" s="30" t="str">
        <f>IF(AND($F105='Tournament Setup'!$A$31,SUM($O105,$Q105,$S105)=0),$H105,"")</f>
        <v/>
      </c>
      <c r="AR105" s="47" t="str">
        <f>IF(ISNUMBER(AQ105),IF(COUNTIFS(AR$1:AR104,_xlfn.RANK.EQ(AQ105,AQ$2:AQ$111,0))&gt;0,_xlfn.MAXIFS(AR$1:AR104,AQ$1:AQ104,AQ105)+1,_xlfn.RANK.EQ(AQ105,AQ$2:AQ$111,0)),"")</f>
        <v/>
      </c>
      <c r="AS105" s="1" t="str">
        <f>IF(ISNUMBER(AQ105)=TRUE,IF(_xlfn.RANK.EQ(AQ105,$AQ$2:$AQ$111)&lt;='Tournament Setup'!$B$31,_xlfn.RANK.EQ(AQ105,$AQ$2:$AQ$111),""),"")</f>
        <v/>
      </c>
      <c r="AT105" s="31" t="str">
        <f>IF(AND($F105='Tournament Setup'!$A$31,SUM($O105,$Q105)=0,$E105="M",$AS105&gt;'Tournament Setup'!$B$31),$H105,"")</f>
        <v/>
      </c>
      <c r="AU105" s="1" t="str">
        <f>IF(ISNUMBER(AT105)=TRUE,IF(_xlfn.RANK.EQ(AT105,$AT$2:$AT$111)&lt;='Tournament Setup'!$C$31,_xlfn.RANK.EQ(AT105,$AT$2:$AT$111),""),"")</f>
        <v/>
      </c>
      <c r="AV105" s="31" t="str">
        <f>IF(AND($F105='Tournament Setup'!$A$31,SUM($O105,$S105)=0,$E105="F",$AS105&gt;'Tournament Setup'!$B$31),$H105,"")</f>
        <v/>
      </c>
      <c r="AW105" s="12" t="str">
        <f>IF(ISNUMBER(AV105)=TRUE,IF(_xlfn.RANK.EQ(AV105,$AV$2:$AV$111)&lt;='Tournament Setup'!$D$31,_xlfn.RANK.EQ(AV105,$AV$2:$AV$111),""),"")</f>
        <v/>
      </c>
      <c r="AX105" s="30" t="str">
        <f>IF(AND($F105='Tournament Setup'!$A$32,$I105&lt;&gt;0),$I105,"")</f>
        <v/>
      </c>
      <c r="AY105" s="47" t="str">
        <f>IF(ISNUMBER(AX105),IF(COUNTIFS(AY$1:AY104,_xlfn.RANK.EQ(AX105,AX$2:AX$111,0))&gt;0,_xlfn.MAXIFS(AY$1:AY104,AX$1:AX104,AX105)+1,_xlfn.RANK.EQ(AX105,AX$2:AX$111,0)),"")</f>
        <v/>
      </c>
      <c r="AZ105" s="1" t="str">
        <f>IF(ISNUMBER(AX105)=TRUE,IF(_xlfn.RANK.EQ(AX105,$AX$2:$AX$111)&lt;='Tournament Setup'!$B$46,_xlfn.RANK.EQ(AX105,$AX$2:$AX$111),""),"")</f>
        <v/>
      </c>
      <c r="BA105" s="30" t="str">
        <f>IF(AND($F105='Tournament Setup'!$A$32,SUM($O105,$Q105,$S105)=0),$H105,"")</f>
        <v/>
      </c>
      <c r="BB105" s="47" t="str">
        <f>IF(ISNUMBER(BA105),IF(COUNTIFS(BB$1:BB104,_xlfn.RANK.EQ(BA105,BA$2:BA$111,0))&gt;0,_xlfn.MAXIFS(BB$1:BB104,BA$1:BA104,BA105)+1,_xlfn.RANK.EQ(BA105,BA$2:BA$111,0)),"")</f>
        <v/>
      </c>
      <c r="BC105" s="1" t="str">
        <f>IF(ISNUMBER(BA105)=TRUE,IF(_xlfn.RANK.EQ(BA105,$BA$2:$BA$111)&lt;='Tournament Setup'!$B$32,_xlfn.RANK.EQ(BA105,$BA$2:$BA$111),""),"")</f>
        <v/>
      </c>
      <c r="BD105" s="31" t="str">
        <f>IF(AND($F105='Tournament Setup'!$A$32,SUM($O105,$Q105)=0,$E105="M",$BC105&gt;'Tournament Setup'!$B$32),$H105,"")</f>
        <v/>
      </c>
      <c r="BE105" s="1" t="str">
        <f>IF(ISNUMBER(BD105)=TRUE,IF(_xlfn.RANK.EQ(BD105,$BD$2:$BD$111)&lt;='Tournament Setup'!$C$32,_xlfn.RANK.EQ(BD105,$BD$2:$BD$111),""),"")</f>
        <v/>
      </c>
      <c r="BF105" s="31" t="str">
        <f>IF(AND($F105='Tournament Setup'!$A$32,SUM($O105,$S105)=0,$E105="F",$BC105&gt;'Tournament Setup'!$B$32),$H105,"")</f>
        <v/>
      </c>
      <c r="BG105" s="12" t="str">
        <f>IF(ISNUMBER(BF105)=TRUE,IF(_xlfn.RANK.EQ(BF105,$BF$2:$BF$111)&lt;='Tournament Setup'!$D$32,_xlfn.RANK.EQ(BF105,$BF$2:$BF$111),""),"")</f>
        <v/>
      </c>
      <c r="BH105" s="30" t="str">
        <f>IF(AND($F105='Tournament Setup'!$A$33,$I105&lt;&gt;0),$I105,"")</f>
        <v/>
      </c>
      <c r="BI105" s="47" t="str">
        <f>IF(ISNUMBER(BH105),IF(COUNTIFS(BI$1:BI104,_xlfn.RANK.EQ(BH105,BH$2:BH$111,0))&gt;0,_xlfn.MAXIFS(BI$1:BI104,BH$1:BH104,BH105)+1,_xlfn.RANK.EQ(BH105,BH$2:BH$111,0)),"")</f>
        <v/>
      </c>
      <c r="BJ105" s="1" t="str">
        <f>IF(ISNUMBER(BH105)=TRUE,IF(_xlfn.RANK.EQ(BH105,$BH$2:$BH$111)&lt;='Tournament Setup'!$B$46,_xlfn.RANK.EQ(BH105,$BH$2:$BH$111),""),"")</f>
        <v/>
      </c>
      <c r="BK105" s="30" t="str">
        <f>IF(AND($F105='Tournament Setup'!$A$33,SUM($O105,$Q105,$S105)=0),$H105,"")</f>
        <v/>
      </c>
      <c r="BL105" s="47" t="str">
        <f>IF(ISNUMBER(BK105),IF(COUNTIFS(BL$1:BL104,_xlfn.RANK.EQ(BK105,BK$2:BK$111,0))&gt;0,_xlfn.MAXIFS(BL$1:BL104,BK$1:BK104,BK105)+1,_xlfn.RANK.EQ(BK105,BK$2:BK$111,0)),"")</f>
        <v/>
      </c>
      <c r="BM105" s="1" t="str">
        <f>IF(ISNUMBER(BK105)=TRUE,IF(_xlfn.RANK.EQ(BK105,$BK$2:$BK$111)&lt;='Tournament Setup'!$B$33,_xlfn.RANK.EQ(BK105,$BK$2:$BK$111),""),"")</f>
        <v/>
      </c>
      <c r="BN105" s="31" t="str">
        <f>IF(AND($F105='Tournament Setup'!$A$33,SUM($O105,$Q105)=0,$E105="M",$BM105&gt;'Tournament Setup'!$B$33),$H105,"")</f>
        <v/>
      </c>
      <c r="BO105" s="1" t="str">
        <f>IF(ISNUMBER(BN105)=TRUE,IF(_xlfn.RANK.EQ(BN105,$BN$2:$BN$111)&lt;='Tournament Setup'!$C$33,_xlfn.RANK.EQ(BN105,$BN$2:$BN$111),""),"")</f>
        <v/>
      </c>
      <c r="BP105" s="31" t="str">
        <f>IF(AND($F105='Tournament Setup'!$A$33,SUM($O105,$S105)=0,$E105="F",$BM105&gt;'Tournament Setup'!$B$33),$H105,"")</f>
        <v/>
      </c>
      <c r="BQ105" s="12" t="str">
        <f>IF(ISNUMBER(BP105)=TRUE,IF(_xlfn.RANK.EQ(BP105,$BP$2:$BP$111)&lt;='Tournament Setup'!$D$33,_xlfn.RANK.EQ(BP105,$BP$2:$BP$111),""),"")</f>
        <v/>
      </c>
      <c r="BR105" s="30" t="str">
        <f>IF($G105='Tournament Setup'!$A$38,$H105,"")</f>
        <v/>
      </c>
      <c r="BS105" s="47" t="str">
        <f>IF(ISNUMBER(BR105),IF(COUNTIFS(BS$1:BS104,_xlfn.RANK.EQ(BR105,BR$2:BR$111,0))&gt;0,_xlfn.MAXIFS(BS$1:BS104,BR$1:BR104,BR105)+1,_xlfn.RANK.EQ(BR105,BR$2:BR$111,0)),"")</f>
        <v/>
      </c>
      <c r="BT105" s="1" t="str">
        <f>IF(ISNUMBER(BR105)=TRUE,IF(_xlfn.RANK.EQ(BR105,$BR$2:$BR$111)&lt;='Tournament Setup'!$B$38,_xlfn.RANK.EQ(BR105,$BR$2:$BR$111),""),"")</f>
        <v/>
      </c>
      <c r="BU105" s="31" t="str">
        <f>IF(AND($G105='Tournament Setup'!$A$38,$E105="M",$BT105&gt;'Tournament Setup'!$B$38),$H105,"")</f>
        <v/>
      </c>
      <c r="BV105" s="1" t="str">
        <f>IF(ISNUMBER(BU105)=TRUE,IF(_xlfn.RANK.EQ(BU105,$BU$2:$BU$111)&lt;='Tournament Setup'!$C$38,_xlfn.RANK.EQ(BU105,$BU$2:$BU$111),""),"")</f>
        <v/>
      </c>
      <c r="BW105" s="31" t="str">
        <f>IF(AND($G105='Tournament Setup'!$A$38,$E105="F",$BT105&gt;'Tournament Setup'!$B$38),$H105,"")</f>
        <v/>
      </c>
      <c r="BX105" s="12" t="str">
        <f>IF(ISNUMBER(BW105)=TRUE,IF(_xlfn.RANK.EQ(BW105,$BW$2:$BW$111)&lt;='Tournament Setup'!$D$38,_xlfn.RANK.EQ(BW105,$BW$2:$BW$111),""),"")</f>
        <v/>
      </c>
      <c r="BY105" s="30" t="str">
        <f>IF($G105='Tournament Setup'!$A$39,$H105,"")</f>
        <v/>
      </c>
      <c r="BZ105" s="47" t="str">
        <f>IF(ISNUMBER(BY105),IF(COUNTIFS(BZ$1:BZ104,_xlfn.RANK.EQ(BY105,BY$2:BY$111,0))&gt;0,_xlfn.MAXIFS(BZ$1:BZ104,BY$1:BY104,BY105)+1,_xlfn.RANK.EQ(BY105,BY$2:BY$111,0)),"")</f>
        <v/>
      </c>
      <c r="CA105" s="1" t="str">
        <f>IF(ISNUMBER(BY105)=TRUE,IF(_xlfn.RANK.EQ(BY105,$BY$2:$BY$111)&lt;='Tournament Setup'!$B$39,_xlfn.RANK.EQ(BY105,$BY$2:$BY$111),""),"")</f>
        <v/>
      </c>
      <c r="CB105" s="31" t="str">
        <f>IF(AND($G105='Tournament Setup'!$A$39,$E105="M",$CA105&gt;'Tournament Setup'!$B$39),$H105,"")</f>
        <v/>
      </c>
      <c r="CC105" s="1" t="str">
        <f>IF(ISNUMBER(CB105)=TRUE,IF(_xlfn.RANK.EQ(CB105,$CB$2:$CB$111)&lt;='Tournament Setup'!$C$39,_xlfn.RANK.EQ(CB105,$CB$2:$CB$111),""),"")</f>
        <v/>
      </c>
      <c r="CD105" s="31" t="str">
        <f>IF(AND($G105='Tournament Setup'!$A$39,$E105="F",$CA105&gt;'Tournament Setup'!$B$39),$H105,"")</f>
        <v/>
      </c>
      <c r="CE105" s="12" t="str">
        <f>IF(ISNUMBER(CD105)=TRUE,IF(_xlfn.RANK.EQ(CD105,$CD$2:$CD$111)&lt;='Tournament Setup'!$D$39,_xlfn.RANK.EQ(CD105,$CD$2:$CD$111),""),"")</f>
        <v/>
      </c>
      <c r="CF105" s="30" t="str">
        <f>IF($G105='Tournament Setup'!$A$40,$H105,"")</f>
        <v/>
      </c>
      <c r="CG105" s="47" t="str">
        <f>IF(ISNUMBER(CF105),IF(COUNTIFS(CG$1:CG104,_xlfn.RANK.EQ(CF105,CF$2:CF$111,0))&gt;0,_xlfn.MAXIFS(CG$1:CG104,CF$1:CF104,CF105)+1,_xlfn.RANK.EQ(CF105,CF$2:CF$111,0)),"")</f>
        <v/>
      </c>
      <c r="CH105" s="1" t="str">
        <f>IF(ISNUMBER(CF105)=TRUE,IF(_xlfn.RANK.EQ(CF105,$CF$2:$CF$111)&lt;='Tournament Setup'!$B$40,_xlfn.RANK.EQ(CF105,$CF$2:$CF$111),""),"")</f>
        <v/>
      </c>
      <c r="CI105" s="31" t="str">
        <f>IF(AND($G105='Tournament Setup'!$A$40,$E105="M",$CH105&gt;'Tournament Setup'!$B$40),$H105,"")</f>
        <v/>
      </c>
      <c r="CJ105" s="1" t="str">
        <f>IF(ISNUMBER(CI105)=TRUE,IF(_xlfn.RANK.EQ(CI105,$CI$2:$CI$111)&lt;='Tournament Setup'!$C$40,_xlfn.RANK.EQ(CI105,$CI$2:$CI$111),""),"")</f>
        <v/>
      </c>
      <c r="CK105" s="31" t="str">
        <f>IF(AND($G105='Tournament Setup'!$A$40,$E105="F",$CH105&gt;'Tournament Setup'!$B$40),$H105,"")</f>
        <v/>
      </c>
      <c r="CL105" s="12" t="str">
        <f>IF(ISNUMBER(CK105)=TRUE,IF(_xlfn.RANK.EQ(CK105,$CK$2:$CK$111)&lt;='Tournament Setup'!$D$40,_xlfn.RANK.EQ(CK105,$CK$2:$CK$111),""),"")</f>
        <v/>
      </c>
      <c r="CM105" s="30" t="str">
        <f>IF($G105='Tournament Setup'!$A$41,$H105,"")</f>
        <v/>
      </c>
      <c r="CN105" s="47" t="str">
        <f>IF(ISNUMBER(CM105),IF(COUNTIFS(CN$1:CN104,_xlfn.RANK.EQ(CM105,CM$2:CM$111,0))&gt;0,_xlfn.MAXIFS(CN$1:CN104,CM$1:CM104,CM105)+1,_xlfn.RANK.EQ(CM105,CM$2:CM$111,0)),"")</f>
        <v/>
      </c>
      <c r="CO105" s="1" t="str">
        <f>IF(ISNUMBER(CM105)=TRUE,IF(_xlfn.RANK.EQ(CM105,$CM$2:$CM$111)&lt;='Tournament Setup'!$B$41,_xlfn.RANK.EQ(CM105,$CM$2:$CM$111),""),"")</f>
        <v/>
      </c>
      <c r="CP105" s="31" t="str">
        <f>IF(AND($G105='Tournament Setup'!$A$41,$E105="M",$CO105&gt;'Tournament Setup'!$B$41),$H105,"")</f>
        <v/>
      </c>
      <c r="CQ105" s="1" t="str">
        <f>IF(ISNUMBER(CP105)=TRUE,IF(_xlfn.RANK.EQ(CP105,$CP$2:$CP$111)&lt;='Tournament Setup'!$C$41,_xlfn.RANK.EQ(CP105,$CP$2:$CP$111),""),"")</f>
        <v/>
      </c>
      <c r="CR105" s="31" t="str">
        <f>IF(AND($G105='Tournament Setup'!$A$41,$E105="F",$CO105&gt;'Tournament Setup'!$B$41),$H105,"")</f>
        <v/>
      </c>
      <c r="CS105" s="12" t="str">
        <f>IF(ISNUMBER(CR105)=TRUE,IF(_xlfn.RANK.EQ(CR105,$CR$2:$CR$111)&lt;='Tournament Setup'!$D$41,_xlfn.RANK.EQ(CR105,$CR$2:$CR$111),""),"")</f>
        <v/>
      </c>
    </row>
    <row r="106" spans="2:97" x14ac:dyDescent="0.3">
      <c r="B106" t="str">
        <f>IFERROR(INDEX('Tournament List'!$B:$B,MATCH($A106,'Tournament List'!$A:$A,0)),"")</f>
        <v/>
      </c>
      <c r="C106" t="str">
        <f>IFERROR(INDEX('Tournament List'!$C:$C,MATCH($A106,'Tournament List'!$A:$A,0)),"")</f>
        <v/>
      </c>
      <c r="D106" t="str">
        <f t="shared" si="5"/>
        <v xml:space="preserve"> </v>
      </c>
      <c r="E106" s="1" t="str">
        <f>IFERROR(INDEX('Tournament List'!F:F,MATCH($A106,'Tournament List'!$A:$A,0)),"")</f>
        <v/>
      </c>
      <c r="F106" t="str">
        <f>IFERROR(INDEX('Tournament List'!M:M,MATCH($A106,'Tournament List'!$A:$A,0)),"")</f>
        <v/>
      </c>
      <c r="G106" s="1" t="str">
        <f>IFERROR(INDEX('Tournament List'!W:W,MATCH($A106,'Tournament List'!$A:$A,0)),"")</f>
        <v/>
      </c>
      <c r="H106" s="129" t="str">
        <f>IFERROR(INDEX('Tournament List'!Z:Z,MATCH($A106,'Tournament List'!$A:$A,0)),"")</f>
        <v/>
      </c>
      <c r="I106" s="152" t="str">
        <f>IFERROR(INDEX('Tournament List'!T:T,MATCH($A106,'Tournament List'!$A:$A,0)),"")</f>
        <v/>
      </c>
      <c r="J106" s="56" t="str">
        <f>IF(ISNUMBER(I106),IF(COUNTIFS(J$1:J105,_xlfn.RANK.EQ(I106,I$2:I$111,0))&gt;0,_xlfn.MAXIFS(J$1:J105,I$1:I105,I106)+1,_xlfn.RANK.EQ(I106,I$2:I$111,0)),"")</f>
        <v/>
      </c>
      <c r="K106" s="11" t="str">
        <f t="shared" si="6"/>
        <v/>
      </c>
      <c r="L106" s="56" t="str">
        <f>IF(ISNUMBER(H106),IF(COUNTIFS(L$1:L105,_xlfn.RANK.EQ(H106,H$2:H$111,0))&gt;0,_xlfn.MAXIFS(L$1:L105,H$1:H105,H106)+1,_xlfn.RANK.EQ(H106,H$2:H$111,0)),"")</f>
        <v/>
      </c>
      <c r="M106" s="151" t="str">
        <f t="shared" si="7"/>
        <v/>
      </c>
      <c r="N106" s="47" t="str">
        <f>IF(ISNUMBER(M106),IF(COUNTIFS(N$1:N105,_xlfn.RANK.EQ(M106,M$2:M$111,0))&gt;0,_xlfn.MAXIFS(N$1:N105,M$1:M105,M106)+1,_xlfn.RANK.EQ(M106,M$2:M$111,0)),"")</f>
        <v/>
      </c>
      <c r="O106" s="1" t="str">
        <f>IF(ISNUMBER(M106)=TRUE,IF(_xlfn.RANK.EQ(M106,$M$2:$M$111)&lt;='Tournament Setup'!$B$23,_xlfn.RANK.EQ(M106,$M$2:$M$111),""),"")</f>
        <v/>
      </c>
      <c r="P106" s="150" t="str">
        <f t="shared" si="8"/>
        <v/>
      </c>
      <c r="Q106" s="1" t="str">
        <f>IF(ISNUMBER(P106)=TRUE,IF(_xlfn.RANK.EQ(P106,$P$2:$P$111)&lt;='Tournament Setup'!$B$24,_xlfn.RANK.EQ(P106,$P$2:$P$111),""),"")</f>
        <v/>
      </c>
      <c r="R106" s="150" t="str">
        <f t="shared" si="9"/>
        <v/>
      </c>
      <c r="S106" s="12" t="str">
        <f>IF(ISNUMBER(R106)=TRUE,IF(_xlfn.RANK.EQ(R106,$R$2:$R$111)&lt;='Tournament Setup'!$B$25,_xlfn.RANK.EQ(R106,$R$2:$R$111),""),"")</f>
        <v/>
      </c>
      <c r="T106" s="152" t="str">
        <f>IF(AND($F106='Tournament Setup'!$A$29,$I106&lt;&gt;0),$I106,"")</f>
        <v/>
      </c>
      <c r="U106" s="47" t="str">
        <f>IF(ISNUMBER(T106),IF(COUNTIFS(U$1:U105,_xlfn.RANK.EQ(T106,T$2:T$111,0))&gt;0,_xlfn.MAXIFS(U$1:U105,T$1:T105,T106)+1,_xlfn.RANK.EQ(T106,T$2:T$111,0)),"")</f>
        <v/>
      </c>
      <c r="V106" s="1" t="str">
        <f>IF(ISNUMBER(T106)=TRUE,IF(_xlfn.RANK.EQ(T106,$T$3:$T$112)&lt;='Tournament Setup'!$B$46,_xlfn.RANK.EQ(T106,$T$2:$T$111),""),"")</f>
        <v/>
      </c>
      <c r="W106" s="30" t="str">
        <f>IF(AND($F106='Tournament Setup'!$A$29,SUM($O106,$Q106,$S106)=0),$H106,"")</f>
        <v/>
      </c>
      <c r="X106" s="47" t="str">
        <f>IF(ISNUMBER(W106),IF(COUNTIFS(X$1:X105,_xlfn.RANK.EQ(W106,W$2:W$111,0))&gt;0,_xlfn.MAXIFS(X$1:X105,W$1:W105,W106)+1,_xlfn.RANK.EQ(W106,W$2:W$111,0)),"")</f>
        <v/>
      </c>
      <c r="Y106" s="1" t="str">
        <f>IF(ISNUMBER(W106)=TRUE,IF(_xlfn.RANK.EQ(W106,$W$2:$W$111)&lt;='Tournament Setup'!$B$29,_xlfn.RANK.EQ(W106,$W$2:$W$111),""),"")</f>
        <v/>
      </c>
      <c r="Z106" s="31" t="str">
        <f>IF(AND($F106='Tournament Setup'!$A$29,SUM($O106,$Q106)=0,$E106="M",$Y106&gt;'Tournament Setup'!$B$29),$H106,"")</f>
        <v/>
      </c>
      <c r="AA106" s="1" t="str">
        <f>IF(ISNUMBER(Z106)=TRUE,IF(_xlfn.RANK.EQ(Z106,$Z$2:$Z$111)&lt;='Tournament Setup'!$C$29,_xlfn.RANK.EQ(Z106,$Z$2:$Z$111),""),"")</f>
        <v/>
      </c>
      <c r="AB106" s="31" t="str">
        <f>IF(AND($F106='Tournament Setup'!$A$29,SUM($O106,$S106)=0,$E106="F",$Y106&gt;'Tournament Setup'!$B$29),$H106,"")</f>
        <v/>
      </c>
      <c r="AC106" s="12" t="str">
        <f>IF(ISNUMBER(AB106)=TRUE,IF(_xlfn.RANK.EQ(AB106,$AB$2:$AB$111)&lt;='Tournament Setup'!$D$29,_xlfn.RANK.EQ(AB106,$AB$2:$AB$111),""),"")</f>
        <v/>
      </c>
      <c r="AD106" s="30" t="str">
        <f>IF(AND($F106='Tournament Setup'!$A$30,$I106&lt;&gt;0),$I106,"")</f>
        <v/>
      </c>
      <c r="AE106" s="47" t="str">
        <f>IF(ISNUMBER(AD106),IF(COUNTIFS(AE$1:AE105,_xlfn.RANK.EQ(AD106,AD$2:AD$111,0))&gt;0,_xlfn.MAXIFS(AE$1:AE105,AD$1:AD105,AD106)+1,_xlfn.RANK.EQ(AD106,AD$2:AD$111,0)),"")</f>
        <v/>
      </c>
      <c r="AF106" s="1" t="str">
        <f>IF(ISNUMBER(AD106)=TRUE,IF(_xlfn.RANK.EQ(AD106,$AD$2:$AD$111)&lt;='Tournament Setup'!$B$46,_xlfn.RANK.EQ(AD106,$AD$2:$AD$111),""),"")</f>
        <v/>
      </c>
      <c r="AG106" s="30" t="str">
        <f>IF(AND($F106='Tournament Setup'!$A$30,SUM($O106,$Q106,$S106)=0),$H106,"")</f>
        <v/>
      </c>
      <c r="AH106" s="47" t="str">
        <f>IF(ISNUMBER(AG106),IF(COUNTIFS(AH$1:AH105,_xlfn.RANK.EQ(AG106,AG$2:AG$111,0))&gt;0,_xlfn.MAXIFS(AH$1:AH105,AG$1:AG105,AG106)+1,_xlfn.RANK.EQ(AG106,AG$2:AG$111,0)),"")</f>
        <v/>
      </c>
      <c r="AI106" s="1" t="str">
        <f>IF(ISNUMBER(AG106)=TRUE,IF(_xlfn.RANK.EQ(AG106,$AG$2:$AG$111)&lt;='Tournament Setup'!$B$30,_xlfn.RANK.EQ(AG106,$AG$2:$AG$111),""),"")</f>
        <v/>
      </c>
      <c r="AJ106" s="31" t="str">
        <f>IF(AND($F106='Tournament Setup'!$A$30,SUM($O106,$Q106)=0,$E106="M",$AI106&gt;'Tournament Setup'!$B$30),$H106,"")</f>
        <v/>
      </c>
      <c r="AK106" s="1" t="str">
        <f>IF(ISNUMBER(AJ106)=TRUE,IF(_xlfn.RANK.EQ(AJ106,$AJ$2:$AJ$111)&lt;='Tournament Setup'!$C$30,_xlfn.RANK.EQ(AJ106,$AJ$2:$AJ$111),""),"")</f>
        <v/>
      </c>
      <c r="AL106" s="31" t="str">
        <f>IF(AND($F106='Tournament Setup'!$A$30,SUM($O106,$S106)=0,$E106="F",$AI106&gt;'Tournament Setup'!$B$30),$H106,"")</f>
        <v/>
      </c>
      <c r="AM106" s="12" t="str">
        <f>IF(ISNUMBER(AL106)=TRUE,IF(_xlfn.RANK.EQ(AL106,$AL$2:$AL$111)&lt;='Tournament Setup'!$D$30,_xlfn.RANK.EQ(AL106,$AL$2:$AL$111),""),"")</f>
        <v/>
      </c>
      <c r="AN106" s="30" t="str">
        <f>IF(AND($F106='Tournament Setup'!$A$31,$I106&lt;&gt;0),$I106,"")</f>
        <v/>
      </c>
      <c r="AO106" s="47" t="str">
        <f>IF(ISNUMBER(AN106),IF(COUNTIFS(AO$1:AO105,_xlfn.RANK.EQ(AN106,AN$2:AN$111,0))&gt;0,_xlfn.MAXIFS(AO$1:AO105,AN$1:AN105,AN106)+1,_xlfn.RANK.EQ(AN106,AN$2:AN$111,0)),"")</f>
        <v/>
      </c>
      <c r="AP106" s="1" t="str">
        <f>IF(ISNUMBER(AN106)=TRUE,IF(_xlfn.RANK.EQ(AN106,$AN$2:$AN$111)&lt;='Tournament Setup'!$B$46,_xlfn.RANK.EQ(AN106,$AN$2:$AN$111),""),"")</f>
        <v/>
      </c>
      <c r="AQ106" s="30" t="str">
        <f>IF(AND($F106='Tournament Setup'!$A$31,SUM($O106,$Q106,$S106)=0),$H106,"")</f>
        <v/>
      </c>
      <c r="AR106" s="47" t="str">
        <f>IF(ISNUMBER(AQ106),IF(COUNTIFS(AR$1:AR105,_xlfn.RANK.EQ(AQ106,AQ$2:AQ$111,0))&gt;0,_xlfn.MAXIFS(AR$1:AR105,AQ$1:AQ105,AQ106)+1,_xlfn.RANK.EQ(AQ106,AQ$2:AQ$111,0)),"")</f>
        <v/>
      </c>
      <c r="AS106" s="1" t="str">
        <f>IF(ISNUMBER(AQ106)=TRUE,IF(_xlfn.RANK.EQ(AQ106,$AQ$2:$AQ$111)&lt;='Tournament Setup'!$B$31,_xlfn.RANK.EQ(AQ106,$AQ$2:$AQ$111),""),"")</f>
        <v/>
      </c>
      <c r="AT106" s="31" t="str">
        <f>IF(AND($F106='Tournament Setup'!$A$31,SUM($O106,$Q106)=0,$E106="M",$AS106&gt;'Tournament Setup'!$B$31),$H106,"")</f>
        <v/>
      </c>
      <c r="AU106" s="1" t="str">
        <f>IF(ISNUMBER(AT106)=TRUE,IF(_xlfn.RANK.EQ(AT106,$AT$2:$AT$111)&lt;='Tournament Setup'!$C$31,_xlfn.RANK.EQ(AT106,$AT$2:$AT$111),""),"")</f>
        <v/>
      </c>
      <c r="AV106" s="31" t="str">
        <f>IF(AND($F106='Tournament Setup'!$A$31,SUM($O106,$S106)=0,$E106="F",$AS106&gt;'Tournament Setup'!$B$31),$H106,"")</f>
        <v/>
      </c>
      <c r="AW106" s="12" t="str">
        <f>IF(ISNUMBER(AV106)=TRUE,IF(_xlfn.RANK.EQ(AV106,$AV$2:$AV$111)&lt;='Tournament Setup'!$D$31,_xlfn.RANK.EQ(AV106,$AV$2:$AV$111),""),"")</f>
        <v/>
      </c>
      <c r="AX106" s="30" t="str">
        <f>IF(AND($F106='Tournament Setup'!$A$32,$I106&lt;&gt;0),$I106,"")</f>
        <v/>
      </c>
      <c r="AY106" s="47" t="str">
        <f>IF(ISNUMBER(AX106),IF(COUNTIFS(AY$1:AY105,_xlfn.RANK.EQ(AX106,AX$2:AX$111,0))&gt;0,_xlfn.MAXIFS(AY$1:AY105,AX$1:AX105,AX106)+1,_xlfn.RANK.EQ(AX106,AX$2:AX$111,0)),"")</f>
        <v/>
      </c>
      <c r="AZ106" s="1" t="str">
        <f>IF(ISNUMBER(AX106)=TRUE,IF(_xlfn.RANK.EQ(AX106,$AX$2:$AX$111)&lt;='Tournament Setup'!$B$46,_xlfn.RANK.EQ(AX106,$AX$2:$AX$111),""),"")</f>
        <v/>
      </c>
      <c r="BA106" s="30" t="str">
        <f>IF(AND($F106='Tournament Setup'!$A$32,SUM($O106,$Q106,$S106)=0),$H106,"")</f>
        <v/>
      </c>
      <c r="BB106" s="47" t="str">
        <f>IF(ISNUMBER(BA106),IF(COUNTIFS(BB$1:BB105,_xlfn.RANK.EQ(BA106,BA$2:BA$111,0))&gt;0,_xlfn.MAXIFS(BB$1:BB105,BA$1:BA105,BA106)+1,_xlfn.RANK.EQ(BA106,BA$2:BA$111,0)),"")</f>
        <v/>
      </c>
      <c r="BC106" s="1" t="str">
        <f>IF(ISNUMBER(BA106)=TRUE,IF(_xlfn.RANK.EQ(BA106,$BA$2:$BA$111)&lt;='Tournament Setup'!$B$32,_xlfn.RANK.EQ(BA106,$BA$2:$BA$111),""),"")</f>
        <v/>
      </c>
      <c r="BD106" s="31" t="str">
        <f>IF(AND($F106='Tournament Setup'!$A$32,SUM($O106,$Q106)=0,$E106="M",$BC106&gt;'Tournament Setup'!$B$32),$H106,"")</f>
        <v/>
      </c>
      <c r="BE106" s="1" t="str">
        <f>IF(ISNUMBER(BD106)=TRUE,IF(_xlfn.RANK.EQ(BD106,$BD$2:$BD$111)&lt;='Tournament Setup'!$C$32,_xlfn.RANK.EQ(BD106,$BD$2:$BD$111),""),"")</f>
        <v/>
      </c>
      <c r="BF106" s="31" t="str">
        <f>IF(AND($F106='Tournament Setup'!$A$32,SUM($O106,$S106)=0,$E106="F",$BC106&gt;'Tournament Setup'!$B$32),$H106,"")</f>
        <v/>
      </c>
      <c r="BG106" s="12" t="str">
        <f>IF(ISNUMBER(BF106)=TRUE,IF(_xlfn.RANK.EQ(BF106,$BF$2:$BF$111)&lt;='Tournament Setup'!$D$32,_xlfn.RANK.EQ(BF106,$BF$2:$BF$111),""),"")</f>
        <v/>
      </c>
      <c r="BH106" s="30" t="str">
        <f>IF(AND($F106='Tournament Setup'!$A$33,$I106&lt;&gt;0),$I106,"")</f>
        <v/>
      </c>
      <c r="BI106" s="47" t="str">
        <f>IF(ISNUMBER(BH106),IF(COUNTIFS(BI$1:BI105,_xlfn.RANK.EQ(BH106,BH$2:BH$111,0))&gt;0,_xlfn.MAXIFS(BI$1:BI105,BH$1:BH105,BH106)+1,_xlfn.RANK.EQ(BH106,BH$2:BH$111,0)),"")</f>
        <v/>
      </c>
      <c r="BJ106" s="1" t="str">
        <f>IF(ISNUMBER(BH106)=TRUE,IF(_xlfn.RANK.EQ(BH106,$BH$2:$BH$111)&lt;='Tournament Setup'!$B$46,_xlfn.RANK.EQ(BH106,$BH$2:$BH$111),""),"")</f>
        <v/>
      </c>
      <c r="BK106" s="30" t="str">
        <f>IF(AND($F106='Tournament Setup'!$A$33,SUM($O106,$Q106,$S106)=0),$H106,"")</f>
        <v/>
      </c>
      <c r="BL106" s="47" t="str">
        <f>IF(ISNUMBER(BK106),IF(COUNTIFS(BL$1:BL105,_xlfn.RANK.EQ(BK106,BK$2:BK$111,0))&gt;0,_xlfn.MAXIFS(BL$1:BL105,BK$1:BK105,BK106)+1,_xlfn.RANK.EQ(BK106,BK$2:BK$111,0)),"")</f>
        <v/>
      </c>
      <c r="BM106" s="1" t="str">
        <f>IF(ISNUMBER(BK106)=TRUE,IF(_xlfn.RANK.EQ(BK106,$BK$2:$BK$111)&lt;='Tournament Setup'!$B$33,_xlfn.RANK.EQ(BK106,$BK$2:$BK$111),""),"")</f>
        <v/>
      </c>
      <c r="BN106" s="31" t="str">
        <f>IF(AND($F106='Tournament Setup'!$A$33,SUM($O106,$Q106)=0,$E106="M",$BM106&gt;'Tournament Setup'!$B$33),$H106,"")</f>
        <v/>
      </c>
      <c r="BO106" s="1" t="str">
        <f>IF(ISNUMBER(BN106)=TRUE,IF(_xlfn.RANK.EQ(BN106,$BN$2:$BN$111)&lt;='Tournament Setup'!$C$33,_xlfn.RANK.EQ(BN106,$BN$2:$BN$111),""),"")</f>
        <v/>
      </c>
      <c r="BP106" s="31" t="str">
        <f>IF(AND($F106='Tournament Setup'!$A$33,SUM($O106,$S106)=0,$E106="F",$BM106&gt;'Tournament Setup'!$B$33),$H106,"")</f>
        <v/>
      </c>
      <c r="BQ106" s="12" t="str">
        <f>IF(ISNUMBER(BP106)=TRUE,IF(_xlfn.RANK.EQ(BP106,$BP$2:$BP$111)&lt;='Tournament Setup'!$D$33,_xlfn.RANK.EQ(BP106,$BP$2:$BP$111),""),"")</f>
        <v/>
      </c>
      <c r="BR106" s="30" t="str">
        <f>IF($G106='Tournament Setup'!$A$38,$H106,"")</f>
        <v/>
      </c>
      <c r="BS106" s="47" t="str">
        <f>IF(ISNUMBER(BR106),IF(COUNTIFS(BS$1:BS105,_xlfn.RANK.EQ(BR106,BR$2:BR$111,0))&gt;0,_xlfn.MAXIFS(BS$1:BS105,BR$1:BR105,BR106)+1,_xlfn.RANK.EQ(BR106,BR$2:BR$111,0)),"")</f>
        <v/>
      </c>
      <c r="BT106" s="1" t="str">
        <f>IF(ISNUMBER(BR106)=TRUE,IF(_xlfn.RANK.EQ(BR106,$BR$2:$BR$111)&lt;='Tournament Setup'!$B$38,_xlfn.RANK.EQ(BR106,$BR$2:$BR$111),""),"")</f>
        <v/>
      </c>
      <c r="BU106" s="31" t="str">
        <f>IF(AND($G106='Tournament Setup'!$A$38,$E106="M",$BT106&gt;'Tournament Setup'!$B$38),$H106,"")</f>
        <v/>
      </c>
      <c r="BV106" s="1" t="str">
        <f>IF(ISNUMBER(BU106)=TRUE,IF(_xlfn.RANK.EQ(BU106,$BU$2:$BU$111)&lt;='Tournament Setup'!$C$38,_xlfn.RANK.EQ(BU106,$BU$2:$BU$111),""),"")</f>
        <v/>
      </c>
      <c r="BW106" s="31" t="str">
        <f>IF(AND($G106='Tournament Setup'!$A$38,$E106="F",$BT106&gt;'Tournament Setup'!$B$38),$H106,"")</f>
        <v/>
      </c>
      <c r="BX106" s="12" t="str">
        <f>IF(ISNUMBER(BW106)=TRUE,IF(_xlfn.RANK.EQ(BW106,$BW$2:$BW$111)&lt;='Tournament Setup'!$D$38,_xlfn.RANK.EQ(BW106,$BW$2:$BW$111),""),"")</f>
        <v/>
      </c>
      <c r="BY106" s="30" t="str">
        <f>IF($G106='Tournament Setup'!$A$39,$H106,"")</f>
        <v/>
      </c>
      <c r="BZ106" s="47" t="str">
        <f>IF(ISNUMBER(BY106),IF(COUNTIFS(BZ$1:BZ105,_xlfn.RANK.EQ(BY106,BY$2:BY$111,0))&gt;0,_xlfn.MAXIFS(BZ$1:BZ105,BY$1:BY105,BY106)+1,_xlfn.RANK.EQ(BY106,BY$2:BY$111,0)),"")</f>
        <v/>
      </c>
      <c r="CA106" s="1" t="str">
        <f>IF(ISNUMBER(BY106)=TRUE,IF(_xlfn.RANK.EQ(BY106,$BY$2:$BY$111)&lt;='Tournament Setup'!$B$39,_xlfn.RANK.EQ(BY106,$BY$2:$BY$111),""),"")</f>
        <v/>
      </c>
      <c r="CB106" s="31" t="str">
        <f>IF(AND($G106='Tournament Setup'!$A$39,$E106="M",$CA106&gt;'Tournament Setup'!$B$39),$H106,"")</f>
        <v/>
      </c>
      <c r="CC106" s="1" t="str">
        <f>IF(ISNUMBER(CB106)=TRUE,IF(_xlfn.RANK.EQ(CB106,$CB$2:$CB$111)&lt;='Tournament Setup'!$C$39,_xlfn.RANK.EQ(CB106,$CB$2:$CB$111),""),"")</f>
        <v/>
      </c>
      <c r="CD106" s="31" t="str">
        <f>IF(AND($G106='Tournament Setup'!$A$39,$E106="F",$CA106&gt;'Tournament Setup'!$B$39),$H106,"")</f>
        <v/>
      </c>
      <c r="CE106" s="12" t="str">
        <f>IF(ISNUMBER(CD106)=TRUE,IF(_xlfn.RANK.EQ(CD106,$CD$2:$CD$111)&lt;='Tournament Setup'!$D$39,_xlfn.RANK.EQ(CD106,$CD$2:$CD$111),""),"")</f>
        <v/>
      </c>
      <c r="CF106" s="30" t="str">
        <f>IF($G106='Tournament Setup'!$A$40,$H106,"")</f>
        <v/>
      </c>
      <c r="CG106" s="47" t="str">
        <f>IF(ISNUMBER(CF106),IF(COUNTIFS(CG$1:CG105,_xlfn.RANK.EQ(CF106,CF$2:CF$111,0))&gt;0,_xlfn.MAXIFS(CG$1:CG105,CF$1:CF105,CF106)+1,_xlfn.RANK.EQ(CF106,CF$2:CF$111,0)),"")</f>
        <v/>
      </c>
      <c r="CH106" s="1" t="str">
        <f>IF(ISNUMBER(CF106)=TRUE,IF(_xlfn.RANK.EQ(CF106,$CF$2:$CF$111)&lt;='Tournament Setup'!$B$40,_xlfn.RANK.EQ(CF106,$CF$2:$CF$111),""),"")</f>
        <v/>
      </c>
      <c r="CI106" s="31" t="str">
        <f>IF(AND($G106='Tournament Setup'!$A$40,$E106="M",$CH106&gt;'Tournament Setup'!$B$40),$H106,"")</f>
        <v/>
      </c>
      <c r="CJ106" s="1" t="str">
        <f>IF(ISNUMBER(CI106)=TRUE,IF(_xlfn.RANK.EQ(CI106,$CI$2:$CI$111)&lt;='Tournament Setup'!$C$40,_xlfn.RANK.EQ(CI106,$CI$2:$CI$111),""),"")</f>
        <v/>
      </c>
      <c r="CK106" s="31" t="str">
        <f>IF(AND($G106='Tournament Setup'!$A$40,$E106="F",$CH106&gt;'Tournament Setup'!$B$40),$H106,"")</f>
        <v/>
      </c>
      <c r="CL106" s="12" t="str">
        <f>IF(ISNUMBER(CK106)=TRUE,IF(_xlfn.RANK.EQ(CK106,$CK$2:$CK$111)&lt;='Tournament Setup'!$D$40,_xlfn.RANK.EQ(CK106,$CK$2:$CK$111),""),"")</f>
        <v/>
      </c>
      <c r="CM106" s="30" t="str">
        <f>IF($G106='Tournament Setup'!$A$41,$H106,"")</f>
        <v/>
      </c>
      <c r="CN106" s="47" t="str">
        <f>IF(ISNUMBER(CM106),IF(COUNTIFS(CN$1:CN105,_xlfn.RANK.EQ(CM106,CM$2:CM$111,0))&gt;0,_xlfn.MAXIFS(CN$1:CN105,CM$1:CM105,CM106)+1,_xlfn.RANK.EQ(CM106,CM$2:CM$111,0)),"")</f>
        <v/>
      </c>
      <c r="CO106" s="1" t="str">
        <f>IF(ISNUMBER(CM106)=TRUE,IF(_xlfn.RANK.EQ(CM106,$CM$2:$CM$111)&lt;='Tournament Setup'!$B$41,_xlfn.RANK.EQ(CM106,$CM$2:$CM$111),""),"")</f>
        <v/>
      </c>
      <c r="CP106" s="31" t="str">
        <f>IF(AND($G106='Tournament Setup'!$A$41,$E106="M",$CO106&gt;'Tournament Setup'!$B$41),$H106,"")</f>
        <v/>
      </c>
      <c r="CQ106" s="1" t="str">
        <f>IF(ISNUMBER(CP106)=TRUE,IF(_xlfn.RANK.EQ(CP106,$CP$2:$CP$111)&lt;='Tournament Setup'!$C$41,_xlfn.RANK.EQ(CP106,$CP$2:$CP$111),""),"")</f>
        <v/>
      </c>
      <c r="CR106" s="31" t="str">
        <f>IF(AND($G106='Tournament Setup'!$A$41,$E106="F",$CO106&gt;'Tournament Setup'!$B$41),$H106,"")</f>
        <v/>
      </c>
      <c r="CS106" s="12" t="str">
        <f>IF(ISNUMBER(CR106)=TRUE,IF(_xlfn.RANK.EQ(CR106,$CR$2:$CR$111)&lt;='Tournament Setup'!$D$41,_xlfn.RANK.EQ(CR106,$CR$2:$CR$111),""),"")</f>
        <v/>
      </c>
    </row>
    <row r="107" spans="2:97" x14ac:dyDescent="0.3">
      <c r="B107" t="str">
        <f>IFERROR(INDEX('Tournament List'!$B:$B,MATCH($A107,'Tournament List'!$A:$A,0)),"")</f>
        <v/>
      </c>
      <c r="C107" t="str">
        <f>IFERROR(INDEX('Tournament List'!$C:$C,MATCH($A107,'Tournament List'!$A:$A,0)),"")</f>
        <v/>
      </c>
      <c r="D107" t="str">
        <f t="shared" si="5"/>
        <v xml:space="preserve"> </v>
      </c>
      <c r="E107" s="1" t="str">
        <f>IFERROR(INDEX('Tournament List'!F:F,MATCH($A107,'Tournament List'!$A:$A,0)),"")</f>
        <v/>
      </c>
      <c r="F107" t="str">
        <f>IFERROR(INDEX('Tournament List'!M:M,MATCH($A107,'Tournament List'!$A:$A,0)),"")</f>
        <v/>
      </c>
      <c r="G107" s="1" t="str">
        <f>IFERROR(INDEX('Tournament List'!W:W,MATCH($A107,'Tournament List'!$A:$A,0)),"")</f>
        <v/>
      </c>
      <c r="H107" s="129" t="str">
        <f>IFERROR(INDEX('Tournament List'!Z:Z,MATCH($A107,'Tournament List'!$A:$A,0)),"")</f>
        <v/>
      </c>
      <c r="I107" s="152" t="str">
        <f>IFERROR(INDEX('Tournament List'!T:T,MATCH($A107,'Tournament List'!$A:$A,0)),"")</f>
        <v/>
      </c>
      <c r="J107" s="56" t="str">
        <f>IF(ISNUMBER(I107),IF(COUNTIFS(J$1:J106,_xlfn.RANK.EQ(I107,I$2:I$111,0))&gt;0,_xlfn.MAXIFS(J$1:J106,I$1:I106,I107)+1,_xlfn.RANK.EQ(I107,I$2:I$111,0)),"")</f>
        <v/>
      </c>
      <c r="K107" s="11" t="str">
        <f t="shared" si="6"/>
        <v/>
      </c>
      <c r="L107" s="56" t="str">
        <f>IF(ISNUMBER(H107),IF(COUNTIFS(L$1:L106,_xlfn.RANK.EQ(H107,H$2:H$111,0))&gt;0,_xlfn.MAXIFS(L$1:L106,H$1:H106,H107)+1,_xlfn.RANK.EQ(H107,H$2:H$111,0)),"")</f>
        <v/>
      </c>
      <c r="M107" s="151" t="str">
        <f t="shared" si="7"/>
        <v/>
      </c>
      <c r="N107" s="47" t="str">
        <f>IF(ISNUMBER(M107),IF(COUNTIFS(N$1:N106,_xlfn.RANK.EQ(M107,M$2:M$111,0))&gt;0,_xlfn.MAXIFS(N$1:N106,M$1:M106,M107)+1,_xlfn.RANK.EQ(M107,M$2:M$111,0)),"")</f>
        <v/>
      </c>
      <c r="O107" s="1" t="str">
        <f>IF(ISNUMBER(M107)=TRUE,IF(_xlfn.RANK.EQ(M107,$M$2:$M$111)&lt;='Tournament Setup'!$B$23,_xlfn.RANK.EQ(M107,$M$2:$M$111),""),"")</f>
        <v/>
      </c>
      <c r="P107" s="150" t="str">
        <f t="shared" si="8"/>
        <v/>
      </c>
      <c r="Q107" s="1" t="str">
        <f>IF(ISNUMBER(P107)=TRUE,IF(_xlfn.RANK.EQ(P107,$P$2:$P$111)&lt;='Tournament Setup'!$B$24,_xlfn.RANK.EQ(P107,$P$2:$P$111),""),"")</f>
        <v/>
      </c>
      <c r="R107" s="150" t="str">
        <f t="shared" si="9"/>
        <v/>
      </c>
      <c r="S107" s="12" t="str">
        <f>IF(ISNUMBER(R107)=TRUE,IF(_xlfn.RANK.EQ(R107,$R$2:$R$111)&lt;='Tournament Setup'!$B$25,_xlfn.RANK.EQ(R107,$R$2:$R$111),""),"")</f>
        <v/>
      </c>
      <c r="T107" s="152" t="str">
        <f>IF(AND($F107='Tournament Setup'!$A$29,$I107&lt;&gt;0),$I107,"")</f>
        <v/>
      </c>
      <c r="U107" s="47" t="str">
        <f>IF(ISNUMBER(T107),IF(COUNTIFS(U$1:U106,_xlfn.RANK.EQ(T107,T$2:T$111,0))&gt;0,_xlfn.MAXIFS(U$1:U106,T$1:T106,T107)+1,_xlfn.RANK.EQ(T107,T$2:T$111,0)),"")</f>
        <v/>
      </c>
      <c r="V107" s="1" t="str">
        <f>IF(ISNUMBER(T107)=TRUE,IF(_xlfn.RANK.EQ(T107,$T$3:$T$112)&lt;='Tournament Setup'!$B$46,_xlfn.RANK.EQ(T107,$T$2:$T$111),""),"")</f>
        <v/>
      </c>
      <c r="W107" s="30" t="str">
        <f>IF(AND($F107='Tournament Setup'!$A$29,SUM($O107,$Q107,$S107)=0),$H107,"")</f>
        <v/>
      </c>
      <c r="X107" s="47" t="str">
        <f>IF(ISNUMBER(W107),IF(COUNTIFS(X$1:X106,_xlfn.RANK.EQ(W107,W$2:W$111,0))&gt;0,_xlfn.MAXIFS(X$1:X106,W$1:W106,W107)+1,_xlfn.RANK.EQ(W107,W$2:W$111,0)),"")</f>
        <v/>
      </c>
      <c r="Y107" s="1" t="str">
        <f>IF(ISNUMBER(W107)=TRUE,IF(_xlfn.RANK.EQ(W107,$W$2:$W$111)&lt;='Tournament Setup'!$B$29,_xlfn.RANK.EQ(W107,$W$2:$W$111),""),"")</f>
        <v/>
      </c>
      <c r="Z107" s="31" t="str">
        <f>IF(AND($F107='Tournament Setup'!$A$29,SUM($O107,$Q107)=0,$E107="M",$Y107&gt;'Tournament Setup'!$B$29),$H107,"")</f>
        <v/>
      </c>
      <c r="AA107" s="1" t="str">
        <f>IF(ISNUMBER(Z107)=TRUE,IF(_xlfn.RANK.EQ(Z107,$Z$2:$Z$111)&lt;='Tournament Setup'!$C$29,_xlfn.RANK.EQ(Z107,$Z$2:$Z$111),""),"")</f>
        <v/>
      </c>
      <c r="AB107" s="31" t="str">
        <f>IF(AND($F107='Tournament Setup'!$A$29,SUM($O107,$S107)=0,$E107="F",$Y107&gt;'Tournament Setup'!$B$29),$H107,"")</f>
        <v/>
      </c>
      <c r="AC107" s="12" t="str">
        <f>IF(ISNUMBER(AB107)=TRUE,IF(_xlfn.RANK.EQ(AB107,$AB$2:$AB$111)&lt;='Tournament Setup'!$D$29,_xlfn.RANK.EQ(AB107,$AB$2:$AB$111),""),"")</f>
        <v/>
      </c>
      <c r="AD107" s="30" t="str">
        <f>IF(AND($F107='Tournament Setup'!$A$30,$I107&lt;&gt;0),$I107,"")</f>
        <v/>
      </c>
      <c r="AE107" s="47" t="str">
        <f>IF(ISNUMBER(AD107),IF(COUNTIFS(AE$1:AE106,_xlfn.RANK.EQ(AD107,AD$2:AD$111,0))&gt;0,_xlfn.MAXIFS(AE$1:AE106,AD$1:AD106,AD107)+1,_xlfn.RANK.EQ(AD107,AD$2:AD$111,0)),"")</f>
        <v/>
      </c>
      <c r="AF107" s="1" t="str">
        <f>IF(ISNUMBER(AD107)=TRUE,IF(_xlfn.RANK.EQ(AD107,$AD$2:$AD$111)&lt;='Tournament Setup'!$B$46,_xlfn.RANK.EQ(AD107,$AD$2:$AD$111),""),"")</f>
        <v/>
      </c>
      <c r="AG107" s="30" t="str">
        <f>IF(AND($F107='Tournament Setup'!$A$30,SUM($O107,$Q107,$S107)=0),$H107,"")</f>
        <v/>
      </c>
      <c r="AH107" s="47" t="str">
        <f>IF(ISNUMBER(AG107),IF(COUNTIFS(AH$1:AH106,_xlfn.RANK.EQ(AG107,AG$2:AG$111,0))&gt;0,_xlfn.MAXIFS(AH$1:AH106,AG$1:AG106,AG107)+1,_xlfn.RANK.EQ(AG107,AG$2:AG$111,0)),"")</f>
        <v/>
      </c>
      <c r="AI107" s="1" t="str">
        <f>IF(ISNUMBER(AG107)=TRUE,IF(_xlfn.RANK.EQ(AG107,$AG$2:$AG$111)&lt;='Tournament Setup'!$B$30,_xlfn.RANK.EQ(AG107,$AG$2:$AG$111),""),"")</f>
        <v/>
      </c>
      <c r="AJ107" s="31" t="str">
        <f>IF(AND($F107='Tournament Setup'!$A$30,SUM($O107,$Q107)=0,$E107="M",$AI107&gt;'Tournament Setup'!$B$30),$H107,"")</f>
        <v/>
      </c>
      <c r="AK107" s="1" t="str">
        <f>IF(ISNUMBER(AJ107)=TRUE,IF(_xlfn.RANK.EQ(AJ107,$AJ$2:$AJ$111)&lt;='Tournament Setup'!$C$30,_xlfn.RANK.EQ(AJ107,$AJ$2:$AJ$111),""),"")</f>
        <v/>
      </c>
      <c r="AL107" s="31" t="str">
        <f>IF(AND($F107='Tournament Setup'!$A$30,SUM($O107,$S107)=0,$E107="F",$AI107&gt;'Tournament Setup'!$B$30),$H107,"")</f>
        <v/>
      </c>
      <c r="AM107" s="12" t="str">
        <f>IF(ISNUMBER(AL107)=TRUE,IF(_xlfn.RANK.EQ(AL107,$AL$2:$AL$111)&lt;='Tournament Setup'!$D$30,_xlfn.RANK.EQ(AL107,$AL$2:$AL$111),""),"")</f>
        <v/>
      </c>
      <c r="AN107" s="30" t="str">
        <f>IF(AND($F107='Tournament Setup'!$A$31,$I107&lt;&gt;0),$I107,"")</f>
        <v/>
      </c>
      <c r="AO107" s="47" t="str">
        <f>IF(ISNUMBER(AN107),IF(COUNTIFS(AO$1:AO106,_xlfn.RANK.EQ(AN107,AN$2:AN$111,0))&gt;0,_xlfn.MAXIFS(AO$1:AO106,AN$1:AN106,AN107)+1,_xlfn.RANK.EQ(AN107,AN$2:AN$111,0)),"")</f>
        <v/>
      </c>
      <c r="AP107" s="1" t="str">
        <f>IF(ISNUMBER(AN107)=TRUE,IF(_xlfn.RANK.EQ(AN107,$AN$2:$AN$111)&lt;='Tournament Setup'!$B$46,_xlfn.RANK.EQ(AN107,$AN$2:$AN$111),""),"")</f>
        <v/>
      </c>
      <c r="AQ107" s="30" t="str">
        <f>IF(AND($F107='Tournament Setup'!$A$31,SUM($O107,$Q107,$S107)=0),$H107,"")</f>
        <v/>
      </c>
      <c r="AR107" s="47" t="str">
        <f>IF(ISNUMBER(AQ107),IF(COUNTIFS(AR$1:AR106,_xlfn.RANK.EQ(AQ107,AQ$2:AQ$111,0))&gt;0,_xlfn.MAXIFS(AR$1:AR106,AQ$1:AQ106,AQ107)+1,_xlfn.RANK.EQ(AQ107,AQ$2:AQ$111,0)),"")</f>
        <v/>
      </c>
      <c r="AS107" s="1" t="str">
        <f>IF(ISNUMBER(AQ107)=TRUE,IF(_xlfn.RANK.EQ(AQ107,$AQ$2:$AQ$111)&lt;='Tournament Setup'!$B$31,_xlfn.RANK.EQ(AQ107,$AQ$2:$AQ$111),""),"")</f>
        <v/>
      </c>
      <c r="AT107" s="31" t="str">
        <f>IF(AND($F107='Tournament Setup'!$A$31,SUM($O107,$Q107)=0,$E107="M",$AS107&gt;'Tournament Setup'!$B$31),$H107,"")</f>
        <v/>
      </c>
      <c r="AU107" s="1" t="str">
        <f>IF(ISNUMBER(AT107)=TRUE,IF(_xlfn.RANK.EQ(AT107,$AT$2:$AT$111)&lt;='Tournament Setup'!$C$31,_xlfn.RANK.EQ(AT107,$AT$2:$AT$111),""),"")</f>
        <v/>
      </c>
      <c r="AV107" s="31" t="str">
        <f>IF(AND($F107='Tournament Setup'!$A$31,SUM($O107,$S107)=0,$E107="F",$AS107&gt;'Tournament Setup'!$B$31),$H107,"")</f>
        <v/>
      </c>
      <c r="AW107" s="12" t="str">
        <f>IF(ISNUMBER(AV107)=TRUE,IF(_xlfn.RANK.EQ(AV107,$AV$2:$AV$111)&lt;='Tournament Setup'!$D$31,_xlfn.RANK.EQ(AV107,$AV$2:$AV$111),""),"")</f>
        <v/>
      </c>
      <c r="AX107" s="30" t="str">
        <f>IF(AND($F107='Tournament Setup'!$A$32,$I107&lt;&gt;0),$I107,"")</f>
        <v/>
      </c>
      <c r="AY107" s="47" t="str">
        <f>IF(ISNUMBER(AX107),IF(COUNTIFS(AY$1:AY106,_xlfn.RANK.EQ(AX107,AX$2:AX$111,0))&gt;0,_xlfn.MAXIFS(AY$1:AY106,AX$1:AX106,AX107)+1,_xlfn.RANK.EQ(AX107,AX$2:AX$111,0)),"")</f>
        <v/>
      </c>
      <c r="AZ107" s="1" t="str">
        <f>IF(ISNUMBER(AX107)=TRUE,IF(_xlfn.RANK.EQ(AX107,$AX$2:$AX$111)&lt;='Tournament Setup'!$B$46,_xlfn.RANK.EQ(AX107,$AX$2:$AX$111),""),"")</f>
        <v/>
      </c>
      <c r="BA107" s="30" t="str">
        <f>IF(AND($F107='Tournament Setup'!$A$32,SUM($O107,$Q107,$S107)=0),$H107,"")</f>
        <v/>
      </c>
      <c r="BB107" s="47" t="str">
        <f>IF(ISNUMBER(BA107),IF(COUNTIFS(BB$1:BB106,_xlfn.RANK.EQ(BA107,BA$2:BA$111,0))&gt;0,_xlfn.MAXIFS(BB$1:BB106,BA$1:BA106,BA107)+1,_xlfn.RANK.EQ(BA107,BA$2:BA$111,0)),"")</f>
        <v/>
      </c>
      <c r="BC107" s="1" t="str">
        <f>IF(ISNUMBER(BA107)=TRUE,IF(_xlfn.RANK.EQ(BA107,$BA$2:$BA$111)&lt;='Tournament Setup'!$B$32,_xlfn.RANK.EQ(BA107,$BA$2:$BA$111),""),"")</f>
        <v/>
      </c>
      <c r="BD107" s="31" t="str">
        <f>IF(AND($F107='Tournament Setup'!$A$32,SUM($O107,$Q107)=0,$E107="M",$BC107&gt;'Tournament Setup'!$B$32),$H107,"")</f>
        <v/>
      </c>
      <c r="BE107" s="1" t="str">
        <f>IF(ISNUMBER(BD107)=TRUE,IF(_xlfn.RANK.EQ(BD107,$BD$2:$BD$111)&lt;='Tournament Setup'!$C$32,_xlfn.RANK.EQ(BD107,$BD$2:$BD$111),""),"")</f>
        <v/>
      </c>
      <c r="BF107" s="31" t="str">
        <f>IF(AND($F107='Tournament Setup'!$A$32,SUM($O107,$S107)=0,$E107="F",$BC107&gt;'Tournament Setup'!$B$32),$H107,"")</f>
        <v/>
      </c>
      <c r="BG107" s="12" t="str">
        <f>IF(ISNUMBER(BF107)=TRUE,IF(_xlfn.RANK.EQ(BF107,$BF$2:$BF$111)&lt;='Tournament Setup'!$D$32,_xlfn.RANK.EQ(BF107,$BF$2:$BF$111),""),"")</f>
        <v/>
      </c>
      <c r="BH107" s="30" t="str">
        <f>IF(AND($F107='Tournament Setup'!$A$33,$I107&lt;&gt;0),$I107,"")</f>
        <v/>
      </c>
      <c r="BI107" s="47" t="str">
        <f>IF(ISNUMBER(BH107),IF(COUNTIFS(BI$1:BI106,_xlfn.RANK.EQ(BH107,BH$2:BH$111,0))&gt;0,_xlfn.MAXIFS(BI$1:BI106,BH$1:BH106,BH107)+1,_xlfn.RANK.EQ(BH107,BH$2:BH$111,0)),"")</f>
        <v/>
      </c>
      <c r="BJ107" s="1" t="str">
        <f>IF(ISNUMBER(BH107)=TRUE,IF(_xlfn.RANK.EQ(BH107,$BH$2:$BH$111)&lt;='Tournament Setup'!$B$46,_xlfn.RANK.EQ(BH107,$BH$2:$BH$111),""),"")</f>
        <v/>
      </c>
      <c r="BK107" s="30" t="str">
        <f>IF(AND($F107='Tournament Setup'!$A$33,SUM($O107,$Q107,$S107)=0),$H107,"")</f>
        <v/>
      </c>
      <c r="BL107" s="47" t="str">
        <f>IF(ISNUMBER(BK107),IF(COUNTIFS(BL$1:BL106,_xlfn.RANK.EQ(BK107,BK$2:BK$111,0))&gt;0,_xlfn.MAXIFS(BL$1:BL106,BK$1:BK106,BK107)+1,_xlfn.RANK.EQ(BK107,BK$2:BK$111,0)),"")</f>
        <v/>
      </c>
      <c r="BM107" s="1" t="str">
        <f>IF(ISNUMBER(BK107)=TRUE,IF(_xlfn.RANK.EQ(BK107,$BK$2:$BK$111)&lt;='Tournament Setup'!$B$33,_xlfn.RANK.EQ(BK107,$BK$2:$BK$111),""),"")</f>
        <v/>
      </c>
      <c r="BN107" s="31" t="str">
        <f>IF(AND($F107='Tournament Setup'!$A$33,SUM($O107,$Q107)=0,$E107="M",$BM107&gt;'Tournament Setup'!$B$33),$H107,"")</f>
        <v/>
      </c>
      <c r="BO107" s="1" t="str">
        <f>IF(ISNUMBER(BN107)=TRUE,IF(_xlfn.RANK.EQ(BN107,$BN$2:$BN$111)&lt;='Tournament Setup'!$C$33,_xlfn.RANK.EQ(BN107,$BN$2:$BN$111),""),"")</f>
        <v/>
      </c>
      <c r="BP107" s="31" t="str">
        <f>IF(AND($F107='Tournament Setup'!$A$33,SUM($O107,$S107)=0,$E107="F",$BM107&gt;'Tournament Setup'!$B$33),$H107,"")</f>
        <v/>
      </c>
      <c r="BQ107" s="12" t="str">
        <f>IF(ISNUMBER(BP107)=TRUE,IF(_xlfn.RANK.EQ(BP107,$BP$2:$BP$111)&lt;='Tournament Setup'!$D$33,_xlfn.RANK.EQ(BP107,$BP$2:$BP$111),""),"")</f>
        <v/>
      </c>
      <c r="BR107" s="30" t="str">
        <f>IF($G107='Tournament Setup'!$A$38,$H107,"")</f>
        <v/>
      </c>
      <c r="BS107" s="47" t="str">
        <f>IF(ISNUMBER(BR107),IF(COUNTIFS(BS$1:BS106,_xlfn.RANK.EQ(BR107,BR$2:BR$111,0))&gt;0,_xlfn.MAXIFS(BS$1:BS106,BR$1:BR106,BR107)+1,_xlfn.RANK.EQ(BR107,BR$2:BR$111,0)),"")</f>
        <v/>
      </c>
      <c r="BT107" s="1" t="str">
        <f>IF(ISNUMBER(BR107)=TRUE,IF(_xlfn.RANK.EQ(BR107,$BR$2:$BR$111)&lt;='Tournament Setup'!$B$38,_xlfn.RANK.EQ(BR107,$BR$2:$BR$111),""),"")</f>
        <v/>
      </c>
      <c r="BU107" s="31" t="str">
        <f>IF(AND($G107='Tournament Setup'!$A$38,$E107="M",$BT107&gt;'Tournament Setup'!$B$38),$H107,"")</f>
        <v/>
      </c>
      <c r="BV107" s="1" t="str">
        <f>IF(ISNUMBER(BU107)=TRUE,IF(_xlfn.RANK.EQ(BU107,$BU$2:$BU$111)&lt;='Tournament Setup'!$C$38,_xlfn.RANK.EQ(BU107,$BU$2:$BU$111),""),"")</f>
        <v/>
      </c>
      <c r="BW107" s="31" t="str">
        <f>IF(AND($G107='Tournament Setup'!$A$38,$E107="F",$BT107&gt;'Tournament Setup'!$B$38),$H107,"")</f>
        <v/>
      </c>
      <c r="BX107" s="12" t="str">
        <f>IF(ISNUMBER(BW107)=TRUE,IF(_xlfn.RANK.EQ(BW107,$BW$2:$BW$111)&lt;='Tournament Setup'!$D$38,_xlfn.RANK.EQ(BW107,$BW$2:$BW$111),""),"")</f>
        <v/>
      </c>
      <c r="BY107" s="30" t="str">
        <f>IF($G107='Tournament Setup'!$A$39,$H107,"")</f>
        <v/>
      </c>
      <c r="BZ107" s="47" t="str">
        <f>IF(ISNUMBER(BY107),IF(COUNTIFS(BZ$1:BZ106,_xlfn.RANK.EQ(BY107,BY$2:BY$111,0))&gt;0,_xlfn.MAXIFS(BZ$1:BZ106,BY$1:BY106,BY107)+1,_xlfn.RANK.EQ(BY107,BY$2:BY$111,0)),"")</f>
        <v/>
      </c>
      <c r="CA107" s="1" t="str">
        <f>IF(ISNUMBER(BY107)=TRUE,IF(_xlfn.RANK.EQ(BY107,$BY$2:$BY$111)&lt;='Tournament Setup'!$B$39,_xlfn.RANK.EQ(BY107,$BY$2:$BY$111),""),"")</f>
        <v/>
      </c>
      <c r="CB107" s="31" t="str">
        <f>IF(AND($G107='Tournament Setup'!$A$39,$E107="M",$CA107&gt;'Tournament Setup'!$B$39),$H107,"")</f>
        <v/>
      </c>
      <c r="CC107" s="1" t="str">
        <f>IF(ISNUMBER(CB107)=TRUE,IF(_xlfn.RANK.EQ(CB107,$CB$2:$CB$111)&lt;='Tournament Setup'!$C$39,_xlfn.RANK.EQ(CB107,$CB$2:$CB$111),""),"")</f>
        <v/>
      </c>
      <c r="CD107" s="31" t="str">
        <f>IF(AND($G107='Tournament Setup'!$A$39,$E107="F",$CA107&gt;'Tournament Setup'!$B$39),$H107,"")</f>
        <v/>
      </c>
      <c r="CE107" s="12" t="str">
        <f>IF(ISNUMBER(CD107)=TRUE,IF(_xlfn.RANK.EQ(CD107,$CD$2:$CD$111)&lt;='Tournament Setup'!$D$39,_xlfn.RANK.EQ(CD107,$CD$2:$CD$111),""),"")</f>
        <v/>
      </c>
      <c r="CF107" s="30" t="str">
        <f>IF($G107='Tournament Setup'!$A$40,$H107,"")</f>
        <v/>
      </c>
      <c r="CG107" s="47" t="str">
        <f>IF(ISNUMBER(CF107),IF(COUNTIFS(CG$1:CG106,_xlfn.RANK.EQ(CF107,CF$2:CF$111,0))&gt;0,_xlfn.MAXIFS(CG$1:CG106,CF$1:CF106,CF107)+1,_xlfn.RANK.EQ(CF107,CF$2:CF$111,0)),"")</f>
        <v/>
      </c>
      <c r="CH107" s="1" t="str">
        <f>IF(ISNUMBER(CF107)=TRUE,IF(_xlfn.RANK.EQ(CF107,$CF$2:$CF$111)&lt;='Tournament Setup'!$B$40,_xlfn.RANK.EQ(CF107,$CF$2:$CF$111),""),"")</f>
        <v/>
      </c>
      <c r="CI107" s="31" t="str">
        <f>IF(AND($G107='Tournament Setup'!$A$40,$E107="M",$CH107&gt;'Tournament Setup'!$B$40),$H107,"")</f>
        <v/>
      </c>
      <c r="CJ107" s="1" t="str">
        <f>IF(ISNUMBER(CI107)=TRUE,IF(_xlfn.RANK.EQ(CI107,$CI$2:$CI$111)&lt;='Tournament Setup'!$C$40,_xlfn.RANK.EQ(CI107,$CI$2:$CI$111),""),"")</f>
        <v/>
      </c>
      <c r="CK107" s="31" t="str">
        <f>IF(AND($G107='Tournament Setup'!$A$40,$E107="F",$CH107&gt;'Tournament Setup'!$B$40),$H107,"")</f>
        <v/>
      </c>
      <c r="CL107" s="12" t="str">
        <f>IF(ISNUMBER(CK107)=TRUE,IF(_xlfn.RANK.EQ(CK107,$CK$2:$CK$111)&lt;='Tournament Setup'!$D$40,_xlfn.RANK.EQ(CK107,$CK$2:$CK$111),""),"")</f>
        <v/>
      </c>
      <c r="CM107" s="30" t="str">
        <f>IF($G107='Tournament Setup'!$A$41,$H107,"")</f>
        <v/>
      </c>
      <c r="CN107" s="47" t="str">
        <f>IF(ISNUMBER(CM107),IF(COUNTIFS(CN$1:CN106,_xlfn.RANK.EQ(CM107,CM$2:CM$111,0))&gt;0,_xlfn.MAXIFS(CN$1:CN106,CM$1:CM106,CM107)+1,_xlfn.RANK.EQ(CM107,CM$2:CM$111,0)),"")</f>
        <v/>
      </c>
      <c r="CO107" s="1" t="str">
        <f>IF(ISNUMBER(CM107)=TRUE,IF(_xlfn.RANK.EQ(CM107,$CM$2:$CM$111)&lt;='Tournament Setup'!$B$41,_xlfn.RANK.EQ(CM107,$CM$2:$CM$111),""),"")</f>
        <v/>
      </c>
      <c r="CP107" s="31" t="str">
        <f>IF(AND($G107='Tournament Setup'!$A$41,$E107="M",$CO107&gt;'Tournament Setup'!$B$41),$H107,"")</f>
        <v/>
      </c>
      <c r="CQ107" s="1" t="str">
        <f>IF(ISNUMBER(CP107)=TRUE,IF(_xlfn.RANK.EQ(CP107,$CP$2:$CP$111)&lt;='Tournament Setup'!$C$41,_xlfn.RANK.EQ(CP107,$CP$2:$CP$111),""),"")</f>
        <v/>
      </c>
      <c r="CR107" s="31" t="str">
        <f>IF(AND($G107='Tournament Setup'!$A$41,$E107="F",$CO107&gt;'Tournament Setup'!$B$41),$H107,"")</f>
        <v/>
      </c>
      <c r="CS107" s="12" t="str">
        <f>IF(ISNUMBER(CR107)=TRUE,IF(_xlfn.RANK.EQ(CR107,$CR$2:$CR$111)&lt;='Tournament Setup'!$D$41,_xlfn.RANK.EQ(CR107,$CR$2:$CR$111),""),"")</f>
        <v/>
      </c>
    </row>
    <row r="108" spans="2:97" x14ac:dyDescent="0.3">
      <c r="B108" t="str">
        <f>IFERROR(INDEX('Tournament List'!$B:$B,MATCH($A108,'Tournament List'!$A:$A,0)),"")</f>
        <v/>
      </c>
      <c r="C108" t="str">
        <f>IFERROR(INDEX('Tournament List'!$C:$C,MATCH($A108,'Tournament List'!$A:$A,0)),"")</f>
        <v/>
      </c>
      <c r="D108" t="str">
        <f t="shared" si="5"/>
        <v xml:space="preserve"> </v>
      </c>
      <c r="E108" s="1" t="str">
        <f>IFERROR(INDEX('Tournament List'!F:F,MATCH($A108,'Tournament List'!$A:$A,0)),"")</f>
        <v/>
      </c>
      <c r="F108" t="str">
        <f>IFERROR(INDEX('Tournament List'!M:M,MATCH($A108,'Tournament List'!$A:$A,0)),"")</f>
        <v/>
      </c>
      <c r="G108" s="1" t="str">
        <f>IFERROR(INDEX('Tournament List'!W:W,MATCH($A108,'Tournament List'!$A:$A,0)),"")</f>
        <v/>
      </c>
      <c r="H108" s="129" t="str">
        <f>IFERROR(INDEX('Tournament List'!Z:Z,MATCH($A108,'Tournament List'!$A:$A,0)),"")</f>
        <v/>
      </c>
      <c r="I108" s="152" t="str">
        <f>IFERROR(INDEX('Tournament List'!T:T,MATCH($A108,'Tournament List'!$A:$A,0)),"")</f>
        <v/>
      </c>
      <c r="J108" s="56" t="str">
        <f>IF(ISNUMBER(I108),IF(COUNTIFS(J$1:J107,_xlfn.RANK.EQ(I108,I$2:I$111,0))&gt;0,_xlfn.MAXIFS(J$1:J107,I$1:I107,I108)+1,_xlfn.RANK.EQ(I108,I$2:I$111,0)),"")</f>
        <v/>
      </c>
      <c r="K108" s="11" t="str">
        <f t="shared" si="6"/>
        <v/>
      </c>
      <c r="L108" s="56" t="str">
        <f>IF(ISNUMBER(H108),IF(COUNTIFS(L$1:L107,_xlfn.RANK.EQ(H108,H$2:H$111,0))&gt;0,_xlfn.MAXIFS(L$1:L107,H$1:H107,H108)+1,_xlfn.RANK.EQ(H108,H$2:H$111,0)),"")</f>
        <v/>
      </c>
      <c r="M108" s="151" t="str">
        <f t="shared" si="7"/>
        <v/>
      </c>
      <c r="N108" s="47" t="str">
        <f>IF(ISNUMBER(M108),IF(COUNTIFS(N$1:N107,_xlfn.RANK.EQ(M108,M$2:M$111,0))&gt;0,_xlfn.MAXIFS(N$1:N107,M$1:M107,M108)+1,_xlfn.RANK.EQ(M108,M$2:M$111,0)),"")</f>
        <v/>
      </c>
      <c r="O108" s="1" t="str">
        <f>IF(ISNUMBER(M108)=TRUE,IF(_xlfn.RANK.EQ(M108,$M$2:$M$111)&lt;='Tournament Setup'!$B$23,_xlfn.RANK.EQ(M108,$M$2:$M$111),""),"")</f>
        <v/>
      </c>
      <c r="P108" s="150" t="str">
        <f t="shared" si="8"/>
        <v/>
      </c>
      <c r="Q108" s="1" t="str">
        <f>IF(ISNUMBER(P108)=TRUE,IF(_xlfn.RANK.EQ(P108,$P$2:$P$111)&lt;='Tournament Setup'!$B$24,_xlfn.RANK.EQ(P108,$P$2:$P$111),""),"")</f>
        <v/>
      </c>
      <c r="R108" s="150" t="str">
        <f t="shared" si="9"/>
        <v/>
      </c>
      <c r="S108" s="12" t="str">
        <f>IF(ISNUMBER(R108)=TRUE,IF(_xlfn.RANK.EQ(R108,$R$2:$R$111)&lt;='Tournament Setup'!$B$25,_xlfn.RANK.EQ(R108,$R$2:$R$111),""),"")</f>
        <v/>
      </c>
      <c r="T108" s="152" t="str">
        <f>IF(AND($F108='Tournament Setup'!$A$29,$I108&lt;&gt;0),$I108,"")</f>
        <v/>
      </c>
      <c r="U108" s="47" t="str">
        <f>IF(ISNUMBER(T108),IF(COUNTIFS(U$1:U107,_xlfn.RANK.EQ(T108,T$2:T$111,0))&gt;0,_xlfn.MAXIFS(U$1:U107,T$1:T107,T108)+1,_xlfn.RANK.EQ(T108,T$2:T$111,0)),"")</f>
        <v/>
      </c>
      <c r="V108" s="1" t="str">
        <f>IF(ISNUMBER(T108)=TRUE,IF(_xlfn.RANK.EQ(T108,$T$3:$T$112)&lt;='Tournament Setup'!$B$46,_xlfn.RANK.EQ(T108,$T$2:$T$111),""),"")</f>
        <v/>
      </c>
      <c r="W108" s="30" t="str">
        <f>IF(AND($F108='Tournament Setup'!$A$29,SUM($O108,$Q108,$S108)=0),$H108,"")</f>
        <v/>
      </c>
      <c r="X108" s="47" t="str">
        <f>IF(ISNUMBER(W108),IF(COUNTIFS(X$1:X107,_xlfn.RANK.EQ(W108,W$2:W$111,0))&gt;0,_xlfn.MAXIFS(X$1:X107,W$1:W107,W108)+1,_xlfn.RANK.EQ(W108,W$2:W$111,0)),"")</f>
        <v/>
      </c>
      <c r="Y108" s="1" t="str">
        <f>IF(ISNUMBER(W108)=TRUE,IF(_xlfn.RANK.EQ(W108,$W$2:$W$111)&lt;='Tournament Setup'!$B$29,_xlfn.RANK.EQ(W108,$W$2:$W$111),""),"")</f>
        <v/>
      </c>
      <c r="Z108" s="31" t="str">
        <f>IF(AND($F108='Tournament Setup'!$A$29,SUM($O108,$Q108)=0,$E108="M",$Y108&gt;'Tournament Setup'!$B$29),$H108,"")</f>
        <v/>
      </c>
      <c r="AA108" s="1" t="str">
        <f>IF(ISNUMBER(Z108)=TRUE,IF(_xlfn.RANK.EQ(Z108,$Z$2:$Z$111)&lt;='Tournament Setup'!$C$29,_xlfn.RANK.EQ(Z108,$Z$2:$Z$111),""),"")</f>
        <v/>
      </c>
      <c r="AB108" s="31" t="str">
        <f>IF(AND($F108='Tournament Setup'!$A$29,SUM($O108,$S108)=0,$E108="F",$Y108&gt;'Tournament Setup'!$B$29),$H108,"")</f>
        <v/>
      </c>
      <c r="AC108" s="12" t="str">
        <f>IF(ISNUMBER(AB108)=TRUE,IF(_xlfn.RANK.EQ(AB108,$AB$2:$AB$111)&lt;='Tournament Setup'!$D$29,_xlfn.RANK.EQ(AB108,$AB$2:$AB$111),""),"")</f>
        <v/>
      </c>
      <c r="AD108" s="30" t="str">
        <f>IF(AND($F108='Tournament Setup'!$A$30,$I108&lt;&gt;0),$I108,"")</f>
        <v/>
      </c>
      <c r="AE108" s="47" t="str">
        <f>IF(ISNUMBER(AD108),IF(COUNTIFS(AE$1:AE107,_xlfn.RANK.EQ(AD108,AD$2:AD$111,0))&gt;0,_xlfn.MAXIFS(AE$1:AE107,AD$1:AD107,AD108)+1,_xlfn.RANK.EQ(AD108,AD$2:AD$111,0)),"")</f>
        <v/>
      </c>
      <c r="AF108" s="1" t="str">
        <f>IF(ISNUMBER(AD108)=TRUE,IF(_xlfn.RANK.EQ(AD108,$AD$2:$AD$111)&lt;='Tournament Setup'!$B$46,_xlfn.RANK.EQ(AD108,$AD$2:$AD$111),""),"")</f>
        <v/>
      </c>
      <c r="AG108" s="30" t="str">
        <f>IF(AND($F108='Tournament Setup'!$A$30,SUM($O108,$Q108,$S108)=0),$H108,"")</f>
        <v/>
      </c>
      <c r="AH108" s="47" t="str">
        <f>IF(ISNUMBER(AG108),IF(COUNTIFS(AH$1:AH107,_xlfn.RANK.EQ(AG108,AG$2:AG$111,0))&gt;0,_xlfn.MAXIFS(AH$1:AH107,AG$1:AG107,AG108)+1,_xlfn.RANK.EQ(AG108,AG$2:AG$111,0)),"")</f>
        <v/>
      </c>
      <c r="AI108" s="1" t="str">
        <f>IF(ISNUMBER(AG108)=TRUE,IF(_xlfn.RANK.EQ(AG108,$AG$2:$AG$111)&lt;='Tournament Setup'!$B$30,_xlfn.RANK.EQ(AG108,$AG$2:$AG$111),""),"")</f>
        <v/>
      </c>
      <c r="AJ108" s="31" t="str">
        <f>IF(AND($F108='Tournament Setup'!$A$30,SUM($O108,$Q108)=0,$E108="M",$AI108&gt;'Tournament Setup'!$B$30),$H108,"")</f>
        <v/>
      </c>
      <c r="AK108" s="1" t="str">
        <f>IF(ISNUMBER(AJ108)=TRUE,IF(_xlfn.RANK.EQ(AJ108,$AJ$2:$AJ$111)&lt;='Tournament Setup'!$C$30,_xlfn.RANK.EQ(AJ108,$AJ$2:$AJ$111),""),"")</f>
        <v/>
      </c>
      <c r="AL108" s="31" t="str">
        <f>IF(AND($F108='Tournament Setup'!$A$30,SUM($O108,$S108)=0,$E108="F",$AI108&gt;'Tournament Setup'!$B$30),$H108,"")</f>
        <v/>
      </c>
      <c r="AM108" s="12" t="str">
        <f>IF(ISNUMBER(AL108)=TRUE,IF(_xlfn.RANK.EQ(AL108,$AL$2:$AL$111)&lt;='Tournament Setup'!$D$30,_xlfn.RANK.EQ(AL108,$AL$2:$AL$111),""),"")</f>
        <v/>
      </c>
      <c r="AN108" s="30" t="str">
        <f>IF(AND($F108='Tournament Setup'!$A$31,$I108&lt;&gt;0),$I108,"")</f>
        <v/>
      </c>
      <c r="AO108" s="47" t="str">
        <f>IF(ISNUMBER(AN108),IF(COUNTIFS(AO$1:AO107,_xlfn.RANK.EQ(AN108,AN$2:AN$111,0))&gt;0,_xlfn.MAXIFS(AO$1:AO107,AN$1:AN107,AN108)+1,_xlfn.RANK.EQ(AN108,AN$2:AN$111,0)),"")</f>
        <v/>
      </c>
      <c r="AP108" s="1" t="str">
        <f>IF(ISNUMBER(AN108)=TRUE,IF(_xlfn.RANK.EQ(AN108,$AN$2:$AN$111)&lt;='Tournament Setup'!$B$46,_xlfn.RANK.EQ(AN108,$AN$2:$AN$111),""),"")</f>
        <v/>
      </c>
      <c r="AQ108" s="30" t="str">
        <f>IF(AND($F108='Tournament Setup'!$A$31,SUM($O108,$Q108,$S108)=0),$H108,"")</f>
        <v/>
      </c>
      <c r="AR108" s="47" t="str">
        <f>IF(ISNUMBER(AQ108),IF(COUNTIFS(AR$1:AR107,_xlfn.RANK.EQ(AQ108,AQ$2:AQ$111,0))&gt;0,_xlfn.MAXIFS(AR$1:AR107,AQ$1:AQ107,AQ108)+1,_xlfn.RANK.EQ(AQ108,AQ$2:AQ$111,0)),"")</f>
        <v/>
      </c>
      <c r="AS108" s="1" t="str">
        <f>IF(ISNUMBER(AQ108)=TRUE,IF(_xlfn.RANK.EQ(AQ108,$AQ$2:$AQ$111)&lt;='Tournament Setup'!$B$31,_xlfn.RANK.EQ(AQ108,$AQ$2:$AQ$111),""),"")</f>
        <v/>
      </c>
      <c r="AT108" s="31" t="str">
        <f>IF(AND($F108='Tournament Setup'!$A$31,SUM($O108,$Q108)=0,$E108="M",$AS108&gt;'Tournament Setup'!$B$31),$H108,"")</f>
        <v/>
      </c>
      <c r="AU108" s="1" t="str">
        <f>IF(ISNUMBER(AT108)=TRUE,IF(_xlfn.RANK.EQ(AT108,$AT$2:$AT$111)&lt;='Tournament Setup'!$C$31,_xlfn.RANK.EQ(AT108,$AT$2:$AT$111),""),"")</f>
        <v/>
      </c>
      <c r="AV108" s="31" t="str">
        <f>IF(AND($F108='Tournament Setup'!$A$31,SUM($O108,$S108)=0,$E108="F",$AS108&gt;'Tournament Setup'!$B$31),$H108,"")</f>
        <v/>
      </c>
      <c r="AW108" s="12" t="str">
        <f>IF(ISNUMBER(AV108)=TRUE,IF(_xlfn.RANK.EQ(AV108,$AV$2:$AV$111)&lt;='Tournament Setup'!$D$31,_xlfn.RANK.EQ(AV108,$AV$2:$AV$111),""),"")</f>
        <v/>
      </c>
      <c r="AX108" s="30" t="str">
        <f>IF(AND($F108='Tournament Setup'!$A$32,$I108&lt;&gt;0),$I108,"")</f>
        <v/>
      </c>
      <c r="AY108" s="47" t="str">
        <f>IF(ISNUMBER(AX108),IF(COUNTIFS(AY$1:AY107,_xlfn.RANK.EQ(AX108,AX$2:AX$111,0))&gt;0,_xlfn.MAXIFS(AY$1:AY107,AX$1:AX107,AX108)+1,_xlfn.RANK.EQ(AX108,AX$2:AX$111,0)),"")</f>
        <v/>
      </c>
      <c r="AZ108" s="1" t="str">
        <f>IF(ISNUMBER(AX108)=TRUE,IF(_xlfn.RANK.EQ(AX108,$AX$2:$AX$111)&lt;='Tournament Setup'!$B$46,_xlfn.RANK.EQ(AX108,$AX$2:$AX$111),""),"")</f>
        <v/>
      </c>
      <c r="BA108" s="30" t="str">
        <f>IF(AND($F108='Tournament Setup'!$A$32,SUM($O108,$Q108,$S108)=0),$H108,"")</f>
        <v/>
      </c>
      <c r="BB108" s="47" t="str">
        <f>IF(ISNUMBER(BA108),IF(COUNTIFS(BB$1:BB107,_xlfn.RANK.EQ(BA108,BA$2:BA$111,0))&gt;0,_xlfn.MAXIFS(BB$1:BB107,BA$1:BA107,BA108)+1,_xlfn.RANK.EQ(BA108,BA$2:BA$111,0)),"")</f>
        <v/>
      </c>
      <c r="BC108" s="1" t="str">
        <f>IF(ISNUMBER(BA108)=TRUE,IF(_xlfn.RANK.EQ(BA108,$BA$2:$BA$111)&lt;='Tournament Setup'!$B$32,_xlfn.RANK.EQ(BA108,$BA$2:$BA$111),""),"")</f>
        <v/>
      </c>
      <c r="BD108" s="31" t="str">
        <f>IF(AND($F108='Tournament Setup'!$A$32,SUM($O108,$Q108)=0,$E108="M",$BC108&gt;'Tournament Setup'!$B$32),$H108,"")</f>
        <v/>
      </c>
      <c r="BE108" s="1" t="str">
        <f>IF(ISNUMBER(BD108)=TRUE,IF(_xlfn.RANK.EQ(BD108,$BD$2:$BD$111)&lt;='Tournament Setup'!$C$32,_xlfn.RANK.EQ(BD108,$BD$2:$BD$111),""),"")</f>
        <v/>
      </c>
      <c r="BF108" s="31" t="str">
        <f>IF(AND($F108='Tournament Setup'!$A$32,SUM($O108,$S108)=0,$E108="F",$BC108&gt;'Tournament Setup'!$B$32),$H108,"")</f>
        <v/>
      </c>
      <c r="BG108" s="12" t="str">
        <f>IF(ISNUMBER(BF108)=TRUE,IF(_xlfn.RANK.EQ(BF108,$BF$2:$BF$111)&lt;='Tournament Setup'!$D$32,_xlfn.RANK.EQ(BF108,$BF$2:$BF$111),""),"")</f>
        <v/>
      </c>
      <c r="BH108" s="30" t="str">
        <f>IF(AND($F108='Tournament Setup'!$A$33,$I108&lt;&gt;0),$I108,"")</f>
        <v/>
      </c>
      <c r="BI108" s="47" t="str">
        <f>IF(ISNUMBER(BH108),IF(COUNTIFS(BI$1:BI107,_xlfn.RANK.EQ(BH108,BH$2:BH$111,0))&gt;0,_xlfn.MAXIFS(BI$1:BI107,BH$1:BH107,BH108)+1,_xlfn.RANK.EQ(BH108,BH$2:BH$111,0)),"")</f>
        <v/>
      </c>
      <c r="BJ108" s="1" t="str">
        <f>IF(ISNUMBER(BH108)=TRUE,IF(_xlfn.RANK.EQ(BH108,$BH$2:$BH$111)&lt;='Tournament Setup'!$B$46,_xlfn.RANK.EQ(BH108,$BH$2:$BH$111),""),"")</f>
        <v/>
      </c>
      <c r="BK108" s="30" t="str">
        <f>IF(AND($F108='Tournament Setup'!$A$33,SUM($O108,$Q108,$S108)=0),$H108,"")</f>
        <v/>
      </c>
      <c r="BL108" s="47" t="str">
        <f>IF(ISNUMBER(BK108),IF(COUNTIFS(BL$1:BL107,_xlfn.RANK.EQ(BK108,BK$2:BK$111,0))&gt;0,_xlfn.MAXIFS(BL$1:BL107,BK$1:BK107,BK108)+1,_xlfn.RANK.EQ(BK108,BK$2:BK$111,0)),"")</f>
        <v/>
      </c>
      <c r="BM108" s="1" t="str">
        <f>IF(ISNUMBER(BK108)=TRUE,IF(_xlfn.RANK.EQ(BK108,$BK$2:$BK$111)&lt;='Tournament Setup'!$B$33,_xlfn.RANK.EQ(BK108,$BK$2:$BK$111),""),"")</f>
        <v/>
      </c>
      <c r="BN108" s="31" t="str">
        <f>IF(AND($F108='Tournament Setup'!$A$33,SUM($O108,$Q108)=0,$E108="M",$BM108&gt;'Tournament Setup'!$B$33),$H108,"")</f>
        <v/>
      </c>
      <c r="BO108" s="1" t="str">
        <f>IF(ISNUMBER(BN108)=TRUE,IF(_xlfn.RANK.EQ(BN108,$BN$2:$BN$111)&lt;='Tournament Setup'!$C$33,_xlfn.RANK.EQ(BN108,$BN$2:$BN$111),""),"")</f>
        <v/>
      </c>
      <c r="BP108" s="31" t="str">
        <f>IF(AND($F108='Tournament Setup'!$A$33,SUM($O108,$S108)=0,$E108="F",$BM108&gt;'Tournament Setup'!$B$33),$H108,"")</f>
        <v/>
      </c>
      <c r="BQ108" s="12" t="str">
        <f>IF(ISNUMBER(BP108)=TRUE,IF(_xlfn.RANK.EQ(BP108,$BP$2:$BP$111)&lt;='Tournament Setup'!$D$33,_xlfn.RANK.EQ(BP108,$BP$2:$BP$111),""),"")</f>
        <v/>
      </c>
      <c r="BR108" s="30" t="str">
        <f>IF($G108='Tournament Setup'!$A$38,$H108,"")</f>
        <v/>
      </c>
      <c r="BS108" s="47" t="str">
        <f>IF(ISNUMBER(BR108),IF(COUNTIFS(BS$1:BS107,_xlfn.RANK.EQ(BR108,BR$2:BR$111,0))&gt;0,_xlfn.MAXIFS(BS$1:BS107,BR$1:BR107,BR108)+1,_xlfn.RANK.EQ(BR108,BR$2:BR$111,0)),"")</f>
        <v/>
      </c>
      <c r="BT108" s="1" t="str">
        <f>IF(ISNUMBER(BR108)=TRUE,IF(_xlfn.RANK.EQ(BR108,$BR$2:$BR$111)&lt;='Tournament Setup'!$B$38,_xlfn.RANK.EQ(BR108,$BR$2:$BR$111),""),"")</f>
        <v/>
      </c>
      <c r="BU108" s="31" t="str">
        <f>IF(AND($G108='Tournament Setup'!$A$38,$E108="M",$BT108&gt;'Tournament Setup'!$B$38),$H108,"")</f>
        <v/>
      </c>
      <c r="BV108" s="1" t="str">
        <f>IF(ISNUMBER(BU108)=TRUE,IF(_xlfn.RANK.EQ(BU108,$BU$2:$BU$111)&lt;='Tournament Setup'!$C$38,_xlfn.RANK.EQ(BU108,$BU$2:$BU$111),""),"")</f>
        <v/>
      </c>
      <c r="BW108" s="31" t="str">
        <f>IF(AND($G108='Tournament Setup'!$A$38,$E108="F",$BT108&gt;'Tournament Setup'!$B$38),$H108,"")</f>
        <v/>
      </c>
      <c r="BX108" s="12" t="str">
        <f>IF(ISNUMBER(BW108)=TRUE,IF(_xlfn.RANK.EQ(BW108,$BW$2:$BW$111)&lt;='Tournament Setup'!$D$38,_xlfn.RANK.EQ(BW108,$BW$2:$BW$111),""),"")</f>
        <v/>
      </c>
      <c r="BY108" s="30" t="str">
        <f>IF($G108='Tournament Setup'!$A$39,$H108,"")</f>
        <v/>
      </c>
      <c r="BZ108" s="47" t="str">
        <f>IF(ISNUMBER(BY108),IF(COUNTIFS(BZ$1:BZ107,_xlfn.RANK.EQ(BY108,BY$2:BY$111,0))&gt;0,_xlfn.MAXIFS(BZ$1:BZ107,BY$1:BY107,BY108)+1,_xlfn.RANK.EQ(BY108,BY$2:BY$111,0)),"")</f>
        <v/>
      </c>
      <c r="CA108" s="1" t="str">
        <f>IF(ISNUMBER(BY108)=TRUE,IF(_xlfn.RANK.EQ(BY108,$BY$2:$BY$111)&lt;='Tournament Setup'!$B$39,_xlfn.RANK.EQ(BY108,$BY$2:$BY$111),""),"")</f>
        <v/>
      </c>
      <c r="CB108" s="31" t="str">
        <f>IF(AND($G108='Tournament Setup'!$A$39,$E108="M",$CA108&gt;'Tournament Setup'!$B$39),$H108,"")</f>
        <v/>
      </c>
      <c r="CC108" s="1" t="str">
        <f>IF(ISNUMBER(CB108)=TRUE,IF(_xlfn.RANK.EQ(CB108,$CB$2:$CB$111)&lt;='Tournament Setup'!$C$39,_xlfn.RANK.EQ(CB108,$CB$2:$CB$111),""),"")</f>
        <v/>
      </c>
      <c r="CD108" s="31" t="str">
        <f>IF(AND($G108='Tournament Setup'!$A$39,$E108="F",$CA108&gt;'Tournament Setup'!$B$39),$H108,"")</f>
        <v/>
      </c>
      <c r="CE108" s="12" t="str">
        <f>IF(ISNUMBER(CD108)=TRUE,IF(_xlfn.RANK.EQ(CD108,$CD$2:$CD$111)&lt;='Tournament Setup'!$D$39,_xlfn.RANK.EQ(CD108,$CD$2:$CD$111),""),"")</f>
        <v/>
      </c>
      <c r="CF108" s="30" t="str">
        <f>IF($G108='Tournament Setup'!$A$40,$H108,"")</f>
        <v/>
      </c>
      <c r="CG108" s="47" t="str">
        <f>IF(ISNUMBER(CF108),IF(COUNTIFS(CG$1:CG107,_xlfn.RANK.EQ(CF108,CF$2:CF$111,0))&gt;0,_xlfn.MAXIFS(CG$1:CG107,CF$1:CF107,CF108)+1,_xlfn.RANK.EQ(CF108,CF$2:CF$111,0)),"")</f>
        <v/>
      </c>
      <c r="CH108" s="1" t="str">
        <f>IF(ISNUMBER(CF108)=TRUE,IF(_xlfn.RANK.EQ(CF108,$CF$2:$CF$111)&lt;='Tournament Setup'!$B$40,_xlfn.RANK.EQ(CF108,$CF$2:$CF$111),""),"")</f>
        <v/>
      </c>
      <c r="CI108" s="31" t="str">
        <f>IF(AND($G108='Tournament Setup'!$A$40,$E108="M",$CH108&gt;'Tournament Setup'!$B$40),$H108,"")</f>
        <v/>
      </c>
      <c r="CJ108" s="1" t="str">
        <f>IF(ISNUMBER(CI108)=TRUE,IF(_xlfn.RANK.EQ(CI108,$CI$2:$CI$111)&lt;='Tournament Setup'!$C$40,_xlfn.RANK.EQ(CI108,$CI$2:$CI$111),""),"")</f>
        <v/>
      </c>
      <c r="CK108" s="31" t="str">
        <f>IF(AND($G108='Tournament Setup'!$A$40,$E108="F",$CH108&gt;'Tournament Setup'!$B$40),$H108,"")</f>
        <v/>
      </c>
      <c r="CL108" s="12" t="str">
        <f>IF(ISNUMBER(CK108)=TRUE,IF(_xlfn.RANK.EQ(CK108,$CK$2:$CK$111)&lt;='Tournament Setup'!$D$40,_xlfn.RANK.EQ(CK108,$CK$2:$CK$111),""),"")</f>
        <v/>
      </c>
      <c r="CM108" s="30" t="str">
        <f>IF($G108='Tournament Setup'!$A$41,$H108,"")</f>
        <v/>
      </c>
      <c r="CN108" s="47" t="str">
        <f>IF(ISNUMBER(CM108),IF(COUNTIFS(CN$1:CN107,_xlfn.RANK.EQ(CM108,CM$2:CM$111,0))&gt;0,_xlfn.MAXIFS(CN$1:CN107,CM$1:CM107,CM108)+1,_xlfn.RANK.EQ(CM108,CM$2:CM$111,0)),"")</f>
        <v/>
      </c>
      <c r="CO108" s="1" t="str">
        <f>IF(ISNUMBER(CM108)=TRUE,IF(_xlfn.RANK.EQ(CM108,$CM$2:$CM$111)&lt;='Tournament Setup'!$B$41,_xlfn.RANK.EQ(CM108,$CM$2:$CM$111),""),"")</f>
        <v/>
      </c>
      <c r="CP108" s="31" t="str">
        <f>IF(AND($G108='Tournament Setup'!$A$41,$E108="M",$CO108&gt;'Tournament Setup'!$B$41),$H108,"")</f>
        <v/>
      </c>
      <c r="CQ108" s="1" t="str">
        <f>IF(ISNUMBER(CP108)=TRUE,IF(_xlfn.RANK.EQ(CP108,$CP$2:$CP$111)&lt;='Tournament Setup'!$C$41,_xlfn.RANK.EQ(CP108,$CP$2:$CP$111),""),"")</f>
        <v/>
      </c>
      <c r="CR108" s="31" t="str">
        <f>IF(AND($G108='Tournament Setup'!$A$41,$E108="F",$CO108&gt;'Tournament Setup'!$B$41),$H108,"")</f>
        <v/>
      </c>
      <c r="CS108" s="12" t="str">
        <f>IF(ISNUMBER(CR108)=TRUE,IF(_xlfn.RANK.EQ(CR108,$CR$2:$CR$111)&lt;='Tournament Setup'!$D$41,_xlfn.RANK.EQ(CR108,$CR$2:$CR$111),""),"")</f>
        <v/>
      </c>
    </row>
    <row r="109" spans="2:97" x14ac:dyDescent="0.3">
      <c r="B109" t="str">
        <f>IFERROR(INDEX('Tournament List'!$B:$B,MATCH($A109,'Tournament List'!$A:$A,0)),"")</f>
        <v/>
      </c>
      <c r="C109" t="str">
        <f>IFERROR(INDEX('Tournament List'!$C:$C,MATCH($A109,'Tournament List'!$A:$A,0)),"")</f>
        <v/>
      </c>
      <c r="D109" t="str">
        <f t="shared" si="5"/>
        <v xml:space="preserve"> </v>
      </c>
      <c r="E109" s="1" t="str">
        <f>IFERROR(INDEX('Tournament List'!F:F,MATCH($A109,'Tournament List'!$A:$A,0)),"")</f>
        <v/>
      </c>
      <c r="F109" t="str">
        <f>IFERROR(INDEX('Tournament List'!M:M,MATCH($A109,'Tournament List'!$A:$A,0)),"")</f>
        <v/>
      </c>
      <c r="G109" s="1" t="str">
        <f>IFERROR(INDEX('Tournament List'!W:W,MATCH($A109,'Tournament List'!$A:$A,0)),"")</f>
        <v/>
      </c>
      <c r="H109" s="129" t="str">
        <f>IFERROR(INDEX('Tournament List'!Z:Z,MATCH($A109,'Tournament List'!$A:$A,0)),"")</f>
        <v/>
      </c>
      <c r="I109" s="152" t="str">
        <f>IFERROR(INDEX('Tournament List'!T:T,MATCH($A109,'Tournament List'!$A:$A,0)),"")</f>
        <v/>
      </c>
      <c r="J109" s="56" t="str">
        <f>IF(ISNUMBER(I109),IF(COUNTIFS(J$1:J108,_xlfn.RANK.EQ(I109,I$2:I$111,0))&gt;0,_xlfn.MAXIFS(J$1:J108,I$1:I108,I109)+1,_xlfn.RANK.EQ(I109,I$2:I$111,0)),"")</f>
        <v/>
      </c>
      <c r="K109" s="11" t="str">
        <f t="shared" si="6"/>
        <v/>
      </c>
      <c r="L109" s="56" t="str">
        <f>IF(ISNUMBER(H109),IF(COUNTIFS(L$1:L108,_xlfn.RANK.EQ(H109,H$2:H$111,0))&gt;0,_xlfn.MAXIFS(L$1:L108,H$1:H108,H109)+1,_xlfn.RANK.EQ(H109,H$2:H$111,0)),"")</f>
        <v/>
      </c>
      <c r="M109" s="151" t="str">
        <f t="shared" si="7"/>
        <v/>
      </c>
      <c r="N109" s="47" t="str">
        <f>IF(ISNUMBER(M109),IF(COUNTIFS(N$1:N108,_xlfn.RANK.EQ(M109,M$2:M$111,0))&gt;0,_xlfn.MAXIFS(N$1:N108,M$1:M108,M109)+1,_xlfn.RANK.EQ(M109,M$2:M$111,0)),"")</f>
        <v/>
      </c>
      <c r="O109" s="1" t="str">
        <f>IF(ISNUMBER(M109)=TRUE,IF(_xlfn.RANK.EQ(M109,$M$2:$M$111)&lt;='Tournament Setup'!$B$23,_xlfn.RANK.EQ(M109,$M$2:$M$111),""),"")</f>
        <v/>
      </c>
      <c r="P109" s="150" t="str">
        <f t="shared" si="8"/>
        <v/>
      </c>
      <c r="Q109" s="1" t="str">
        <f>IF(ISNUMBER(P109)=TRUE,IF(_xlfn.RANK.EQ(P109,$P$2:$P$111)&lt;='Tournament Setup'!$B$24,_xlfn.RANK.EQ(P109,$P$2:$P$111),""),"")</f>
        <v/>
      </c>
      <c r="R109" s="150" t="str">
        <f t="shared" si="9"/>
        <v/>
      </c>
      <c r="S109" s="12" t="str">
        <f>IF(ISNUMBER(R109)=TRUE,IF(_xlfn.RANK.EQ(R109,$R$2:$R$111)&lt;='Tournament Setup'!$B$25,_xlfn.RANK.EQ(R109,$R$2:$R$111),""),"")</f>
        <v/>
      </c>
      <c r="T109" s="152" t="str">
        <f>IF(AND($F109='Tournament Setup'!$A$29,$I109&lt;&gt;0),$I109,"")</f>
        <v/>
      </c>
      <c r="U109" s="47" t="str">
        <f>IF(ISNUMBER(T109),IF(COUNTIFS(U$1:U108,_xlfn.RANK.EQ(T109,T$2:T$111,0))&gt;0,_xlfn.MAXIFS(U$1:U108,T$1:T108,T109)+1,_xlfn.RANK.EQ(T109,T$2:T$111,0)),"")</f>
        <v/>
      </c>
      <c r="V109" s="1" t="str">
        <f>IF(ISNUMBER(T109)=TRUE,IF(_xlfn.RANK.EQ(T109,$T$3:$T$112)&lt;='Tournament Setup'!$B$46,_xlfn.RANK.EQ(T109,$T$2:$T$111),""),"")</f>
        <v/>
      </c>
      <c r="W109" s="30" t="str">
        <f>IF(AND($F109='Tournament Setup'!$A$29,SUM($O109,$Q109,$S109)=0),$H109,"")</f>
        <v/>
      </c>
      <c r="X109" s="47" t="str">
        <f>IF(ISNUMBER(W109),IF(COUNTIFS(X$1:X108,_xlfn.RANK.EQ(W109,W$2:W$111,0))&gt;0,_xlfn.MAXIFS(X$1:X108,W$1:W108,W109)+1,_xlfn.RANK.EQ(W109,W$2:W$111,0)),"")</f>
        <v/>
      </c>
      <c r="Y109" s="1" t="str">
        <f>IF(ISNUMBER(W109)=TRUE,IF(_xlfn.RANK.EQ(W109,$W$2:$W$111)&lt;='Tournament Setup'!$B$29,_xlfn.RANK.EQ(W109,$W$2:$W$111),""),"")</f>
        <v/>
      </c>
      <c r="Z109" s="31" t="str">
        <f>IF(AND($F109='Tournament Setup'!$A$29,SUM($O109,$Q109)=0,$E109="M",$Y109&gt;'Tournament Setup'!$B$29),$H109,"")</f>
        <v/>
      </c>
      <c r="AA109" s="1" t="str">
        <f>IF(ISNUMBER(Z109)=TRUE,IF(_xlfn.RANK.EQ(Z109,$Z$2:$Z$111)&lt;='Tournament Setup'!$C$29,_xlfn.RANK.EQ(Z109,$Z$2:$Z$111),""),"")</f>
        <v/>
      </c>
      <c r="AB109" s="31" t="str">
        <f>IF(AND($F109='Tournament Setup'!$A$29,SUM($O109,$S109)=0,$E109="F",$Y109&gt;'Tournament Setup'!$B$29),$H109,"")</f>
        <v/>
      </c>
      <c r="AC109" s="12" t="str">
        <f>IF(ISNUMBER(AB109)=TRUE,IF(_xlfn.RANK.EQ(AB109,$AB$2:$AB$111)&lt;='Tournament Setup'!$D$29,_xlfn.RANK.EQ(AB109,$AB$2:$AB$111),""),"")</f>
        <v/>
      </c>
      <c r="AD109" s="30" t="str">
        <f>IF(AND($F109='Tournament Setup'!$A$30,$I109&lt;&gt;0),$I109,"")</f>
        <v/>
      </c>
      <c r="AE109" s="47" t="str">
        <f>IF(ISNUMBER(AD109),IF(COUNTIFS(AE$1:AE108,_xlfn.RANK.EQ(AD109,AD$2:AD$111,0))&gt;0,_xlfn.MAXIFS(AE$1:AE108,AD$1:AD108,AD109)+1,_xlfn.RANK.EQ(AD109,AD$2:AD$111,0)),"")</f>
        <v/>
      </c>
      <c r="AF109" s="1" t="str">
        <f>IF(ISNUMBER(AD109)=TRUE,IF(_xlfn.RANK.EQ(AD109,$AD$2:$AD$111)&lt;='Tournament Setup'!$B$46,_xlfn.RANK.EQ(AD109,$AD$2:$AD$111),""),"")</f>
        <v/>
      </c>
      <c r="AG109" s="30" t="str">
        <f>IF(AND($F109='Tournament Setup'!$A$30,SUM($O109,$Q109,$S109)=0),$H109,"")</f>
        <v/>
      </c>
      <c r="AH109" s="47" t="str">
        <f>IF(ISNUMBER(AG109),IF(COUNTIFS(AH$1:AH108,_xlfn.RANK.EQ(AG109,AG$2:AG$111,0))&gt;0,_xlfn.MAXIFS(AH$1:AH108,AG$1:AG108,AG109)+1,_xlfn.RANK.EQ(AG109,AG$2:AG$111,0)),"")</f>
        <v/>
      </c>
      <c r="AI109" s="1" t="str">
        <f>IF(ISNUMBER(AG109)=TRUE,IF(_xlfn.RANK.EQ(AG109,$AG$2:$AG$111)&lt;='Tournament Setup'!$B$30,_xlfn.RANK.EQ(AG109,$AG$2:$AG$111),""),"")</f>
        <v/>
      </c>
      <c r="AJ109" s="31" t="str">
        <f>IF(AND($F109='Tournament Setup'!$A$30,SUM($O109,$Q109)=0,$E109="M",$AI109&gt;'Tournament Setup'!$B$30),$H109,"")</f>
        <v/>
      </c>
      <c r="AK109" s="1" t="str">
        <f>IF(ISNUMBER(AJ109)=TRUE,IF(_xlfn.RANK.EQ(AJ109,$AJ$2:$AJ$111)&lt;='Tournament Setup'!$C$30,_xlfn.RANK.EQ(AJ109,$AJ$2:$AJ$111),""),"")</f>
        <v/>
      </c>
      <c r="AL109" s="31" t="str">
        <f>IF(AND($F109='Tournament Setup'!$A$30,SUM($O109,$S109)=0,$E109="F",$AI109&gt;'Tournament Setup'!$B$30),$H109,"")</f>
        <v/>
      </c>
      <c r="AM109" s="12" t="str">
        <f>IF(ISNUMBER(AL109)=TRUE,IF(_xlfn.RANK.EQ(AL109,$AL$2:$AL$111)&lt;='Tournament Setup'!$D$30,_xlfn.RANK.EQ(AL109,$AL$2:$AL$111),""),"")</f>
        <v/>
      </c>
      <c r="AN109" s="30" t="str">
        <f>IF(AND($F109='Tournament Setup'!$A$31,$I109&lt;&gt;0),$I109,"")</f>
        <v/>
      </c>
      <c r="AO109" s="47" t="str">
        <f>IF(ISNUMBER(AN109),IF(COUNTIFS(AO$1:AO108,_xlfn.RANK.EQ(AN109,AN$2:AN$111,0))&gt;0,_xlfn.MAXIFS(AO$1:AO108,AN$1:AN108,AN109)+1,_xlfn.RANK.EQ(AN109,AN$2:AN$111,0)),"")</f>
        <v/>
      </c>
      <c r="AP109" s="1" t="str">
        <f>IF(ISNUMBER(AN109)=TRUE,IF(_xlfn.RANK.EQ(AN109,$AN$2:$AN$111)&lt;='Tournament Setup'!$B$46,_xlfn.RANK.EQ(AN109,$AN$2:$AN$111),""),"")</f>
        <v/>
      </c>
      <c r="AQ109" s="30" t="str">
        <f>IF(AND($F109='Tournament Setup'!$A$31,SUM($O109,$Q109,$S109)=0),$H109,"")</f>
        <v/>
      </c>
      <c r="AR109" s="47" t="str">
        <f>IF(ISNUMBER(AQ109),IF(COUNTIFS(AR$1:AR108,_xlfn.RANK.EQ(AQ109,AQ$2:AQ$111,0))&gt;0,_xlfn.MAXIFS(AR$1:AR108,AQ$1:AQ108,AQ109)+1,_xlfn.RANK.EQ(AQ109,AQ$2:AQ$111,0)),"")</f>
        <v/>
      </c>
      <c r="AS109" s="1" t="str">
        <f>IF(ISNUMBER(AQ109)=TRUE,IF(_xlfn.RANK.EQ(AQ109,$AQ$2:$AQ$111)&lt;='Tournament Setup'!$B$31,_xlfn.RANK.EQ(AQ109,$AQ$2:$AQ$111),""),"")</f>
        <v/>
      </c>
      <c r="AT109" s="31" t="str">
        <f>IF(AND($F109='Tournament Setup'!$A$31,SUM($O109,$Q109)=0,$E109="M",$AS109&gt;'Tournament Setup'!$B$31),$H109,"")</f>
        <v/>
      </c>
      <c r="AU109" s="1" t="str">
        <f>IF(ISNUMBER(AT109)=TRUE,IF(_xlfn.RANK.EQ(AT109,$AT$2:$AT$111)&lt;='Tournament Setup'!$C$31,_xlfn.RANK.EQ(AT109,$AT$2:$AT$111),""),"")</f>
        <v/>
      </c>
      <c r="AV109" s="31" t="str">
        <f>IF(AND($F109='Tournament Setup'!$A$31,SUM($O109,$S109)=0,$E109="F",$AS109&gt;'Tournament Setup'!$B$31),$H109,"")</f>
        <v/>
      </c>
      <c r="AW109" s="12" t="str">
        <f>IF(ISNUMBER(AV109)=TRUE,IF(_xlfn.RANK.EQ(AV109,$AV$2:$AV$111)&lt;='Tournament Setup'!$D$31,_xlfn.RANK.EQ(AV109,$AV$2:$AV$111),""),"")</f>
        <v/>
      </c>
      <c r="AX109" s="30" t="str">
        <f>IF(AND($F109='Tournament Setup'!$A$32,$I109&lt;&gt;0),$I109,"")</f>
        <v/>
      </c>
      <c r="AY109" s="47" t="str">
        <f>IF(ISNUMBER(AX109),IF(COUNTIFS(AY$1:AY108,_xlfn.RANK.EQ(AX109,AX$2:AX$111,0))&gt;0,_xlfn.MAXIFS(AY$1:AY108,AX$1:AX108,AX109)+1,_xlfn.RANK.EQ(AX109,AX$2:AX$111,0)),"")</f>
        <v/>
      </c>
      <c r="AZ109" s="1" t="str">
        <f>IF(ISNUMBER(AX109)=TRUE,IF(_xlfn.RANK.EQ(AX109,$AX$2:$AX$111)&lt;='Tournament Setup'!$B$46,_xlfn.RANK.EQ(AX109,$AX$2:$AX$111),""),"")</f>
        <v/>
      </c>
      <c r="BA109" s="30" t="str">
        <f>IF(AND($F109='Tournament Setup'!$A$32,SUM($O109,$Q109,$S109)=0),$H109,"")</f>
        <v/>
      </c>
      <c r="BB109" s="47" t="str">
        <f>IF(ISNUMBER(BA109),IF(COUNTIFS(BB$1:BB108,_xlfn.RANK.EQ(BA109,BA$2:BA$111,0))&gt;0,_xlfn.MAXIFS(BB$1:BB108,BA$1:BA108,BA109)+1,_xlfn.RANK.EQ(BA109,BA$2:BA$111,0)),"")</f>
        <v/>
      </c>
      <c r="BC109" s="1" t="str">
        <f>IF(ISNUMBER(BA109)=TRUE,IF(_xlfn.RANK.EQ(BA109,$BA$2:$BA$111)&lt;='Tournament Setup'!$B$32,_xlfn.RANK.EQ(BA109,$BA$2:$BA$111),""),"")</f>
        <v/>
      </c>
      <c r="BD109" s="31" t="str">
        <f>IF(AND($F109='Tournament Setup'!$A$32,SUM($O109,$Q109)=0,$E109="M",$BC109&gt;'Tournament Setup'!$B$32),$H109,"")</f>
        <v/>
      </c>
      <c r="BE109" s="1" t="str">
        <f>IF(ISNUMBER(BD109)=TRUE,IF(_xlfn.RANK.EQ(BD109,$BD$2:$BD$111)&lt;='Tournament Setup'!$C$32,_xlfn.RANK.EQ(BD109,$BD$2:$BD$111),""),"")</f>
        <v/>
      </c>
      <c r="BF109" s="31" t="str">
        <f>IF(AND($F109='Tournament Setup'!$A$32,SUM($O109,$S109)=0,$E109="F",$BC109&gt;'Tournament Setup'!$B$32),$H109,"")</f>
        <v/>
      </c>
      <c r="BG109" s="12" t="str">
        <f>IF(ISNUMBER(BF109)=TRUE,IF(_xlfn.RANK.EQ(BF109,$BF$2:$BF$111)&lt;='Tournament Setup'!$D$32,_xlfn.RANK.EQ(BF109,$BF$2:$BF$111),""),"")</f>
        <v/>
      </c>
      <c r="BH109" s="30" t="str">
        <f>IF(AND($F109='Tournament Setup'!$A$33,$I109&lt;&gt;0),$I109,"")</f>
        <v/>
      </c>
      <c r="BI109" s="47" t="str">
        <f>IF(ISNUMBER(BH109),IF(COUNTIFS(BI$1:BI108,_xlfn.RANK.EQ(BH109,BH$2:BH$111,0))&gt;0,_xlfn.MAXIFS(BI$1:BI108,BH$1:BH108,BH109)+1,_xlfn.RANK.EQ(BH109,BH$2:BH$111,0)),"")</f>
        <v/>
      </c>
      <c r="BJ109" s="1" t="str">
        <f>IF(ISNUMBER(BH109)=TRUE,IF(_xlfn.RANK.EQ(BH109,$BH$2:$BH$111)&lt;='Tournament Setup'!$B$46,_xlfn.RANK.EQ(BH109,$BH$2:$BH$111),""),"")</f>
        <v/>
      </c>
      <c r="BK109" s="30" t="str">
        <f>IF(AND($F109='Tournament Setup'!$A$33,SUM($O109,$Q109,$S109)=0),$H109,"")</f>
        <v/>
      </c>
      <c r="BL109" s="47" t="str">
        <f>IF(ISNUMBER(BK109),IF(COUNTIFS(BL$1:BL108,_xlfn.RANK.EQ(BK109,BK$2:BK$111,0))&gt;0,_xlfn.MAXIFS(BL$1:BL108,BK$1:BK108,BK109)+1,_xlfn.RANK.EQ(BK109,BK$2:BK$111,0)),"")</f>
        <v/>
      </c>
      <c r="BM109" s="1" t="str">
        <f>IF(ISNUMBER(BK109)=TRUE,IF(_xlfn.RANK.EQ(BK109,$BK$2:$BK$111)&lt;='Tournament Setup'!$B$33,_xlfn.RANK.EQ(BK109,$BK$2:$BK$111),""),"")</f>
        <v/>
      </c>
      <c r="BN109" s="31" t="str">
        <f>IF(AND($F109='Tournament Setup'!$A$33,SUM($O109,$Q109)=0,$E109="M",$BM109&gt;'Tournament Setup'!$B$33),$H109,"")</f>
        <v/>
      </c>
      <c r="BO109" s="1" t="str">
        <f>IF(ISNUMBER(BN109)=TRUE,IF(_xlfn.RANK.EQ(BN109,$BN$2:$BN$111)&lt;='Tournament Setup'!$C$33,_xlfn.RANK.EQ(BN109,$BN$2:$BN$111),""),"")</f>
        <v/>
      </c>
      <c r="BP109" s="31" t="str">
        <f>IF(AND($F109='Tournament Setup'!$A$33,SUM($O109,$S109)=0,$E109="F",$BM109&gt;'Tournament Setup'!$B$33),$H109,"")</f>
        <v/>
      </c>
      <c r="BQ109" s="12" t="str">
        <f>IF(ISNUMBER(BP109)=TRUE,IF(_xlfn.RANK.EQ(BP109,$BP$2:$BP$111)&lt;='Tournament Setup'!$D$33,_xlfn.RANK.EQ(BP109,$BP$2:$BP$111),""),"")</f>
        <v/>
      </c>
      <c r="BR109" s="30" t="str">
        <f>IF($G109='Tournament Setup'!$A$38,$H109,"")</f>
        <v/>
      </c>
      <c r="BS109" s="47" t="str">
        <f>IF(ISNUMBER(BR109),IF(COUNTIFS(BS$1:BS108,_xlfn.RANK.EQ(BR109,BR$2:BR$111,0))&gt;0,_xlfn.MAXIFS(BS$1:BS108,BR$1:BR108,BR109)+1,_xlfn.RANK.EQ(BR109,BR$2:BR$111,0)),"")</f>
        <v/>
      </c>
      <c r="BT109" s="1" t="str">
        <f>IF(ISNUMBER(BR109)=TRUE,IF(_xlfn.RANK.EQ(BR109,$BR$2:$BR$111)&lt;='Tournament Setup'!$B$38,_xlfn.RANK.EQ(BR109,$BR$2:$BR$111),""),"")</f>
        <v/>
      </c>
      <c r="BU109" s="31" t="str">
        <f>IF(AND($G109='Tournament Setup'!$A$38,$E109="M",$BT109&gt;'Tournament Setup'!$B$38),$H109,"")</f>
        <v/>
      </c>
      <c r="BV109" s="1" t="str">
        <f>IF(ISNUMBER(BU109)=TRUE,IF(_xlfn.RANK.EQ(BU109,$BU$2:$BU$111)&lt;='Tournament Setup'!$C$38,_xlfn.RANK.EQ(BU109,$BU$2:$BU$111),""),"")</f>
        <v/>
      </c>
      <c r="BW109" s="31" t="str">
        <f>IF(AND($G109='Tournament Setup'!$A$38,$E109="F",$BT109&gt;'Tournament Setup'!$B$38),$H109,"")</f>
        <v/>
      </c>
      <c r="BX109" s="12" t="str">
        <f>IF(ISNUMBER(BW109)=TRUE,IF(_xlfn.RANK.EQ(BW109,$BW$2:$BW$111)&lt;='Tournament Setup'!$D$38,_xlfn.RANK.EQ(BW109,$BW$2:$BW$111),""),"")</f>
        <v/>
      </c>
      <c r="BY109" s="30" t="str">
        <f>IF($G109='Tournament Setup'!$A$39,$H109,"")</f>
        <v/>
      </c>
      <c r="BZ109" s="47" t="str">
        <f>IF(ISNUMBER(BY109),IF(COUNTIFS(BZ$1:BZ108,_xlfn.RANK.EQ(BY109,BY$2:BY$111,0))&gt;0,_xlfn.MAXIFS(BZ$1:BZ108,BY$1:BY108,BY109)+1,_xlfn.RANK.EQ(BY109,BY$2:BY$111,0)),"")</f>
        <v/>
      </c>
      <c r="CA109" s="1" t="str">
        <f>IF(ISNUMBER(BY109)=TRUE,IF(_xlfn.RANK.EQ(BY109,$BY$2:$BY$111)&lt;='Tournament Setup'!$B$39,_xlfn.RANK.EQ(BY109,$BY$2:$BY$111),""),"")</f>
        <v/>
      </c>
      <c r="CB109" s="31" t="str">
        <f>IF(AND($G109='Tournament Setup'!$A$39,$E109="M",$CA109&gt;'Tournament Setup'!$B$39),$H109,"")</f>
        <v/>
      </c>
      <c r="CC109" s="1" t="str">
        <f>IF(ISNUMBER(CB109)=TRUE,IF(_xlfn.RANK.EQ(CB109,$CB$2:$CB$111)&lt;='Tournament Setup'!$C$39,_xlfn.RANK.EQ(CB109,$CB$2:$CB$111),""),"")</f>
        <v/>
      </c>
      <c r="CD109" s="31" t="str">
        <f>IF(AND($G109='Tournament Setup'!$A$39,$E109="F",$CA109&gt;'Tournament Setup'!$B$39),$H109,"")</f>
        <v/>
      </c>
      <c r="CE109" s="12" t="str">
        <f>IF(ISNUMBER(CD109)=TRUE,IF(_xlfn.RANK.EQ(CD109,$CD$2:$CD$111)&lt;='Tournament Setup'!$D$39,_xlfn.RANK.EQ(CD109,$CD$2:$CD$111),""),"")</f>
        <v/>
      </c>
      <c r="CF109" s="30" t="str">
        <f>IF($G109='Tournament Setup'!$A$40,$H109,"")</f>
        <v/>
      </c>
      <c r="CG109" s="47" t="str">
        <f>IF(ISNUMBER(CF109),IF(COUNTIFS(CG$1:CG108,_xlfn.RANK.EQ(CF109,CF$2:CF$111,0))&gt;0,_xlfn.MAXIFS(CG$1:CG108,CF$1:CF108,CF109)+1,_xlfn.RANK.EQ(CF109,CF$2:CF$111,0)),"")</f>
        <v/>
      </c>
      <c r="CH109" s="1" t="str">
        <f>IF(ISNUMBER(CF109)=TRUE,IF(_xlfn.RANK.EQ(CF109,$CF$2:$CF$111)&lt;='Tournament Setup'!$B$40,_xlfn.RANK.EQ(CF109,$CF$2:$CF$111),""),"")</f>
        <v/>
      </c>
      <c r="CI109" s="31" t="str">
        <f>IF(AND($G109='Tournament Setup'!$A$40,$E109="M",$CH109&gt;'Tournament Setup'!$B$40),$H109,"")</f>
        <v/>
      </c>
      <c r="CJ109" s="1" t="str">
        <f>IF(ISNUMBER(CI109)=TRUE,IF(_xlfn.RANK.EQ(CI109,$CI$2:$CI$111)&lt;='Tournament Setup'!$C$40,_xlfn.RANK.EQ(CI109,$CI$2:$CI$111),""),"")</f>
        <v/>
      </c>
      <c r="CK109" s="31" t="str">
        <f>IF(AND($G109='Tournament Setup'!$A$40,$E109="F",$CH109&gt;'Tournament Setup'!$B$40),$H109,"")</f>
        <v/>
      </c>
      <c r="CL109" s="12" t="str">
        <f>IF(ISNUMBER(CK109)=TRUE,IF(_xlfn.RANK.EQ(CK109,$CK$2:$CK$111)&lt;='Tournament Setup'!$D$40,_xlfn.RANK.EQ(CK109,$CK$2:$CK$111),""),"")</f>
        <v/>
      </c>
      <c r="CM109" s="30" t="str">
        <f>IF($G109='Tournament Setup'!$A$41,$H109,"")</f>
        <v/>
      </c>
      <c r="CN109" s="47" t="str">
        <f>IF(ISNUMBER(CM109),IF(COUNTIFS(CN$1:CN108,_xlfn.RANK.EQ(CM109,CM$2:CM$111,0))&gt;0,_xlfn.MAXIFS(CN$1:CN108,CM$1:CM108,CM109)+1,_xlfn.RANK.EQ(CM109,CM$2:CM$111,0)),"")</f>
        <v/>
      </c>
      <c r="CO109" s="1" t="str">
        <f>IF(ISNUMBER(CM109)=TRUE,IF(_xlfn.RANK.EQ(CM109,$CM$2:$CM$111)&lt;='Tournament Setup'!$B$41,_xlfn.RANK.EQ(CM109,$CM$2:$CM$111),""),"")</f>
        <v/>
      </c>
      <c r="CP109" s="31" t="str">
        <f>IF(AND($G109='Tournament Setup'!$A$41,$E109="M",$CO109&gt;'Tournament Setup'!$B$41),$H109,"")</f>
        <v/>
      </c>
      <c r="CQ109" s="1" t="str">
        <f>IF(ISNUMBER(CP109)=TRUE,IF(_xlfn.RANK.EQ(CP109,$CP$2:$CP$111)&lt;='Tournament Setup'!$C$41,_xlfn.RANK.EQ(CP109,$CP$2:$CP$111),""),"")</f>
        <v/>
      </c>
      <c r="CR109" s="31" t="str">
        <f>IF(AND($G109='Tournament Setup'!$A$41,$E109="F",$CO109&gt;'Tournament Setup'!$B$41),$H109,"")</f>
        <v/>
      </c>
      <c r="CS109" s="12" t="str">
        <f>IF(ISNUMBER(CR109)=TRUE,IF(_xlfn.RANK.EQ(CR109,$CR$2:$CR$111)&lt;='Tournament Setup'!$D$41,_xlfn.RANK.EQ(CR109,$CR$2:$CR$111),""),"")</f>
        <v/>
      </c>
    </row>
    <row r="110" spans="2:97" x14ac:dyDescent="0.3">
      <c r="B110" t="str">
        <f>IFERROR(INDEX('Tournament List'!$B:$B,MATCH($A110,'Tournament List'!$A:$A,0)),"")</f>
        <v/>
      </c>
      <c r="C110" t="str">
        <f>IFERROR(INDEX('Tournament List'!$C:$C,MATCH($A110,'Tournament List'!$A:$A,0)),"")</f>
        <v/>
      </c>
      <c r="D110" t="str">
        <f t="shared" si="5"/>
        <v xml:space="preserve"> </v>
      </c>
      <c r="E110" s="1" t="str">
        <f>IFERROR(INDEX('Tournament List'!F:F,MATCH($A110,'Tournament List'!$A:$A,0)),"")</f>
        <v/>
      </c>
      <c r="F110" t="str">
        <f>IFERROR(INDEX('Tournament List'!M:M,MATCH($A110,'Tournament List'!$A:$A,0)),"")</f>
        <v/>
      </c>
      <c r="G110" s="1" t="str">
        <f>IFERROR(INDEX('Tournament List'!W:W,MATCH($A110,'Tournament List'!$A:$A,0)),"")</f>
        <v/>
      </c>
      <c r="H110" s="129" t="str">
        <f>IFERROR(INDEX('Tournament List'!Z:Z,MATCH($A110,'Tournament List'!$A:$A,0)),"")</f>
        <v/>
      </c>
      <c r="I110" s="152" t="str">
        <f>IFERROR(INDEX('Tournament List'!T:T,MATCH($A110,'Tournament List'!$A:$A,0)),"")</f>
        <v/>
      </c>
      <c r="J110" s="56" t="str">
        <f>IF(ISNUMBER(I110),IF(COUNTIFS(J$1:J109,_xlfn.RANK.EQ(I110,I$2:I$111,0))&gt;0,_xlfn.MAXIFS(J$1:J109,I$1:I109,I110)+1,_xlfn.RANK.EQ(I110,I$2:I$111,0)),"")</f>
        <v/>
      </c>
      <c r="K110" s="11" t="str">
        <f t="shared" si="6"/>
        <v/>
      </c>
      <c r="L110" s="56" t="str">
        <f>IF(ISNUMBER(H110),IF(COUNTIFS(L$1:L109,_xlfn.RANK.EQ(H110,H$2:H$111,0))&gt;0,_xlfn.MAXIFS(L$1:L109,H$1:H109,H110)+1,_xlfn.RANK.EQ(H110,H$2:H$111,0)),"")</f>
        <v/>
      </c>
      <c r="M110" s="151" t="str">
        <f t="shared" si="7"/>
        <v/>
      </c>
      <c r="N110" s="47" t="str">
        <f>IF(ISNUMBER(M110),IF(COUNTIFS(N$1:N109,_xlfn.RANK.EQ(M110,M$2:M$111,0))&gt;0,_xlfn.MAXIFS(N$1:N109,M$1:M109,M110)+1,_xlfn.RANK.EQ(M110,M$2:M$111,0)),"")</f>
        <v/>
      </c>
      <c r="O110" s="1" t="str">
        <f>IF(ISNUMBER(M110)=TRUE,IF(_xlfn.RANK.EQ(M110,$M$2:$M$111)&lt;='Tournament Setup'!$B$23,_xlfn.RANK.EQ(M110,$M$2:$M$111),""),"")</f>
        <v/>
      </c>
      <c r="P110" s="150" t="str">
        <f t="shared" si="8"/>
        <v/>
      </c>
      <c r="Q110" s="1" t="str">
        <f>IF(ISNUMBER(P110)=TRUE,IF(_xlfn.RANK.EQ(P110,$P$2:$P$111)&lt;='Tournament Setup'!$B$24,_xlfn.RANK.EQ(P110,$P$2:$P$111),""),"")</f>
        <v/>
      </c>
      <c r="R110" s="150" t="str">
        <f t="shared" si="9"/>
        <v/>
      </c>
      <c r="S110" s="12" t="str">
        <f>IF(ISNUMBER(R110)=TRUE,IF(_xlfn.RANK.EQ(R110,$R$2:$R$111)&lt;='Tournament Setup'!$B$25,_xlfn.RANK.EQ(R110,$R$2:$R$111),""),"")</f>
        <v/>
      </c>
      <c r="T110" s="152" t="str">
        <f>IF(AND($F110='Tournament Setup'!$A$29,$I110&lt;&gt;0),$I110,"")</f>
        <v/>
      </c>
      <c r="U110" s="47" t="str">
        <f>IF(ISNUMBER(T110),IF(COUNTIFS(U$1:U109,_xlfn.RANK.EQ(T110,T$2:T$111,0))&gt;0,_xlfn.MAXIFS(U$1:U109,T$1:T109,T110)+1,_xlfn.RANK.EQ(T110,T$2:T$111,0)),"")</f>
        <v/>
      </c>
      <c r="V110" s="1" t="str">
        <f>IF(ISNUMBER(T110)=TRUE,IF(_xlfn.RANK.EQ(T110,$T$3:$T$112)&lt;='Tournament Setup'!$B$46,_xlfn.RANK.EQ(T110,$T$2:$T$111),""),"")</f>
        <v/>
      </c>
      <c r="W110" s="30" t="str">
        <f>IF(AND($F110='Tournament Setup'!$A$29,SUM($O110,$Q110,$S110)=0),$H110,"")</f>
        <v/>
      </c>
      <c r="X110" s="47" t="str">
        <f>IF(ISNUMBER(W110),IF(COUNTIFS(X$1:X109,_xlfn.RANK.EQ(W110,W$2:W$111,0))&gt;0,_xlfn.MAXIFS(X$1:X109,W$1:W109,W110)+1,_xlfn.RANK.EQ(W110,W$2:W$111,0)),"")</f>
        <v/>
      </c>
      <c r="Y110" s="1" t="str">
        <f>IF(ISNUMBER(W110)=TRUE,IF(_xlfn.RANK.EQ(W110,$W$2:$W$111)&lt;='Tournament Setup'!$B$29,_xlfn.RANK.EQ(W110,$W$2:$W$111),""),"")</f>
        <v/>
      </c>
      <c r="Z110" s="31" t="str">
        <f>IF(AND($F110='Tournament Setup'!$A$29,SUM($O110,$Q110)=0,$E110="M",$Y110&gt;'Tournament Setup'!$B$29),$H110,"")</f>
        <v/>
      </c>
      <c r="AA110" s="1" t="str">
        <f>IF(ISNUMBER(Z110)=TRUE,IF(_xlfn.RANK.EQ(Z110,$Z$2:$Z$111)&lt;='Tournament Setup'!$C$29,_xlfn.RANK.EQ(Z110,$Z$2:$Z$111),""),"")</f>
        <v/>
      </c>
      <c r="AB110" s="31" t="str">
        <f>IF(AND($F110='Tournament Setup'!$A$29,SUM($O110,$S110)=0,$E110="F",$Y110&gt;'Tournament Setup'!$B$29),$H110,"")</f>
        <v/>
      </c>
      <c r="AC110" s="12" t="str">
        <f>IF(ISNUMBER(AB110)=TRUE,IF(_xlfn.RANK.EQ(AB110,$AB$2:$AB$111)&lt;='Tournament Setup'!$D$29,_xlfn.RANK.EQ(AB110,$AB$2:$AB$111),""),"")</f>
        <v/>
      </c>
      <c r="AD110" s="30" t="str">
        <f>IF(AND($F110='Tournament Setup'!$A$30,$I110&lt;&gt;0),$I110,"")</f>
        <v/>
      </c>
      <c r="AE110" s="47" t="str">
        <f>IF(ISNUMBER(AD110),IF(COUNTIFS(AE$1:AE109,_xlfn.RANK.EQ(AD110,AD$2:AD$111,0))&gt;0,_xlfn.MAXIFS(AE$1:AE109,AD$1:AD109,AD110)+1,_xlfn.RANK.EQ(AD110,AD$2:AD$111,0)),"")</f>
        <v/>
      </c>
      <c r="AF110" s="1" t="str">
        <f>IF(ISNUMBER(AD110)=TRUE,IF(_xlfn.RANK.EQ(AD110,$AD$2:$AD$111)&lt;='Tournament Setup'!$B$46,_xlfn.RANK.EQ(AD110,$AD$2:$AD$111),""),"")</f>
        <v/>
      </c>
      <c r="AG110" s="30" t="str">
        <f>IF(AND($F110='Tournament Setup'!$A$30,SUM($O110,$Q110,$S110)=0),$H110,"")</f>
        <v/>
      </c>
      <c r="AH110" s="47" t="str">
        <f>IF(ISNUMBER(AG110),IF(COUNTIFS(AH$1:AH109,_xlfn.RANK.EQ(AG110,AG$2:AG$111,0))&gt;0,_xlfn.MAXIFS(AH$1:AH109,AG$1:AG109,AG110)+1,_xlfn.RANK.EQ(AG110,AG$2:AG$111,0)),"")</f>
        <v/>
      </c>
      <c r="AI110" s="1" t="str">
        <f>IF(ISNUMBER(AG110)=TRUE,IF(_xlfn.RANK.EQ(AG110,$AG$2:$AG$111)&lt;='Tournament Setup'!$B$30,_xlfn.RANK.EQ(AG110,$AG$2:$AG$111),""),"")</f>
        <v/>
      </c>
      <c r="AJ110" s="31" t="str">
        <f>IF(AND($F110='Tournament Setup'!$A$30,SUM($O110,$Q110)=0,$E110="M",$AI110&gt;'Tournament Setup'!$B$30),$H110,"")</f>
        <v/>
      </c>
      <c r="AK110" s="1" t="str">
        <f>IF(ISNUMBER(AJ110)=TRUE,IF(_xlfn.RANK.EQ(AJ110,$AJ$2:$AJ$111)&lt;='Tournament Setup'!$C$30,_xlfn.RANK.EQ(AJ110,$AJ$2:$AJ$111),""),"")</f>
        <v/>
      </c>
      <c r="AL110" s="31" t="str">
        <f>IF(AND($F110='Tournament Setup'!$A$30,SUM($O110,$S110)=0,$E110="F",$AI110&gt;'Tournament Setup'!$B$30),$H110,"")</f>
        <v/>
      </c>
      <c r="AM110" s="12" t="str">
        <f>IF(ISNUMBER(AL110)=TRUE,IF(_xlfn.RANK.EQ(AL110,$AL$2:$AL$111)&lt;='Tournament Setup'!$D$30,_xlfn.RANK.EQ(AL110,$AL$2:$AL$111),""),"")</f>
        <v/>
      </c>
      <c r="AN110" s="30" t="str">
        <f>IF(AND($F110='Tournament Setup'!$A$31,$I110&lt;&gt;0),$I110,"")</f>
        <v/>
      </c>
      <c r="AO110" s="47" t="str">
        <f>IF(ISNUMBER(AN110),IF(COUNTIFS(AO$1:AO109,_xlfn.RANK.EQ(AN110,AN$2:AN$111,0))&gt;0,_xlfn.MAXIFS(AO$1:AO109,AN$1:AN109,AN110)+1,_xlfn.RANK.EQ(AN110,AN$2:AN$111,0)),"")</f>
        <v/>
      </c>
      <c r="AP110" s="1" t="str">
        <f>IF(ISNUMBER(AN110)=TRUE,IF(_xlfn.RANK.EQ(AN110,$AN$2:$AN$111)&lt;='Tournament Setup'!$B$46,_xlfn.RANK.EQ(AN110,$AN$2:$AN$111),""),"")</f>
        <v/>
      </c>
      <c r="AQ110" s="30" t="str">
        <f>IF(AND($F110='Tournament Setup'!$A$31,SUM($O110,$Q110,$S110)=0),$H110,"")</f>
        <v/>
      </c>
      <c r="AR110" s="47" t="str">
        <f>IF(ISNUMBER(AQ110),IF(COUNTIFS(AR$1:AR109,_xlfn.RANK.EQ(AQ110,AQ$2:AQ$111,0))&gt;0,_xlfn.MAXIFS(AR$1:AR109,AQ$1:AQ109,AQ110)+1,_xlfn.RANK.EQ(AQ110,AQ$2:AQ$111,0)),"")</f>
        <v/>
      </c>
      <c r="AS110" s="1" t="str">
        <f>IF(ISNUMBER(AQ110)=TRUE,IF(_xlfn.RANK.EQ(AQ110,$AQ$2:$AQ$111)&lt;='Tournament Setup'!$B$31,_xlfn.RANK.EQ(AQ110,$AQ$2:$AQ$111),""),"")</f>
        <v/>
      </c>
      <c r="AT110" s="31" t="str">
        <f>IF(AND($F110='Tournament Setup'!$A$31,SUM($O110,$Q110)=0,$E110="M",$AS110&gt;'Tournament Setup'!$B$31),$H110,"")</f>
        <v/>
      </c>
      <c r="AU110" s="1" t="str">
        <f>IF(ISNUMBER(AT110)=TRUE,IF(_xlfn.RANK.EQ(AT110,$AT$2:$AT$111)&lt;='Tournament Setup'!$C$31,_xlfn.RANK.EQ(AT110,$AT$2:$AT$111),""),"")</f>
        <v/>
      </c>
      <c r="AV110" s="31" t="str">
        <f>IF(AND($F110='Tournament Setup'!$A$31,SUM($O110,$S110)=0,$E110="F",$AS110&gt;'Tournament Setup'!$B$31),$H110,"")</f>
        <v/>
      </c>
      <c r="AW110" s="12" t="str">
        <f>IF(ISNUMBER(AV110)=TRUE,IF(_xlfn.RANK.EQ(AV110,$AV$2:$AV$111)&lt;='Tournament Setup'!$D$31,_xlfn.RANK.EQ(AV110,$AV$2:$AV$111),""),"")</f>
        <v/>
      </c>
      <c r="AX110" s="30" t="str">
        <f>IF(AND($F110='Tournament Setup'!$A$32,$I110&lt;&gt;0),$I110,"")</f>
        <v/>
      </c>
      <c r="AY110" s="47" t="str">
        <f>IF(ISNUMBER(AX110),IF(COUNTIFS(AY$1:AY109,_xlfn.RANK.EQ(AX110,AX$2:AX$111,0))&gt;0,_xlfn.MAXIFS(AY$1:AY109,AX$1:AX109,AX110)+1,_xlfn.RANK.EQ(AX110,AX$2:AX$111,0)),"")</f>
        <v/>
      </c>
      <c r="AZ110" s="1" t="str">
        <f>IF(ISNUMBER(AX110)=TRUE,IF(_xlfn.RANK.EQ(AX110,$AX$2:$AX$111)&lt;='Tournament Setup'!$B$46,_xlfn.RANK.EQ(AX110,$AX$2:$AX$111),""),"")</f>
        <v/>
      </c>
      <c r="BA110" s="30" t="str">
        <f>IF(AND($F110='Tournament Setup'!$A$32,SUM($O110,$Q110,$S110)=0),$H110,"")</f>
        <v/>
      </c>
      <c r="BB110" s="47" t="str">
        <f>IF(ISNUMBER(BA110),IF(COUNTIFS(BB$1:BB109,_xlfn.RANK.EQ(BA110,BA$2:BA$111,0))&gt;0,_xlfn.MAXIFS(BB$1:BB109,BA$1:BA109,BA110)+1,_xlfn.RANK.EQ(BA110,BA$2:BA$111,0)),"")</f>
        <v/>
      </c>
      <c r="BC110" s="1" t="str">
        <f>IF(ISNUMBER(BA110)=TRUE,IF(_xlfn.RANK.EQ(BA110,$BA$2:$BA$111)&lt;='Tournament Setup'!$B$32,_xlfn.RANK.EQ(BA110,$BA$2:$BA$111),""),"")</f>
        <v/>
      </c>
      <c r="BD110" s="31" t="str">
        <f>IF(AND($F110='Tournament Setup'!$A$32,SUM($O110,$Q110)=0,$E110="M",$BC110&gt;'Tournament Setup'!$B$32),$H110,"")</f>
        <v/>
      </c>
      <c r="BE110" s="1" t="str">
        <f>IF(ISNUMBER(BD110)=TRUE,IF(_xlfn.RANK.EQ(BD110,$BD$2:$BD$111)&lt;='Tournament Setup'!$C$32,_xlfn.RANK.EQ(BD110,$BD$2:$BD$111),""),"")</f>
        <v/>
      </c>
      <c r="BF110" s="31" t="str">
        <f>IF(AND($F110='Tournament Setup'!$A$32,SUM($O110,$S110)=0,$E110="F",$BC110&gt;'Tournament Setup'!$B$32),$H110,"")</f>
        <v/>
      </c>
      <c r="BG110" s="12" t="str">
        <f>IF(ISNUMBER(BF110)=TRUE,IF(_xlfn.RANK.EQ(BF110,$BF$2:$BF$111)&lt;='Tournament Setup'!$D$32,_xlfn.RANK.EQ(BF110,$BF$2:$BF$111),""),"")</f>
        <v/>
      </c>
      <c r="BH110" s="30" t="str">
        <f>IF(AND($F110='Tournament Setup'!$A$33,$I110&lt;&gt;0),$I110,"")</f>
        <v/>
      </c>
      <c r="BI110" s="47" t="str">
        <f>IF(ISNUMBER(BH110),IF(COUNTIFS(BI$1:BI109,_xlfn.RANK.EQ(BH110,BH$2:BH$111,0))&gt;0,_xlfn.MAXIFS(BI$1:BI109,BH$1:BH109,BH110)+1,_xlfn.RANK.EQ(BH110,BH$2:BH$111,0)),"")</f>
        <v/>
      </c>
      <c r="BJ110" s="1" t="str">
        <f>IF(ISNUMBER(BH110)=TRUE,IF(_xlfn.RANK.EQ(BH110,$BH$2:$BH$111)&lt;='Tournament Setup'!$B$46,_xlfn.RANK.EQ(BH110,$BH$2:$BH$111),""),"")</f>
        <v/>
      </c>
      <c r="BK110" s="30" t="str">
        <f>IF(AND($F110='Tournament Setup'!$A$33,SUM($O110,$Q110,$S110)=0),$H110,"")</f>
        <v/>
      </c>
      <c r="BL110" s="47" t="str">
        <f>IF(ISNUMBER(BK110),IF(COUNTIFS(BL$1:BL109,_xlfn.RANK.EQ(BK110,BK$2:BK$111,0))&gt;0,_xlfn.MAXIFS(BL$1:BL109,BK$1:BK109,BK110)+1,_xlfn.RANK.EQ(BK110,BK$2:BK$111,0)),"")</f>
        <v/>
      </c>
      <c r="BM110" s="1" t="str">
        <f>IF(ISNUMBER(BK110)=TRUE,IF(_xlfn.RANK.EQ(BK110,$BK$2:$BK$111)&lt;='Tournament Setup'!$B$33,_xlfn.RANK.EQ(BK110,$BK$2:$BK$111),""),"")</f>
        <v/>
      </c>
      <c r="BN110" s="31" t="str">
        <f>IF(AND($F110='Tournament Setup'!$A$33,SUM($O110,$Q110)=0,$E110="M",$BM110&gt;'Tournament Setup'!$B$33),$H110,"")</f>
        <v/>
      </c>
      <c r="BO110" s="1" t="str">
        <f>IF(ISNUMBER(BN110)=TRUE,IF(_xlfn.RANK.EQ(BN110,$BN$2:$BN$111)&lt;='Tournament Setup'!$C$33,_xlfn.RANK.EQ(BN110,$BN$2:$BN$111),""),"")</f>
        <v/>
      </c>
      <c r="BP110" s="31" t="str">
        <f>IF(AND($F110='Tournament Setup'!$A$33,SUM($O110,$S110)=0,$E110="F",$BM110&gt;'Tournament Setup'!$B$33),$H110,"")</f>
        <v/>
      </c>
      <c r="BQ110" s="12" t="str">
        <f>IF(ISNUMBER(BP110)=TRUE,IF(_xlfn.RANK.EQ(BP110,$BP$2:$BP$111)&lt;='Tournament Setup'!$D$33,_xlfn.RANK.EQ(BP110,$BP$2:$BP$111),""),"")</f>
        <v/>
      </c>
      <c r="BR110" s="30" t="str">
        <f>IF($G110='Tournament Setup'!$A$38,$H110,"")</f>
        <v/>
      </c>
      <c r="BS110" s="47" t="str">
        <f>IF(ISNUMBER(BR110),IF(COUNTIFS(BS$1:BS109,_xlfn.RANK.EQ(BR110,BR$2:BR$111,0))&gt;0,_xlfn.MAXIFS(BS$1:BS109,BR$1:BR109,BR110)+1,_xlfn.RANK.EQ(BR110,BR$2:BR$111,0)),"")</f>
        <v/>
      </c>
      <c r="BT110" s="1" t="str">
        <f>IF(ISNUMBER(BR110)=TRUE,IF(_xlfn.RANK.EQ(BR110,$BR$2:$BR$111)&lt;='Tournament Setup'!$B$38,_xlfn.RANK.EQ(BR110,$BR$2:$BR$111),""),"")</f>
        <v/>
      </c>
      <c r="BU110" s="31" t="str">
        <f>IF(AND($G110='Tournament Setup'!$A$38,$E110="M",$BT110&gt;'Tournament Setup'!$B$38),$H110,"")</f>
        <v/>
      </c>
      <c r="BV110" s="1" t="str">
        <f>IF(ISNUMBER(BU110)=TRUE,IF(_xlfn.RANK.EQ(BU110,$BU$2:$BU$111)&lt;='Tournament Setup'!$C$38,_xlfn.RANK.EQ(BU110,$BU$2:$BU$111),""),"")</f>
        <v/>
      </c>
      <c r="BW110" s="31" t="str">
        <f>IF(AND($G110='Tournament Setup'!$A$38,$E110="F",$BT110&gt;'Tournament Setup'!$B$38),$H110,"")</f>
        <v/>
      </c>
      <c r="BX110" s="12" t="str">
        <f>IF(ISNUMBER(BW110)=TRUE,IF(_xlfn.RANK.EQ(BW110,$BW$2:$BW$111)&lt;='Tournament Setup'!$D$38,_xlfn.RANK.EQ(BW110,$BW$2:$BW$111),""),"")</f>
        <v/>
      </c>
      <c r="BY110" s="30" t="str">
        <f>IF($G110='Tournament Setup'!$A$39,$H110,"")</f>
        <v/>
      </c>
      <c r="BZ110" s="47" t="str">
        <f>IF(ISNUMBER(BY110),IF(COUNTIFS(BZ$1:BZ109,_xlfn.RANK.EQ(BY110,BY$2:BY$111,0))&gt;0,_xlfn.MAXIFS(BZ$1:BZ109,BY$1:BY109,BY110)+1,_xlfn.RANK.EQ(BY110,BY$2:BY$111,0)),"")</f>
        <v/>
      </c>
      <c r="CA110" s="1" t="str">
        <f>IF(ISNUMBER(BY110)=TRUE,IF(_xlfn.RANK.EQ(BY110,$BY$2:$BY$111)&lt;='Tournament Setup'!$B$39,_xlfn.RANK.EQ(BY110,$BY$2:$BY$111),""),"")</f>
        <v/>
      </c>
      <c r="CB110" s="31" t="str">
        <f>IF(AND($G110='Tournament Setup'!$A$39,$E110="M",$CA110&gt;'Tournament Setup'!$B$39),$H110,"")</f>
        <v/>
      </c>
      <c r="CC110" s="1" t="str">
        <f>IF(ISNUMBER(CB110)=TRUE,IF(_xlfn.RANK.EQ(CB110,$CB$2:$CB$111)&lt;='Tournament Setup'!$C$39,_xlfn.RANK.EQ(CB110,$CB$2:$CB$111),""),"")</f>
        <v/>
      </c>
      <c r="CD110" s="31" t="str">
        <f>IF(AND($G110='Tournament Setup'!$A$39,$E110="F",$CA110&gt;'Tournament Setup'!$B$39),$H110,"")</f>
        <v/>
      </c>
      <c r="CE110" s="12" t="str">
        <f>IF(ISNUMBER(CD110)=TRUE,IF(_xlfn.RANK.EQ(CD110,$CD$2:$CD$111)&lt;='Tournament Setup'!$D$39,_xlfn.RANK.EQ(CD110,$CD$2:$CD$111),""),"")</f>
        <v/>
      </c>
      <c r="CF110" s="30" t="str">
        <f>IF($G110='Tournament Setup'!$A$40,$H110,"")</f>
        <v/>
      </c>
      <c r="CG110" s="47" t="str">
        <f>IF(ISNUMBER(CF110),IF(COUNTIFS(CG$1:CG109,_xlfn.RANK.EQ(CF110,CF$2:CF$111,0))&gt;0,_xlfn.MAXIFS(CG$1:CG109,CF$1:CF109,CF110)+1,_xlfn.RANK.EQ(CF110,CF$2:CF$111,0)),"")</f>
        <v/>
      </c>
      <c r="CH110" s="1" t="str">
        <f>IF(ISNUMBER(CF110)=TRUE,IF(_xlfn.RANK.EQ(CF110,$CF$2:$CF$111)&lt;='Tournament Setup'!$B$40,_xlfn.RANK.EQ(CF110,$CF$2:$CF$111),""),"")</f>
        <v/>
      </c>
      <c r="CI110" s="31" t="str">
        <f>IF(AND($G110='Tournament Setup'!$A$40,$E110="M",$CH110&gt;'Tournament Setup'!$B$40),$H110,"")</f>
        <v/>
      </c>
      <c r="CJ110" s="1" t="str">
        <f>IF(ISNUMBER(CI110)=TRUE,IF(_xlfn.RANK.EQ(CI110,$CI$2:$CI$111)&lt;='Tournament Setup'!$C$40,_xlfn.RANK.EQ(CI110,$CI$2:$CI$111),""),"")</f>
        <v/>
      </c>
      <c r="CK110" s="31" t="str">
        <f>IF(AND($G110='Tournament Setup'!$A$40,$E110="F",$CH110&gt;'Tournament Setup'!$B$40),$H110,"")</f>
        <v/>
      </c>
      <c r="CL110" s="12" t="str">
        <f>IF(ISNUMBER(CK110)=TRUE,IF(_xlfn.RANK.EQ(CK110,$CK$2:$CK$111)&lt;='Tournament Setup'!$D$40,_xlfn.RANK.EQ(CK110,$CK$2:$CK$111),""),"")</f>
        <v/>
      </c>
      <c r="CM110" s="30" t="str">
        <f>IF($G110='Tournament Setup'!$A$41,$H110,"")</f>
        <v/>
      </c>
      <c r="CN110" s="47" t="str">
        <f>IF(ISNUMBER(CM110),IF(COUNTIFS(CN$1:CN109,_xlfn.RANK.EQ(CM110,CM$2:CM$111,0))&gt;0,_xlfn.MAXIFS(CN$1:CN109,CM$1:CM109,CM110)+1,_xlfn.RANK.EQ(CM110,CM$2:CM$111,0)),"")</f>
        <v/>
      </c>
      <c r="CO110" s="1" t="str">
        <f>IF(ISNUMBER(CM110)=TRUE,IF(_xlfn.RANK.EQ(CM110,$CM$2:$CM$111)&lt;='Tournament Setup'!$B$41,_xlfn.RANK.EQ(CM110,$CM$2:$CM$111),""),"")</f>
        <v/>
      </c>
      <c r="CP110" s="31" t="str">
        <f>IF(AND($G110='Tournament Setup'!$A$41,$E110="M",$CO110&gt;'Tournament Setup'!$B$41),$H110,"")</f>
        <v/>
      </c>
      <c r="CQ110" s="1" t="str">
        <f>IF(ISNUMBER(CP110)=TRUE,IF(_xlfn.RANK.EQ(CP110,$CP$2:$CP$111)&lt;='Tournament Setup'!$C$41,_xlfn.RANK.EQ(CP110,$CP$2:$CP$111),""),"")</f>
        <v/>
      </c>
      <c r="CR110" s="31" t="str">
        <f>IF(AND($G110='Tournament Setup'!$A$41,$E110="F",$CO110&gt;'Tournament Setup'!$B$41),$H110,"")</f>
        <v/>
      </c>
      <c r="CS110" s="12" t="str">
        <f>IF(ISNUMBER(CR110)=TRUE,IF(_xlfn.RANK.EQ(CR110,$CR$2:$CR$111)&lt;='Tournament Setup'!$D$41,_xlfn.RANK.EQ(CR110,$CR$2:$CR$111),""),"")</f>
        <v/>
      </c>
    </row>
    <row r="111" spans="2:97" x14ac:dyDescent="0.3">
      <c r="B111" t="str">
        <f>IFERROR(INDEX('Tournament List'!$B:$B,MATCH($A111,'Tournament List'!$A:$A,0)),"")</f>
        <v/>
      </c>
      <c r="C111" t="str">
        <f>IFERROR(INDEX('Tournament List'!$C:$C,MATCH($A111,'Tournament List'!$A:$A,0)),"")</f>
        <v/>
      </c>
      <c r="D111" t="str">
        <f t="shared" si="5"/>
        <v xml:space="preserve"> </v>
      </c>
      <c r="E111" s="1" t="str">
        <f>IFERROR(INDEX('Tournament List'!F:F,MATCH($A111,'Tournament List'!$A:$A,0)),"")</f>
        <v/>
      </c>
      <c r="F111" t="str">
        <f>IFERROR(INDEX('Tournament List'!M:M,MATCH($A111,'Tournament List'!$A:$A,0)),"")</f>
        <v/>
      </c>
      <c r="G111" s="1" t="str">
        <f>IFERROR(INDEX('Tournament List'!W:W,MATCH($A111,'Tournament List'!$A:$A,0)),"")</f>
        <v/>
      </c>
      <c r="H111" s="129" t="str">
        <f>IFERROR(INDEX('Tournament List'!Z:Z,MATCH($A111,'Tournament List'!$A:$A,0)),"")</f>
        <v/>
      </c>
      <c r="I111" s="152" t="str">
        <f>IFERROR(INDEX('Tournament List'!T:T,MATCH($A111,'Tournament List'!$A:$A,0)),"")</f>
        <v/>
      </c>
      <c r="J111" s="56" t="str">
        <f>IF(ISNUMBER(I111),IF(COUNTIFS(J$1:J110,_xlfn.RANK.EQ(I111,I$2:I$111,0))&gt;0,_xlfn.MAXIFS(J$1:J110,I$1:I110,I111)+1,_xlfn.RANK.EQ(I111,I$2:I$111,0)),"")</f>
        <v/>
      </c>
      <c r="K111" s="11" t="str">
        <f t="shared" si="6"/>
        <v/>
      </c>
      <c r="L111" s="56" t="str">
        <f>IF(ISNUMBER(H111),IF(COUNTIFS(L$1:L110,_xlfn.RANK.EQ(H111,H$2:H$111,0))&gt;0,_xlfn.MAXIFS(L$1:L110,H$1:H110,H111)+1,_xlfn.RANK.EQ(H111,H$2:H$111,0)),"")</f>
        <v/>
      </c>
      <c r="M111" s="151" t="str">
        <f t="shared" si="7"/>
        <v/>
      </c>
      <c r="N111" s="47" t="str">
        <f>IF(ISNUMBER(M111),IF(COUNTIFS(N$1:N110,_xlfn.RANK.EQ(M111,M$2:M$111,0))&gt;0,_xlfn.MAXIFS(N$1:N110,M$1:M110,M111)+1,_xlfn.RANK.EQ(M111,M$2:M$111,0)),"")</f>
        <v/>
      </c>
      <c r="O111" s="1" t="str">
        <f>IF(ISNUMBER(M111)=TRUE,IF(_xlfn.RANK.EQ(M111,$M$2:$M$111)&lt;='Tournament Setup'!$B$23,_xlfn.RANK.EQ(M111,$M$2:$M$111),""),"")</f>
        <v/>
      </c>
      <c r="P111" s="150" t="str">
        <f t="shared" si="8"/>
        <v/>
      </c>
      <c r="Q111" s="1" t="str">
        <f>IF(ISNUMBER(P111)=TRUE,IF(_xlfn.RANK.EQ(P111,$P$2:$P$111)&lt;='Tournament Setup'!$B$24,_xlfn.RANK.EQ(P111,$P$2:$P$111),""),"")</f>
        <v/>
      </c>
      <c r="R111" s="150" t="str">
        <f t="shared" si="9"/>
        <v/>
      </c>
      <c r="S111" s="12" t="str">
        <f>IF(ISNUMBER(R111)=TRUE,IF(_xlfn.RANK.EQ(R111,$R$2:$R$111)&lt;='Tournament Setup'!$B$25,_xlfn.RANK.EQ(R111,$R$2:$R$111),""),"")</f>
        <v/>
      </c>
      <c r="T111" s="152" t="str">
        <f>IF(AND($F111='Tournament Setup'!$A$29,$I111&lt;&gt;0),$I111,"")</f>
        <v/>
      </c>
      <c r="U111" s="47" t="str">
        <f>IF(ISNUMBER(T111),IF(COUNTIFS(U$1:U110,_xlfn.RANK.EQ(T111,T$2:T$111,0))&gt;0,_xlfn.MAXIFS(U$1:U110,T$1:T110,T111)+1,_xlfn.RANK.EQ(T111,T$2:T$111,0)),"")</f>
        <v/>
      </c>
      <c r="V111" s="1" t="str">
        <f>IF(ISNUMBER(T111)=TRUE,IF(_xlfn.RANK.EQ(T111,$T$3:$T$112)&lt;='Tournament Setup'!$B$46,_xlfn.RANK.EQ(T111,$T$2:$T$111),""),"")</f>
        <v/>
      </c>
      <c r="W111" s="30" t="str">
        <f>IF(AND($F111='Tournament Setup'!$A$29,SUM($O111,$Q111,$S111)=0),$H111,"")</f>
        <v/>
      </c>
      <c r="X111" s="47" t="str">
        <f>IF(ISNUMBER(W111),IF(COUNTIFS(X$1:X110,_xlfn.RANK.EQ(W111,W$2:W$111,0))&gt;0,_xlfn.MAXIFS(X$1:X110,W$1:W110,W111)+1,_xlfn.RANK.EQ(W111,W$2:W$111,0)),"")</f>
        <v/>
      </c>
      <c r="Y111" s="1" t="str">
        <f>IF(ISNUMBER(W111)=TRUE,IF(_xlfn.RANK.EQ(W111,$W$2:$W$111)&lt;='Tournament Setup'!$B$29,_xlfn.RANK.EQ(W111,$W$2:$W$111),""),"")</f>
        <v/>
      </c>
      <c r="Z111" s="31" t="str">
        <f>IF(AND($F111='Tournament Setup'!$A$29,SUM($O111,$Q111)=0,$E111="M",$Y111&gt;'Tournament Setup'!$B$29),$H111,"")</f>
        <v/>
      </c>
      <c r="AA111" s="1" t="str">
        <f>IF(ISNUMBER(Z111)=TRUE,IF(_xlfn.RANK.EQ(Z111,$Z$2:$Z$111)&lt;='Tournament Setup'!$C$29,_xlfn.RANK.EQ(Z111,$Z$2:$Z$111),""),"")</f>
        <v/>
      </c>
      <c r="AB111" s="31" t="str">
        <f>IF(AND($F111='Tournament Setup'!$A$29,SUM($O111,$S111)=0,$E111="F",$Y111&gt;'Tournament Setup'!$B$29),$H111,"")</f>
        <v/>
      </c>
      <c r="AC111" s="12" t="str">
        <f>IF(ISNUMBER(AB111)=TRUE,IF(_xlfn.RANK.EQ(AB111,$AB$2:$AB$111)&lt;='Tournament Setup'!$D$29,_xlfn.RANK.EQ(AB111,$AB$2:$AB$111),""),"")</f>
        <v/>
      </c>
      <c r="AD111" s="30" t="str">
        <f>IF(AND($F111='Tournament Setup'!$A$30,$I111&lt;&gt;0),$I111,"")</f>
        <v/>
      </c>
      <c r="AE111" s="47" t="str">
        <f>IF(ISNUMBER(AD111),IF(COUNTIFS(AE$1:AE110,_xlfn.RANK.EQ(AD111,AD$2:AD$111,0))&gt;0,_xlfn.MAXIFS(AE$1:AE110,AD$1:AD110,AD111)+1,_xlfn.RANK.EQ(AD111,AD$2:AD$111,0)),"")</f>
        <v/>
      </c>
      <c r="AF111" s="1" t="str">
        <f>IF(ISNUMBER(AD111)=TRUE,IF(_xlfn.RANK.EQ(AD111,$AD$2:$AD$111)&lt;='Tournament Setup'!$B$46,_xlfn.RANK.EQ(AD111,$AD$2:$AD$111),""),"")</f>
        <v/>
      </c>
      <c r="AG111" s="30" t="str">
        <f>IF(AND($F111='Tournament Setup'!$A$30,SUM($O111,$Q111,$S111)=0),$H111,"")</f>
        <v/>
      </c>
      <c r="AH111" s="47" t="str">
        <f>IF(ISNUMBER(AG111),IF(COUNTIFS(AH$1:AH110,_xlfn.RANK.EQ(AG111,AG$2:AG$111,0))&gt;0,_xlfn.MAXIFS(AH$1:AH110,AG$1:AG110,AG111)+1,_xlfn.RANK.EQ(AG111,AG$2:AG$111,0)),"")</f>
        <v/>
      </c>
      <c r="AI111" s="1" t="str">
        <f>IF(ISNUMBER(AG111)=TRUE,IF(_xlfn.RANK.EQ(AG111,$AG$2:$AG$111)&lt;='Tournament Setup'!$B$30,_xlfn.RANK.EQ(AG111,$AG$2:$AG$111),""),"")</f>
        <v/>
      </c>
      <c r="AJ111" s="31" t="str">
        <f>IF(AND($F111='Tournament Setup'!$A$30,SUM($O111,$Q111)=0,$E111="M",$AI111&gt;'Tournament Setup'!$B$30),$H111,"")</f>
        <v/>
      </c>
      <c r="AK111" s="1" t="str">
        <f>IF(ISNUMBER(AJ111)=TRUE,IF(_xlfn.RANK.EQ(AJ111,$AJ$2:$AJ$111)&lt;='Tournament Setup'!$C$30,_xlfn.RANK.EQ(AJ111,$AJ$2:$AJ$111),""),"")</f>
        <v/>
      </c>
      <c r="AL111" s="31" t="str">
        <f>IF(AND($F111='Tournament Setup'!$A$30,SUM($O111,$S111)=0,$E111="F",$AI111&gt;'Tournament Setup'!$B$30),$H111,"")</f>
        <v/>
      </c>
      <c r="AM111" s="12" t="str">
        <f>IF(ISNUMBER(AL111)=TRUE,IF(_xlfn.RANK.EQ(AL111,$AL$2:$AL$111)&lt;='Tournament Setup'!$D$30,_xlfn.RANK.EQ(AL111,$AL$2:$AL$111),""),"")</f>
        <v/>
      </c>
      <c r="AN111" s="30" t="str">
        <f>IF(AND($F111='Tournament Setup'!$A$31,$I111&lt;&gt;0),$I111,"")</f>
        <v/>
      </c>
      <c r="AO111" s="47" t="str">
        <f>IF(ISNUMBER(AN111),IF(COUNTIFS(AO$1:AO110,_xlfn.RANK.EQ(AN111,AN$2:AN$111,0))&gt;0,_xlfn.MAXIFS(AO$1:AO110,AN$1:AN110,AN111)+1,_xlfn.RANK.EQ(AN111,AN$2:AN$111,0)),"")</f>
        <v/>
      </c>
      <c r="AP111" s="1" t="str">
        <f>IF(ISNUMBER(AN111)=TRUE,IF(_xlfn.RANK.EQ(AN111,$AN$2:$AN$111)&lt;='Tournament Setup'!$B$46,_xlfn.RANK.EQ(AN111,$AN$2:$AN$111),""),"")</f>
        <v/>
      </c>
      <c r="AQ111" s="30" t="str">
        <f>IF(AND($F111='Tournament Setup'!$A$31,SUM($O111,$Q111,$S111)=0),$H111,"")</f>
        <v/>
      </c>
      <c r="AR111" s="47" t="str">
        <f>IF(ISNUMBER(AQ111),IF(COUNTIFS(AR$1:AR110,_xlfn.RANK.EQ(AQ111,AQ$2:AQ$111,0))&gt;0,_xlfn.MAXIFS(AR$1:AR110,AQ$1:AQ110,AQ111)+1,_xlfn.RANK.EQ(AQ111,AQ$2:AQ$111,0)),"")</f>
        <v/>
      </c>
      <c r="AS111" s="1" t="str">
        <f>IF(ISNUMBER(AQ111)=TRUE,IF(_xlfn.RANK.EQ(AQ111,$AQ$2:$AQ$111)&lt;='Tournament Setup'!$B$31,_xlfn.RANK.EQ(AQ111,$AQ$2:$AQ$111),""),"")</f>
        <v/>
      </c>
      <c r="AT111" s="31" t="str">
        <f>IF(AND($F111='Tournament Setup'!$A$31,SUM($O111,$Q111)=0,$E111="M",$AS111&gt;'Tournament Setup'!$B$31),$H111,"")</f>
        <v/>
      </c>
      <c r="AU111" s="1" t="str">
        <f>IF(ISNUMBER(AT111)=TRUE,IF(_xlfn.RANK.EQ(AT111,$AT$2:$AT$111)&lt;='Tournament Setup'!$C$31,_xlfn.RANK.EQ(AT111,$AT$2:$AT$111),""),"")</f>
        <v/>
      </c>
      <c r="AV111" s="31" t="str">
        <f>IF(AND($F111='Tournament Setup'!$A$31,SUM($O111,$S111)=0,$E111="F",$AS111&gt;'Tournament Setup'!$B$31),$H111,"")</f>
        <v/>
      </c>
      <c r="AW111" s="12" t="str">
        <f>IF(ISNUMBER(AV111)=TRUE,IF(_xlfn.RANK.EQ(AV111,$AV$2:$AV$111)&lt;='Tournament Setup'!$D$31,_xlfn.RANK.EQ(AV111,$AV$2:$AV$111),""),"")</f>
        <v/>
      </c>
      <c r="AX111" s="30" t="str">
        <f>IF(AND($F111='Tournament Setup'!$A$32,$I111&lt;&gt;0),$I111,"")</f>
        <v/>
      </c>
      <c r="AY111" s="47" t="str">
        <f>IF(ISNUMBER(AX111),IF(COUNTIFS(AY$1:AY110,_xlfn.RANK.EQ(AX111,AX$2:AX$111,0))&gt;0,_xlfn.MAXIFS(AY$1:AY110,AX$1:AX110,AX111)+1,_xlfn.RANK.EQ(AX111,AX$2:AX$111,0)),"")</f>
        <v/>
      </c>
      <c r="AZ111" s="1" t="str">
        <f>IF(ISNUMBER(AX111)=TRUE,IF(_xlfn.RANK.EQ(AX111,$AX$2:$AX$111)&lt;='Tournament Setup'!$B$46,_xlfn.RANK.EQ(AX111,$AX$2:$AX$111),""),"")</f>
        <v/>
      </c>
      <c r="BA111" s="30" t="str">
        <f>IF(AND($F111='Tournament Setup'!$A$32,SUM($O111,$Q111,$S111)=0),$H111,"")</f>
        <v/>
      </c>
      <c r="BB111" s="47" t="str">
        <f>IF(ISNUMBER(BA111),IF(COUNTIFS(BB$1:BB110,_xlfn.RANK.EQ(BA111,BA$2:BA$111,0))&gt;0,_xlfn.MAXIFS(BB$1:BB110,BA$1:BA110,BA111)+1,_xlfn.RANK.EQ(BA111,BA$2:BA$111,0)),"")</f>
        <v/>
      </c>
      <c r="BC111" s="1" t="str">
        <f>IF(ISNUMBER(BA111)=TRUE,IF(_xlfn.RANK.EQ(BA111,$BA$2:$BA$111)&lt;='Tournament Setup'!$B$32,_xlfn.RANK.EQ(BA111,$BA$2:$BA$111),""),"")</f>
        <v/>
      </c>
      <c r="BD111" s="31" t="str">
        <f>IF(AND($F111='Tournament Setup'!$A$32,SUM($O111,$Q111)=0,$E111="M",$BC111&gt;'Tournament Setup'!$B$32),$H111,"")</f>
        <v/>
      </c>
      <c r="BE111" s="1" t="str">
        <f>IF(ISNUMBER(BD111)=TRUE,IF(_xlfn.RANK.EQ(BD111,$BD$2:$BD$111)&lt;='Tournament Setup'!$C$32,_xlfn.RANK.EQ(BD111,$BD$2:$BD$111),""),"")</f>
        <v/>
      </c>
      <c r="BF111" s="31" t="str">
        <f>IF(AND($F111='Tournament Setup'!$A$32,SUM($O111,$S111)=0,$E111="F",$BC111&gt;'Tournament Setup'!$B$32),$H111,"")</f>
        <v/>
      </c>
      <c r="BG111" s="12" t="str">
        <f>IF(ISNUMBER(BF111)=TRUE,IF(_xlfn.RANK.EQ(BF111,$BF$2:$BF$111)&lt;='Tournament Setup'!$D$32,_xlfn.RANK.EQ(BF111,$BF$2:$BF$111),""),"")</f>
        <v/>
      </c>
      <c r="BH111" s="30" t="str">
        <f>IF(AND($F111='Tournament Setup'!$A$33,$I111&lt;&gt;0),$I111,"")</f>
        <v/>
      </c>
      <c r="BI111" s="47" t="str">
        <f>IF(ISNUMBER(BH111),IF(COUNTIFS(BI$1:BI110,_xlfn.RANK.EQ(BH111,BH$2:BH$111,0))&gt;0,_xlfn.MAXIFS(BI$1:BI110,BH$1:BH110,BH111)+1,_xlfn.RANK.EQ(BH111,BH$2:BH$111,0)),"")</f>
        <v/>
      </c>
      <c r="BJ111" s="1" t="str">
        <f>IF(ISNUMBER(BH111)=TRUE,IF(_xlfn.RANK.EQ(BH111,$BH$2:$BH$111)&lt;='Tournament Setup'!$B$46,_xlfn.RANK.EQ(BH111,$BH$2:$BH$111),""),"")</f>
        <v/>
      </c>
      <c r="BK111" s="30" t="str">
        <f>IF(AND($F111='Tournament Setup'!$A$33,SUM($O111,$Q111,$S111)=0),$H111,"")</f>
        <v/>
      </c>
      <c r="BL111" s="47" t="str">
        <f>IF(ISNUMBER(BK111),IF(COUNTIFS(BL$1:BL110,_xlfn.RANK.EQ(BK111,BK$2:BK$111,0))&gt;0,_xlfn.MAXIFS(BL$1:BL110,BK$1:BK110,BK111)+1,_xlfn.RANK.EQ(BK111,BK$2:BK$111,0)),"")</f>
        <v/>
      </c>
      <c r="BM111" s="1" t="str">
        <f>IF(ISNUMBER(BK111)=TRUE,IF(_xlfn.RANK.EQ(BK111,$BK$2:$BK$111)&lt;='Tournament Setup'!$B$33,_xlfn.RANK.EQ(BK111,$BK$2:$BK$111),""),"")</f>
        <v/>
      </c>
      <c r="BN111" s="31" t="str">
        <f>IF(AND($F111='Tournament Setup'!$A$33,SUM($O111,$Q111)=0,$E111="M",$BM111&gt;'Tournament Setup'!$B$33),$H111,"")</f>
        <v/>
      </c>
      <c r="BO111" s="1" t="str">
        <f>IF(ISNUMBER(BN111)=TRUE,IF(_xlfn.RANK.EQ(BN111,$BN$2:$BN$111)&lt;='Tournament Setup'!$C$33,_xlfn.RANK.EQ(BN111,$BN$2:$BN$111),""),"")</f>
        <v/>
      </c>
      <c r="BP111" s="31" t="str">
        <f>IF(AND($F111='Tournament Setup'!$A$33,SUM($O111,$S111)=0,$E111="F",$BM111&gt;'Tournament Setup'!$B$33),$H111,"")</f>
        <v/>
      </c>
      <c r="BQ111" s="12" t="str">
        <f>IF(ISNUMBER(BP111)=TRUE,IF(_xlfn.RANK.EQ(BP111,$BP$2:$BP$111)&lt;='Tournament Setup'!$D$33,_xlfn.RANK.EQ(BP111,$BP$2:$BP$111),""),"")</f>
        <v/>
      </c>
      <c r="BR111" s="30" t="str">
        <f>IF($G111='Tournament Setup'!$A$38,$H111,"")</f>
        <v/>
      </c>
      <c r="BS111" s="47" t="str">
        <f>IF(ISNUMBER(BR111),IF(COUNTIFS(BS$1:BS110,_xlfn.RANK.EQ(BR111,BR$2:BR$111,0))&gt;0,_xlfn.MAXIFS(BS$1:BS110,BR$1:BR110,BR111)+1,_xlfn.RANK.EQ(BR111,BR$2:BR$111,0)),"")</f>
        <v/>
      </c>
      <c r="BT111" s="1" t="str">
        <f>IF(ISNUMBER(BR111)=TRUE,IF(_xlfn.RANK.EQ(BR111,$BR$2:$BR$111)&lt;='Tournament Setup'!$B$38,_xlfn.RANK.EQ(BR111,$BR$2:$BR$111),""),"")</f>
        <v/>
      </c>
      <c r="BU111" s="31" t="str">
        <f>IF(AND($G111='Tournament Setup'!$A$38,$E111="M",$BT111&gt;'Tournament Setup'!$B$38),$H111,"")</f>
        <v/>
      </c>
      <c r="BV111" s="1" t="str">
        <f>IF(ISNUMBER(BU111)=TRUE,IF(_xlfn.RANK.EQ(BU111,$BU$2:$BU$111)&lt;='Tournament Setup'!$C$38,_xlfn.RANK.EQ(BU111,$BU$2:$BU$111),""),"")</f>
        <v/>
      </c>
      <c r="BW111" s="31" t="str">
        <f>IF(AND($G111='Tournament Setup'!$A$38,$E111="F",$BT111&gt;'Tournament Setup'!$B$38),$H111,"")</f>
        <v/>
      </c>
      <c r="BX111" s="12" t="str">
        <f>IF(ISNUMBER(BW111)=TRUE,IF(_xlfn.RANK.EQ(BW111,$BW$2:$BW$111)&lt;='Tournament Setup'!$D$38,_xlfn.RANK.EQ(BW111,$BW$2:$BW$111),""),"")</f>
        <v/>
      </c>
      <c r="BY111" s="30" t="str">
        <f>IF($G111='Tournament Setup'!$A$39,$H111,"")</f>
        <v/>
      </c>
      <c r="BZ111" s="47" t="str">
        <f>IF(ISNUMBER(BY111),IF(COUNTIFS(BZ$1:BZ110,_xlfn.RANK.EQ(BY111,BY$2:BY$111,0))&gt;0,_xlfn.MAXIFS(BZ$1:BZ110,BY$1:BY110,BY111)+1,_xlfn.RANK.EQ(BY111,BY$2:BY$111,0)),"")</f>
        <v/>
      </c>
      <c r="CA111" s="1" t="str">
        <f>IF(ISNUMBER(BY111)=TRUE,IF(_xlfn.RANK.EQ(BY111,$BY$2:$BY$111)&lt;='Tournament Setup'!$B$39,_xlfn.RANK.EQ(BY111,$BY$2:$BY$111),""),"")</f>
        <v/>
      </c>
      <c r="CB111" s="31" t="str">
        <f>IF(AND($G111='Tournament Setup'!$A$39,$E111="M",$CA111&gt;'Tournament Setup'!$B$39),$H111,"")</f>
        <v/>
      </c>
      <c r="CC111" s="1" t="str">
        <f>IF(ISNUMBER(CB111)=TRUE,IF(_xlfn.RANK.EQ(CB111,$CB$2:$CB$111)&lt;='Tournament Setup'!$C$39,_xlfn.RANK.EQ(CB111,$CB$2:$CB$111),""),"")</f>
        <v/>
      </c>
      <c r="CD111" s="31" t="str">
        <f>IF(AND($G111='Tournament Setup'!$A$39,$E111="F",$CA111&gt;'Tournament Setup'!$B$39),$H111,"")</f>
        <v/>
      </c>
      <c r="CE111" s="12" t="str">
        <f>IF(ISNUMBER(CD111)=TRUE,IF(_xlfn.RANK.EQ(CD111,$CD$2:$CD$111)&lt;='Tournament Setup'!$D$39,_xlfn.RANK.EQ(CD111,$CD$2:$CD$111),""),"")</f>
        <v/>
      </c>
      <c r="CF111" s="30" t="str">
        <f>IF($G111='Tournament Setup'!$A$40,$H111,"")</f>
        <v/>
      </c>
      <c r="CG111" s="47" t="str">
        <f>IF(ISNUMBER(CF111),IF(COUNTIFS(CG$1:CG110,_xlfn.RANK.EQ(CF111,CF$2:CF$111,0))&gt;0,_xlfn.MAXIFS(CG$1:CG110,CF$1:CF110,CF111)+1,_xlfn.RANK.EQ(CF111,CF$2:CF$111,0)),"")</f>
        <v/>
      </c>
      <c r="CH111" s="1" t="str">
        <f>IF(ISNUMBER(CF111)=TRUE,IF(_xlfn.RANK.EQ(CF111,$CF$2:$CF$111)&lt;='Tournament Setup'!$B$40,_xlfn.RANK.EQ(CF111,$CF$2:$CF$111),""),"")</f>
        <v/>
      </c>
      <c r="CI111" s="31" t="str">
        <f>IF(AND($G111='Tournament Setup'!$A$40,$E111="M",$CH111&gt;'Tournament Setup'!$B$40),$H111,"")</f>
        <v/>
      </c>
      <c r="CJ111" s="1" t="str">
        <f>IF(ISNUMBER(CI111)=TRUE,IF(_xlfn.RANK.EQ(CI111,$CI$2:$CI$111)&lt;='Tournament Setup'!$C$40,_xlfn.RANK.EQ(CI111,$CI$2:$CI$111),""),"")</f>
        <v/>
      </c>
      <c r="CK111" s="31" t="str">
        <f>IF(AND($G111='Tournament Setup'!$A$40,$E111="F",$CH111&gt;'Tournament Setup'!$B$40),$H111,"")</f>
        <v/>
      </c>
      <c r="CL111" s="12" t="str">
        <f>IF(ISNUMBER(CK111)=TRUE,IF(_xlfn.RANK.EQ(CK111,$CK$2:$CK$111)&lt;='Tournament Setup'!$D$40,_xlfn.RANK.EQ(CK111,$CK$2:$CK$111),""),"")</f>
        <v/>
      </c>
      <c r="CM111" s="30" t="str">
        <f>IF($G111='Tournament Setup'!$A$41,$H111,"")</f>
        <v/>
      </c>
      <c r="CN111" s="47" t="str">
        <f>IF(ISNUMBER(CM111),IF(COUNTIFS(CN$1:CN110,_xlfn.RANK.EQ(CM111,CM$2:CM$111,0))&gt;0,_xlfn.MAXIFS(CN$1:CN110,CM$1:CM110,CM111)+1,_xlfn.RANK.EQ(CM111,CM$2:CM$111,0)),"")</f>
        <v/>
      </c>
      <c r="CO111" s="1" t="str">
        <f>IF(ISNUMBER(CM111)=TRUE,IF(_xlfn.RANK.EQ(CM111,$CM$2:$CM$111)&lt;='Tournament Setup'!$B$41,_xlfn.RANK.EQ(CM111,$CM$2:$CM$111),""),"")</f>
        <v/>
      </c>
      <c r="CP111" s="31" t="str">
        <f>IF(AND($G111='Tournament Setup'!$A$41,$E111="M",$CO111&gt;'Tournament Setup'!$B$41),$H111,"")</f>
        <v/>
      </c>
      <c r="CQ111" s="1" t="str">
        <f>IF(ISNUMBER(CP111)=TRUE,IF(_xlfn.RANK.EQ(CP111,$CP$2:$CP$111)&lt;='Tournament Setup'!$C$41,_xlfn.RANK.EQ(CP111,$CP$2:$CP$111),""),"")</f>
        <v/>
      </c>
      <c r="CR111" s="31" t="str">
        <f>IF(AND($G111='Tournament Setup'!$A$41,$E111="F",$CO111&gt;'Tournament Setup'!$B$41),$H111,"")</f>
        <v/>
      </c>
      <c r="CS111" s="12" t="str">
        <f>IF(ISNUMBER(CR111)=TRUE,IF(_xlfn.RANK.EQ(CR111,$CR$2:$CR$111)&lt;='Tournament Setup'!$D$41,_xlfn.RANK.EQ(CR111,$CR$2:$CR$111),""),"")</f>
        <v/>
      </c>
    </row>
    <row r="112" spans="2:97" s="33" customFormat="1" x14ac:dyDescent="0.3">
      <c r="E112" s="34"/>
      <c r="G112" s="34"/>
      <c r="H112" s="35"/>
      <c r="I112" s="35"/>
      <c r="J112" s="35"/>
      <c r="K112" s="36"/>
      <c r="M112" s="34"/>
      <c r="O112" s="34"/>
      <c r="Q112" s="34"/>
      <c r="S112" s="37"/>
      <c r="T112" s="122"/>
      <c r="W112" s="38"/>
      <c r="AC112" s="39"/>
      <c r="AD112" s="122"/>
      <c r="AG112" s="38"/>
      <c r="AM112" s="39"/>
      <c r="AN112" s="122"/>
      <c r="AQ112" s="38"/>
      <c r="AW112" s="39"/>
      <c r="AX112" s="122"/>
      <c r="BA112" s="38"/>
      <c r="BG112" s="39"/>
      <c r="BH112" s="122"/>
      <c r="BK112" s="38"/>
      <c r="BQ112" s="39"/>
      <c r="BR112" s="38"/>
      <c r="BX112" s="39"/>
      <c r="BY112" s="38"/>
      <c r="CE112" s="39"/>
      <c r="CF112" s="38"/>
      <c r="CL112" s="39"/>
      <c r="CM112" s="38"/>
      <c r="CS112" s="39"/>
    </row>
  </sheetData>
  <autoFilter ref="A1:AM111" xr:uid="{F5B22903-9D51-4CAC-ACCC-3D6C2FF34BB1}">
    <sortState xmlns:xlrd2="http://schemas.microsoft.com/office/spreadsheetml/2017/richdata2" ref="A2:AM111">
      <sortCondition ref="A1:A111"/>
    </sortState>
  </autoFilter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B97C4-5547-415E-BF00-ECC4B2E34230}">
  <sheetPr>
    <tabColor rgb="FF7030A0"/>
  </sheetPr>
  <dimension ref="A1:S133"/>
  <sheetViews>
    <sheetView showGridLines="0" zoomScale="90" zoomScaleNormal="90" workbookViewId="0">
      <selection activeCell="F3" sqref="F3"/>
    </sheetView>
  </sheetViews>
  <sheetFormatPr defaultRowHeight="14.4" x14ac:dyDescent="0.3"/>
  <cols>
    <col min="1" max="1" width="5.5546875" style="1" bestFit="1" customWidth="1"/>
    <col min="2" max="2" width="6.88671875" style="1" bestFit="1" customWidth="1"/>
    <col min="3" max="3" width="27.109375" style="1" bestFit="1" customWidth="1"/>
    <col min="4" max="4" width="6.109375" style="1" bestFit="1" customWidth="1"/>
    <col min="5" max="5" width="18.109375" style="1" bestFit="1" customWidth="1"/>
    <col min="6" max="6" width="6.109375" bestFit="1" customWidth="1"/>
    <col min="7" max="7" width="5.6640625" style="1" bestFit="1" customWidth="1"/>
    <col min="8" max="8" width="6.88671875" style="1" bestFit="1" customWidth="1"/>
    <col min="9" max="9" width="27.109375" bestFit="1" customWidth="1"/>
    <col min="10" max="10" width="6.109375" style="1" bestFit="1" customWidth="1"/>
    <col min="11" max="11" width="19.109375" bestFit="1" customWidth="1"/>
    <col min="12" max="12" width="6.109375" style="1" bestFit="1" customWidth="1"/>
    <col min="13" max="13" width="5.6640625" bestFit="1" customWidth="1"/>
    <col min="14" max="14" width="7.21875" bestFit="1" customWidth="1"/>
    <col min="15" max="15" width="27.109375" bestFit="1" customWidth="1"/>
    <col min="16" max="16" width="12.21875" style="1" bestFit="1" customWidth="1"/>
    <col min="17" max="17" width="6.109375" style="1" bestFit="1" customWidth="1"/>
    <col min="18" max="18" width="19.109375" style="1" bestFit="1" customWidth="1"/>
    <col min="19" max="19" width="6.109375" style="1" customWidth="1"/>
  </cols>
  <sheetData>
    <row r="1" spans="1:19" x14ac:dyDescent="0.3">
      <c r="B1" s="142" t="s">
        <v>120</v>
      </c>
      <c r="C1" s="143"/>
      <c r="D1" s="143"/>
      <c r="E1" s="143"/>
      <c r="F1" s="144"/>
      <c r="H1" s="194" t="s">
        <v>117</v>
      </c>
      <c r="I1" s="195"/>
      <c r="J1" s="195"/>
      <c r="K1" s="195"/>
      <c r="L1" s="196"/>
      <c r="N1" s="142" t="s">
        <v>391</v>
      </c>
      <c r="O1" s="143"/>
      <c r="P1" s="143"/>
      <c r="Q1" s="143"/>
      <c r="R1" s="143"/>
      <c r="S1" s="144"/>
    </row>
    <row r="2" spans="1:19" ht="29.4" thickBot="1" x14ac:dyDescent="0.35">
      <c r="A2" s="1" t="s">
        <v>144</v>
      </c>
      <c r="B2" s="145" t="s">
        <v>367</v>
      </c>
      <c r="C2" s="146" t="s">
        <v>36</v>
      </c>
      <c r="D2" s="148" t="s">
        <v>368</v>
      </c>
      <c r="E2" s="146" t="s">
        <v>390</v>
      </c>
      <c r="F2" s="147" t="s">
        <v>386</v>
      </c>
      <c r="G2" s="1" t="s">
        <v>144</v>
      </c>
      <c r="H2" s="197" t="s">
        <v>367</v>
      </c>
      <c r="I2" s="198" t="s">
        <v>36</v>
      </c>
      <c r="J2" s="199" t="s">
        <v>368</v>
      </c>
      <c r="K2" s="198" t="s">
        <v>390</v>
      </c>
      <c r="L2" s="200" t="s">
        <v>386</v>
      </c>
      <c r="M2" s="1" t="s">
        <v>144</v>
      </c>
      <c r="N2" s="149" t="s">
        <v>367</v>
      </c>
      <c r="O2" s="146" t="s">
        <v>36</v>
      </c>
      <c r="P2" s="146" t="s">
        <v>305</v>
      </c>
      <c r="Q2" s="148" t="s">
        <v>368</v>
      </c>
      <c r="R2" s="146" t="s">
        <v>390</v>
      </c>
      <c r="S2" s="147" t="s">
        <v>386</v>
      </c>
    </row>
    <row r="3" spans="1:19" ht="15" thickBot="1" x14ac:dyDescent="0.35">
      <c r="A3" s="167">
        <v>1</v>
      </c>
      <c r="B3" s="168">
        <f>IFERROR(INDEX('Tournament List'!O:O,MATCH(INDEX('Skeet Ind Concurrent Ranking'!A:A,MATCH(A3,'Skeet Ind Concurrent Ranking'!BJ:BJ,0)),'Tournament List'!A:A,0)),"")</f>
        <v>280</v>
      </c>
      <c r="C3" s="169" t="str">
        <f>IFERROR(INDEX('Tournament List'!R:R,MATCH(B3,'Tournament List'!O:O,0)),"")</f>
        <v>Littleton Target Masters</v>
      </c>
      <c r="D3" s="170">
        <f>IFERROR(INDEX('Tournament List'!T:T,MATCH(B3&amp;"-1",'Tournament List'!Q:Q,0)),"")</f>
        <v>189</v>
      </c>
      <c r="E3" s="171" t="str">
        <f>IFERROR(INDEX('Tournament List'!D:D,MATCH(B3&amp;"-1",'Tournament List'!P:P,0)),"")</f>
        <v>Bob Last Name12</v>
      </c>
      <c r="F3" s="172">
        <f>IFERROR(INDEX('Tournament List'!U:U,MATCH(B3&amp;"-1",'Tournament List'!P:P,0)),"")</f>
        <v>48</v>
      </c>
      <c r="G3" s="184">
        <v>1</v>
      </c>
      <c r="H3" s="185">
        <f>IFERROR(INDEX('Tournament List'!O:O,MATCH(INDEX('Skeet Ind Concurrent Ranking'!A:A,MATCH(A3,'Skeet Ind Concurrent Ranking'!AF:AF,0)),'Tournament List'!A:A,0)),"")</f>
        <v>13</v>
      </c>
      <c r="I3" s="186" t="str">
        <f>IFERROR(INDEX('Tournament List'!R:R,MATCH(H3,'Tournament List'!O:O,0)),"")</f>
        <v>High Plains Drifters</v>
      </c>
      <c r="J3" s="187">
        <f>IFERROR(INDEX('Tournament List'!T:T,MATCH(H3&amp;"-1",'Tournament List'!Q:Q,0)),"")</f>
        <v>277</v>
      </c>
      <c r="K3" s="188" t="str">
        <f>IFERROR(INDEX('Tournament List'!D:D,MATCH(H3&amp;"-1",'Tournament List'!P:P,0)),"")</f>
        <v>Blake Last Name7</v>
      </c>
      <c r="L3" s="189">
        <f>IFERROR(INDEX('Tournament List'!U:U,MATCH(H3&amp;"-1",'Tournament List'!P:P,0)),"")</f>
        <v>97</v>
      </c>
      <c r="M3" s="184">
        <v>1</v>
      </c>
      <c r="N3" s="185">
        <f>IFERROR(INDEX('Tournament List'!O:O,MATCH(INDEX('Skeet Ind Concurrent Ranking'!A:A,MATCH(M3,'Skeet Ind Concurrent Ranking'!J:J,0)),'Tournament List'!A:A,0)),"")</f>
        <v>13</v>
      </c>
      <c r="O3" s="186" t="str">
        <f>IFERROR(INDEX('Tournament List'!R:R,MATCH(N3,'Tournament List'!O:O,0)),"")</f>
        <v>High Plains Drifters</v>
      </c>
      <c r="P3" s="241" t="str">
        <f>IFERROR(INDEX('Shooter-Squad Assignment'!F:F,MATCH(N3&amp;"-1",'Shooter-Squad Assignment'!U:U,0)),"")</f>
        <v>Intermediate</v>
      </c>
      <c r="Q3" s="242">
        <f>IFERROR(INDEX('Tournament List'!T:T,MATCH(N3&amp;"-1",'Tournament List'!Q:Q,0)),"")</f>
        <v>277</v>
      </c>
      <c r="R3" s="188" t="str">
        <f>IFERROR(INDEX('Tournament List'!D:D,MATCH(N3&amp;"-1",'Tournament List'!P:P,0)),"")</f>
        <v>Blake Last Name7</v>
      </c>
      <c r="S3" s="189">
        <f>IFERROR(INDEX('Tournament List'!U:U,MATCH(N3&amp;"-1",'Tournament List'!P:P,0)),"")</f>
        <v>97</v>
      </c>
    </row>
    <row r="4" spans="1:19" x14ac:dyDescent="0.3">
      <c r="A4" s="173"/>
      <c r="B4" s="178"/>
      <c r="C4" s="179"/>
      <c r="D4" s="180"/>
      <c r="E4" s="174" t="str">
        <f>IFERROR(INDEX('Tournament List'!D:D,MATCH(B3&amp;"-2",'Tournament List'!P:P,0)),"")</f>
        <v>Jill Last Name18</v>
      </c>
      <c r="F4" s="175">
        <f>IFERROR(INDEX('Tournament List'!U:U,MATCH(B3&amp;"-2",'Tournament List'!P:P,0)),"")</f>
        <v>90</v>
      </c>
      <c r="G4" s="222"/>
      <c r="H4" s="134"/>
      <c r="I4" s="135"/>
      <c r="J4" s="136"/>
      <c r="K4" s="190" t="str">
        <f>IFERROR(INDEX('Tournament List'!D:D,MATCH(H3&amp;"-2",'Tournament List'!P:P,0)),"")</f>
        <v>Shelly Last Name31</v>
      </c>
      <c r="L4" s="191">
        <f>IFERROR(INDEX('Tournament List'!U:U,MATCH(H3&amp;"-2",'Tournament List'!P:P,0)),"")</f>
        <v>92</v>
      </c>
      <c r="M4" s="222"/>
      <c r="N4" s="134"/>
      <c r="O4" s="135"/>
      <c r="P4" s="136"/>
      <c r="Q4" s="136"/>
      <c r="R4" s="190" t="str">
        <f>IFERROR(INDEX('Tournament List'!D:D,MATCH(N3&amp;"-2",'Tournament List'!P:P,0)),"")</f>
        <v>Shelly Last Name31</v>
      </c>
      <c r="S4" s="191">
        <f>IFERROR(INDEX('Tournament List'!U:U,MATCH(N3&amp;"-2",'Tournament List'!P:P,0)),"")</f>
        <v>92</v>
      </c>
    </row>
    <row r="5" spans="1:19" ht="15" thickBot="1" x14ac:dyDescent="0.35">
      <c r="A5" s="173"/>
      <c r="B5" s="181"/>
      <c r="C5" s="182"/>
      <c r="D5" s="183"/>
      <c r="E5" s="176" t="str">
        <f>IFERROR(INDEX('Tournament List'!D:D,MATCH(B3&amp;"-3",'Tournament List'!P:P,0)),"")</f>
        <v>Judy Last Name30</v>
      </c>
      <c r="F5" s="177">
        <f>IFERROR(INDEX('Tournament List'!U:U,MATCH(B3&amp;"-3",'Tournament List'!P:P,0)),"")</f>
        <v>51</v>
      </c>
      <c r="G5" s="222"/>
      <c r="H5" s="137"/>
      <c r="I5" s="138"/>
      <c r="J5" s="139"/>
      <c r="K5" s="192" t="str">
        <f>IFERROR(INDEX('Tournament List'!D:D,MATCH(H3&amp;"-3",'Tournament List'!P:P,0)),"")</f>
        <v>Terry Last Name43</v>
      </c>
      <c r="L5" s="193">
        <f>IFERROR(INDEX('Tournament List'!U:U,MATCH(H3&amp;"-3",'Tournament List'!P:P,0)),"")</f>
        <v>88</v>
      </c>
      <c r="M5" s="222"/>
      <c r="N5" s="137"/>
      <c r="O5" s="138"/>
      <c r="P5" s="139"/>
      <c r="Q5" s="139"/>
      <c r="R5" s="192" t="str">
        <f>IFERROR(INDEX('Tournament List'!D:D,MATCH(N3&amp;"-3",'Tournament List'!P:P,0)),"")</f>
        <v>Terry Last Name43</v>
      </c>
      <c r="S5" s="193">
        <f>IFERROR(INDEX('Tournament List'!U:U,MATCH(N3&amp;"-3",'Tournament List'!P:P,0)),"")</f>
        <v>88</v>
      </c>
    </row>
    <row r="6" spans="1:19" ht="15" thickBot="1" x14ac:dyDescent="0.35">
      <c r="A6" s="184">
        <v>2</v>
      </c>
      <c r="B6" s="185">
        <f>IFERROR(INDEX('Tournament List'!O:O,MATCH(INDEX('Skeet Ind Concurrent Ranking'!A:A,MATCH(A6,'Skeet Ind Concurrent Ranking'!BJ:BJ,0)),'Tournament List'!A:A,0)),"")</f>
        <v>118</v>
      </c>
      <c r="C6" s="186" t="str">
        <f>IFERROR(INDEX('Tournament List'!R:R,MATCH(B6,'Tournament List'!O:O,0)),"")</f>
        <v>Wiggins Tigers Sporting Club</v>
      </c>
      <c r="D6" s="187">
        <f>IFERROR(INDEX('Tournament List'!T:T,MATCH(B6&amp;"-1",'Tournament List'!Q:Q,0)),"")</f>
        <v>177</v>
      </c>
      <c r="E6" s="188" t="str">
        <f>IFERROR(INDEX('Tournament List'!D:D,MATCH(B6&amp;"-1",'Tournament List'!P:P,0)),"")</f>
        <v>Chad Last Name39</v>
      </c>
      <c r="F6" s="189">
        <f>IFERROR(INDEX('Tournament List'!U:U,MATCH(B6&amp;"-1",'Tournament List'!P:P,0)),"")</f>
        <v>43</v>
      </c>
      <c r="G6" s="167">
        <v>2</v>
      </c>
      <c r="H6" s="168">
        <f>IFERROR(INDEX('Tournament List'!O:O,MATCH(INDEX('Skeet Ind Concurrent Ranking'!A:A,MATCH(A6,'Skeet Ind Concurrent Ranking'!AF:AF,0)),'Tournament List'!A:A,0)),"")</f>
        <v>175</v>
      </c>
      <c r="I6" s="169" t="str">
        <f>IFERROR(INDEX('Tournament List'!R:R,MATCH(H6,'Tournament List'!O:O,0)),"")</f>
        <v>Forge Christian Shooting Team</v>
      </c>
      <c r="J6" s="170">
        <f>IFERROR(INDEX('Tournament List'!T:T,MATCH(H6&amp;"-1",'Tournament List'!Q:Q,0)),"")</f>
        <v>231</v>
      </c>
      <c r="K6" s="171" t="str">
        <f>IFERROR(INDEX('Tournament List'!D:D,MATCH(H6&amp;"-1",'Tournament List'!P:P,0)),"")</f>
        <v>Christy Last Name10</v>
      </c>
      <c r="L6" s="172">
        <f>IFERROR(INDEX('Tournament List'!U:U,MATCH(H6&amp;"-1",'Tournament List'!P:P,0)),"")</f>
        <v>93</v>
      </c>
      <c r="M6" s="223">
        <v>2</v>
      </c>
      <c r="N6" s="224">
        <f>IFERROR(INDEX('Tournament List'!O:O,MATCH(INDEX('Skeet Ind Concurrent Ranking'!A:A,MATCH(M6,'Skeet Ind Concurrent Ranking'!J:J,0)),'Tournament List'!A:A,0)),"")</f>
        <v>25</v>
      </c>
      <c r="O6" s="225" t="str">
        <f>IFERROR(INDEX('Tournament List'!R:R,MATCH(N6,'Tournament List'!O:O,0)),"")</f>
        <v>High Plains Drifters</v>
      </c>
      <c r="P6" s="226" t="str">
        <f>IFERROR(INDEX('Shooter-Squad Assignment'!F:F,MATCH(N6&amp;"-1",'Shooter-Squad Assignment'!U:U,0)),"")</f>
        <v>Varsity</v>
      </c>
      <c r="Q6" s="227">
        <f>IFERROR(INDEX('Tournament List'!T:T,MATCH(N6&amp;"-1",'Tournament List'!Q:Q,0)),"")</f>
        <v>239</v>
      </c>
      <c r="R6" s="228" t="str">
        <f>IFERROR(INDEX('Tournament List'!D:D,MATCH(N6&amp;"-1",'Tournament List'!P:P,0)),"")</f>
        <v>Jack Last Name19</v>
      </c>
      <c r="S6" s="229">
        <f>IFERROR(INDEX('Tournament List'!U:U,MATCH(N6&amp;"-1",'Tournament List'!P:P,0)),"")</f>
        <v>82</v>
      </c>
    </row>
    <row r="7" spans="1:19" x14ac:dyDescent="0.3">
      <c r="A7" s="222"/>
      <c r="B7" s="134"/>
      <c r="C7" s="135"/>
      <c r="D7" s="136"/>
      <c r="E7" s="190" t="str">
        <f>IFERROR(INDEX('Tournament List'!D:D,MATCH(B6&amp;"-2",'Tournament List'!P:P,0)),"")</f>
        <v>Becky Last Name27</v>
      </c>
      <c r="F7" s="191">
        <f>IFERROR(INDEX('Tournament List'!U:U,MATCH(B6&amp;"-2",'Tournament List'!P:P,0)),"")</f>
        <v>45</v>
      </c>
      <c r="G7" s="173"/>
      <c r="H7" s="178"/>
      <c r="I7" s="179"/>
      <c r="J7" s="180"/>
      <c r="K7" s="174" t="str">
        <f>IFERROR(INDEX('Tournament List'!D:D,MATCH(H6&amp;"-2",'Tournament List'!P:P,0)),"")</f>
        <v>Steve Last Name22</v>
      </c>
      <c r="L7" s="175">
        <f>IFERROR(INDEX('Tournament List'!U:U,MATCH(H6&amp;"-2",'Tournament List'!P:P,0)),"")</f>
        <v>70</v>
      </c>
      <c r="M7" s="230"/>
      <c r="N7" s="235"/>
      <c r="O7" s="236"/>
      <c r="P7" s="237"/>
      <c r="Q7" s="237"/>
      <c r="R7" s="231" t="str">
        <f>IFERROR(INDEX('Tournament List'!D:D,MATCH(N6&amp;"-2",'Tournament List'!P:P,0)),"")</f>
        <v>Harry Last Name25</v>
      </c>
      <c r="S7" s="232">
        <f>IFERROR(INDEX('Tournament List'!U:U,MATCH(N6&amp;"-2",'Tournament List'!P:P,0)),"")</f>
        <v>72</v>
      </c>
    </row>
    <row r="8" spans="1:19" ht="15" thickBot="1" x14ac:dyDescent="0.35">
      <c r="A8" s="222"/>
      <c r="B8" s="137"/>
      <c r="C8" s="138"/>
      <c r="D8" s="139"/>
      <c r="E8" s="192" t="str">
        <f>IFERROR(INDEX('Tournament List'!D:D,MATCH(B6&amp;"-3",'Tournament List'!P:P,0)),"")</f>
        <v>Daniel Last Name15</v>
      </c>
      <c r="F8" s="193">
        <f>IFERROR(INDEX('Tournament List'!U:U,MATCH(B6&amp;"-3",'Tournament List'!P:P,0)),"")</f>
        <v>89</v>
      </c>
      <c r="G8" s="173"/>
      <c r="H8" s="181"/>
      <c r="I8" s="182"/>
      <c r="J8" s="183"/>
      <c r="K8" s="176" t="str">
        <f>IFERROR(INDEX('Tournament List'!D:D,MATCH(H6&amp;"-3",'Tournament List'!P:P,0)),"")</f>
        <v>Marty Last Name34</v>
      </c>
      <c r="L8" s="177">
        <f>IFERROR(INDEX('Tournament List'!U:U,MATCH(H6&amp;"-3",'Tournament List'!P:P,0)),"")</f>
        <v>68</v>
      </c>
      <c r="M8" s="230"/>
      <c r="N8" s="238"/>
      <c r="O8" s="239"/>
      <c r="P8" s="240"/>
      <c r="Q8" s="240"/>
      <c r="R8" s="233" t="str">
        <f>IFERROR(INDEX('Tournament List'!D:D,MATCH(N6&amp;"-3",'Tournament List'!P:P,0)),"")</f>
        <v>Will Last Name37</v>
      </c>
      <c r="S8" s="234">
        <f>IFERROR(INDEX('Tournament List'!U:U,MATCH(N6&amp;"-3",'Tournament List'!P:P,0)),"")</f>
        <v>85</v>
      </c>
    </row>
    <row r="9" spans="1:19" ht="15" thickBot="1" x14ac:dyDescent="0.35">
      <c r="A9" s="167">
        <v>3</v>
      </c>
      <c r="B9" s="168" t="str">
        <f>IFERROR(INDEX('Tournament List'!O:O,MATCH(INDEX('Skeet Ind Concurrent Ranking'!A:A,MATCH(A9,'Skeet Ind Concurrent Ranking'!BJ:BJ,0)),'Tournament List'!A:A,0)),"")</f>
        <v/>
      </c>
      <c r="C9" s="169" t="str">
        <f>IFERROR(INDEX('Tournament List'!R:R,MATCH(B9,'Tournament List'!O:O,0)),"")</f>
        <v/>
      </c>
      <c r="D9" s="170" t="str">
        <f>IFERROR(INDEX('Tournament List'!T:T,MATCH(B9&amp;"-1",'Tournament List'!Q:Q,0)),"")</f>
        <v/>
      </c>
      <c r="E9" s="171" t="str">
        <f>IFERROR(INDEX('Tournament List'!D:D,MATCH(B9&amp;"-1",'Tournament List'!P:P,0)),"")</f>
        <v/>
      </c>
      <c r="F9" s="172" t="str">
        <f>IFERROR(INDEX('Tournament List'!U:U,MATCH(B9&amp;"-1",'Tournament List'!P:P,0)),"")</f>
        <v/>
      </c>
      <c r="G9" s="184">
        <v>3</v>
      </c>
      <c r="H9" s="185" t="str">
        <f>IFERROR(INDEX('Tournament List'!O:O,MATCH(INDEX('Skeet Ind Concurrent Ranking'!A:A,MATCH(A9,'Skeet Ind Concurrent Ranking'!AF:AF,0)),'Tournament List'!A:A,0)),"")</f>
        <v/>
      </c>
      <c r="I9" s="186" t="str">
        <f>IFERROR(INDEX('Tournament List'!R:R,MATCH(H9,'Tournament List'!O:O,0)),"")</f>
        <v/>
      </c>
      <c r="J9" s="187" t="str">
        <f>IFERROR(INDEX('Tournament List'!T:T,MATCH(H9&amp;"-1",'Tournament List'!Q:Q,0)),"")</f>
        <v/>
      </c>
      <c r="K9" s="188" t="str">
        <f>IFERROR(INDEX('Tournament List'!D:D,MATCH(H9&amp;"-1",'Tournament List'!P:P,0)),"")</f>
        <v/>
      </c>
      <c r="L9" s="189" t="str">
        <f>IFERROR(INDEX('Tournament List'!U:U,MATCH(H9&amp;"-1",'Tournament List'!P:P,0)),"")</f>
        <v/>
      </c>
      <c r="M9" s="184">
        <v>3</v>
      </c>
      <c r="N9" s="185">
        <f>IFERROR(INDEX('Tournament List'!O:O,MATCH(INDEX('Skeet Ind Concurrent Ranking'!A:A,MATCH(M9,'Skeet Ind Concurrent Ranking'!J:J,0)),'Tournament List'!A:A,0)),"")</f>
        <v>232</v>
      </c>
      <c r="O9" s="186" t="str">
        <f>IFERROR(INDEX('Tournament List'!R:R,MATCH(N9,'Tournament List'!O:O,0)),"")</f>
        <v>Brighton Clay Crushers</v>
      </c>
      <c r="P9" s="241" t="str">
        <f>IFERROR(INDEX('Shooter-Squad Assignment'!F:F,MATCH(N9&amp;"-1",'Shooter-Squad Assignment'!U:U,0)),"")</f>
        <v>Junior Varsity</v>
      </c>
      <c r="Q9" s="242">
        <f>IFERROR(INDEX('Tournament List'!T:T,MATCH(N9&amp;"-1",'Tournament List'!Q:Q,0)),"")</f>
        <v>239</v>
      </c>
      <c r="R9" s="188" t="str">
        <f>IFERROR(INDEX('Tournament List'!D:D,MATCH(N9&amp;"-1",'Tournament List'!P:P,0)),"")</f>
        <v>Tom Last Name23</v>
      </c>
      <c r="S9" s="189">
        <f>IFERROR(INDEX('Tournament List'!U:U,MATCH(N9&amp;"-1",'Tournament List'!P:P,0)),"")</f>
        <v>61</v>
      </c>
    </row>
    <row r="10" spans="1:19" x14ac:dyDescent="0.3">
      <c r="A10" s="173"/>
      <c r="B10" s="178"/>
      <c r="C10" s="179"/>
      <c r="D10" s="180"/>
      <c r="E10" s="174" t="str">
        <f>IFERROR(INDEX('Tournament List'!D:D,MATCH(B9&amp;"-2",'Tournament List'!P:P,0)),"")</f>
        <v/>
      </c>
      <c r="F10" s="175" t="str">
        <f>IFERROR(INDEX('Tournament List'!U:U,MATCH(B9&amp;"-2",'Tournament List'!P:P,0)),"")</f>
        <v/>
      </c>
      <c r="G10" s="222"/>
      <c r="H10" s="134"/>
      <c r="I10" s="135"/>
      <c r="J10" s="136"/>
      <c r="K10" s="190" t="str">
        <f>IFERROR(INDEX('Tournament List'!D:D,MATCH(H9&amp;"-2",'Tournament List'!P:P,0)),"")</f>
        <v/>
      </c>
      <c r="L10" s="191" t="str">
        <f>IFERROR(INDEX('Tournament List'!U:U,MATCH(H9&amp;"-2",'Tournament List'!P:P,0)),"")</f>
        <v/>
      </c>
      <c r="M10" s="222"/>
      <c r="N10" s="134"/>
      <c r="O10" s="135"/>
      <c r="P10" s="136"/>
      <c r="Q10" s="136"/>
      <c r="R10" s="190" t="str">
        <f>IFERROR(INDEX('Tournament List'!D:D,MATCH(N9&amp;"-2",'Tournament List'!P:P,0)),"")</f>
        <v>Bill Last Name11</v>
      </c>
      <c r="S10" s="191">
        <f>IFERROR(INDEX('Tournament List'!U:U,MATCH(N9&amp;"-2",'Tournament List'!P:P,0)),"")</f>
        <v>98</v>
      </c>
    </row>
    <row r="11" spans="1:19" ht="15" thickBot="1" x14ac:dyDescent="0.35">
      <c r="A11" s="173"/>
      <c r="B11" s="181"/>
      <c r="C11" s="182"/>
      <c r="D11" s="183"/>
      <c r="E11" s="176" t="str">
        <f>IFERROR(INDEX('Tournament List'!D:D,MATCH(B9&amp;"-3",'Tournament List'!P:P,0)),"")</f>
        <v/>
      </c>
      <c r="F11" s="177" t="str">
        <f>IFERROR(INDEX('Tournament List'!U:U,MATCH(B9&amp;"-3",'Tournament List'!P:P,0)),"")</f>
        <v/>
      </c>
      <c r="G11" s="222"/>
      <c r="H11" s="137"/>
      <c r="I11" s="138"/>
      <c r="J11" s="139"/>
      <c r="K11" s="192" t="str">
        <f>IFERROR(INDEX('Tournament List'!D:D,MATCH(H9&amp;"-3",'Tournament List'!P:P,0)),"")</f>
        <v/>
      </c>
      <c r="L11" s="193" t="str">
        <f>IFERROR(INDEX('Tournament List'!U:U,MATCH(H9&amp;"-3",'Tournament List'!P:P,0)),"")</f>
        <v/>
      </c>
      <c r="M11" s="222"/>
      <c r="N11" s="137"/>
      <c r="O11" s="138"/>
      <c r="P11" s="139"/>
      <c r="Q11" s="139"/>
      <c r="R11" s="192" t="str">
        <f>IFERROR(INDEX('Tournament List'!D:D,MATCH(N9&amp;"-3",'Tournament List'!P:P,0)),"")</f>
        <v>Alan Last Name29</v>
      </c>
      <c r="S11" s="193">
        <f>IFERROR(INDEX('Tournament List'!U:U,MATCH(N9&amp;"-3",'Tournament List'!P:P,0)),"")</f>
        <v>80</v>
      </c>
    </row>
    <row r="12" spans="1:19" ht="15" thickBot="1" x14ac:dyDescent="0.35">
      <c r="I12" s="1"/>
      <c r="K12" s="1"/>
      <c r="M12" s="223">
        <v>4</v>
      </c>
      <c r="N12" s="224">
        <f>IFERROR(INDEX('Tournament List'!O:O,MATCH(INDEX('Skeet Ind Concurrent Ranking'!A:A,MATCH(M12,'Skeet Ind Concurrent Ranking'!J:J,0)),'Tournament List'!A:A,0)),"")</f>
        <v>70</v>
      </c>
      <c r="O12" s="225" t="str">
        <f>IFERROR(INDEX('Tournament List'!R:R,MATCH(N12,'Tournament List'!O:O,0)),"")</f>
        <v>Rocky Mountain Clay Busters</v>
      </c>
      <c r="P12" s="226" t="str">
        <f>IFERROR(INDEX('Shooter-Squad Assignment'!F:F,MATCH(N12&amp;"-1",'Shooter-Squad Assignment'!U:U,0)),"")</f>
        <v>Junior Varsity</v>
      </c>
      <c r="Q12" s="227">
        <f>IFERROR(INDEX('Tournament List'!T:T,MATCH(N12&amp;"-1",'Tournament List'!Q:Q,0)),"")</f>
        <v>239</v>
      </c>
      <c r="R12" s="228" t="str">
        <f>IFERROR(INDEX('Tournament List'!D:D,MATCH(N12&amp;"-1",'Tournament List'!P:P,0)),"")</f>
        <v>Gary Last Name26</v>
      </c>
      <c r="S12" s="229">
        <f>IFERROR(INDEX('Tournament List'!U:U,MATCH(N12&amp;"-1",'Tournament List'!P:P,0)),"")</f>
        <v>86</v>
      </c>
    </row>
    <row r="13" spans="1:19" x14ac:dyDescent="0.3">
      <c r="B13" s="208" t="s">
        <v>119</v>
      </c>
      <c r="C13" s="209"/>
      <c r="D13" s="209"/>
      <c r="E13" s="209"/>
      <c r="F13" s="210"/>
      <c r="H13" s="201" t="s">
        <v>116</v>
      </c>
      <c r="I13" s="202"/>
      <c r="J13" s="202"/>
      <c r="K13" s="202"/>
      <c r="L13" s="203"/>
      <c r="M13" s="230"/>
      <c r="N13" s="235"/>
      <c r="O13" s="236"/>
      <c r="P13" s="237"/>
      <c r="Q13" s="237"/>
      <c r="R13" s="231" t="str">
        <f>IFERROR(INDEX('Tournament List'!D:D,MATCH(N12&amp;"-2",'Tournament List'!P:P,0)),"")</f>
        <v>James Last Name8</v>
      </c>
      <c r="S13" s="232">
        <f>IFERROR(INDEX('Tournament List'!U:U,MATCH(N12&amp;"-2",'Tournament List'!P:P,0)),"")</f>
        <v>64</v>
      </c>
    </row>
    <row r="14" spans="1:19" ht="29.4" thickBot="1" x14ac:dyDescent="0.35">
      <c r="A14" s="1" t="s">
        <v>144</v>
      </c>
      <c r="B14" s="211" t="s">
        <v>367</v>
      </c>
      <c r="C14" s="212" t="s">
        <v>36</v>
      </c>
      <c r="D14" s="213" t="s">
        <v>368</v>
      </c>
      <c r="E14" s="212" t="s">
        <v>390</v>
      </c>
      <c r="F14" s="214" t="s">
        <v>386</v>
      </c>
      <c r="G14" s="1" t="s">
        <v>144</v>
      </c>
      <c r="H14" s="204" t="s">
        <v>367</v>
      </c>
      <c r="I14" s="205" t="s">
        <v>36</v>
      </c>
      <c r="J14" s="206" t="s">
        <v>368</v>
      </c>
      <c r="K14" s="205" t="s">
        <v>390</v>
      </c>
      <c r="L14" s="207" t="s">
        <v>386</v>
      </c>
      <c r="M14" s="230"/>
      <c r="N14" s="238"/>
      <c r="O14" s="239"/>
      <c r="P14" s="240"/>
      <c r="Q14" s="240"/>
      <c r="R14" s="233" t="str">
        <f>IFERROR(INDEX('Tournament List'!D:D,MATCH(N12&amp;"-3",'Tournament List'!P:P,0)),"")</f>
        <v>Stuart Last Name38</v>
      </c>
      <c r="S14" s="234">
        <f>IFERROR(INDEX('Tournament List'!U:U,MATCH(N12&amp;"-3",'Tournament List'!P:P,0)),"")</f>
        <v>89</v>
      </c>
    </row>
    <row r="15" spans="1:19" ht="15" thickBot="1" x14ac:dyDescent="0.35">
      <c r="A15" s="184">
        <v>1</v>
      </c>
      <c r="B15" s="185">
        <f>IFERROR(INDEX('Tournament List'!O:O,MATCH(INDEX('Skeet Ind Concurrent Ranking'!A:A,MATCH(A15,'Skeet Ind Concurrent Ranking'!AZ:AZ,0)),'Tournament List'!A:A,0)),"")</f>
        <v>25</v>
      </c>
      <c r="C15" s="186" t="str">
        <f>IFERROR(INDEX('Tournament List'!R:R,MATCH(B15,'Tournament List'!O:O,0)),"")</f>
        <v>High Plains Drifters</v>
      </c>
      <c r="D15" s="187">
        <f>IFERROR(INDEX('Tournament List'!T:T,MATCH(B15&amp;"-1",'Tournament List'!Q:Q,0)),"")</f>
        <v>239</v>
      </c>
      <c r="E15" s="188" t="str">
        <f>IFERROR(INDEX('Tournament List'!D:D,MATCH(B15&amp;"-1",'Tournament List'!P:P,0)),"")</f>
        <v>Jack Last Name19</v>
      </c>
      <c r="F15" s="189">
        <f>IFERROR(INDEX('Tournament List'!U:U,MATCH(B15&amp;"-1",'Tournament List'!P:P,0)),"")</f>
        <v>82</v>
      </c>
      <c r="G15" s="167">
        <v>1</v>
      </c>
      <c r="H15" s="168">
        <f>IFERROR(INDEX('Tournament List'!O:O,MATCH(INDEX('Skeet Ind Concurrent Ranking'!A:A,MATCH(A15,'Skeet Ind Concurrent Ranking'!V:V,0)),'Tournament List'!A:A,0)),"")</f>
        <v>235</v>
      </c>
      <c r="I15" s="169" t="str">
        <f>IFERROR(INDEX('Tournament List'!R:R,MATCH(H15,'Tournament List'!O:O,0)),"")</f>
        <v>Brighton Clay Crushers</v>
      </c>
      <c r="J15" s="170">
        <f>IFERROR(INDEX('Tournament List'!T:T,MATCH(H15&amp;"-1",'Tournament List'!Q:Q,0)),"")</f>
        <v>220</v>
      </c>
      <c r="K15" s="171" t="str">
        <f>IFERROR(INDEX('Tournament List'!D:D,MATCH(H15&amp;"-1",'Tournament List'!P:P,0)),"")</f>
        <v>Joan Last Name17</v>
      </c>
      <c r="L15" s="172">
        <f>IFERROR(INDEX('Tournament List'!U:U,MATCH(H15&amp;"-1",'Tournament List'!P:P,0)),"")</f>
        <v>60</v>
      </c>
      <c r="M15" s="184">
        <v>5</v>
      </c>
      <c r="N15" s="185">
        <f>IFERROR(INDEX('Tournament List'!O:O,MATCH(INDEX('Skeet Ind Concurrent Ranking'!A:A,MATCH(M15,'Skeet Ind Concurrent Ranking'!J:J,0)),'Tournament List'!A:A,0)),"")</f>
        <v>175</v>
      </c>
      <c r="O15" s="186" t="str">
        <f>IFERROR(INDEX('Tournament List'!R:R,MATCH(N15,'Tournament List'!O:O,0)),"")</f>
        <v>Forge Christian Shooting Team</v>
      </c>
      <c r="P15" s="241" t="str">
        <f>IFERROR(INDEX('Shooter-Squad Assignment'!F:F,MATCH(N15&amp;"-1",'Shooter-Squad Assignment'!U:U,0)),"")</f>
        <v>Intermediate</v>
      </c>
      <c r="Q15" s="242">
        <f>IFERROR(INDEX('Tournament List'!T:T,MATCH(N15&amp;"-1",'Tournament List'!Q:Q,0)),"")</f>
        <v>231</v>
      </c>
      <c r="R15" s="188" t="str">
        <f>IFERROR(INDEX('Tournament List'!D:D,MATCH(N15&amp;"-1",'Tournament List'!P:P,0)),"")</f>
        <v>Christy Last Name10</v>
      </c>
      <c r="S15" s="189">
        <f>IFERROR(INDEX('Tournament List'!U:U,MATCH(N15&amp;"-1",'Tournament List'!P:P,0)),"")</f>
        <v>93</v>
      </c>
    </row>
    <row r="16" spans="1:19" x14ac:dyDescent="0.3">
      <c r="A16" s="222"/>
      <c r="B16" s="134"/>
      <c r="C16" s="135"/>
      <c r="D16" s="136"/>
      <c r="E16" s="190" t="str">
        <f>IFERROR(INDEX('Tournament List'!D:D,MATCH(B15&amp;"-2",'Tournament List'!P:P,0)),"")</f>
        <v>Harry Last Name25</v>
      </c>
      <c r="F16" s="191">
        <f>IFERROR(INDEX('Tournament List'!U:U,MATCH(B15&amp;"-2",'Tournament List'!P:P,0)),"")</f>
        <v>72</v>
      </c>
      <c r="G16" s="173"/>
      <c r="H16" s="178"/>
      <c r="I16" s="179"/>
      <c r="J16" s="180"/>
      <c r="K16" s="174" t="str">
        <f>IFERROR(INDEX('Tournament List'!D:D,MATCH(H15&amp;"-2",'Tournament List'!P:P,0)),"")</f>
        <v>Patricia Last Name35</v>
      </c>
      <c r="L16" s="175">
        <f>IFERROR(INDEX('Tournament List'!U:U,MATCH(H15&amp;"-2",'Tournament List'!P:P,0)),"")</f>
        <v>95</v>
      </c>
      <c r="M16" s="222"/>
      <c r="N16" s="134"/>
      <c r="O16" s="135"/>
      <c r="P16" s="136"/>
      <c r="Q16" s="136"/>
      <c r="R16" s="190" t="str">
        <f>IFERROR(INDEX('Tournament List'!D:D,MATCH(N15&amp;"-2",'Tournament List'!P:P,0)),"")</f>
        <v>Steve Last Name22</v>
      </c>
      <c r="S16" s="191">
        <f>IFERROR(INDEX('Tournament List'!U:U,MATCH(N15&amp;"-2",'Tournament List'!P:P,0)),"")</f>
        <v>70</v>
      </c>
    </row>
    <row r="17" spans="1:19" ht="15" thickBot="1" x14ac:dyDescent="0.35">
      <c r="A17" s="222"/>
      <c r="B17" s="137"/>
      <c r="C17" s="138"/>
      <c r="D17" s="139"/>
      <c r="E17" s="192" t="str">
        <f>IFERROR(INDEX('Tournament List'!D:D,MATCH(B15&amp;"-3",'Tournament List'!P:P,0)),"")</f>
        <v>Will Last Name37</v>
      </c>
      <c r="F17" s="193">
        <f>IFERROR(INDEX('Tournament List'!U:U,MATCH(B15&amp;"-3",'Tournament List'!P:P,0)),"")</f>
        <v>85</v>
      </c>
      <c r="G17" s="173"/>
      <c r="H17" s="181"/>
      <c r="I17" s="182"/>
      <c r="J17" s="183"/>
      <c r="K17" s="176" t="str">
        <f>IFERROR(INDEX('Tournament List'!D:D,MATCH(H15&amp;"-3",'Tournament List'!P:P,0)),"")</f>
        <v>Rick Last Name47</v>
      </c>
      <c r="L17" s="177">
        <f>IFERROR(INDEX('Tournament List'!U:U,MATCH(H15&amp;"-3",'Tournament List'!P:P,0)),"")</f>
        <v>65</v>
      </c>
      <c r="M17" s="222"/>
      <c r="N17" s="137"/>
      <c r="O17" s="138"/>
      <c r="P17" s="139"/>
      <c r="Q17" s="139"/>
      <c r="R17" s="192" t="str">
        <f>IFERROR(INDEX('Tournament List'!D:D,MATCH(N15&amp;"-3",'Tournament List'!P:P,0)),"")</f>
        <v>Marty Last Name34</v>
      </c>
      <c r="S17" s="193">
        <f>IFERROR(INDEX('Tournament List'!U:U,MATCH(N15&amp;"-3",'Tournament List'!P:P,0)),"")</f>
        <v>68</v>
      </c>
    </row>
    <row r="18" spans="1:19" ht="15" thickBot="1" x14ac:dyDescent="0.35">
      <c r="A18" s="167">
        <v>2</v>
      </c>
      <c r="B18" s="168">
        <f>IFERROR(INDEX('Tournament List'!O:O,MATCH(INDEX('Skeet Ind Concurrent Ranking'!A:A,MATCH(A18,'Skeet Ind Concurrent Ranking'!AZ:AZ,0)),'Tournament List'!A:A,0)),"")</f>
        <v>187</v>
      </c>
      <c r="C18" s="169" t="str">
        <f>IFERROR(INDEX('Tournament List'!R:R,MATCH(B18,'Tournament List'!O:O,0)),"")</f>
        <v>Forge Christian Shooting Team</v>
      </c>
      <c r="D18" s="170">
        <f>IFERROR(INDEX('Tournament List'!T:T,MATCH(B18&amp;"-1",'Tournament List'!Q:Q,0)),"")</f>
        <v>154</v>
      </c>
      <c r="E18" s="171" t="str">
        <f>IFERROR(INDEX('Tournament List'!D:D,MATCH(B18&amp;"-1",'Tournament List'!P:P,0)),"")</f>
        <v>Sam Last Name46</v>
      </c>
      <c r="F18" s="172">
        <f>IFERROR(INDEX('Tournament List'!U:U,MATCH(B18&amp;"-1",'Tournament List'!P:P,0)),"")</f>
        <v>32</v>
      </c>
      <c r="G18" s="184">
        <v>2</v>
      </c>
      <c r="H18" s="185">
        <f>IFERROR(INDEX('Tournament List'!O:O,MATCH(INDEX('Skeet Ind Concurrent Ranking'!A:A,MATCH(A18,'Skeet Ind Concurrent Ranking'!V:V,0)),'Tournament List'!A:A,0)),"")</f>
        <v>127</v>
      </c>
      <c r="I18" s="186" t="str">
        <f>IFERROR(INDEX('Tournament List'!R:R,MATCH(H18,'Tournament List'!O:O,0)),"")</f>
        <v>Wiggins Tigers Sporting Club</v>
      </c>
      <c r="J18" s="187">
        <f>IFERROR(INDEX('Tournament List'!T:T,MATCH(H18&amp;"-1",'Tournament List'!Q:Q,0)),"")</f>
        <v>199</v>
      </c>
      <c r="K18" s="188" t="str">
        <f>IFERROR(INDEX('Tournament List'!D:D,MATCH(H18&amp;"-1",'Tournament List'!P:P,0)),"")</f>
        <v>Dee Last Name45</v>
      </c>
      <c r="L18" s="189">
        <f>IFERROR(INDEX('Tournament List'!U:U,MATCH(H18&amp;"-1",'Tournament List'!P:P,0)),"")</f>
        <v>54</v>
      </c>
      <c r="M18" s="223">
        <v>6</v>
      </c>
      <c r="N18" s="224">
        <f>IFERROR(INDEX('Tournament List'!O:O,MATCH(INDEX('Skeet Ind Concurrent Ranking'!A:A,MATCH(M18,'Skeet Ind Concurrent Ranking'!J:J,0)),'Tournament List'!A:A,0)),"")</f>
        <v>235</v>
      </c>
      <c r="O18" s="225" t="str">
        <f>IFERROR(INDEX('Tournament List'!R:R,MATCH(N18,'Tournament List'!O:O,0)),"")</f>
        <v>Brighton Clay Crushers</v>
      </c>
      <c r="P18" s="226" t="str">
        <f>IFERROR(INDEX('Shooter-Squad Assignment'!F:F,MATCH(N18&amp;"-1",'Shooter-Squad Assignment'!U:U,0)),"")</f>
        <v>Novice</v>
      </c>
      <c r="Q18" s="227">
        <f>IFERROR(INDEX('Tournament List'!T:T,MATCH(N18&amp;"-1",'Tournament List'!Q:Q,0)),"")</f>
        <v>220</v>
      </c>
      <c r="R18" s="228" t="str">
        <f>IFERROR(INDEX('Tournament List'!D:D,MATCH(N18&amp;"-1",'Tournament List'!P:P,0)),"")</f>
        <v>Joan Last Name17</v>
      </c>
      <c r="S18" s="229">
        <f>IFERROR(INDEX('Tournament List'!U:U,MATCH(N18&amp;"-1",'Tournament List'!P:P,0)),"")</f>
        <v>60</v>
      </c>
    </row>
    <row r="19" spans="1:19" x14ac:dyDescent="0.3">
      <c r="A19" s="173"/>
      <c r="B19" s="178"/>
      <c r="C19" s="179"/>
      <c r="D19" s="180"/>
      <c r="E19" s="174" t="str">
        <f>IFERROR(INDEX('Tournament List'!D:D,MATCH(B18&amp;"-2",'Tournament List'!P:P,0)),"")</f>
        <v>Brad Last Name28</v>
      </c>
      <c r="F19" s="175">
        <f>IFERROR(INDEX('Tournament List'!U:U,MATCH(B18&amp;"-2",'Tournament List'!P:P,0)),"")</f>
        <v>63</v>
      </c>
      <c r="G19" s="222"/>
      <c r="H19" s="134"/>
      <c r="I19" s="135"/>
      <c r="J19" s="136"/>
      <c r="K19" s="190" t="str">
        <f>IFERROR(INDEX('Tournament List'!D:D,MATCH(H18&amp;"-2",'Tournament List'!P:P,0)),"")</f>
        <v>Nathan Last Name21</v>
      </c>
      <c r="L19" s="191">
        <f>IFERROR(INDEX('Tournament List'!U:U,MATCH(H18&amp;"-2",'Tournament List'!P:P,0)),"")</f>
        <v>72</v>
      </c>
      <c r="M19" s="230"/>
      <c r="N19" s="235"/>
      <c r="O19" s="236"/>
      <c r="P19" s="237"/>
      <c r="Q19" s="237"/>
      <c r="R19" s="231" t="str">
        <f>IFERROR(INDEX('Tournament List'!D:D,MATCH(N18&amp;"-2",'Tournament List'!P:P,0)),"")</f>
        <v>Patricia Last Name35</v>
      </c>
      <c r="S19" s="232">
        <f>IFERROR(INDEX('Tournament List'!U:U,MATCH(N18&amp;"-2",'Tournament List'!P:P,0)),"")</f>
        <v>95</v>
      </c>
    </row>
    <row r="20" spans="1:19" ht="15" thickBot="1" x14ac:dyDescent="0.35">
      <c r="A20" s="173"/>
      <c r="B20" s="181"/>
      <c r="C20" s="182"/>
      <c r="D20" s="183"/>
      <c r="E20" s="176" t="str">
        <f>IFERROR(INDEX('Tournament List'!D:D,MATCH(B18&amp;"-3",'Tournament List'!P:P,0)),"")</f>
        <v>Troy Last Name40</v>
      </c>
      <c r="F20" s="177">
        <f>IFERROR(INDEX('Tournament List'!U:U,MATCH(B18&amp;"-3",'Tournament List'!P:P,0)),"")</f>
        <v>59</v>
      </c>
      <c r="G20" s="222"/>
      <c r="H20" s="137"/>
      <c r="I20" s="138"/>
      <c r="J20" s="139"/>
      <c r="K20" s="192" t="str">
        <f>IFERROR(INDEX('Tournament List'!D:D,MATCH(H18&amp;"-3",'Tournament List'!P:P,0)),"")</f>
        <v>Missy Last Name33</v>
      </c>
      <c r="L20" s="193">
        <f>IFERROR(INDEX('Tournament List'!U:U,MATCH(H18&amp;"-3",'Tournament List'!P:P,0)),"")</f>
        <v>73</v>
      </c>
      <c r="M20" s="230"/>
      <c r="N20" s="238"/>
      <c r="O20" s="239"/>
      <c r="P20" s="240"/>
      <c r="Q20" s="240"/>
      <c r="R20" s="233" t="str">
        <f>IFERROR(INDEX('Tournament List'!D:D,MATCH(N18&amp;"-3",'Tournament List'!P:P,0)),"")</f>
        <v>Rick Last Name47</v>
      </c>
      <c r="S20" s="234">
        <f>IFERROR(INDEX('Tournament List'!U:U,MATCH(N18&amp;"-3",'Tournament List'!P:P,0)),"")</f>
        <v>65</v>
      </c>
    </row>
    <row r="21" spans="1:19" ht="15" thickBot="1" x14ac:dyDescent="0.35">
      <c r="A21" s="184">
        <v>3</v>
      </c>
      <c r="B21" s="185" t="str">
        <f>IFERROR(INDEX('Tournament List'!O:O,MATCH(INDEX('Skeet Ind Concurrent Ranking'!A:A,MATCH(A21,'Skeet Ind Concurrent Ranking'!AZ:AZ,0)),'Tournament List'!A:A,0)),"")</f>
        <v/>
      </c>
      <c r="C21" s="186" t="str">
        <f>IFERROR(INDEX('Tournament List'!R:R,MATCH(B21,'Tournament List'!O:O,0)),"")</f>
        <v/>
      </c>
      <c r="D21" s="187" t="str">
        <f>IFERROR(INDEX('Tournament List'!T:T,MATCH(B21&amp;"-1",'Tournament List'!Q:Q,0)),"")</f>
        <v/>
      </c>
      <c r="E21" s="188" t="str">
        <f>IFERROR(INDEX('Tournament List'!D:D,MATCH(B21&amp;"-1",'Tournament List'!P:P,0)),"")</f>
        <v/>
      </c>
      <c r="F21" s="189" t="str">
        <f>IFERROR(INDEX('Tournament List'!U:U,MATCH(B21&amp;"-1",'Tournament List'!P:P,0)),"")</f>
        <v/>
      </c>
      <c r="G21" s="167">
        <v>3</v>
      </c>
      <c r="H21" s="168" t="str">
        <f>IFERROR(INDEX('Tournament List'!O:O,MATCH(INDEX('Skeet Ind Concurrent Ranking'!A:A,MATCH(A21,'Skeet Ind Concurrent Ranking'!V:V,0)),'Tournament List'!A:A,0)),"")</f>
        <v/>
      </c>
      <c r="I21" s="169" t="str">
        <f>IFERROR(INDEX('Tournament List'!R:R,MATCH(H21,'Tournament List'!O:O,0)),"")</f>
        <v/>
      </c>
      <c r="J21" s="170" t="str">
        <f>IFERROR(INDEX('Tournament List'!T:T,MATCH(H21&amp;"-1",'Tournament List'!Q:Q,0)),"")</f>
        <v/>
      </c>
      <c r="K21" s="171" t="str">
        <f>IFERROR(INDEX('Tournament List'!D:D,MATCH(H21&amp;"-1",'Tournament List'!P:P,0)),"")</f>
        <v/>
      </c>
      <c r="L21" s="172" t="str">
        <f>IFERROR(INDEX('Tournament List'!U:U,MATCH(H21&amp;"-1",'Tournament List'!P:P,0)),"")</f>
        <v/>
      </c>
      <c r="M21" s="184">
        <v>7</v>
      </c>
      <c r="N21" s="185">
        <f>IFERROR(INDEX('Tournament List'!O:O,MATCH(INDEX('Skeet Ind Concurrent Ranking'!A:A,MATCH(M21,'Skeet Ind Concurrent Ranking'!J:J,0)),'Tournament List'!A:A,0)),"")</f>
        <v>127</v>
      </c>
      <c r="O21" s="186" t="str">
        <f>IFERROR(INDEX('Tournament List'!R:R,MATCH(N21,'Tournament List'!O:O,0)),"")</f>
        <v>Wiggins Tigers Sporting Club</v>
      </c>
      <c r="P21" s="241" t="str">
        <f>IFERROR(INDEX('Shooter-Squad Assignment'!F:F,MATCH(N21&amp;"-1",'Shooter-Squad Assignment'!U:U,0)),"")</f>
        <v>Novice</v>
      </c>
      <c r="Q21" s="242">
        <f>IFERROR(INDEX('Tournament List'!T:T,MATCH(N21&amp;"-1",'Tournament List'!Q:Q,0)),"")</f>
        <v>199</v>
      </c>
      <c r="R21" s="188" t="str">
        <f>IFERROR(INDEX('Tournament List'!D:D,MATCH(N21&amp;"-1",'Tournament List'!P:P,0)),"")</f>
        <v>Dee Last Name45</v>
      </c>
      <c r="S21" s="189">
        <f>IFERROR(INDEX('Tournament List'!U:U,MATCH(N21&amp;"-1",'Tournament List'!P:P,0)),"")</f>
        <v>54</v>
      </c>
    </row>
    <row r="22" spans="1:19" x14ac:dyDescent="0.3">
      <c r="A22" s="222"/>
      <c r="B22" s="134"/>
      <c r="C22" s="135"/>
      <c r="D22" s="136"/>
      <c r="E22" s="190" t="str">
        <f>IFERROR(INDEX('Tournament List'!D:D,MATCH(B21&amp;"-2",'Tournament List'!P:P,0)),"")</f>
        <v/>
      </c>
      <c r="F22" s="191" t="str">
        <f>IFERROR(INDEX('Tournament List'!U:U,MATCH(B21&amp;"-2",'Tournament List'!P:P,0)),"")</f>
        <v/>
      </c>
      <c r="G22" s="173"/>
      <c r="H22" s="178"/>
      <c r="I22" s="179"/>
      <c r="J22" s="180"/>
      <c r="K22" s="174" t="str">
        <f>IFERROR(INDEX('Tournament List'!D:D,MATCH(H21&amp;"-2",'Tournament List'!P:P,0)),"")</f>
        <v/>
      </c>
      <c r="L22" s="175" t="str">
        <f>IFERROR(INDEX('Tournament List'!U:U,MATCH(H21&amp;"-2",'Tournament List'!P:P,0)),"")</f>
        <v/>
      </c>
      <c r="M22" s="222"/>
      <c r="N22" s="134"/>
      <c r="O22" s="135"/>
      <c r="P22" s="136"/>
      <c r="Q22" s="136"/>
      <c r="R22" s="190" t="str">
        <f>IFERROR(INDEX('Tournament List'!D:D,MATCH(N21&amp;"-2",'Tournament List'!P:P,0)),"")</f>
        <v>Nathan Last Name21</v>
      </c>
      <c r="S22" s="191">
        <f>IFERROR(INDEX('Tournament List'!U:U,MATCH(N21&amp;"-2",'Tournament List'!P:P,0)),"")</f>
        <v>72</v>
      </c>
    </row>
    <row r="23" spans="1:19" ht="15" thickBot="1" x14ac:dyDescent="0.35">
      <c r="A23" s="222"/>
      <c r="B23" s="137"/>
      <c r="C23" s="138"/>
      <c r="D23" s="139"/>
      <c r="E23" s="192" t="str">
        <f>IFERROR(INDEX('Tournament List'!D:D,MATCH(B21&amp;"-3",'Tournament List'!P:P,0)),"")</f>
        <v/>
      </c>
      <c r="F23" s="193" t="str">
        <f>IFERROR(INDEX('Tournament List'!U:U,MATCH(B21&amp;"-3",'Tournament List'!P:P,0)),"")</f>
        <v/>
      </c>
      <c r="G23" s="173"/>
      <c r="H23" s="181"/>
      <c r="I23" s="182"/>
      <c r="J23" s="183"/>
      <c r="K23" s="176" t="str">
        <f>IFERROR(INDEX('Tournament List'!D:D,MATCH(H21&amp;"-3",'Tournament List'!P:P,0)),"")</f>
        <v/>
      </c>
      <c r="L23" s="177" t="str">
        <f>IFERROR(INDEX('Tournament List'!U:U,MATCH(H21&amp;"-3",'Tournament List'!P:P,0)),"")</f>
        <v/>
      </c>
      <c r="M23" s="222"/>
      <c r="N23" s="137"/>
      <c r="O23" s="138"/>
      <c r="P23" s="139"/>
      <c r="Q23" s="139"/>
      <c r="R23" s="192" t="str">
        <f>IFERROR(INDEX('Tournament List'!D:D,MATCH(N21&amp;"-3",'Tournament List'!P:P,0)),"")</f>
        <v>Missy Last Name33</v>
      </c>
      <c r="S23" s="193">
        <f>IFERROR(INDEX('Tournament List'!U:U,MATCH(N21&amp;"-3",'Tournament List'!P:P,0)),"")</f>
        <v>73</v>
      </c>
    </row>
    <row r="24" spans="1:19" ht="15" thickBot="1" x14ac:dyDescent="0.35">
      <c r="A24"/>
      <c r="B24"/>
      <c r="C24"/>
      <c r="D24"/>
      <c r="E24"/>
      <c r="G24"/>
      <c r="H24"/>
      <c r="J24"/>
      <c r="L24"/>
      <c r="M24" s="223">
        <v>8</v>
      </c>
      <c r="N24" s="224">
        <f>IFERROR(INDEX('Tournament List'!O:O,MATCH(INDEX('Skeet Ind Concurrent Ranking'!A:A,MATCH(M24,'Skeet Ind Concurrent Ranking'!J:J,0)),'Tournament List'!A:A,0)),"")</f>
        <v>280</v>
      </c>
      <c r="O24" s="225" t="str">
        <f>IFERROR(INDEX('Tournament List'!R:R,MATCH(N24,'Tournament List'!O:O,0)),"")</f>
        <v>Littleton Target Masters</v>
      </c>
      <c r="P24" s="226" t="str">
        <f>IFERROR(INDEX('Shooter-Squad Assignment'!F:F,MATCH(N24&amp;"-1",'Shooter-Squad Assignment'!U:U,0)),"")</f>
        <v>Collegiate</v>
      </c>
      <c r="Q24" s="227">
        <f>IFERROR(INDEX('Tournament List'!T:T,MATCH(N24&amp;"-1",'Tournament List'!Q:Q,0)),"")</f>
        <v>189</v>
      </c>
      <c r="R24" s="228" t="str">
        <f>IFERROR(INDEX('Tournament List'!D:D,MATCH(N24&amp;"-1",'Tournament List'!P:P,0)),"")</f>
        <v>Bob Last Name12</v>
      </c>
      <c r="S24" s="229">
        <f>IFERROR(INDEX('Tournament List'!U:U,MATCH(N24&amp;"-1",'Tournament List'!P:P,0)),"")</f>
        <v>48</v>
      </c>
    </row>
    <row r="25" spans="1:19" x14ac:dyDescent="0.3">
      <c r="B25" s="215" t="s">
        <v>118</v>
      </c>
      <c r="C25" s="216"/>
      <c r="D25" s="216"/>
      <c r="E25" s="216"/>
      <c r="F25" s="217"/>
      <c r="G25"/>
      <c r="H25"/>
      <c r="J25"/>
      <c r="L25"/>
      <c r="M25" s="230"/>
      <c r="N25" s="235"/>
      <c r="O25" s="236"/>
      <c r="P25" s="237"/>
      <c r="Q25" s="237"/>
      <c r="R25" s="231" t="str">
        <f>IFERROR(INDEX('Tournament List'!D:D,MATCH(N24&amp;"-2",'Tournament List'!P:P,0)),"")</f>
        <v>Jill Last Name18</v>
      </c>
      <c r="S25" s="232">
        <f>IFERROR(INDEX('Tournament List'!U:U,MATCH(N24&amp;"-2",'Tournament List'!P:P,0)),"")</f>
        <v>90</v>
      </c>
    </row>
    <row r="26" spans="1:19" ht="29.4" thickBot="1" x14ac:dyDescent="0.35">
      <c r="A26" s="1" t="s">
        <v>144</v>
      </c>
      <c r="B26" s="218" t="s">
        <v>367</v>
      </c>
      <c r="C26" s="219" t="s">
        <v>36</v>
      </c>
      <c r="D26" s="220" t="s">
        <v>368</v>
      </c>
      <c r="E26" s="219" t="s">
        <v>390</v>
      </c>
      <c r="F26" s="221" t="s">
        <v>386</v>
      </c>
      <c r="G26"/>
      <c r="H26"/>
      <c r="J26"/>
      <c r="L26"/>
      <c r="M26" s="230"/>
      <c r="N26" s="238"/>
      <c r="O26" s="239"/>
      <c r="P26" s="240"/>
      <c r="Q26" s="240"/>
      <c r="R26" s="233" t="str">
        <f>IFERROR(INDEX('Tournament List'!D:D,MATCH(N24&amp;"-3",'Tournament List'!P:P,0)),"")</f>
        <v>Judy Last Name30</v>
      </c>
      <c r="S26" s="234">
        <f>IFERROR(INDEX('Tournament List'!U:U,MATCH(N24&amp;"-3",'Tournament List'!P:P,0)),"")</f>
        <v>51</v>
      </c>
    </row>
    <row r="27" spans="1:19" ht="15" thickBot="1" x14ac:dyDescent="0.35">
      <c r="A27" s="167">
        <v>1</v>
      </c>
      <c r="B27" s="168">
        <f>IFERROR(INDEX('Tournament List'!O:O,MATCH(INDEX('Skeet Ind Concurrent Ranking'!A:A,MATCH(A27,'Skeet Ind Concurrent Ranking'!AP:AP,0)),'Tournament List'!A:A,0)),"")</f>
        <v>232</v>
      </c>
      <c r="C27" s="169" t="str">
        <f>IFERROR(INDEX('Tournament List'!R:R,MATCH(B27,'Tournament List'!O:O,0)),"")</f>
        <v>Brighton Clay Crushers</v>
      </c>
      <c r="D27" s="170">
        <f>IFERROR(INDEX('Tournament List'!T:T,MATCH(B27&amp;"-1",'Tournament List'!Q:Q,0)),"")</f>
        <v>239</v>
      </c>
      <c r="E27" s="171" t="str">
        <f>IFERROR(INDEX('Tournament List'!D:D,MATCH(B27&amp;"-1",'Tournament List'!P:P,0)),"")</f>
        <v>Tom Last Name23</v>
      </c>
      <c r="F27" s="172">
        <f>IFERROR(INDEX('Tournament List'!U:U,MATCH(B27&amp;"-1",'Tournament List'!P:P,0)),"")</f>
        <v>61</v>
      </c>
      <c r="G27"/>
      <c r="H27"/>
      <c r="J27"/>
      <c r="L27"/>
      <c r="M27" s="184">
        <v>9</v>
      </c>
      <c r="N27" s="185">
        <f>IFERROR(INDEX('Tournament List'!O:O,MATCH(INDEX('Skeet Ind Concurrent Ranking'!A:A,MATCH(M27,'Skeet Ind Concurrent Ranking'!J:J,0)),'Tournament List'!A:A,0)),"")</f>
        <v>118</v>
      </c>
      <c r="O27" s="186" t="str">
        <f>IFERROR(INDEX('Tournament List'!R:R,MATCH(N27,'Tournament List'!O:O,0)),"")</f>
        <v>Wiggins Tigers Sporting Club</v>
      </c>
      <c r="P27" s="241" t="str">
        <f>IFERROR(INDEX('Shooter-Squad Assignment'!F:F,MATCH(N27&amp;"-1",'Shooter-Squad Assignment'!U:U,0)),"")</f>
        <v>Collegiate</v>
      </c>
      <c r="Q27" s="242">
        <f>IFERROR(INDEX('Tournament List'!T:T,MATCH(N27&amp;"-1",'Tournament List'!Q:Q,0)),"")</f>
        <v>177</v>
      </c>
      <c r="R27" s="188" t="str">
        <f>IFERROR(INDEX('Tournament List'!D:D,MATCH(N27&amp;"-1",'Tournament List'!P:P,0)),"")</f>
        <v>Chad Last Name39</v>
      </c>
      <c r="S27" s="189">
        <f>IFERROR(INDEX('Tournament List'!U:U,MATCH(N27&amp;"-1",'Tournament List'!P:P,0)),"")</f>
        <v>43</v>
      </c>
    </row>
    <row r="28" spans="1:19" x14ac:dyDescent="0.3">
      <c r="A28" s="173"/>
      <c r="B28" s="178"/>
      <c r="C28" s="179"/>
      <c r="D28" s="180"/>
      <c r="E28" s="174" t="str">
        <f>IFERROR(INDEX('Tournament List'!D:D,MATCH(B27&amp;"-2",'Tournament List'!P:P,0)),"")</f>
        <v>Bill Last Name11</v>
      </c>
      <c r="F28" s="175">
        <f>IFERROR(INDEX('Tournament List'!U:U,MATCH(B27&amp;"-2",'Tournament List'!P:P,0)),"")</f>
        <v>98</v>
      </c>
      <c r="G28"/>
      <c r="H28"/>
      <c r="J28"/>
      <c r="L28"/>
      <c r="M28" s="222"/>
      <c r="N28" s="134"/>
      <c r="O28" s="135"/>
      <c r="P28" s="136"/>
      <c r="Q28" s="136"/>
      <c r="R28" s="190" t="str">
        <f>IFERROR(INDEX('Tournament List'!D:D,MATCH(N27&amp;"-2",'Tournament List'!P:P,0)),"")</f>
        <v>Becky Last Name27</v>
      </c>
      <c r="S28" s="191">
        <f>IFERROR(INDEX('Tournament List'!U:U,MATCH(N27&amp;"-2",'Tournament List'!P:P,0)),"")</f>
        <v>45</v>
      </c>
    </row>
    <row r="29" spans="1:19" ht="15" thickBot="1" x14ac:dyDescent="0.35">
      <c r="A29" s="173"/>
      <c r="B29" s="181"/>
      <c r="C29" s="182"/>
      <c r="D29" s="183"/>
      <c r="E29" s="176" t="str">
        <f>IFERROR(INDEX('Tournament List'!D:D,MATCH(B27&amp;"-3",'Tournament List'!P:P,0)),"")</f>
        <v>Alan Last Name29</v>
      </c>
      <c r="F29" s="177">
        <f>IFERROR(INDEX('Tournament List'!U:U,MATCH(B27&amp;"-3",'Tournament List'!P:P,0)),"")</f>
        <v>80</v>
      </c>
      <c r="G29"/>
      <c r="H29"/>
      <c r="J29"/>
      <c r="L29"/>
      <c r="M29" s="222"/>
      <c r="N29" s="137"/>
      <c r="O29" s="138"/>
      <c r="P29" s="139"/>
      <c r="Q29" s="139"/>
      <c r="R29" s="192" t="str">
        <f>IFERROR(INDEX('Tournament List'!D:D,MATCH(N27&amp;"-3",'Tournament List'!P:P,0)),"")</f>
        <v>Daniel Last Name15</v>
      </c>
      <c r="S29" s="193">
        <f>IFERROR(INDEX('Tournament List'!U:U,MATCH(N27&amp;"-3",'Tournament List'!P:P,0)),"")</f>
        <v>89</v>
      </c>
    </row>
    <row r="30" spans="1:19" ht="15" thickBot="1" x14ac:dyDescent="0.35">
      <c r="A30" s="184">
        <v>2</v>
      </c>
      <c r="B30" s="185" t="str">
        <f>IFERROR(INDEX('Tournament List'!O:O,MATCH(INDEX('Skeet Ind Concurrent Ranking'!A:A,MATCH(A30,'Skeet Ind Concurrent Ranking'!AP:AP,0)),'Tournament List'!A:A,0)),"")</f>
        <v/>
      </c>
      <c r="C30" s="186" t="str">
        <f>IFERROR(INDEX('Tournament List'!R:R,MATCH(B30,'Tournament List'!O:O,0)),"")</f>
        <v/>
      </c>
      <c r="D30" s="187" t="str">
        <f>IFERROR(INDEX('Tournament List'!T:T,MATCH(B30&amp;"-1",'Tournament List'!Q:Q,0)),"")</f>
        <v/>
      </c>
      <c r="E30" s="188" t="str">
        <f>IFERROR(INDEX('Tournament List'!D:D,MATCH(B30&amp;"-1",'Tournament List'!P:P,0)),"")</f>
        <v/>
      </c>
      <c r="F30" s="189" t="str">
        <f>IFERROR(INDEX('Tournament List'!U:U,MATCH(B30&amp;"-1",'Tournament List'!P:P,0)),"")</f>
        <v/>
      </c>
      <c r="G30"/>
      <c r="H30"/>
      <c r="J30"/>
      <c r="L30"/>
      <c r="M30" s="223">
        <v>10</v>
      </c>
      <c r="N30" s="224">
        <f>IFERROR(INDEX('Tournament List'!O:O,MATCH(INDEX('Skeet Ind Concurrent Ranking'!A:A,MATCH(M30,'Skeet Ind Concurrent Ranking'!J:J,0)),'Tournament List'!A:A,0)),"")</f>
        <v>67</v>
      </c>
      <c r="O30" s="225" t="str">
        <f>IFERROR(INDEX('Tournament List'!R:R,MATCH(N30,'Tournament List'!O:O,0)),"")</f>
        <v>Rocky Mountain Clay Busters</v>
      </c>
      <c r="P30" s="226" t="str">
        <f>IFERROR(INDEX('Shooter-Squad Assignment'!F:F,MATCH(N30&amp;"-1",'Shooter-Squad Assignment'!U:U,0)),"")</f>
        <v>Intermediate</v>
      </c>
      <c r="Q30" s="227">
        <f>IFERROR(INDEX('Tournament List'!T:T,MATCH(N30&amp;"-1",'Tournament List'!Q:Q,0)),"")</f>
        <v>177</v>
      </c>
      <c r="R30" s="228" t="str">
        <f>IFERROR(INDEX('Tournament List'!D:D,MATCH(N30&amp;"-1",'Tournament List'!P:P,0)),"")</f>
        <v>Trisha Last Name44</v>
      </c>
      <c r="S30" s="229">
        <f>IFERROR(INDEX('Tournament List'!U:U,MATCH(N30&amp;"-1",'Tournament List'!P:P,0)),"")</f>
        <v>72</v>
      </c>
    </row>
    <row r="31" spans="1:19" x14ac:dyDescent="0.3">
      <c r="A31" s="222"/>
      <c r="B31" s="134"/>
      <c r="C31" s="135"/>
      <c r="D31" s="136"/>
      <c r="E31" s="190" t="str">
        <f>IFERROR(INDEX('Tournament List'!D:D,MATCH(B30&amp;"-2",'Tournament List'!P:P,0)),"")</f>
        <v/>
      </c>
      <c r="F31" s="191" t="str">
        <f>IFERROR(INDEX('Tournament List'!U:U,MATCH(B30&amp;"-2",'Tournament List'!P:P,0)),"")</f>
        <v/>
      </c>
      <c r="G31"/>
      <c r="H31"/>
      <c r="J31"/>
      <c r="L31"/>
      <c r="M31" s="230"/>
      <c r="N31" s="235"/>
      <c r="O31" s="236"/>
      <c r="P31" s="237"/>
      <c r="Q31" s="237"/>
      <c r="R31" s="231" t="str">
        <f>IFERROR(INDEX('Tournament List'!D:D,MATCH(N30&amp;"-2",'Tournament List'!P:P,0)),"")</f>
        <v>Henry Last Name14</v>
      </c>
      <c r="S31" s="232">
        <f>IFERROR(INDEX('Tournament List'!U:U,MATCH(N30&amp;"-2",'Tournament List'!P:P,0)),"")</f>
        <v>76</v>
      </c>
    </row>
    <row r="32" spans="1:19" ht="15" thickBot="1" x14ac:dyDescent="0.35">
      <c r="A32" s="222"/>
      <c r="B32" s="137"/>
      <c r="C32" s="138"/>
      <c r="D32" s="139"/>
      <c r="E32" s="192" t="str">
        <f>IFERROR(INDEX('Tournament List'!D:D,MATCH(B30&amp;"-3",'Tournament List'!P:P,0)),"")</f>
        <v/>
      </c>
      <c r="F32" s="193" t="str">
        <f>IFERROR(INDEX('Tournament List'!U:U,MATCH(B30&amp;"-3",'Tournament List'!P:P,0)),"")</f>
        <v/>
      </c>
      <c r="G32"/>
      <c r="H32"/>
      <c r="J32"/>
      <c r="L32"/>
      <c r="M32" s="230"/>
      <c r="N32" s="238"/>
      <c r="O32" s="239"/>
      <c r="P32" s="240"/>
      <c r="Q32" s="240"/>
      <c r="R32" s="233" t="str">
        <f>IFERROR(INDEX('Tournament List'!D:D,MATCH(N30&amp;"-3",'Tournament List'!P:P,0)),"")</f>
        <v>Kelly Last Name32</v>
      </c>
      <c r="S32" s="234">
        <f>IFERROR(INDEX('Tournament List'!U:U,MATCH(N30&amp;"-3",'Tournament List'!P:P,0)),"")</f>
        <v>29</v>
      </c>
    </row>
    <row r="33" spans="1:19" ht="15" thickBot="1" x14ac:dyDescent="0.35">
      <c r="A33" s="167">
        <v>3</v>
      </c>
      <c r="B33" s="168" t="str">
        <f>IFERROR(INDEX('Tournament List'!O:O,MATCH(INDEX('Skeet Ind Concurrent Ranking'!A:A,MATCH(A33,'Skeet Ind Concurrent Ranking'!AP:AP,0)),'Tournament List'!A:A,0)),"")</f>
        <v/>
      </c>
      <c r="C33" s="169" t="str">
        <f>IFERROR(INDEX('Tournament List'!R:R,MATCH(B33,'Tournament List'!O:O,0)),"")</f>
        <v/>
      </c>
      <c r="D33" s="170" t="str">
        <f>IFERROR(INDEX('Tournament List'!T:T,MATCH(B33&amp;"-1",'Tournament List'!Q:Q,0)),"")</f>
        <v/>
      </c>
      <c r="E33" s="171" t="str">
        <f>IFERROR(INDEX('Tournament List'!D:D,MATCH(B33&amp;"-1",'Tournament List'!P:P,0)),"")</f>
        <v/>
      </c>
      <c r="F33" s="172" t="str">
        <f>IFERROR(INDEX('Tournament List'!U:U,MATCH(B33&amp;"-1",'Tournament List'!P:P,0)),"")</f>
        <v/>
      </c>
      <c r="G33"/>
      <c r="H33"/>
      <c r="J33"/>
      <c r="L33"/>
      <c r="M33" s="184">
        <v>11</v>
      </c>
      <c r="N33" s="185">
        <f>IFERROR(INDEX('Tournament List'!O:O,MATCH(INDEX('Skeet Ind Concurrent Ranking'!A:A,MATCH(M33,'Skeet Ind Concurrent Ranking'!J:J,0)),'Tournament List'!A:A,0)),"")</f>
        <v>289</v>
      </c>
      <c r="O33" s="186" t="str">
        <f>IFERROR(INDEX('Tournament List'!R:R,MATCH(N33,'Tournament List'!O:O,0)),"")</f>
        <v>Littleton Target Masters</v>
      </c>
      <c r="P33" s="241" t="str">
        <f>IFERROR(INDEX('Shooter-Squad Assignment'!F:F,MATCH(N33&amp;"-1",'Shooter-Squad Assignment'!U:U,0)),"")</f>
        <v>Novice</v>
      </c>
      <c r="Q33" s="242">
        <f>IFERROR(INDEX('Tournament List'!T:T,MATCH(N33&amp;"-1",'Tournament List'!Q:Q,0)),"")</f>
        <v>174</v>
      </c>
      <c r="R33" s="188" t="str">
        <f>IFERROR(INDEX('Tournament List'!D:D,MATCH(N33&amp;"-1",'Tournament List'!P:P,0)),"")</f>
        <v>Randy Last Name36</v>
      </c>
      <c r="S33" s="189">
        <f>IFERROR(INDEX('Tournament List'!U:U,MATCH(N33&amp;"-1",'Tournament List'!P:P,0)),"")</f>
        <v>63</v>
      </c>
    </row>
    <row r="34" spans="1:19" x14ac:dyDescent="0.3">
      <c r="A34" s="173"/>
      <c r="B34" s="178"/>
      <c r="C34" s="179"/>
      <c r="D34" s="180"/>
      <c r="E34" s="174" t="str">
        <f>IFERROR(INDEX('Tournament List'!D:D,MATCH(B33&amp;"-2",'Tournament List'!P:P,0)),"")</f>
        <v/>
      </c>
      <c r="F34" s="175" t="str">
        <f>IFERROR(INDEX('Tournament List'!U:U,MATCH(B33&amp;"-2",'Tournament List'!P:P,0)),"")</f>
        <v/>
      </c>
      <c r="G34"/>
      <c r="H34"/>
      <c r="J34"/>
      <c r="L34"/>
      <c r="M34" s="222"/>
      <c r="N34" s="134"/>
      <c r="O34" s="135"/>
      <c r="P34" s="136"/>
      <c r="Q34" s="136"/>
      <c r="R34" s="190" t="str">
        <f>IFERROR(INDEX('Tournament List'!D:D,MATCH(N33&amp;"-2",'Tournament List'!P:P,0)),"")</f>
        <v>Ben Last Name6</v>
      </c>
      <c r="S34" s="191">
        <f>IFERROR(INDEX('Tournament List'!U:U,MATCH(N33&amp;"-2",'Tournament List'!P:P,0)),"")</f>
        <v>51</v>
      </c>
    </row>
    <row r="35" spans="1:19" ht="15" thickBot="1" x14ac:dyDescent="0.35">
      <c r="A35" s="173"/>
      <c r="B35" s="181"/>
      <c r="C35" s="182"/>
      <c r="D35" s="183"/>
      <c r="E35" s="176" t="str">
        <f>IFERROR(INDEX('Tournament List'!D:D,MATCH(B33&amp;"-3",'Tournament List'!P:P,0)),"")</f>
        <v/>
      </c>
      <c r="F35" s="177" t="str">
        <f>IFERROR(INDEX('Tournament List'!U:U,MATCH(B33&amp;"-3",'Tournament List'!P:P,0)),"")</f>
        <v/>
      </c>
      <c r="G35"/>
      <c r="H35"/>
      <c r="J35"/>
      <c r="L35"/>
      <c r="M35" s="222"/>
      <c r="N35" s="137"/>
      <c r="O35" s="138"/>
      <c r="P35" s="139"/>
      <c r="Q35" s="139"/>
      <c r="R35" s="192" t="str">
        <f>IFERROR(INDEX('Tournament List'!D:D,MATCH(N33&amp;"-3",'Tournament List'!P:P,0)),"")</f>
        <v>Owen Last Name42</v>
      </c>
      <c r="S35" s="193">
        <f>IFERROR(INDEX('Tournament List'!U:U,MATCH(N33&amp;"-3",'Tournament List'!P:P,0)),"")</f>
        <v>60</v>
      </c>
    </row>
    <row r="36" spans="1:19" ht="15" thickBot="1" x14ac:dyDescent="0.35">
      <c r="A36"/>
      <c r="B36"/>
      <c r="C36"/>
      <c r="D36"/>
      <c r="E36"/>
      <c r="G36"/>
      <c r="H36"/>
      <c r="J36"/>
      <c r="L36"/>
      <c r="M36" s="223">
        <v>12</v>
      </c>
      <c r="N36" s="224">
        <f>IFERROR(INDEX('Tournament List'!O:O,MATCH(INDEX('Skeet Ind Concurrent Ranking'!A:A,MATCH(M36,'Skeet Ind Concurrent Ranking'!J:J,0)),'Tournament List'!A:A,0)),"")</f>
        <v>187</v>
      </c>
      <c r="O36" s="225" t="str">
        <f>IFERROR(INDEX('Tournament List'!R:R,MATCH(N36,'Tournament List'!O:O,0)),"")</f>
        <v>Forge Christian Shooting Team</v>
      </c>
      <c r="P36" s="226" t="str">
        <f>IFERROR(INDEX('Shooter-Squad Assignment'!F:F,MATCH(N36&amp;"-1",'Shooter-Squad Assignment'!U:U,0)),"")</f>
        <v>Varsity</v>
      </c>
      <c r="Q36" s="227">
        <f>IFERROR(INDEX('Tournament List'!T:T,MATCH(N36&amp;"-1",'Tournament List'!Q:Q,0)),"")</f>
        <v>154</v>
      </c>
      <c r="R36" s="228" t="str">
        <f>IFERROR(INDEX('Tournament List'!D:D,MATCH(N36&amp;"-1",'Tournament List'!P:P,0)),"")</f>
        <v>Sam Last Name46</v>
      </c>
      <c r="S36" s="229">
        <f>IFERROR(INDEX('Tournament List'!U:U,MATCH(N36&amp;"-1",'Tournament List'!P:P,0)),"")</f>
        <v>32</v>
      </c>
    </row>
    <row r="37" spans="1:19" x14ac:dyDescent="0.3">
      <c r="A37"/>
      <c r="B37"/>
      <c r="C37"/>
      <c r="D37"/>
      <c r="E37"/>
      <c r="G37"/>
      <c r="H37"/>
      <c r="J37"/>
      <c r="L37"/>
      <c r="M37" s="230"/>
      <c r="N37" s="235"/>
      <c r="O37" s="236"/>
      <c r="P37" s="237"/>
      <c r="Q37" s="237"/>
      <c r="R37" s="231" t="str">
        <f>IFERROR(INDEX('Tournament List'!D:D,MATCH(N36&amp;"-2",'Tournament List'!P:P,0)),"")</f>
        <v>Brad Last Name28</v>
      </c>
      <c r="S37" s="232">
        <f>IFERROR(INDEX('Tournament List'!U:U,MATCH(N36&amp;"-2",'Tournament List'!P:P,0)),"")</f>
        <v>63</v>
      </c>
    </row>
    <row r="38" spans="1:19" ht="15" thickBot="1" x14ac:dyDescent="0.35">
      <c r="A38"/>
      <c r="B38"/>
      <c r="C38"/>
      <c r="D38"/>
      <c r="E38"/>
      <c r="G38"/>
      <c r="H38"/>
      <c r="J38"/>
      <c r="L38"/>
      <c r="M38" s="230"/>
      <c r="N38" s="238"/>
      <c r="O38" s="239"/>
      <c r="P38" s="240"/>
      <c r="Q38" s="240"/>
      <c r="R38" s="233" t="str">
        <f>IFERROR(INDEX('Tournament List'!D:D,MATCH(N36&amp;"-3",'Tournament List'!P:P,0)),"")</f>
        <v>Troy Last Name40</v>
      </c>
      <c r="S38" s="234">
        <f>IFERROR(INDEX('Tournament List'!U:U,MATCH(N36&amp;"-3",'Tournament List'!P:P,0)),"")</f>
        <v>59</v>
      </c>
    </row>
    <row r="39" spans="1:19" ht="15" thickBot="1" x14ac:dyDescent="0.35">
      <c r="A39"/>
      <c r="B39"/>
      <c r="C39"/>
      <c r="D39"/>
      <c r="E39"/>
      <c r="G39"/>
      <c r="H39"/>
      <c r="J39"/>
      <c r="L39"/>
      <c r="M39" s="184">
        <v>13</v>
      </c>
      <c r="N39" s="185" t="str">
        <f>IFERROR(INDEX('Tournament List'!O:O,MATCH(INDEX('Skeet Ind Concurrent Ranking'!A:A,MATCH(M39,'Skeet Ind Concurrent Ranking'!J:J,0)),'Tournament List'!A:A,0)),"")</f>
        <v/>
      </c>
      <c r="O39" s="186" t="str">
        <f>IFERROR(INDEX('Tournament List'!R:R,MATCH(N39,'Tournament List'!O:O,0)),"")</f>
        <v/>
      </c>
      <c r="P39" s="241" t="str">
        <f>IFERROR(INDEX('Shooter-Squad Assignment'!F:F,MATCH(N39&amp;"-1",'Shooter-Squad Assignment'!U:U,0)),"")</f>
        <v/>
      </c>
      <c r="Q39" s="242" t="str">
        <f>IFERROR(INDEX('Tournament List'!T:T,MATCH(N39&amp;"-1",'Tournament List'!Q:Q,0)),"")</f>
        <v/>
      </c>
      <c r="R39" s="188" t="str">
        <f>IFERROR(INDEX('Tournament List'!D:D,MATCH(N39&amp;"-1",'Tournament List'!P:P,0)),"")</f>
        <v/>
      </c>
      <c r="S39" s="189" t="str">
        <f>IFERROR(INDEX('Tournament List'!U:U,MATCH(N39&amp;"-1",'Tournament List'!P:P,0)),"")</f>
        <v/>
      </c>
    </row>
    <row r="40" spans="1:19" x14ac:dyDescent="0.3">
      <c r="A40"/>
      <c r="B40"/>
      <c r="C40"/>
      <c r="D40"/>
      <c r="E40"/>
      <c r="G40"/>
      <c r="H40"/>
      <c r="J40"/>
      <c r="L40"/>
      <c r="M40" s="222"/>
      <c r="N40" s="134"/>
      <c r="O40" s="135"/>
      <c r="P40" s="136"/>
      <c r="Q40" s="136"/>
      <c r="R40" s="190" t="str">
        <f>IFERROR(INDEX('Tournament List'!D:D,MATCH(N39&amp;"-2",'Tournament List'!P:P,0)),"")</f>
        <v/>
      </c>
      <c r="S40" s="191" t="str">
        <f>IFERROR(INDEX('Tournament List'!U:U,MATCH(N39&amp;"-2",'Tournament List'!P:P,0)),"")</f>
        <v/>
      </c>
    </row>
    <row r="41" spans="1:19" ht="15" thickBot="1" x14ac:dyDescent="0.35">
      <c r="A41"/>
      <c r="B41"/>
      <c r="C41"/>
      <c r="D41"/>
      <c r="E41"/>
      <c r="G41"/>
      <c r="H41"/>
      <c r="J41"/>
      <c r="L41"/>
      <c r="M41" s="222"/>
      <c r="N41" s="137"/>
      <c r="O41" s="138"/>
      <c r="P41" s="139"/>
      <c r="Q41" s="139"/>
      <c r="R41" s="192" t="str">
        <f>IFERROR(INDEX('Tournament List'!D:D,MATCH(N39&amp;"-3",'Tournament List'!P:P,0)),"")</f>
        <v/>
      </c>
      <c r="S41" s="193" t="str">
        <f>IFERROR(INDEX('Tournament List'!U:U,MATCH(N39&amp;"-3",'Tournament List'!P:P,0)),"")</f>
        <v/>
      </c>
    </row>
    <row r="42" spans="1:19" ht="15" thickBot="1" x14ac:dyDescent="0.35">
      <c r="A42"/>
      <c r="B42"/>
      <c r="C42"/>
      <c r="D42"/>
      <c r="E42"/>
      <c r="G42"/>
      <c r="H42"/>
      <c r="J42"/>
      <c r="L42"/>
      <c r="M42" s="223">
        <v>14</v>
      </c>
      <c r="N42" s="224" t="str">
        <f>IFERROR(INDEX('Tournament List'!O:O,MATCH(INDEX('Skeet Ind Concurrent Ranking'!A:A,MATCH(M42,'Skeet Ind Concurrent Ranking'!J:J,0)),'Tournament List'!A:A,0)),"")</f>
        <v/>
      </c>
      <c r="O42" s="225" t="str">
        <f>IFERROR(INDEX('Tournament List'!R:R,MATCH(N42,'Tournament List'!O:O,0)),"")</f>
        <v/>
      </c>
      <c r="P42" s="226" t="str">
        <f>IFERROR(INDEX('Shooter-Squad Assignment'!F:F,MATCH(N42&amp;"-1",'Shooter-Squad Assignment'!U:U,0)),"")</f>
        <v/>
      </c>
      <c r="Q42" s="227" t="str">
        <f>IFERROR(INDEX('Tournament List'!T:T,MATCH(N42&amp;"-1",'Tournament List'!Q:Q,0)),"")</f>
        <v/>
      </c>
      <c r="R42" s="228" t="str">
        <f>IFERROR(INDEX('Tournament List'!D:D,MATCH(N42&amp;"-1",'Tournament List'!P:P,0)),"")</f>
        <v/>
      </c>
      <c r="S42" s="229" t="str">
        <f>IFERROR(INDEX('Tournament List'!U:U,MATCH(N42&amp;"-1",'Tournament List'!P:P,0)),"")</f>
        <v/>
      </c>
    </row>
    <row r="43" spans="1:19" x14ac:dyDescent="0.3">
      <c r="A43"/>
      <c r="B43"/>
      <c r="C43"/>
      <c r="D43"/>
      <c r="E43"/>
      <c r="G43"/>
      <c r="H43"/>
      <c r="J43"/>
      <c r="L43"/>
      <c r="M43" s="230"/>
      <c r="N43" s="235"/>
      <c r="O43" s="236"/>
      <c r="P43" s="237"/>
      <c r="Q43" s="237"/>
      <c r="R43" s="231" t="str">
        <f>IFERROR(INDEX('Tournament List'!D:D,MATCH(N42&amp;"-2",'Tournament List'!P:P,0)),"")</f>
        <v/>
      </c>
      <c r="S43" s="232" t="str">
        <f>IFERROR(INDEX('Tournament List'!U:U,MATCH(N42&amp;"-2",'Tournament List'!P:P,0)),"")</f>
        <v/>
      </c>
    </row>
    <row r="44" spans="1:19" ht="15" thickBot="1" x14ac:dyDescent="0.35">
      <c r="A44"/>
      <c r="B44"/>
      <c r="C44"/>
      <c r="D44"/>
      <c r="E44"/>
      <c r="G44"/>
      <c r="H44"/>
      <c r="J44"/>
      <c r="L44"/>
      <c r="M44" s="230"/>
      <c r="N44" s="238"/>
      <c r="O44" s="239"/>
      <c r="P44" s="240"/>
      <c r="Q44" s="240"/>
      <c r="R44" s="233" t="str">
        <f>IFERROR(INDEX('Tournament List'!D:D,MATCH(N42&amp;"-3",'Tournament List'!P:P,0)),"")</f>
        <v/>
      </c>
      <c r="S44" s="234" t="str">
        <f>IFERROR(INDEX('Tournament List'!U:U,MATCH(N42&amp;"-3",'Tournament List'!P:P,0)),"")</f>
        <v/>
      </c>
    </row>
    <row r="45" spans="1:19" ht="15" thickBot="1" x14ac:dyDescent="0.35">
      <c r="A45"/>
      <c r="B45"/>
      <c r="C45"/>
      <c r="D45"/>
      <c r="E45"/>
      <c r="G45"/>
      <c r="H45"/>
      <c r="J45"/>
      <c r="L45"/>
      <c r="M45" s="184">
        <v>15</v>
      </c>
      <c r="N45" s="185" t="str">
        <f>IFERROR(INDEX('Tournament List'!O:O,MATCH(INDEX('Skeet Ind Concurrent Ranking'!A:A,MATCH(M45,'Skeet Ind Concurrent Ranking'!J:J,0)),'Tournament List'!A:A,0)),"")</f>
        <v/>
      </c>
      <c r="O45" s="186" t="str">
        <f>IFERROR(INDEX('Tournament List'!R:R,MATCH(N45,'Tournament List'!O:O,0)),"")</f>
        <v/>
      </c>
      <c r="P45" s="241" t="str">
        <f>IFERROR(INDEX('Shooter-Squad Assignment'!F:F,MATCH(N45&amp;"-1",'Shooter-Squad Assignment'!U:U,0)),"")</f>
        <v/>
      </c>
      <c r="Q45" s="242" t="str">
        <f>IFERROR(INDEX('Tournament List'!T:T,MATCH(N45&amp;"-1",'Tournament List'!Q:Q,0)),"")</f>
        <v/>
      </c>
      <c r="R45" s="188" t="str">
        <f>IFERROR(INDEX('Tournament List'!D:D,MATCH(N45&amp;"-1",'Tournament List'!P:P,0)),"")</f>
        <v/>
      </c>
      <c r="S45" s="189" t="str">
        <f>IFERROR(INDEX('Tournament List'!U:U,MATCH(N45&amp;"-1",'Tournament List'!P:P,0)),"")</f>
        <v/>
      </c>
    </row>
    <row r="46" spans="1:19" x14ac:dyDescent="0.3">
      <c r="A46"/>
      <c r="B46"/>
      <c r="C46"/>
      <c r="D46"/>
      <c r="E46"/>
      <c r="G46"/>
      <c r="H46"/>
      <c r="J46"/>
      <c r="L46"/>
      <c r="M46" s="222"/>
      <c r="N46" s="134"/>
      <c r="O46" s="135"/>
      <c r="P46" s="136"/>
      <c r="Q46" s="136"/>
      <c r="R46" s="190" t="str">
        <f>IFERROR(INDEX('Tournament List'!D:D,MATCH(N45&amp;"-2",'Tournament List'!P:P,0)),"")</f>
        <v/>
      </c>
      <c r="S46" s="191" t="str">
        <f>IFERROR(INDEX('Tournament List'!U:U,MATCH(N45&amp;"-2",'Tournament List'!P:P,0)),"")</f>
        <v/>
      </c>
    </row>
    <row r="47" spans="1:19" ht="15" thickBot="1" x14ac:dyDescent="0.35">
      <c r="A47"/>
      <c r="B47"/>
      <c r="C47"/>
      <c r="D47"/>
      <c r="E47"/>
      <c r="G47"/>
      <c r="H47"/>
      <c r="J47"/>
      <c r="L47"/>
      <c r="M47" s="222"/>
      <c r="N47" s="137"/>
      <c r="O47" s="138"/>
      <c r="P47" s="139"/>
      <c r="Q47" s="139"/>
      <c r="R47" s="192" t="str">
        <f>IFERROR(INDEX('Tournament List'!D:D,MATCH(N45&amp;"-3",'Tournament List'!P:P,0)),"")</f>
        <v/>
      </c>
      <c r="S47" s="193" t="str">
        <f>IFERROR(INDEX('Tournament List'!U:U,MATCH(N45&amp;"-3",'Tournament List'!P:P,0)),"")</f>
        <v/>
      </c>
    </row>
    <row r="48" spans="1:19" ht="15" thickBot="1" x14ac:dyDescent="0.35">
      <c r="A48"/>
      <c r="B48"/>
      <c r="C48"/>
      <c r="D48"/>
      <c r="E48"/>
      <c r="G48"/>
      <c r="H48"/>
      <c r="J48"/>
      <c r="L48"/>
      <c r="M48" s="223">
        <v>16</v>
      </c>
      <c r="N48" s="224" t="str">
        <f>IFERROR(INDEX('Tournament List'!O:O,MATCH(INDEX('Skeet Ind Concurrent Ranking'!A:A,MATCH(M48,'Skeet Ind Concurrent Ranking'!J:J,0)),'Tournament List'!A:A,0)),"")</f>
        <v/>
      </c>
      <c r="O48" s="225" t="str">
        <f>IFERROR(INDEX('Tournament List'!R:R,MATCH(N48,'Tournament List'!O:O,0)),"")</f>
        <v/>
      </c>
      <c r="P48" s="226" t="str">
        <f>IFERROR(INDEX('Shooter-Squad Assignment'!F:F,MATCH(N48&amp;"-1",'Shooter-Squad Assignment'!U:U,0)),"")</f>
        <v/>
      </c>
      <c r="Q48" s="227" t="str">
        <f>IFERROR(INDEX('Tournament List'!T:T,MATCH(N48&amp;"-1",'Tournament List'!Q:Q,0)),"")</f>
        <v/>
      </c>
      <c r="R48" s="228" t="str">
        <f>IFERROR(INDEX('Tournament List'!D:D,MATCH(N48&amp;"-1",'Tournament List'!P:P,0)),"")</f>
        <v/>
      </c>
      <c r="S48" s="229" t="str">
        <f>IFERROR(INDEX('Tournament List'!U:U,MATCH(N48&amp;"-1",'Tournament List'!P:P,0)),"")</f>
        <v/>
      </c>
    </row>
    <row r="49" spans="1:19" x14ac:dyDescent="0.3">
      <c r="A49"/>
      <c r="B49"/>
      <c r="C49"/>
      <c r="D49"/>
      <c r="E49"/>
      <c r="G49"/>
      <c r="H49"/>
      <c r="J49"/>
      <c r="L49"/>
      <c r="M49" s="230"/>
      <c r="N49" s="235"/>
      <c r="O49" s="236"/>
      <c r="P49" s="237"/>
      <c r="Q49" s="237"/>
      <c r="R49" s="231" t="str">
        <f>IFERROR(INDEX('Tournament List'!D:D,MATCH(N48&amp;"-2",'Tournament List'!P:P,0)),"")</f>
        <v/>
      </c>
      <c r="S49" s="232" t="str">
        <f>IFERROR(INDEX('Tournament List'!U:U,MATCH(N48&amp;"-2",'Tournament List'!P:P,0)),"")</f>
        <v/>
      </c>
    </row>
    <row r="50" spans="1:19" ht="15" thickBot="1" x14ac:dyDescent="0.35">
      <c r="A50"/>
      <c r="B50"/>
      <c r="C50"/>
      <c r="D50"/>
      <c r="E50"/>
      <c r="G50"/>
      <c r="H50"/>
      <c r="J50"/>
      <c r="L50"/>
      <c r="M50" s="230"/>
      <c r="N50" s="238"/>
      <c r="O50" s="239"/>
      <c r="P50" s="240"/>
      <c r="Q50" s="240"/>
      <c r="R50" s="233" t="str">
        <f>IFERROR(INDEX('Tournament List'!D:D,MATCH(N48&amp;"-3",'Tournament List'!P:P,0)),"")</f>
        <v/>
      </c>
      <c r="S50" s="234" t="str">
        <f>IFERROR(INDEX('Tournament List'!U:U,MATCH(N48&amp;"-3",'Tournament List'!P:P,0)),"")</f>
        <v/>
      </c>
    </row>
    <row r="51" spans="1:19" ht="15" thickBot="1" x14ac:dyDescent="0.35">
      <c r="A51"/>
      <c r="B51"/>
      <c r="C51"/>
      <c r="D51"/>
      <c r="E51"/>
      <c r="G51"/>
      <c r="H51"/>
      <c r="J51"/>
      <c r="L51"/>
      <c r="M51" s="184">
        <v>17</v>
      </c>
      <c r="N51" s="185" t="str">
        <f>IFERROR(INDEX('Tournament List'!O:O,MATCH(INDEX('Skeet Ind Concurrent Ranking'!A:A,MATCH(M51,'Skeet Ind Concurrent Ranking'!J:J,0)),'Tournament List'!A:A,0)),"")</f>
        <v/>
      </c>
      <c r="O51" s="186" t="str">
        <f>IFERROR(INDEX('Tournament List'!R:R,MATCH(N51,'Tournament List'!O:O,0)),"")</f>
        <v/>
      </c>
      <c r="P51" s="241" t="str">
        <f>IFERROR(INDEX('Shooter-Squad Assignment'!F:F,MATCH(N51&amp;"-1",'Shooter-Squad Assignment'!U:U,0)),"")</f>
        <v/>
      </c>
      <c r="Q51" s="242" t="str">
        <f>IFERROR(INDEX('Tournament List'!T:T,MATCH(N51&amp;"-1",'Tournament List'!Q:Q,0)),"")</f>
        <v/>
      </c>
      <c r="R51" s="188" t="str">
        <f>IFERROR(INDEX('Tournament List'!D:D,MATCH(N51&amp;"-1",'Tournament List'!P:P,0)),"")</f>
        <v/>
      </c>
      <c r="S51" s="189" t="str">
        <f>IFERROR(INDEX('Tournament List'!U:U,MATCH(N51&amp;"-1",'Tournament List'!P:P,0)),"")</f>
        <v/>
      </c>
    </row>
    <row r="52" spans="1:19" x14ac:dyDescent="0.3">
      <c r="A52"/>
      <c r="B52"/>
      <c r="C52"/>
      <c r="D52"/>
      <c r="E52"/>
      <c r="G52"/>
      <c r="H52"/>
      <c r="J52"/>
      <c r="L52"/>
      <c r="M52" s="222"/>
      <c r="N52" s="134"/>
      <c r="O52" s="135"/>
      <c r="P52" s="136"/>
      <c r="Q52" s="136"/>
      <c r="R52" s="190" t="str">
        <f>IFERROR(INDEX('Tournament List'!D:D,MATCH(N51&amp;"-2",'Tournament List'!P:P,0)),"")</f>
        <v/>
      </c>
      <c r="S52" s="191" t="str">
        <f>IFERROR(INDEX('Tournament List'!U:U,MATCH(N51&amp;"-2",'Tournament List'!P:P,0)),"")</f>
        <v/>
      </c>
    </row>
    <row r="53" spans="1:19" ht="15" thickBot="1" x14ac:dyDescent="0.35">
      <c r="A53"/>
      <c r="B53"/>
      <c r="C53"/>
      <c r="D53"/>
      <c r="E53"/>
      <c r="G53"/>
      <c r="H53"/>
      <c r="J53"/>
      <c r="L53"/>
      <c r="M53" s="222"/>
      <c r="N53" s="137"/>
      <c r="O53" s="138"/>
      <c r="P53" s="139"/>
      <c r="Q53" s="139"/>
      <c r="R53" s="192" t="str">
        <f>IFERROR(INDEX('Tournament List'!D:D,MATCH(N51&amp;"-3",'Tournament List'!P:P,0)),"")</f>
        <v/>
      </c>
      <c r="S53" s="193" t="str">
        <f>IFERROR(INDEX('Tournament List'!U:U,MATCH(N51&amp;"-3",'Tournament List'!P:P,0)),"")</f>
        <v/>
      </c>
    </row>
    <row r="54" spans="1:19" ht="15" thickBot="1" x14ac:dyDescent="0.35">
      <c r="A54"/>
      <c r="B54"/>
      <c r="C54"/>
      <c r="D54"/>
      <c r="E54"/>
      <c r="G54"/>
      <c r="H54"/>
      <c r="J54"/>
      <c r="L54"/>
      <c r="M54" s="223">
        <v>18</v>
      </c>
      <c r="N54" s="224" t="str">
        <f>IFERROR(INDEX('Tournament List'!O:O,MATCH(INDEX('Skeet Ind Concurrent Ranking'!A:A,MATCH(M54,'Skeet Ind Concurrent Ranking'!J:J,0)),'Tournament List'!A:A,0)),"")</f>
        <v/>
      </c>
      <c r="O54" s="225" t="str">
        <f>IFERROR(INDEX('Tournament List'!R:R,MATCH(N54,'Tournament List'!O:O,0)),"")</f>
        <v/>
      </c>
      <c r="P54" s="226" t="str">
        <f>IFERROR(INDEX('Shooter-Squad Assignment'!F:F,MATCH(N54&amp;"-1",'Shooter-Squad Assignment'!U:U,0)),"")</f>
        <v/>
      </c>
      <c r="Q54" s="227" t="str">
        <f>IFERROR(INDEX('Tournament List'!T:T,MATCH(N54&amp;"-1",'Tournament List'!Q:Q,0)),"")</f>
        <v/>
      </c>
      <c r="R54" s="228" t="str">
        <f>IFERROR(INDEX('Tournament List'!D:D,MATCH(N54&amp;"-1",'Tournament List'!P:P,0)),"")</f>
        <v/>
      </c>
      <c r="S54" s="229" t="str">
        <f>IFERROR(INDEX('Tournament List'!U:U,MATCH(N54&amp;"-1",'Tournament List'!P:P,0)),"")</f>
        <v/>
      </c>
    </row>
    <row r="55" spans="1:19" x14ac:dyDescent="0.3">
      <c r="A55"/>
      <c r="B55"/>
      <c r="C55"/>
      <c r="D55"/>
      <c r="E55"/>
      <c r="G55"/>
      <c r="H55"/>
      <c r="J55"/>
      <c r="L55"/>
      <c r="M55" s="230"/>
      <c r="N55" s="235"/>
      <c r="O55" s="236"/>
      <c r="P55" s="237"/>
      <c r="Q55" s="237"/>
      <c r="R55" s="231" t="str">
        <f>IFERROR(INDEX('Tournament List'!D:D,MATCH(N54&amp;"-2",'Tournament List'!P:P,0)),"")</f>
        <v/>
      </c>
      <c r="S55" s="232" t="str">
        <f>IFERROR(INDEX('Tournament List'!U:U,MATCH(N54&amp;"-2",'Tournament List'!P:P,0)),"")</f>
        <v/>
      </c>
    </row>
    <row r="56" spans="1:19" ht="15" thickBot="1" x14ac:dyDescent="0.35">
      <c r="A56"/>
      <c r="B56"/>
      <c r="C56"/>
      <c r="D56"/>
      <c r="E56"/>
      <c r="G56"/>
      <c r="H56"/>
      <c r="J56"/>
      <c r="L56"/>
      <c r="M56" s="230"/>
      <c r="N56" s="238"/>
      <c r="O56" s="239"/>
      <c r="P56" s="240"/>
      <c r="Q56" s="240"/>
      <c r="R56" s="233" t="str">
        <f>IFERROR(INDEX('Tournament List'!D:D,MATCH(N54&amp;"-3",'Tournament List'!P:P,0)),"")</f>
        <v/>
      </c>
      <c r="S56" s="234" t="str">
        <f>IFERROR(INDEX('Tournament List'!U:U,MATCH(N54&amp;"-3",'Tournament List'!P:P,0)),"")</f>
        <v/>
      </c>
    </row>
    <row r="57" spans="1:19" ht="15" thickBot="1" x14ac:dyDescent="0.35">
      <c r="A57"/>
      <c r="B57"/>
      <c r="C57"/>
      <c r="D57"/>
      <c r="E57"/>
      <c r="G57"/>
      <c r="H57"/>
      <c r="J57"/>
      <c r="L57"/>
      <c r="M57" s="184">
        <v>19</v>
      </c>
      <c r="N57" s="185" t="str">
        <f>IFERROR(INDEX('Tournament List'!O:O,MATCH(INDEX('Skeet Ind Concurrent Ranking'!A:A,MATCH(M57,'Skeet Ind Concurrent Ranking'!J:J,0)),'Tournament List'!A:A,0)),"")</f>
        <v/>
      </c>
      <c r="O57" s="186" t="str">
        <f>IFERROR(INDEX('Tournament List'!R:R,MATCH(N57,'Tournament List'!O:O,0)),"")</f>
        <v/>
      </c>
      <c r="P57" s="241" t="str">
        <f>IFERROR(INDEX('Shooter-Squad Assignment'!F:F,MATCH(N57&amp;"-1",'Shooter-Squad Assignment'!U:U,0)),"")</f>
        <v/>
      </c>
      <c r="Q57" s="242" t="str">
        <f>IFERROR(INDEX('Tournament List'!T:T,MATCH(N57&amp;"-1",'Tournament List'!Q:Q,0)),"")</f>
        <v/>
      </c>
      <c r="R57" s="188" t="str">
        <f>IFERROR(INDEX('Tournament List'!D:D,MATCH(N57&amp;"-1",'Tournament List'!P:P,0)),"")</f>
        <v/>
      </c>
      <c r="S57" s="189" t="str">
        <f>IFERROR(INDEX('Tournament List'!U:U,MATCH(N57&amp;"-1",'Tournament List'!P:P,0)),"")</f>
        <v/>
      </c>
    </row>
    <row r="58" spans="1:19" x14ac:dyDescent="0.3">
      <c r="A58"/>
      <c r="B58"/>
      <c r="C58"/>
      <c r="D58"/>
      <c r="E58"/>
      <c r="G58"/>
      <c r="H58"/>
      <c r="J58"/>
      <c r="L58"/>
      <c r="M58" s="222"/>
      <c r="N58" s="134"/>
      <c r="O58" s="135"/>
      <c r="P58" s="136"/>
      <c r="Q58" s="136"/>
      <c r="R58" s="190" t="str">
        <f>IFERROR(INDEX('Tournament List'!D:D,MATCH(N57&amp;"-2",'Tournament List'!P:P,0)),"")</f>
        <v/>
      </c>
      <c r="S58" s="191" t="str">
        <f>IFERROR(INDEX('Tournament List'!U:U,MATCH(N57&amp;"-2",'Tournament List'!P:P,0)),"")</f>
        <v/>
      </c>
    </row>
    <row r="59" spans="1:19" ht="15" thickBot="1" x14ac:dyDescent="0.35">
      <c r="A59"/>
      <c r="B59"/>
      <c r="C59"/>
      <c r="D59"/>
      <c r="E59"/>
      <c r="G59"/>
      <c r="H59"/>
      <c r="J59"/>
      <c r="L59"/>
      <c r="M59" s="222"/>
      <c r="N59" s="137"/>
      <c r="O59" s="138"/>
      <c r="P59" s="139"/>
      <c r="Q59" s="139"/>
      <c r="R59" s="192" t="str">
        <f>IFERROR(INDEX('Tournament List'!D:D,MATCH(N57&amp;"-3",'Tournament List'!P:P,0)),"")</f>
        <v/>
      </c>
      <c r="S59" s="193" t="str">
        <f>IFERROR(INDEX('Tournament List'!U:U,MATCH(N57&amp;"-3",'Tournament List'!P:P,0)),"")</f>
        <v/>
      </c>
    </row>
    <row r="60" spans="1:19" ht="15" thickBot="1" x14ac:dyDescent="0.35">
      <c r="A60"/>
      <c r="B60"/>
      <c r="C60"/>
      <c r="D60"/>
      <c r="E60"/>
      <c r="G60"/>
      <c r="H60"/>
      <c r="J60"/>
      <c r="L60"/>
      <c r="M60" s="223">
        <v>20</v>
      </c>
      <c r="N60" s="224" t="str">
        <f>IFERROR(INDEX('Tournament List'!O:O,MATCH(INDEX('Skeet Ind Concurrent Ranking'!A:A,MATCH(M60,'Skeet Ind Concurrent Ranking'!J:J,0)),'Tournament List'!A:A,0)),"")</f>
        <v/>
      </c>
      <c r="O60" s="225" t="str">
        <f>IFERROR(INDEX('Tournament List'!R:R,MATCH(N60,'Tournament List'!O:O,0)),"")</f>
        <v/>
      </c>
      <c r="P60" s="226" t="str">
        <f>IFERROR(INDEX('Shooter-Squad Assignment'!F:F,MATCH(N60&amp;"-1",'Shooter-Squad Assignment'!U:U,0)),"")</f>
        <v/>
      </c>
      <c r="Q60" s="227" t="str">
        <f>IFERROR(INDEX('Tournament List'!T:T,MATCH(N60&amp;"-1",'Tournament List'!Q:Q,0)),"")</f>
        <v/>
      </c>
      <c r="R60" s="228" t="str">
        <f>IFERROR(INDEX('Tournament List'!D:D,MATCH(N60&amp;"-1",'Tournament List'!P:P,0)),"")</f>
        <v/>
      </c>
      <c r="S60" s="229" t="str">
        <f>IFERROR(INDEX('Tournament List'!U:U,MATCH(N60&amp;"-1",'Tournament List'!P:P,0)),"")</f>
        <v/>
      </c>
    </row>
    <row r="61" spans="1:19" x14ac:dyDescent="0.3">
      <c r="A61"/>
      <c r="B61"/>
      <c r="C61"/>
      <c r="D61"/>
      <c r="E61"/>
      <c r="G61"/>
      <c r="H61"/>
      <c r="J61"/>
      <c r="L61"/>
      <c r="M61" s="230"/>
      <c r="N61" s="235"/>
      <c r="O61" s="236"/>
      <c r="P61" s="237"/>
      <c r="Q61" s="237"/>
      <c r="R61" s="231" t="str">
        <f>IFERROR(INDEX('Tournament List'!D:D,MATCH(N60&amp;"-2",'Tournament List'!P:P,0)),"")</f>
        <v/>
      </c>
      <c r="S61" s="232" t="str">
        <f>IFERROR(INDEX('Tournament List'!U:U,MATCH(N60&amp;"-2",'Tournament List'!P:P,0)),"")</f>
        <v/>
      </c>
    </row>
    <row r="62" spans="1:19" ht="15" thickBot="1" x14ac:dyDescent="0.35">
      <c r="A62"/>
      <c r="B62"/>
      <c r="C62"/>
      <c r="D62"/>
      <c r="E62"/>
      <c r="G62"/>
      <c r="H62"/>
      <c r="J62"/>
      <c r="L62"/>
      <c r="M62" s="230"/>
      <c r="N62" s="238"/>
      <c r="O62" s="239"/>
      <c r="P62" s="240"/>
      <c r="Q62" s="240"/>
      <c r="R62" s="233" t="str">
        <f>IFERROR(INDEX('Tournament List'!D:D,MATCH(N60&amp;"-3",'Tournament List'!P:P,0)),"")</f>
        <v/>
      </c>
      <c r="S62" s="234" t="str">
        <f>IFERROR(INDEX('Tournament List'!U:U,MATCH(N60&amp;"-3",'Tournament List'!P:P,0)),"")</f>
        <v/>
      </c>
    </row>
    <row r="63" spans="1:19" ht="15" thickBot="1" x14ac:dyDescent="0.35">
      <c r="A63"/>
      <c r="B63"/>
      <c r="C63"/>
      <c r="D63"/>
      <c r="E63"/>
      <c r="G63"/>
      <c r="H63"/>
      <c r="J63"/>
      <c r="L63"/>
      <c r="M63" s="184">
        <v>21</v>
      </c>
      <c r="N63" s="185" t="str">
        <f>IFERROR(INDEX('Tournament List'!O:O,MATCH(INDEX('Skeet Ind Concurrent Ranking'!A:A,MATCH(M63,'Skeet Ind Concurrent Ranking'!J:J,0)),'Tournament List'!A:A,0)),"")</f>
        <v/>
      </c>
      <c r="O63" s="186" t="str">
        <f>IFERROR(INDEX('Tournament List'!R:R,MATCH(N63,'Tournament List'!O:O,0)),"")</f>
        <v/>
      </c>
      <c r="P63" s="241" t="str">
        <f>IFERROR(INDEX('Shooter-Squad Assignment'!F:F,MATCH(N63&amp;"-1",'Shooter-Squad Assignment'!U:U,0)),"")</f>
        <v/>
      </c>
      <c r="Q63" s="242" t="str">
        <f>IFERROR(INDEX('Tournament List'!T:T,MATCH(N63&amp;"-1",'Tournament List'!Q:Q,0)),"")</f>
        <v/>
      </c>
      <c r="R63" s="188" t="str">
        <f>IFERROR(INDEX('Tournament List'!D:D,MATCH(N63&amp;"-1",'Tournament List'!P:P,0)),"")</f>
        <v/>
      </c>
      <c r="S63" s="189" t="str">
        <f>IFERROR(INDEX('Tournament List'!U:U,MATCH(N63&amp;"-1",'Tournament List'!P:P,0)),"")</f>
        <v/>
      </c>
    </row>
    <row r="64" spans="1:19" x14ac:dyDescent="0.3">
      <c r="A64"/>
      <c r="B64"/>
      <c r="C64"/>
      <c r="D64"/>
      <c r="E64"/>
      <c r="G64"/>
      <c r="H64"/>
      <c r="J64"/>
      <c r="L64"/>
      <c r="M64" s="222"/>
      <c r="N64" s="134"/>
      <c r="O64" s="135"/>
      <c r="P64" s="136"/>
      <c r="Q64" s="136"/>
      <c r="R64" s="190" t="str">
        <f>IFERROR(INDEX('Tournament List'!D:D,MATCH(N63&amp;"-2",'Tournament List'!P:P,0)),"")</f>
        <v/>
      </c>
      <c r="S64" s="191" t="str">
        <f>IFERROR(INDEX('Tournament List'!U:U,MATCH(N63&amp;"-2",'Tournament List'!P:P,0)),"")</f>
        <v/>
      </c>
    </row>
    <row r="65" spans="1:19" ht="15" thickBot="1" x14ac:dyDescent="0.35">
      <c r="A65"/>
      <c r="B65"/>
      <c r="C65"/>
      <c r="D65"/>
      <c r="E65"/>
      <c r="G65"/>
      <c r="H65"/>
      <c r="J65"/>
      <c r="L65"/>
      <c r="M65" s="222"/>
      <c r="N65" s="137"/>
      <c r="O65" s="138"/>
      <c r="P65" s="139"/>
      <c r="Q65" s="139"/>
      <c r="R65" s="192" t="str">
        <f>IFERROR(INDEX('Tournament List'!D:D,MATCH(N63&amp;"-3",'Tournament List'!P:P,0)),"")</f>
        <v/>
      </c>
      <c r="S65" s="193" t="str">
        <f>IFERROR(INDEX('Tournament List'!U:U,MATCH(N63&amp;"-3",'Tournament List'!P:P,0)),"")</f>
        <v/>
      </c>
    </row>
    <row r="66" spans="1:19" ht="15" thickBot="1" x14ac:dyDescent="0.35">
      <c r="A66"/>
      <c r="B66"/>
      <c r="C66"/>
      <c r="D66"/>
      <c r="E66"/>
      <c r="G66"/>
      <c r="H66"/>
      <c r="J66"/>
      <c r="L66"/>
      <c r="M66" s="223">
        <v>22</v>
      </c>
      <c r="N66" s="224" t="str">
        <f>IFERROR(INDEX('Tournament List'!O:O,MATCH(INDEX('Skeet Ind Concurrent Ranking'!A:A,MATCH(M66,'Skeet Ind Concurrent Ranking'!J:J,0)),'Tournament List'!A:A,0)),"")</f>
        <v/>
      </c>
      <c r="O66" s="225" t="str">
        <f>IFERROR(INDEX('Tournament List'!R:R,MATCH(N66,'Tournament List'!O:O,0)),"")</f>
        <v/>
      </c>
      <c r="P66" s="226" t="str">
        <f>IFERROR(INDEX('Shooter-Squad Assignment'!F:F,MATCH(N66&amp;"-1",'Shooter-Squad Assignment'!U:U,0)),"")</f>
        <v/>
      </c>
      <c r="Q66" s="227" t="str">
        <f>IFERROR(INDEX('Tournament List'!T:T,MATCH(N66&amp;"-1",'Tournament List'!Q:Q,0)),"")</f>
        <v/>
      </c>
      <c r="R66" s="228" t="str">
        <f>IFERROR(INDEX('Tournament List'!D:D,MATCH(N66&amp;"-1",'Tournament List'!P:P,0)),"")</f>
        <v/>
      </c>
      <c r="S66" s="229" t="str">
        <f>IFERROR(INDEX('Tournament List'!U:U,MATCH(N66&amp;"-1",'Tournament List'!P:P,0)),"")</f>
        <v/>
      </c>
    </row>
    <row r="67" spans="1:19" x14ac:dyDescent="0.3">
      <c r="A67"/>
      <c r="B67"/>
      <c r="C67"/>
      <c r="D67"/>
      <c r="E67"/>
      <c r="G67"/>
      <c r="H67"/>
      <c r="J67"/>
      <c r="L67"/>
      <c r="M67" s="230"/>
      <c r="N67" s="235"/>
      <c r="O67" s="236"/>
      <c r="P67" s="237"/>
      <c r="Q67" s="237"/>
      <c r="R67" s="231" t="str">
        <f>IFERROR(INDEX('Tournament List'!D:D,MATCH(N66&amp;"-2",'Tournament List'!P:P,0)),"")</f>
        <v/>
      </c>
      <c r="S67" s="232" t="str">
        <f>IFERROR(INDEX('Tournament List'!U:U,MATCH(N66&amp;"-2",'Tournament List'!P:P,0)),"")</f>
        <v/>
      </c>
    </row>
    <row r="68" spans="1:19" ht="15" thickBot="1" x14ac:dyDescent="0.35">
      <c r="A68"/>
      <c r="B68"/>
      <c r="C68"/>
      <c r="D68"/>
      <c r="E68"/>
      <c r="G68"/>
      <c r="H68"/>
      <c r="J68"/>
      <c r="L68"/>
      <c r="M68" s="230"/>
      <c r="N68" s="238"/>
      <c r="O68" s="239"/>
      <c r="P68" s="240"/>
      <c r="Q68" s="240"/>
      <c r="R68" s="233" t="str">
        <f>IFERROR(INDEX('Tournament List'!D:D,MATCH(N66&amp;"-3",'Tournament List'!P:P,0)),"")</f>
        <v/>
      </c>
      <c r="S68" s="234" t="str">
        <f>IFERROR(INDEX('Tournament List'!U:U,MATCH(N66&amp;"-3",'Tournament List'!P:P,0)),"")</f>
        <v/>
      </c>
    </row>
    <row r="69" spans="1:19" ht="15" thickBot="1" x14ac:dyDescent="0.35">
      <c r="A69"/>
      <c r="B69"/>
      <c r="C69"/>
      <c r="D69"/>
      <c r="E69"/>
      <c r="G69"/>
      <c r="H69"/>
      <c r="J69"/>
      <c r="L69"/>
      <c r="M69" s="184">
        <v>23</v>
      </c>
      <c r="N69" s="185" t="str">
        <f>IFERROR(INDEX('Tournament List'!O:O,MATCH(INDEX('Skeet Ind Concurrent Ranking'!A:A,MATCH(M69,'Skeet Ind Concurrent Ranking'!J:J,0)),'Tournament List'!A:A,0)),"")</f>
        <v/>
      </c>
      <c r="O69" s="186" t="str">
        <f>IFERROR(INDEX('Tournament List'!R:R,MATCH(N69,'Tournament List'!O:O,0)),"")</f>
        <v/>
      </c>
      <c r="P69" s="241" t="str">
        <f>IFERROR(INDEX('Shooter-Squad Assignment'!F:F,MATCH(N69&amp;"-1",'Shooter-Squad Assignment'!U:U,0)),"")</f>
        <v/>
      </c>
      <c r="Q69" s="242" t="str">
        <f>IFERROR(INDEX('Tournament List'!T:T,MATCH(N69&amp;"-1",'Tournament List'!Q:Q,0)),"")</f>
        <v/>
      </c>
      <c r="R69" s="188" t="str">
        <f>IFERROR(INDEX('Tournament List'!D:D,MATCH(N69&amp;"-1",'Tournament List'!P:P,0)),"")</f>
        <v/>
      </c>
      <c r="S69" s="189" t="str">
        <f>IFERROR(INDEX('Tournament List'!U:U,MATCH(N69&amp;"-1",'Tournament List'!P:P,0)),"")</f>
        <v/>
      </c>
    </row>
    <row r="70" spans="1:19" x14ac:dyDescent="0.3">
      <c r="A70"/>
      <c r="B70"/>
      <c r="C70"/>
      <c r="D70"/>
      <c r="E70"/>
      <c r="G70"/>
      <c r="H70"/>
      <c r="J70"/>
      <c r="L70"/>
      <c r="M70" s="222"/>
      <c r="N70" s="134"/>
      <c r="O70" s="135"/>
      <c r="P70" s="136"/>
      <c r="Q70" s="136"/>
      <c r="R70" s="190" t="str">
        <f>IFERROR(INDEX('Tournament List'!D:D,MATCH(N69&amp;"-2",'Tournament List'!P:P,0)),"")</f>
        <v/>
      </c>
      <c r="S70" s="191" t="str">
        <f>IFERROR(INDEX('Tournament List'!U:U,MATCH(N69&amp;"-2",'Tournament List'!P:P,0)),"")</f>
        <v/>
      </c>
    </row>
    <row r="71" spans="1:19" ht="15" thickBot="1" x14ac:dyDescent="0.35">
      <c r="A71"/>
      <c r="B71"/>
      <c r="C71"/>
      <c r="D71"/>
      <c r="E71"/>
      <c r="G71"/>
      <c r="H71"/>
      <c r="J71"/>
      <c r="L71"/>
      <c r="M71" s="222"/>
      <c r="N71" s="137"/>
      <c r="O71" s="138"/>
      <c r="P71" s="139"/>
      <c r="Q71" s="139"/>
      <c r="R71" s="192" t="str">
        <f>IFERROR(INDEX('Tournament List'!D:D,MATCH(N69&amp;"-3",'Tournament List'!P:P,0)),"")</f>
        <v/>
      </c>
      <c r="S71" s="193" t="str">
        <f>IFERROR(INDEX('Tournament List'!U:U,MATCH(N69&amp;"-3",'Tournament List'!P:P,0)),"")</f>
        <v/>
      </c>
    </row>
    <row r="72" spans="1:19" ht="15" thickBot="1" x14ac:dyDescent="0.35">
      <c r="A72"/>
      <c r="B72"/>
      <c r="C72"/>
      <c r="D72"/>
      <c r="E72"/>
      <c r="G72"/>
      <c r="H72"/>
      <c r="J72"/>
      <c r="L72"/>
      <c r="M72" s="223">
        <v>24</v>
      </c>
      <c r="N72" s="224" t="str">
        <f>IFERROR(INDEX('Tournament List'!O:O,MATCH(INDEX('Skeet Ind Concurrent Ranking'!A:A,MATCH(M72,'Skeet Ind Concurrent Ranking'!J:J,0)),'Tournament List'!A:A,0)),"")</f>
        <v/>
      </c>
      <c r="O72" s="225" t="str">
        <f>IFERROR(INDEX('Tournament List'!R:R,MATCH(N72,'Tournament List'!O:O,0)),"")</f>
        <v/>
      </c>
      <c r="P72" s="226" t="str">
        <f>IFERROR(INDEX('Shooter-Squad Assignment'!F:F,MATCH(N72&amp;"-1",'Shooter-Squad Assignment'!U:U,0)),"")</f>
        <v/>
      </c>
      <c r="Q72" s="227" t="str">
        <f>IFERROR(INDEX('Tournament List'!T:T,MATCH(N72&amp;"-1",'Tournament List'!Q:Q,0)),"")</f>
        <v/>
      </c>
      <c r="R72" s="228" t="str">
        <f>IFERROR(INDEX('Tournament List'!D:D,MATCH(N72&amp;"-1",'Tournament List'!P:P,0)),"")</f>
        <v/>
      </c>
      <c r="S72" s="229" t="str">
        <f>IFERROR(INDEX('Tournament List'!U:U,MATCH(N72&amp;"-1",'Tournament List'!P:P,0)),"")</f>
        <v/>
      </c>
    </row>
    <row r="73" spans="1:19" x14ac:dyDescent="0.3">
      <c r="A73"/>
      <c r="B73"/>
      <c r="C73"/>
      <c r="D73"/>
      <c r="E73"/>
      <c r="G73"/>
      <c r="H73"/>
      <c r="J73"/>
      <c r="L73"/>
      <c r="M73" s="230"/>
      <c r="N73" s="235"/>
      <c r="O73" s="236"/>
      <c r="P73" s="237"/>
      <c r="Q73" s="237"/>
      <c r="R73" s="231" t="str">
        <f>IFERROR(INDEX('Tournament List'!D:D,MATCH(N72&amp;"-2",'Tournament List'!P:P,0)),"")</f>
        <v/>
      </c>
      <c r="S73" s="232" t="str">
        <f>IFERROR(INDEX('Tournament List'!U:U,MATCH(N72&amp;"-2",'Tournament List'!P:P,0)),"")</f>
        <v/>
      </c>
    </row>
    <row r="74" spans="1:19" ht="15" thickBot="1" x14ac:dyDescent="0.35">
      <c r="A74"/>
      <c r="B74"/>
      <c r="C74"/>
      <c r="D74"/>
      <c r="E74"/>
      <c r="G74"/>
      <c r="H74"/>
      <c r="J74"/>
      <c r="L74"/>
      <c r="M74" s="230"/>
      <c r="N74" s="238"/>
      <c r="O74" s="239"/>
      <c r="P74" s="240"/>
      <c r="Q74" s="240"/>
      <c r="R74" s="233" t="str">
        <f>IFERROR(INDEX('Tournament List'!D:D,MATCH(N72&amp;"-3",'Tournament List'!P:P,0)),"")</f>
        <v/>
      </c>
      <c r="S74" s="234" t="str">
        <f>IFERROR(INDEX('Tournament List'!U:U,MATCH(N72&amp;"-3",'Tournament List'!P:P,0)),"")</f>
        <v/>
      </c>
    </row>
    <row r="75" spans="1:19" ht="15" thickBot="1" x14ac:dyDescent="0.35">
      <c r="A75"/>
      <c r="B75"/>
      <c r="C75"/>
      <c r="D75"/>
      <c r="E75"/>
      <c r="G75"/>
      <c r="H75"/>
      <c r="J75"/>
      <c r="L75"/>
      <c r="M75" s="184">
        <v>25</v>
      </c>
      <c r="N75" s="185" t="str">
        <f>IFERROR(INDEX('Tournament List'!O:O,MATCH(INDEX('Skeet Ind Concurrent Ranking'!A:A,MATCH(M75,'Skeet Ind Concurrent Ranking'!J:J,0)),'Tournament List'!A:A,0)),"")</f>
        <v/>
      </c>
      <c r="O75" s="186" t="str">
        <f>IFERROR(INDEX('Tournament List'!R:R,MATCH(N75,'Tournament List'!O:O,0)),"")</f>
        <v/>
      </c>
      <c r="P75" s="241" t="str">
        <f>IFERROR(INDEX('Shooter-Squad Assignment'!F:F,MATCH(N75&amp;"-1",'Shooter-Squad Assignment'!U:U,0)),"")</f>
        <v/>
      </c>
      <c r="Q75" s="242" t="str">
        <f>IFERROR(INDEX('Tournament List'!T:T,MATCH(N75&amp;"-1",'Tournament List'!Q:Q,0)),"")</f>
        <v/>
      </c>
      <c r="R75" s="188" t="str">
        <f>IFERROR(INDEX('Tournament List'!D:D,MATCH(N75&amp;"-1",'Tournament List'!P:P,0)),"")</f>
        <v/>
      </c>
      <c r="S75" s="189" t="str">
        <f>IFERROR(INDEX('Tournament List'!U:U,MATCH(N75&amp;"-1",'Tournament List'!P:P,0)),"")</f>
        <v/>
      </c>
    </row>
    <row r="76" spans="1:19" x14ac:dyDescent="0.3">
      <c r="A76"/>
      <c r="B76"/>
      <c r="C76"/>
      <c r="D76"/>
      <c r="E76"/>
      <c r="G76"/>
      <c r="H76"/>
      <c r="J76"/>
      <c r="L76"/>
      <c r="M76" s="222"/>
      <c r="N76" s="134"/>
      <c r="O76" s="135"/>
      <c r="P76" s="136"/>
      <c r="Q76" s="136"/>
      <c r="R76" s="190" t="str">
        <f>IFERROR(INDEX('Tournament List'!D:D,MATCH(N75&amp;"-2",'Tournament List'!P:P,0)),"")</f>
        <v/>
      </c>
      <c r="S76" s="191" t="str">
        <f>IFERROR(INDEX('Tournament List'!U:U,MATCH(N75&amp;"-2",'Tournament List'!P:P,0)),"")</f>
        <v/>
      </c>
    </row>
    <row r="77" spans="1:19" ht="15" thickBot="1" x14ac:dyDescent="0.35">
      <c r="A77"/>
      <c r="B77"/>
      <c r="C77"/>
      <c r="D77"/>
      <c r="E77"/>
      <c r="G77"/>
      <c r="H77"/>
      <c r="J77"/>
      <c r="L77"/>
      <c r="M77" s="222"/>
      <c r="N77" s="137"/>
      <c r="O77" s="138"/>
      <c r="P77" s="139"/>
      <c r="Q77" s="139"/>
      <c r="R77" s="192" t="str">
        <f>IFERROR(INDEX('Tournament List'!D:D,MATCH(N75&amp;"-3",'Tournament List'!P:P,0)),"")</f>
        <v/>
      </c>
      <c r="S77" s="193" t="str">
        <f>IFERROR(INDEX('Tournament List'!U:U,MATCH(N75&amp;"-3",'Tournament List'!P:P,0)),"")</f>
        <v/>
      </c>
    </row>
    <row r="78" spans="1:19" ht="15" thickBot="1" x14ac:dyDescent="0.35">
      <c r="A78"/>
      <c r="B78"/>
      <c r="C78"/>
      <c r="D78"/>
      <c r="E78"/>
      <c r="G78"/>
      <c r="H78"/>
      <c r="J78"/>
      <c r="L78"/>
      <c r="M78" s="223">
        <v>26</v>
      </c>
      <c r="N78" s="224" t="str">
        <f>IFERROR(INDEX('Tournament List'!O:O,MATCH(INDEX('Skeet Ind Concurrent Ranking'!A:A,MATCH(M78,'Skeet Ind Concurrent Ranking'!J:J,0)),'Tournament List'!A:A,0)),"")</f>
        <v/>
      </c>
      <c r="O78" s="225" t="str">
        <f>IFERROR(INDEX('Tournament List'!R:R,MATCH(N78,'Tournament List'!O:O,0)),"")</f>
        <v/>
      </c>
      <c r="P78" s="226" t="str">
        <f>IFERROR(INDEX('Shooter-Squad Assignment'!F:F,MATCH(N78&amp;"-1",'Shooter-Squad Assignment'!U:U,0)),"")</f>
        <v/>
      </c>
      <c r="Q78" s="227" t="str">
        <f>IFERROR(INDEX('Tournament List'!T:T,MATCH(N78&amp;"-1",'Tournament List'!Q:Q,0)),"")</f>
        <v/>
      </c>
      <c r="R78" s="228" t="str">
        <f>IFERROR(INDEX('Tournament List'!D:D,MATCH(N78&amp;"-1",'Tournament List'!P:P,0)),"")</f>
        <v/>
      </c>
      <c r="S78" s="229" t="str">
        <f>IFERROR(INDEX('Tournament List'!U:U,MATCH(N78&amp;"-1",'Tournament List'!P:P,0)),"")</f>
        <v/>
      </c>
    </row>
    <row r="79" spans="1:19" x14ac:dyDescent="0.3">
      <c r="A79"/>
      <c r="B79"/>
      <c r="C79"/>
      <c r="D79"/>
      <c r="E79"/>
      <c r="G79"/>
      <c r="H79"/>
      <c r="J79"/>
      <c r="L79"/>
      <c r="M79" s="230"/>
      <c r="N79" s="235"/>
      <c r="O79" s="236"/>
      <c r="P79" s="237"/>
      <c r="Q79" s="237"/>
      <c r="R79" s="231" t="str">
        <f>IFERROR(INDEX('Tournament List'!D:D,MATCH(N78&amp;"-2",'Tournament List'!P:P,0)),"")</f>
        <v/>
      </c>
      <c r="S79" s="232" t="str">
        <f>IFERROR(INDEX('Tournament List'!U:U,MATCH(N78&amp;"-2",'Tournament List'!P:P,0)),"")</f>
        <v/>
      </c>
    </row>
    <row r="80" spans="1:19" ht="15" thickBot="1" x14ac:dyDescent="0.35">
      <c r="A80"/>
      <c r="B80"/>
      <c r="C80"/>
      <c r="D80"/>
      <c r="E80"/>
      <c r="G80"/>
      <c r="H80"/>
      <c r="J80"/>
      <c r="L80"/>
      <c r="M80" s="230"/>
      <c r="N80" s="238"/>
      <c r="O80" s="239"/>
      <c r="P80" s="240"/>
      <c r="Q80" s="240"/>
      <c r="R80" s="233" t="str">
        <f>IFERROR(INDEX('Tournament List'!D:D,MATCH(N78&amp;"-3",'Tournament List'!P:P,0)),"")</f>
        <v/>
      </c>
      <c r="S80" s="234" t="str">
        <f>IFERROR(INDEX('Tournament List'!U:U,MATCH(N78&amp;"-3",'Tournament List'!P:P,0)),"")</f>
        <v/>
      </c>
    </row>
    <row r="81" spans="1:19" ht="15" thickBot="1" x14ac:dyDescent="0.35">
      <c r="A81"/>
      <c r="B81"/>
      <c r="C81"/>
      <c r="D81"/>
      <c r="E81"/>
      <c r="G81"/>
      <c r="H81"/>
      <c r="J81"/>
      <c r="L81"/>
      <c r="M81" s="184">
        <v>27</v>
      </c>
      <c r="N81" s="185" t="str">
        <f>IFERROR(INDEX('Tournament List'!O:O,MATCH(INDEX('Skeet Ind Concurrent Ranking'!A:A,MATCH(M81,'Skeet Ind Concurrent Ranking'!J:J,0)),'Tournament List'!A:A,0)),"")</f>
        <v/>
      </c>
      <c r="O81" s="186" t="str">
        <f>IFERROR(INDEX('Tournament List'!R:R,MATCH(N81,'Tournament List'!O:O,0)),"")</f>
        <v/>
      </c>
      <c r="P81" s="241" t="str">
        <f>IFERROR(INDEX('Shooter-Squad Assignment'!F:F,MATCH(N81&amp;"-1",'Shooter-Squad Assignment'!U:U,0)),"")</f>
        <v/>
      </c>
      <c r="Q81" s="242" t="str">
        <f>IFERROR(INDEX('Tournament List'!T:T,MATCH(N81&amp;"-1",'Tournament List'!Q:Q,0)),"")</f>
        <v/>
      </c>
      <c r="R81" s="188" t="str">
        <f>IFERROR(INDEX('Tournament List'!D:D,MATCH(N81&amp;"-1",'Tournament List'!P:P,0)),"")</f>
        <v/>
      </c>
      <c r="S81" s="189" t="str">
        <f>IFERROR(INDEX('Tournament List'!U:U,MATCH(N81&amp;"-1",'Tournament List'!P:P,0)),"")</f>
        <v/>
      </c>
    </row>
    <row r="82" spans="1:19" x14ac:dyDescent="0.3">
      <c r="A82"/>
      <c r="B82"/>
      <c r="C82"/>
      <c r="D82"/>
      <c r="E82"/>
      <c r="G82"/>
      <c r="H82"/>
      <c r="J82"/>
      <c r="L82"/>
      <c r="M82" s="222"/>
      <c r="N82" s="134"/>
      <c r="O82" s="135"/>
      <c r="P82" s="136"/>
      <c r="Q82" s="136"/>
      <c r="R82" s="190" t="str">
        <f>IFERROR(INDEX('Tournament List'!D:D,MATCH(N81&amp;"-2",'Tournament List'!P:P,0)),"")</f>
        <v/>
      </c>
      <c r="S82" s="191" t="str">
        <f>IFERROR(INDEX('Tournament List'!U:U,MATCH(N81&amp;"-2",'Tournament List'!P:P,0)),"")</f>
        <v/>
      </c>
    </row>
    <row r="83" spans="1:19" ht="15" thickBot="1" x14ac:dyDescent="0.35">
      <c r="A83"/>
      <c r="B83"/>
      <c r="C83"/>
      <c r="D83"/>
      <c r="E83"/>
      <c r="G83"/>
      <c r="H83"/>
      <c r="J83"/>
      <c r="L83"/>
      <c r="M83" s="222"/>
      <c r="N83" s="137"/>
      <c r="O83" s="138"/>
      <c r="P83" s="139"/>
      <c r="Q83" s="139"/>
      <c r="R83" s="192" t="str">
        <f>IFERROR(INDEX('Tournament List'!D:D,MATCH(N81&amp;"-3",'Tournament List'!P:P,0)),"")</f>
        <v/>
      </c>
      <c r="S83" s="193" t="str">
        <f>IFERROR(INDEX('Tournament List'!U:U,MATCH(N81&amp;"-3",'Tournament List'!P:P,0)),"")</f>
        <v/>
      </c>
    </row>
    <row r="84" spans="1:19" ht="15" thickBot="1" x14ac:dyDescent="0.35">
      <c r="A84"/>
      <c r="B84"/>
      <c r="C84"/>
      <c r="D84"/>
      <c r="E84"/>
      <c r="G84"/>
      <c r="H84"/>
      <c r="J84"/>
      <c r="L84"/>
      <c r="M84" s="223">
        <v>28</v>
      </c>
      <c r="N84" s="224" t="str">
        <f>IFERROR(INDEX('Tournament List'!O:O,MATCH(INDEX('Skeet Ind Concurrent Ranking'!A:A,MATCH(M84,'Skeet Ind Concurrent Ranking'!J:J,0)),'Tournament List'!A:A,0)),"")</f>
        <v/>
      </c>
      <c r="O84" s="225" t="str">
        <f>IFERROR(INDEX('Tournament List'!R:R,MATCH(N84,'Tournament List'!O:O,0)),"")</f>
        <v/>
      </c>
      <c r="P84" s="226" t="str">
        <f>IFERROR(INDEX('Shooter-Squad Assignment'!F:F,MATCH(N84&amp;"-1",'Shooter-Squad Assignment'!U:U,0)),"")</f>
        <v/>
      </c>
      <c r="Q84" s="227" t="str">
        <f>IFERROR(INDEX('Tournament List'!T:T,MATCH(N84&amp;"-1",'Tournament List'!Q:Q,0)),"")</f>
        <v/>
      </c>
      <c r="R84" s="228" t="str">
        <f>IFERROR(INDEX('Tournament List'!D:D,MATCH(N84&amp;"-1",'Tournament List'!P:P,0)),"")</f>
        <v/>
      </c>
      <c r="S84" s="229" t="str">
        <f>IFERROR(INDEX('Tournament List'!U:U,MATCH(N84&amp;"-1",'Tournament List'!P:P,0)),"")</f>
        <v/>
      </c>
    </row>
    <row r="85" spans="1:19" x14ac:dyDescent="0.3">
      <c r="A85"/>
      <c r="B85"/>
      <c r="C85"/>
      <c r="D85"/>
      <c r="E85"/>
      <c r="G85"/>
      <c r="H85"/>
      <c r="J85"/>
      <c r="L85"/>
      <c r="M85" s="230"/>
      <c r="N85" s="235"/>
      <c r="O85" s="236"/>
      <c r="P85" s="237"/>
      <c r="Q85" s="237"/>
      <c r="R85" s="231" t="str">
        <f>IFERROR(INDEX('Tournament List'!D:D,MATCH(N84&amp;"-2",'Tournament List'!P:P,0)),"")</f>
        <v/>
      </c>
      <c r="S85" s="232" t="str">
        <f>IFERROR(INDEX('Tournament List'!U:U,MATCH(N84&amp;"-2",'Tournament List'!P:P,0)),"")</f>
        <v/>
      </c>
    </row>
    <row r="86" spans="1:19" ht="15" thickBot="1" x14ac:dyDescent="0.35">
      <c r="A86"/>
      <c r="B86"/>
      <c r="C86"/>
      <c r="D86"/>
      <c r="E86"/>
      <c r="G86"/>
      <c r="H86"/>
      <c r="J86"/>
      <c r="L86"/>
      <c r="M86" s="230"/>
      <c r="N86" s="238"/>
      <c r="O86" s="239"/>
      <c r="P86" s="240"/>
      <c r="Q86" s="240"/>
      <c r="R86" s="233" t="str">
        <f>IFERROR(INDEX('Tournament List'!D:D,MATCH(N84&amp;"-3",'Tournament List'!P:P,0)),"")</f>
        <v/>
      </c>
      <c r="S86" s="234" t="str">
        <f>IFERROR(INDEX('Tournament List'!U:U,MATCH(N84&amp;"-3",'Tournament List'!P:P,0)),"")</f>
        <v/>
      </c>
    </row>
    <row r="87" spans="1:19" ht="15" thickBot="1" x14ac:dyDescent="0.35">
      <c r="A87"/>
      <c r="B87"/>
      <c r="C87"/>
      <c r="D87"/>
      <c r="E87"/>
      <c r="G87"/>
      <c r="H87"/>
      <c r="J87"/>
      <c r="L87"/>
      <c r="M87" s="184">
        <v>29</v>
      </c>
      <c r="N87" s="185" t="str">
        <f>IFERROR(INDEX('Tournament List'!O:O,MATCH(INDEX('Skeet Ind Concurrent Ranking'!A:A,MATCH(M87,'Skeet Ind Concurrent Ranking'!J:J,0)),'Tournament List'!A:A,0)),"")</f>
        <v/>
      </c>
      <c r="O87" s="186" t="str">
        <f>IFERROR(INDEX('Tournament List'!R:R,MATCH(N87,'Tournament List'!O:O,0)),"")</f>
        <v/>
      </c>
      <c r="P87" s="241" t="str">
        <f>IFERROR(INDEX('Shooter-Squad Assignment'!F:F,MATCH(N87&amp;"-1",'Shooter-Squad Assignment'!U:U,0)),"")</f>
        <v/>
      </c>
      <c r="Q87" s="242" t="str">
        <f>IFERROR(INDEX('Tournament List'!T:T,MATCH(N87&amp;"-1",'Tournament List'!Q:Q,0)),"")</f>
        <v/>
      </c>
      <c r="R87" s="188" t="str">
        <f>IFERROR(INDEX('Tournament List'!D:D,MATCH(N87&amp;"-1",'Tournament List'!P:P,0)),"")</f>
        <v/>
      </c>
      <c r="S87" s="189" t="str">
        <f>IFERROR(INDEX('Tournament List'!U:U,MATCH(N87&amp;"-1",'Tournament List'!P:P,0)),"")</f>
        <v/>
      </c>
    </row>
    <row r="88" spans="1:19" x14ac:dyDescent="0.3">
      <c r="A88"/>
      <c r="B88"/>
      <c r="C88"/>
      <c r="D88"/>
      <c r="E88"/>
      <c r="G88"/>
      <c r="H88"/>
      <c r="J88"/>
      <c r="L88"/>
      <c r="M88" s="222"/>
      <c r="N88" s="134"/>
      <c r="O88" s="135"/>
      <c r="P88" s="136"/>
      <c r="Q88" s="136"/>
      <c r="R88" s="190" t="str">
        <f>IFERROR(INDEX('Tournament List'!D:D,MATCH(N87&amp;"-2",'Tournament List'!P:P,0)),"")</f>
        <v/>
      </c>
      <c r="S88" s="191" t="str">
        <f>IFERROR(INDEX('Tournament List'!U:U,MATCH(N87&amp;"-2",'Tournament List'!P:P,0)),"")</f>
        <v/>
      </c>
    </row>
    <row r="89" spans="1:19" ht="15" thickBot="1" x14ac:dyDescent="0.35">
      <c r="A89"/>
      <c r="B89"/>
      <c r="C89"/>
      <c r="D89"/>
      <c r="E89"/>
      <c r="G89"/>
      <c r="H89"/>
      <c r="J89"/>
      <c r="L89"/>
      <c r="M89" s="222"/>
      <c r="N89" s="137"/>
      <c r="O89" s="138"/>
      <c r="P89" s="139"/>
      <c r="Q89" s="139"/>
      <c r="R89" s="192" t="str">
        <f>IFERROR(INDEX('Tournament List'!D:D,MATCH(N87&amp;"-3",'Tournament List'!P:P,0)),"")</f>
        <v/>
      </c>
      <c r="S89" s="193" t="str">
        <f>IFERROR(INDEX('Tournament List'!U:U,MATCH(N87&amp;"-3",'Tournament List'!P:P,0)),"")</f>
        <v/>
      </c>
    </row>
    <row r="90" spans="1:19" ht="15" thickBot="1" x14ac:dyDescent="0.35">
      <c r="A90"/>
      <c r="B90"/>
      <c r="C90"/>
      <c r="D90"/>
      <c r="E90"/>
      <c r="G90"/>
      <c r="H90"/>
      <c r="J90"/>
      <c r="L90"/>
      <c r="M90" s="223">
        <v>30</v>
      </c>
      <c r="N90" s="224" t="str">
        <f>IFERROR(INDEX('Tournament List'!O:O,MATCH(INDEX('Skeet Ind Concurrent Ranking'!A:A,MATCH(M90,'Skeet Ind Concurrent Ranking'!J:J,0)),'Tournament List'!A:A,0)),"")</f>
        <v/>
      </c>
      <c r="O90" s="225" t="str">
        <f>IFERROR(INDEX('Tournament List'!R:R,MATCH(N90,'Tournament List'!O:O,0)),"")</f>
        <v/>
      </c>
      <c r="P90" s="226" t="str">
        <f>IFERROR(INDEX('Shooter-Squad Assignment'!F:F,MATCH(N90&amp;"-1",'Shooter-Squad Assignment'!U:U,0)),"")</f>
        <v/>
      </c>
      <c r="Q90" s="227" t="str">
        <f>IFERROR(INDEX('Tournament List'!T:T,MATCH(N90&amp;"-1",'Tournament List'!Q:Q,0)),"")</f>
        <v/>
      </c>
      <c r="R90" s="228" t="str">
        <f>IFERROR(INDEX('Tournament List'!D:D,MATCH(N90&amp;"-1",'Tournament List'!P:P,0)),"")</f>
        <v/>
      </c>
      <c r="S90" s="229" t="str">
        <f>IFERROR(INDEX('Tournament List'!U:U,MATCH(N90&amp;"-1",'Tournament List'!P:P,0)),"")</f>
        <v/>
      </c>
    </row>
    <row r="91" spans="1:19" x14ac:dyDescent="0.3">
      <c r="A91"/>
      <c r="B91"/>
      <c r="C91"/>
      <c r="D91"/>
      <c r="E91"/>
      <c r="G91"/>
      <c r="H91"/>
      <c r="J91"/>
      <c r="L91"/>
      <c r="M91" s="230"/>
      <c r="N91" s="235"/>
      <c r="O91" s="236"/>
      <c r="P91" s="237"/>
      <c r="Q91" s="237"/>
      <c r="R91" s="231" t="str">
        <f>IFERROR(INDEX('Tournament List'!D:D,MATCH(N90&amp;"-2",'Tournament List'!P:P,0)),"")</f>
        <v/>
      </c>
      <c r="S91" s="232" t="str">
        <f>IFERROR(INDEX('Tournament List'!U:U,MATCH(N90&amp;"-2",'Tournament List'!P:P,0)),"")</f>
        <v/>
      </c>
    </row>
    <row r="92" spans="1:19" ht="15" thickBot="1" x14ac:dyDescent="0.35">
      <c r="A92"/>
      <c r="B92"/>
      <c r="C92"/>
      <c r="D92"/>
      <c r="E92"/>
      <c r="G92"/>
      <c r="H92"/>
      <c r="J92"/>
      <c r="L92"/>
      <c r="M92" s="230"/>
      <c r="N92" s="238"/>
      <c r="O92" s="239"/>
      <c r="P92" s="240"/>
      <c r="Q92" s="240"/>
      <c r="R92" s="233" t="str">
        <f>IFERROR(INDEX('Tournament List'!D:D,MATCH(N90&amp;"-3",'Tournament List'!P:P,0)),"")</f>
        <v/>
      </c>
      <c r="S92" s="234" t="str">
        <f>IFERROR(INDEX('Tournament List'!U:U,MATCH(N90&amp;"-3",'Tournament List'!P:P,0)),"")</f>
        <v/>
      </c>
    </row>
    <row r="93" spans="1:19" ht="15" thickBot="1" x14ac:dyDescent="0.35">
      <c r="A93"/>
      <c r="B93"/>
      <c r="C93"/>
      <c r="D93"/>
      <c r="E93"/>
      <c r="G93"/>
      <c r="H93"/>
      <c r="J93"/>
      <c r="L93"/>
      <c r="M93" s="184">
        <v>31</v>
      </c>
      <c r="N93" s="185" t="str">
        <f>IFERROR(INDEX('Tournament List'!O:O,MATCH(INDEX('Skeet Ind Concurrent Ranking'!A:A,MATCH(M93,'Skeet Ind Concurrent Ranking'!J:J,0)),'Tournament List'!A:A,0)),"")</f>
        <v/>
      </c>
      <c r="O93" s="186" t="str">
        <f>IFERROR(INDEX('Tournament List'!R:R,MATCH(N93,'Tournament List'!O:O,0)),"")</f>
        <v/>
      </c>
      <c r="P93" s="241" t="str">
        <f>IFERROR(INDEX('Shooter-Squad Assignment'!F:F,MATCH(N93&amp;"-1",'Shooter-Squad Assignment'!U:U,0)),"")</f>
        <v/>
      </c>
      <c r="Q93" s="242" t="str">
        <f>IFERROR(INDEX('Tournament List'!T:T,MATCH(N93&amp;"-1",'Tournament List'!Q:Q,0)),"")</f>
        <v/>
      </c>
      <c r="R93" s="188" t="str">
        <f>IFERROR(INDEX('Tournament List'!D:D,MATCH(N93&amp;"-1",'Tournament List'!P:P,0)),"")</f>
        <v/>
      </c>
      <c r="S93" s="189" t="str">
        <f>IFERROR(INDEX('Tournament List'!U:U,MATCH(N93&amp;"-1",'Tournament List'!P:P,0)),"")</f>
        <v/>
      </c>
    </row>
    <row r="94" spans="1:19" x14ac:dyDescent="0.3">
      <c r="A94"/>
      <c r="B94"/>
      <c r="C94"/>
      <c r="D94"/>
      <c r="E94"/>
      <c r="G94"/>
      <c r="H94"/>
      <c r="J94"/>
      <c r="L94"/>
      <c r="M94" s="222"/>
      <c r="N94" s="134"/>
      <c r="O94" s="135"/>
      <c r="P94" s="136"/>
      <c r="Q94" s="136"/>
      <c r="R94" s="190" t="str">
        <f>IFERROR(INDEX('Tournament List'!D:D,MATCH(N93&amp;"-2",'Tournament List'!P:P,0)),"")</f>
        <v/>
      </c>
      <c r="S94" s="191" t="str">
        <f>IFERROR(INDEX('Tournament List'!U:U,MATCH(N93&amp;"-2",'Tournament List'!P:P,0)),"")</f>
        <v/>
      </c>
    </row>
    <row r="95" spans="1:19" ht="15" thickBot="1" x14ac:dyDescent="0.35">
      <c r="A95"/>
      <c r="B95"/>
      <c r="C95"/>
      <c r="D95"/>
      <c r="E95"/>
      <c r="G95"/>
      <c r="H95"/>
      <c r="J95"/>
      <c r="L95"/>
      <c r="M95" s="222"/>
      <c r="N95" s="137"/>
      <c r="O95" s="138"/>
      <c r="P95" s="139"/>
      <c r="Q95" s="139"/>
      <c r="R95" s="192" t="str">
        <f>IFERROR(INDEX('Tournament List'!D:D,MATCH(N93&amp;"-3",'Tournament List'!P:P,0)),"")</f>
        <v/>
      </c>
      <c r="S95" s="193" t="str">
        <f>IFERROR(INDEX('Tournament List'!U:U,MATCH(N93&amp;"-3",'Tournament List'!P:P,0)),"")</f>
        <v/>
      </c>
    </row>
    <row r="96" spans="1:19" ht="15" thickBot="1" x14ac:dyDescent="0.35">
      <c r="A96"/>
      <c r="B96"/>
      <c r="C96"/>
      <c r="D96"/>
      <c r="E96"/>
      <c r="G96"/>
      <c r="H96"/>
      <c r="J96"/>
      <c r="L96"/>
      <c r="M96" s="223">
        <v>32</v>
      </c>
      <c r="N96" s="224" t="str">
        <f>IFERROR(INDEX('Tournament List'!O:O,MATCH(INDEX('Skeet Ind Concurrent Ranking'!A:A,MATCH(M96,'Skeet Ind Concurrent Ranking'!J:J,0)),'Tournament List'!A:A,0)),"")</f>
        <v/>
      </c>
      <c r="O96" s="225" t="str">
        <f>IFERROR(INDEX('Tournament List'!R:R,MATCH(N96,'Tournament List'!O:O,0)),"")</f>
        <v/>
      </c>
      <c r="P96" s="226" t="str">
        <f>IFERROR(INDEX('Shooter-Squad Assignment'!F:F,MATCH(N96&amp;"-1",'Shooter-Squad Assignment'!U:U,0)),"")</f>
        <v/>
      </c>
      <c r="Q96" s="227" t="str">
        <f>IFERROR(INDEX('Tournament List'!T:T,MATCH(N96&amp;"-1",'Tournament List'!Q:Q,0)),"")</f>
        <v/>
      </c>
      <c r="R96" s="228" t="str">
        <f>IFERROR(INDEX('Tournament List'!D:D,MATCH(N96&amp;"-1",'Tournament List'!P:P,0)),"")</f>
        <v/>
      </c>
      <c r="S96" s="229" t="str">
        <f>IFERROR(INDEX('Tournament List'!U:U,MATCH(N96&amp;"-1",'Tournament List'!P:P,0)),"")</f>
        <v/>
      </c>
    </row>
    <row r="97" spans="1:19" x14ac:dyDescent="0.3">
      <c r="A97"/>
      <c r="B97"/>
      <c r="C97"/>
      <c r="D97"/>
      <c r="E97"/>
      <c r="G97"/>
      <c r="H97"/>
      <c r="J97"/>
      <c r="L97"/>
      <c r="M97" s="230"/>
      <c r="N97" s="235"/>
      <c r="O97" s="236"/>
      <c r="P97" s="237"/>
      <c r="Q97" s="237"/>
      <c r="R97" s="231" t="str">
        <f>IFERROR(INDEX('Tournament List'!D:D,MATCH(N96&amp;"-2",'Tournament List'!P:P,0)),"")</f>
        <v/>
      </c>
      <c r="S97" s="232" t="str">
        <f>IFERROR(INDEX('Tournament List'!U:U,MATCH(N96&amp;"-2",'Tournament List'!P:P,0)),"")</f>
        <v/>
      </c>
    </row>
    <row r="98" spans="1:19" ht="15" thickBot="1" x14ac:dyDescent="0.35">
      <c r="A98"/>
      <c r="B98"/>
      <c r="C98"/>
      <c r="D98"/>
      <c r="E98"/>
      <c r="G98"/>
      <c r="H98"/>
      <c r="J98"/>
      <c r="L98"/>
      <c r="M98" s="230"/>
      <c r="N98" s="238"/>
      <c r="O98" s="239"/>
      <c r="P98" s="240"/>
      <c r="Q98" s="240"/>
      <c r="R98" s="233" t="str">
        <f>IFERROR(INDEX('Tournament List'!D:D,MATCH(N96&amp;"-3",'Tournament List'!P:P,0)),"")</f>
        <v/>
      </c>
      <c r="S98" s="234" t="str">
        <f>IFERROR(INDEX('Tournament List'!U:U,MATCH(N96&amp;"-3",'Tournament List'!P:P,0)),"")</f>
        <v/>
      </c>
    </row>
    <row r="99" spans="1:19" ht="15" thickBot="1" x14ac:dyDescent="0.35">
      <c r="A99"/>
      <c r="B99"/>
      <c r="C99"/>
      <c r="D99"/>
      <c r="E99"/>
      <c r="G99"/>
      <c r="H99"/>
      <c r="J99"/>
      <c r="L99"/>
      <c r="M99" s="184">
        <v>33</v>
      </c>
      <c r="N99" s="185" t="str">
        <f>IFERROR(INDEX('Tournament List'!O:O,MATCH(INDEX('Skeet Ind Concurrent Ranking'!A:A,MATCH(M99,'Skeet Ind Concurrent Ranking'!J:J,0)),'Tournament List'!A:A,0)),"")</f>
        <v/>
      </c>
      <c r="O99" s="186" t="str">
        <f>IFERROR(INDEX('Tournament List'!R:R,MATCH(N99,'Tournament List'!O:O,0)),"")</f>
        <v/>
      </c>
      <c r="P99" s="241" t="str">
        <f>IFERROR(INDEX('Shooter-Squad Assignment'!F:F,MATCH(N99&amp;"-1",'Shooter-Squad Assignment'!U:U,0)),"")</f>
        <v/>
      </c>
      <c r="Q99" s="242" t="str">
        <f>IFERROR(INDEX('Tournament List'!T:T,MATCH(N99&amp;"-1",'Tournament List'!Q:Q,0)),"")</f>
        <v/>
      </c>
      <c r="R99" s="188" t="str">
        <f>IFERROR(INDEX('Tournament List'!D:D,MATCH(N99&amp;"-1",'Tournament List'!P:P,0)),"")</f>
        <v/>
      </c>
      <c r="S99" s="189" t="str">
        <f>IFERROR(INDEX('Tournament List'!U:U,MATCH(N99&amp;"-1",'Tournament List'!P:P,0)),"")</f>
        <v/>
      </c>
    </row>
    <row r="100" spans="1:19" x14ac:dyDescent="0.3">
      <c r="A100"/>
      <c r="B100"/>
      <c r="C100"/>
      <c r="D100"/>
      <c r="E100"/>
      <c r="G100"/>
      <c r="H100"/>
      <c r="J100"/>
      <c r="L100"/>
      <c r="M100" s="222"/>
      <c r="N100" s="134"/>
      <c r="O100" s="135"/>
      <c r="P100" s="136"/>
      <c r="Q100" s="136"/>
      <c r="R100" s="190" t="str">
        <f>IFERROR(INDEX('Tournament List'!D:D,MATCH(N99&amp;"-2",'Tournament List'!P:P,0)),"")</f>
        <v/>
      </c>
      <c r="S100" s="191" t="str">
        <f>IFERROR(INDEX('Tournament List'!U:U,MATCH(N99&amp;"-2",'Tournament List'!P:P,0)),"")</f>
        <v/>
      </c>
    </row>
    <row r="101" spans="1:19" ht="15" thickBot="1" x14ac:dyDescent="0.35">
      <c r="A101"/>
      <c r="B101"/>
      <c r="C101"/>
      <c r="D101"/>
      <c r="E101"/>
      <c r="G101"/>
      <c r="H101"/>
      <c r="J101"/>
      <c r="L101"/>
      <c r="M101" s="222"/>
      <c r="N101" s="137"/>
      <c r="O101" s="138"/>
      <c r="P101" s="139"/>
      <c r="Q101" s="139"/>
      <c r="R101" s="192" t="str">
        <f>IFERROR(INDEX('Tournament List'!D:D,MATCH(N99&amp;"-3",'Tournament List'!P:P,0)),"")</f>
        <v/>
      </c>
      <c r="S101" s="193" t="str">
        <f>IFERROR(INDEX('Tournament List'!U:U,MATCH(N99&amp;"-3",'Tournament List'!P:P,0)),"")</f>
        <v/>
      </c>
    </row>
    <row r="102" spans="1:19" ht="15" thickBot="1" x14ac:dyDescent="0.35">
      <c r="A102"/>
      <c r="B102"/>
      <c r="C102"/>
      <c r="D102"/>
      <c r="E102"/>
      <c r="G102"/>
      <c r="H102"/>
      <c r="J102"/>
      <c r="L102"/>
      <c r="M102" s="223">
        <v>34</v>
      </c>
      <c r="N102" s="224" t="str">
        <f>IFERROR(INDEX('Tournament List'!O:O,MATCH(INDEX('Skeet Ind Concurrent Ranking'!A:A,MATCH(M102,'Skeet Ind Concurrent Ranking'!J:J,0)),'Tournament List'!A:A,0)),"")</f>
        <v/>
      </c>
      <c r="O102" s="225" t="str">
        <f>IFERROR(INDEX('Tournament List'!R:R,MATCH(N102,'Tournament List'!O:O,0)),"")</f>
        <v/>
      </c>
      <c r="P102" s="226" t="str">
        <f>IFERROR(INDEX('Shooter-Squad Assignment'!F:F,MATCH(N102&amp;"-1",'Shooter-Squad Assignment'!U:U,0)),"")</f>
        <v/>
      </c>
      <c r="Q102" s="227" t="str">
        <f>IFERROR(INDEX('Tournament List'!T:T,MATCH(N102&amp;"-1",'Tournament List'!Q:Q,0)),"")</f>
        <v/>
      </c>
      <c r="R102" s="228" t="str">
        <f>IFERROR(INDEX('Tournament List'!D:D,MATCH(N102&amp;"-1",'Tournament List'!P:P,0)),"")</f>
        <v/>
      </c>
      <c r="S102" s="229" t="str">
        <f>IFERROR(INDEX('Tournament List'!U:U,MATCH(N102&amp;"-1",'Tournament List'!P:P,0)),"")</f>
        <v/>
      </c>
    </row>
    <row r="103" spans="1:19" x14ac:dyDescent="0.3">
      <c r="A103"/>
      <c r="B103"/>
      <c r="C103"/>
      <c r="D103"/>
      <c r="E103"/>
      <c r="G103"/>
      <c r="H103"/>
      <c r="J103"/>
      <c r="L103"/>
      <c r="M103" s="230"/>
      <c r="N103" s="235"/>
      <c r="O103" s="236"/>
      <c r="P103" s="237"/>
      <c r="Q103" s="237"/>
      <c r="R103" s="231" t="str">
        <f>IFERROR(INDEX('Tournament List'!D:D,MATCH(N102&amp;"-2",'Tournament List'!P:P,0)),"")</f>
        <v/>
      </c>
      <c r="S103" s="232" t="str">
        <f>IFERROR(INDEX('Tournament List'!U:U,MATCH(N102&amp;"-2",'Tournament List'!P:P,0)),"")</f>
        <v/>
      </c>
    </row>
    <row r="104" spans="1:19" ht="15" thickBot="1" x14ac:dyDescent="0.35">
      <c r="A104"/>
      <c r="B104"/>
      <c r="C104"/>
      <c r="D104"/>
      <c r="E104"/>
      <c r="G104"/>
      <c r="H104"/>
      <c r="J104"/>
      <c r="L104"/>
      <c r="M104" s="230"/>
      <c r="N104" s="238"/>
      <c r="O104" s="239"/>
      <c r="P104" s="240"/>
      <c r="Q104" s="240"/>
      <c r="R104" s="233" t="str">
        <f>IFERROR(INDEX('Tournament List'!D:D,MATCH(N102&amp;"-3",'Tournament List'!P:P,0)),"")</f>
        <v/>
      </c>
      <c r="S104" s="234" t="str">
        <f>IFERROR(INDEX('Tournament List'!U:U,MATCH(N102&amp;"-3",'Tournament List'!P:P,0)),"")</f>
        <v/>
      </c>
    </row>
    <row r="105" spans="1:19" ht="15" thickBot="1" x14ac:dyDescent="0.35">
      <c r="A105"/>
      <c r="B105"/>
      <c r="C105"/>
      <c r="D105"/>
      <c r="E105"/>
      <c r="G105"/>
      <c r="H105"/>
      <c r="J105"/>
      <c r="L105"/>
      <c r="M105" s="184">
        <v>35</v>
      </c>
      <c r="N105" s="185" t="str">
        <f>IFERROR(INDEX('Tournament List'!O:O,MATCH(INDEX('Skeet Ind Concurrent Ranking'!A:A,MATCH(M105,'Skeet Ind Concurrent Ranking'!J:J,0)),'Tournament List'!A:A,0)),"")</f>
        <v/>
      </c>
      <c r="O105" s="186" t="str">
        <f>IFERROR(INDEX('Tournament List'!R:R,MATCH(N105,'Tournament List'!O:O,0)),"")</f>
        <v/>
      </c>
      <c r="P105" s="241" t="str">
        <f>IFERROR(INDEX('Shooter-Squad Assignment'!F:F,MATCH(N105&amp;"-1",'Shooter-Squad Assignment'!U:U,0)),"")</f>
        <v/>
      </c>
      <c r="Q105" s="242" t="str">
        <f>IFERROR(INDEX('Tournament List'!T:T,MATCH(N105&amp;"-1",'Tournament List'!Q:Q,0)),"")</f>
        <v/>
      </c>
      <c r="R105" s="188" t="str">
        <f>IFERROR(INDEX('Tournament List'!D:D,MATCH(N105&amp;"-1",'Tournament List'!P:P,0)),"")</f>
        <v/>
      </c>
      <c r="S105" s="189" t="str">
        <f>IFERROR(INDEX('Tournament List'!U:U,MATCH(N105&amp;"-1",'Tournament List'!P:P,0)),"")</f>
        <v/>
      </c>
    </row>
    <row r="106" spans="1:19" x14ac:dyDescent="0.3">
      <c r="A106"/>
      <c r="B106"/>
      <c r="C106"/>
      <c r="D106"/>
      <c r="E106"/>
      <c r="G106"/>
      <c r="H106"/>
      <c r="J106"/>
      <c r="L106"/>
      <c r="M106" s="222"/>
      <c r="N106" s="134"/>
      <c r="O106" s="135"/>
      <c r="P106" s="136"/>
      <c r="Q106" s="136"/>
      <c r="R106" s="190" t="str">
        <f>IFERROR(INDEX('Tournament List'!D:D,MATCH(N105&amp;"-2",'Tournament List'!P:P,0)),"")</f>
        <v/>
      </c>
      <c r="S106" s="191" t="str">
        <f>IFERROR(INDEX('Tournament List'!U:U,MATCH(N105&amp;"-2",'Tournament List'!P:P,0)),"")</f>
        <v/>
      </c>
    </row>
    <row r="107" spans="1:19" ht="15" thickBot="1" x14ac:dyDescent="0.35">
      <c r="A107"/>
      <c r="B107"/>
      <c r="C107"/>
      <c r="D107"/>
      <c r="E107"/>
      <c r="G107"/>
      <c r="H107"/>
      <c r="J107"/>
      <c r="L107"/>
      <c r="M107" s="222"/>
      <c r="N107" s="137"/>
      <c r="O107" s="138"/>
      <c r="P107" s="139"/>
      <c r="Q107" s="139"/>
      <c r="R107" s="192" t="str">
        <f>IFERROR(INDEX('Tournament List'!D:D,MATCH(N105&amp;"-3",'Tournament List'!P:P,0)),"")</f>
        <v/>
      </c>
      <c r="S107" s="193" t="str">
        <f>IFERROR(INDEX('Tournament List'!U:U,MATCH(N105&amp;"-3",'Tournament List'!P:P,0)),"")</f>
        <v/>
      </c>
    </row>
    <row r="108" spans="1:19" ht="15" thickBot="1" x14ac:dyDescent="0.35">
      <c r="A108"/>
      <c r="B108"/>
      <c r="C108"/>
      <c r="D108"/>
      <c r="E108"/>
      <c r="G108"/>
      <c r="H108"/>
      <c r="J108"/>
      <c r="L108"/>
      <c r="M108" s="223">
        <v>36</v>
      </c>
      <c r="N108" s="224" t="str">
        <f>IFERROR(INDEX('Tournament List'!O:O,MATCH(INDEX('Skeet Ind Concurrent Ranking'!A:A,MATCH(M108,'Skeet Ind Concurrent Ranking'!J:J,0)),'Tournament List'!A:A,0)),"")</f>
        <v/>
      </c>
      <c r="O108" s="225" t="str">
        <f>IFERROR(INDEX('Tournament List'!R:R,MATCH(N108,'Tournament List'!O:O,0)),"")</f>
        <v/>
      </c>
      <c r="P108" s="226" t="str">
        <f>IFERROR(INDEX('Shooter-Squad Assignment'!F:F,MATCH(N108&amp;"-1",'Shooter-Squad Assignment'!U:U,0)),"")</f>
        <v/>
      </c>
      <c r="Q108" s="227" t="str">
        <f>IFERROR(INDEX('Tournament List'!T:T,MATCH(N108&amp;"-1",'Tournament List'!Q:Q,0)),"")</f>
        <v/>
      </c>
      <c r="R108" s="228" t="str">
        <f>IFERROR(INDEX('Tournament List'!D:D,MATCH(N108&amp;"-1",'Tournament List'!P:P,0)),"")</f>
        <v/>
      </c>
      <c r="S108" s="229" t="str">
        <f>IFERROR(INDEX('Tournament List'!U:U,MATCH(N108&amp;"-1",'Tournament List'!P:P,0)),"")</f>
        <v/>
      </c>
    </row>
    <row r="109" spans="1:19" x14ac:dyDescent="0.3">
      <c r="A109"/>
      <c r="B109"/>
      <c r="C109"/>
      <c r="D109"/>
      <c r="E109"/>
      <c r="G109"/>
      <c r="H109"/>
      <c r="J109"/>
      <c r="L109"/>
      <c r="M109" s="230"/>
      <c r="N109" s="235"/>
      <c r="O109" s="236"/>
      <c r="P109" s="237"/>
      <c r="Q109" s="237"/>
      <c r="R109" s="231" t="str">
        <f>IFERROR(INDEX('Tournament List'!D:D,MATCH(N108&amp;"-2",'Tournament List'!P:P,0)),"")</f>
        <v/>
      </c>
      <c r="S109" s="232" t="str">
        <f>IFERROR(INDEX('Tournament List'!U:U,MATCH(N108&amp;"-2",'Tournament List'!P:P,0)),"")</f>
        <v/>
      </c>
    </row>
    <row r="110" spans="1:19" ht="15" thickBot="1" x14ac:dyDescent="0.35">
      <c r="A110"/>
      <c r="B110"/>
      <c r="C110"/>
      <c r="D110"/>
      <c r="E110"/>
      <c r="G110"/>
      <c r="H110"/>
      <c r="J110"/>
      <c r="L110"/>
      <c r="M110" s="230"/>
      <c r="N110" s="238"/>
      <c r="O110" s="239"/>
      <c r="P110" s="240"/>
      <c r="Q110" s="240"/>
      <c r="R110" s="233" t="str">
        <f>IFERROR(INDEX('Tournament List'!D:D,MATCH(N108&amp;"-3",'Tournament List'!P:P,0)),"")</f>
        <v/>
      </c>
      <c r="S110" s="234" t="str">
        <f>IFERROR(INDEX('Tournament List'!U:U,MATCH(N108&amp;"-3",'Tournament List'!P:P,0)),"")</f>
        <v/>
      </c>
    </row>
    <row r="111" spans="1:19" ht="15" thickBot="1" x14ac:dyDescent="0.35">
      <c r="A111"/>
      <c r="B111"/>
      <c r="C111"/>
      <c r="D111"/>
      <c r="E111"/>
      <c r="G111"/>
      <c r="H111"/>
      <c r="J111"/>
      <c r="L111"/>
      <c r="M111" s="184">
        <v>37</v>
      </c>
      <c r="N111" s="185" t="str">
        <f>IFERROR(INDEX('Tournament List'!O:O,MATCH(INDEX('Skeet Ind Concurrent Ranking'!A:A,MATCH(M111,'Skeet Ind Concurrent Ranking'!J:J,0)),'Tournament List'!A:A,0)),"")</f>
        <v/>
      </c>
      <c r="O111" s="186" t="str">
        <f>IFERROR(INDEX('Tournament List'!R:R,MATCH(N111,'Tournament List'!O:O,0)),"")</f>
        <v/>
      </c>
      <c r="P111" s="241" t="str">
        <f>IFERROR(INDEX('Shooter-Squad Assignment'!F:F,MATCH(N111&amp;"-1",'Shooter-Squad Assignment'!U:U,0)),"")</f>
        <v/>
      </c>
      <c r="Q111" s="242" t="str">
        <f>IFERROR(INDEX('Tournament List'!T:T,MATCH(N111&amp;"-1",'Tournament List'!Q:Q,0)),"")</f>
        <v/>
      </c>
      <c r="R111" s="188" t="str">
        <f>IFERROR(INDEX('Tournament List'!D:D,MATCH(N111&amp;"-1",'Tournament List'!P:P,0)),"")</f>
        <v/>
      </c>
      <c r="S111" s="189" t="str">
        <f>IFERROR(INDEX('Tournament List'!U:U,MATCH(N111&amp;"-1",'Tournament List'!P:P,0)),"")</f>
        <v/>
      </c>
    </row>
    <row r="112" spans="1:19" x14ac:dyDescent="0.3">
      <c r="A112"/>
      <c r="B112"/>
      <c r="C112"/>
      <c r="D112"/>
      <c r="E112"/>
      <c r="G112"/>
      <c r="H112"/>
      <c r="J112"/>
      <c r="L112"/>
      <c r="M112" s="222"/>
      <c r="N112" s="134"/>
      <c r="O112" s="135"/>
      <c r="P112" s="136"/>
      <c r="Q112" s="136"/>
      <c r="R112" s="190" t="str">
        <f>IFERROR(INDEX('Tournament List'!D:D,MATCH(N111&amp;"-2",'Tournament List'!P:P,0)),"")</f>
        <v/>
      </c>
      <c r="S112" s="191" t="str">
        <f>IFERROR(INDEX('Tournament List'!U:U,MATCH(N111&amp;"-2",'Tournament List'!P:P,0)),"")</f>
        <v/>
      </c>
    </row>
    <row r="113" spans="1:19" ht="15" thickBot="1" x14ac:dyDescent="0.35">
      <c r="A113"/>
      <c r="B113"/>
      <c r="C113"/>
      <c r="D113"/>
      <c r="E113"/>
      <c r="G113"/>
      <c r="H113"/>
      <c r="J113"/>
      <c r="L113"/>
      <c r="M113" s="222"/>
      <c r="N113" s="137"/>
      <c r="O113" s="138"/>
      <c r="P113" s="139"/>
      <c r="Q113" s="139"/>
      <c r="R113" s="192" t="str">
        <f>IFERROR(INDEX('Tournament List'!D:D,MATCH(N111&amp;"-3",'Tournament List'!P:P,0)),"")</f>
        <v/>
      </c>
      <c r="S113" s="193" t="str">
        <f>IFERROR(INDEX('Tournament List'!U:U,MATCH(N111&amp;"-3",'Tournament List'!P:P,0)),"")</f>
        <v/>
      </c>
    </row>
    <row r="114" spans="1:19" ht="15" thickBot="1" x14ac:dyDescent="0.35">
      <c r="A114"/>
      <c r="B114"/>
      <c r="C114"/>
      <c r="D114"/>
      <c r="E114"/>
      <c r="G114"/>
      <c r="H114"/>
      <c r="J114"/>
      <c r="L114"/>
      <c r="M114" s="223">
        <v>38</v>
      </c>
      <c r="N114" s="224" t="str">
        <f>IFERROR(INDEX('Tournament List'!O:O,MATCH(INDEX('Skeet Ind Concurrent Ranking'!A:A,MATCH(M114,'Skeet Ind Concurrent Ranking'!J:J,0)),'Tournament List'!A:A,0)),"")</f>
        <v/>
      </c>
      <c r="O114" s="225" t="str">
        <f>IFERROR(INDEX('Tournament List'!R:R,MATCH(N114,'Tournament List'!O:O,0)),"")</f>
        <v/>
      </c>
      <c r="P114" s="226" t="str">
        <f>IFERROR(INDEX('Shooter-Squad Assignment'!F:F,MATCH(N114&amp;"-1",'Shooter-Squad Assignment'!U:U,0)),"")</f>
        <v/>
      </c>
      <c r="Q114" s="227" t="str">
        <f>IFERROR(INDEX('Tournament List'!T:T,MATCH(N114&amp;"-1",'Tournament List'!Q:Q,0)),"")</f>
        <v/>
      </c>
      <c r="R114" s="228" t="str">
        <f>IFERROR(INDEX('Tournament List'!D:D,MATCH(N114&amp;"-1",'Tournament List'!P:P,0)),"")</f>
        <v/>
      </c>
      <c r="S114" s="229" t="str">
        <f>IFERROR(INDEX('Tournament List'!U:U,MATCH(N114&amp;"-1",'Tournament List'!P:P,0)),"")</f>
        <v/>
      </c>
    </row>
    <row r="115" spans="1:19" x14ac:dyDescent="0.3">
      <c r="A115"/>
      <c r="B115"/>
      <c r="C115"/>
      <c r="D115"/>
      <c r="E115"/>
      <c r="G115"/>
      <c r="H115"/>
      <c r="J115"/>
      <c r="L115"/>
      <c r="M115" s="230"/>
      <c r="N115" s="235"/>
      <c r="O115" s="236"/>
      <c r="P115" s="237"/>
      <c r="Q115" s="237"/>
      <c r="R115" s="231" t="str">
        <f>IFERROR(INDEX('Tournament List'!D:D,MATCH(N114&amp;"-2",'Tournament List'!P:P,0)),"")</f>
        <v/>
      </c>
      <c r="S115" s="232" t="str">
        <f>IFERROR(INDEX('Tournament List'!U:U,MATCH(N114&amp;"-2",'Tournament List'!P:P,0)),"")</f>
        <v/>
      </c>
    </row>
    <row r="116" spans="1:19" ht="15" thickBot="1" x14ac:dyDescent="0.35">
      <c r="A116"/>
      <c r="B116"/>
      <c r="C116"/>
      <c r="D116"/>
      <c r="E116"/>
      <c r="G116"/>
      <c r="H116"/>
      <c r="J116"/>
      <c r="L116"/>
      <c r="M116" s="230"/>
      <c r="N116" s="238"/>
      <c r="O116" s="239"/>
      <c r="P116" s="240"/>
      <c r="Q116" s="240"/>
      <c r="R116" s="233" t="str">
        <f>IFERROR(INDEX('Tournament List'!D:D,MATCH(N114&amp;"-3",'Tournament List'!P:P,0)),"")</f>
        <v/>
      </c>
      <c r="S116" s="234" t="str">
        <f>IFERROR(INDEX('Tournament List'!U:U,MATCH(N114&amp;"-3",'Tournament List'!P:P,0)),"")</f>
        <v/>
      </c>
    </row>
    <row r="117" spans="1:19" ht="15" thickBot="1" x14ac:dyDescent="0.35">
      <c r="A117"/>
      <c r="B117"/>
      <c r="C117"/>
      <c r="D117"/>
      <c r="E117"/>
      <c r="G117"/>
      <c r="H117"/>
      <c r="J117"/>
      <c r="L117"/>
      <c r="M117" s="184">
        <v>39</v>
      </c>
      <c r="N117" s="185" t="str">
        <f>IFERROR(INDEX('Tournament List'!O:O,MATCH(INDEX('Skeet Ind Concurrent Ranking'!A:A,MATCH(M117,'Skeet Ind Concurrent Ranking'!J:J,0)),'Tournament List'!A:A,0)),"")</f>
        <v/>
      </c>
      <c r="O117" s="186" t="str">
        <f>IFERROR(INDEX('Tournament List'!R:R,MATCH(N117,'Tournament List'!O:O,0)),"")</f>
        <v/>
      </c>
      <c r="P117" s="241" t="str">
        <f>IFERROR(INDEX('Shooter-Squad Assignment'!F:F,MATCH(N117&amp;"-1",'Shooter-Squad Assignment'!U:U,0)),"")</f>
        <v/>
      </c>
      <c r="Q117" s="242" t="str">
        <f>IFERROR(INDEX('Tournament List'!T:T,MATCH(N117&amp;"-1",'Tournament List'!Q:Q,0)),"")</f>
        <v/>
      </c>
      <c r="R117" s="188" t="str">
        <f>IFERROR(INDEX('Tournament List'!D:D,MATCH(N117&amp;"-1",'Tournament List'!P:P,0)),"")</f>
        <v/>
      </c>
      <c r="S117" s="189" t="str">
        <f>IFERROR(INDEX('Tournament List'!U:U,MATCH(N117&amp;"-1",'Tournament List'!P:P,0)),"")</f>
        <v/>
      </c>
    </row>
    <row r="118" spans="1:19" x14ac:dyDescent="0.3">
      <c r="A118"/>
      <c r="B118"/>
      <c r="C118"/>
      <c r="D118"/>
      <c r="E118"/>
      <c r="G118"/>
      <c r="H118"/>
      <c r="J118"/>
      <c r="L118"/>
      <c r="M118" s="222"/>
      <c r="N118" s="134"/>
      <c r="O118" s="135"/>
      <c r="P118" s="136"/>
      <c r="Q118" s="136"/>
      <c r="R118" s="190" t="str">
        <f>IFERROR(INDEX('Tournament List'!D:D,MATCH(N117&amp;"-2",'Tournament List'!P:P,0)),"")</f>
        <v/>
      </c>
      <c r="S118" s="191" t="str">
        <f>IFERROR(INDEX('Tournament List'!U:U,MATCH(N117&amp;"-2",'Tournament List'!P:P,0)),"")</f>
        <v/>
      </c>
    </row>
    <row r="119" spans="1:19" ht="15" thickBot="1" x14ac:dyDescent="0.35">
      <c r="A119"/>
      <c r="B119"/>
      <c r="C119"/>
      <c r="D119"/>
      <c r="E119"/>
      <c r="G119"/>
      <c r="H119"/>
      <c r="J119"/>
      <c r="L119"/>
      <c r="M119" s="222"/>
      <c r="N119" s="137"/>
      <c r="O119" s="138"/>
      <c r="P119" s="139"/>
      <c r="Q119" s="139"/>
      <c r="R119" s="192" t="str">
        <f>IFERROR(INDEX('Tournament List'!D:D,MATCH(N117&amp;"-3",'Tournament List'!P:P,0)),"")</f>
        <v/>
      </c>
      <c r="S119" s="193" t="str">
        <f>IFERROR(INDEX('Tournament List'!U:U,MATCH(N117&amp;"-3",'Tournament List'!P:P,0)),"")</f>
        <v/>
      </c>
    </row>
    <row r="120" spans="1:19" ht="15" thickBot="1" x14ac:dyDescent="0.35">
      <c r="A120"/>
      <c r="B120"/>
      <c r="C120"/>
      <c r="D120"/>
      <c r="E120"/>
      <c r="G120"/>
      <c r="H120"/>
      <c r="J120"/>
      <c r="L120"/>
      <c r="M120" s="223">
        <v>40</v>
      </c>
      <c r="N120" s="224" t="str">
        <f>IFERROR(INDEX('Tournament List'!O:O,MATCH(INDEX('Skeet Ind Concurrent Ranking'!A:A,MATCH(M120,'Skeet Ind Concurrent Ranking'!J:J,0)),'Tournament List'!A:A,0)),"")</f>
        <v/>
      </c>
      <c r="O120" s="225" t="str">
        <f>IFERROR(INDEX('Tournament List'!R:R,MATCH(N120,'Tournament List'!O:O,0)),"")</f>
        <v/>
      </c>
      <c r="P120" s="226" t="str">
        <f>IFERROR(INDEX('Shooter-Squad Assignment'!F:F,MATCH(N120&amp;"-1",'Shooter-Squad Assignment'!U:U,0)),"")</f>
        <v/>
      </c>
      <c r="Q120" s="227" t="str">
        <f>IFERROR(INDEX('Tournament List'!T:T,MATCH(N120&amp;"-1",'Tournament List'!Q:Q,0)),"")</f>
        <v/>
      </c>
      <c r="R120" s="228" t="str">
        <f>IFERROR(INDEX('Tournament List'!D:D,MATCH(N120&amp;"-1",'Tournament List'!P:P,0)),"")</f>
        <v/>
      </c>
      <c r="S120" s="229" t="str">
        <f>IFERROR(INDEX('Tournament List'!U:U,MATCH(N120&amp;"-1",'Tournament List'!P:P,0)),"")</f>
        <v/>
      </c>
    </row>
    <row r="121" spans="1:19" x14ac:dyDescent="0.3">
      <c r="A121"/>
      <c r="B121"/>
      <c r="C121"/>
      <c r="D121"/>
      <c r="E121"/>
      <c r="G121"/>
      <c r="H121"/>
      <c r="J121"/>
      <c r="L121"/>
      <c r="M121" s="230"/>
      <c r="N121" s="235"/>
      <c r="O121" s="236"/>
      <c r="P121" s="237"/>
      <c r="Q121" s="237"/>
      <c r="R121" s="231" t="str">
        <f>IFERROR(INDEX('Tournament List'!D:D,MATCH(N120&amp;"-2",'Tournament List'!P:P,0)),"")</f>
        <v/>
      </c>
      <c r="S121" s="232" t="str">
        <f>IFERROR(INDEX('Tournament List'!U:U,MATCH(N120&amp;"-2",'Tournament List'!P:P,0)),"")</f>
        <v/>
      </c>
    </row>
    <row r="122" spans="1:19" ht="15" thickBot="1" x14ac:dyDescent="0.35">
      <c r="A122"/>
      <c r="B122"/>
      <c r="C122"/>
      <c r="D122"/>
      <c r="E122"/>
      <c r="G122"/>
      <c r="H122"/>
      <c r="J122"/>
      <c r="L122"/>
      <c r="M122" s="230"/>
      <c r="N122" s="238"/>
      <c r="O122" s="239"/>
      <c r="P122" s="240"/>
      <c r="Q122" s="240"/>
      <c r="R122" s="233" t="str">
        <f>IFERROR(INDEX('Tournament List'!D:D,MATCH(N120&amp;"-3",'Tournament List'!P:P,0)),"")</f>
        <v/>
      </c>
      <c r="S122" s="234" t="str">
        <f>IFERROR(INDEX('Tournament List'!U:U,MATCH(N120&amp;"-3",'Tournament List'!P:P,0)),"")</f>
        <v/>
      </c>
    </row>
    <row r="123" spans="1:19" x14ac:dyDescent="0.3">
      <c r="A123"/>
      <c r="B123"/>
      <c r="C123"/>
      <c r="D123"/>
      <c r="E123"/>
      <c r="G123"/>
      <c r="H123"/>
      <c r="J123"/>
      <c r="L123"/>
    </row>
    <row r="124" spans="1:19" x14ac:dyDescent="0.3">
      <c r="A124"/>
      <c r="B124"/>
      <c r="C124"/>
      <c r="D124"/>
      <c r="E124"/>
      <c r="G124"/>
      <c r="H124"/>
      <c r="J124"/>
      <c r="L124"/>
    </row>
    <row r="125" spans="1:19" x14ac:dyDescent="0.3">
      <c r="A125"/>
      <c r="B125"/>
      <c r="C125"/>
      <c r="D125"/>
      <c r="E125"/>
      <c r="G125"/>
      <c r="H125"/>
      <c r="J125"/>
      <c r="L125"/>
    </row>
    <row r="126" spans="1:19" x14ac:dyDescent="0.3">
      <c r="A126"/>
      <c r="B126"/>
      <c r="C126"/>
      <c r="D126"/>
      <c r="E126"/>
      <c r="G126"/>
      <c r="H126"/>
      <c r="J126"/>
      <c r="L126"/>
    </row>
    <row r="127" spans="1:19" x14ac:dyDescent="0.3">
      <c r="A127"/>
      <c r="B127"/>
      <c r="C127"/>
      <c r="D127"/>
      <c r="E127"/>
      <c r="G127"/>
      <c r="H127"/>
      <c r="J127"/>
      <c r="L127"/>
    </row>
    <row r="128" spans="1:19" x14ac:dyDescent="0.3">
      <c r="A128"/>
      <c r="B128"/>
      <c r="C128"/>
      <c r="D128"/>
      <c r="E128"/>
      <c r="G128"/>
      <c r="H128"/>
      <c r="J128"/>
      <c r="L128"/>
    </row>
    <row r="129" spans="1:12" x14ac:dyDescent="0.3">
      <c r="A129"/>
      <c r="B129"/>
      <c r="C129"/>
      <c r="D129"/>
      <c r="E129"/>
      <c r="G129"/>
      <c r="H129"/>
      <c r="J129"/>
      <c r="L129"/>
    </row>
    <row r="130" spans="1:12" x14ac:dyDescent="0.3">
      <c r="A130"/>
      <c r="B130"/>
      <c r="C130"/>
      <c r="D130"/>
      <c r="E130"/>
      <c r="G130"/>
      <c r="H130"/>
      <c r="J130"/>
      <c r="L130"/>
    </row>
    <row r="131" spans="1:12" x14ac:dyDescent="0.3">
      <c r="A131"/>
      <c r="B131"/>
      <c r="C131"/>
      <c r="D131"/>
      <c r="E131"/>
      <c r="G131"/>
      <c r="H131"/>
      <c r="J131"/>
      <c r="L131"/>
    </row>
    <row r="132" spans="1:12" x14ac:dyDescent="0.3">
      <c r="A132"/>
      <c r="B132"/>
      <c r="C132"/>
      <c r="D132"/>
      <c r="E132"/>
      <c r="G132"/>
      <c r="H132"/>
      <c r="J132"/>
      <c r="L132"/>
    </row>
    <row r="133" spans="1:12" x14ac:dyDescent="0.3">
      <c r="A133"/>
      <c r="B133"/>
      <c r="C133"/>
      <c r="D133"/>
      <c r="E133"/>
      <c r="G133"/>
      <c r="H133"/>
      <c r="J133"/>
      <c r="L133"/>
    </row>
  </sheetData>
  <conditionalFormatting sqref="A37:D130">
    <cfRule type="expression" dxfId="20" priority="12">
      <formula>AND(OR((H37=H36),(H37=H38)),ISNUMBER(H37)=TRUE)</formula>
    </cfRule>
  </conditionalFormatting>
  <conditionalFormatting sqref="A131:D131">
    <cfRule type="expression" dxfId="19" priority="15">
      <formula>AND(OR((H131=H130),(H131=#REF!)),ISNUMBER(H131)=TRUE)</formula>
    </cfRule>
  </conditionalFormatting>
  <conditionalFormatting sqref="D6 J18 D30">
    <cfRule type="expression" dxfId="18" priority="6">
      <formula>AND(ISNUMBER(D6),OR(D6=D3,D6=D9))</formula>
    </cfRule>
  </conditionalFormatting>
  <conditionalFormatting sqref="E37:E130 H37:K130">
    <cfRule type="expression" dxfId="17" priority="11">
      <formula>AND(OR((F37=F36),(F37=F38)),ISNUMBER(F37)=TRUE)</formula>
    </cfRule>
  </conditionalFormatting>
  <conditionalFormatting sqref="E131 H131:K131">
    <cfRule type="expression" dxfId="16" priority="14">
      <formula>AND(OR((F131=F130),(F131=#REF!)),ISNUMBER(F131)=TRUE)</formula>
    </cfRule>
  </conditionalFormatting>
  <conditionalFormatting sqref="F37:F130">
    <cfRule type="expression" dxfId="15" priority="153">
      <formula>AND(OR((H37=H36),(H37=H38)),ISNUMBER(H37)=TRUE)</formula>
    </cfRule>
  </conditionalFormatting>
  <conditionalFormatting sqref="F131">
    <cfRule type="expression" dxfId="14" priority="156">
      <formula>AND(OR((H131=H130),(H131=#REF!)),ISNUMBER(H131)=TRUE)</formula>
    </cfRule>
  </conditionalFormatting>
  <conditionalFormatting sqref="G37:G131 L37:L131">
    <cfRule type="expression" dxfId="13" priority="158">
      <formula>AND(OR((#REF!=#REF!),(#REF!=#REF!)),ISNUMBER(#REF!)=TRUE)</formula>
    </cfRule>
  </conditionalFormatting>
  <conditionalFormatting sqref="Q6 Q12 Q18 Q24 Q30 Q36 Q42 Q48 Q54 Q60 Q66 Q72 Q78 Q84 Q90 Q96 Q102 Q108 Q114 Q120">
    <cfRule type="expression" dxfId="12" priority="5">
      <formula>AND(ISNUMBER(Q6),OR(Q6=Q3,Q6=Q9))</formula>
    </cfRule>
  </conditionalFormatting>
  <conditionalFormatting sqref="J3">
    <cfRule type="expression" dxfId="11" priority="4">
      <formula>AND(ISNUMBER(J3),OR(J3=J1048576,J3=J6))</formula>
    </cfRule>
  </conditionalFormatting>
  <conditionalFormatting sqref="J9">
    <cfRule type="expression" dxfId="10" priority="3">
      <formula>AND(ISNUMBER(J9),OR(J9=J6,J9=J12))</formula>
    </cfRule>
  </conditionalFormatting>
  <conditionalFormatting sqref="D15">
    <cfRule type="expression" dxfId="9" priority="2">
      <formula>AND(ISNUMBER(D15),OR(D15=D12,D15=D18))</formula>
    </cfRule>
  </conditionalFormatting>
  <conditionalFormatting sqref="D21">
    <cfRule type="expression" dxfId="8" priority="1">
      <formula>AND(ISNUMBER(D21),OR(D21=D18,D21=D24))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F9BA0-EE84-4059-AAF4-4C7EDF156F7D}">
  <sheetPr>
    <tabColor rgb="FF7030A0"/>
    <pageSetUpPr fitToPage="1"/>
  </sheetPr>
  <dimension ref="A1:U57"/>
  <sheetViews>
    <sheetView showGridLines="0" topLeftCell="A5" zoomScale="90" zoomScaleNormal="90" workbookViewId="0">
      <selection activeCell="J13" sqref="J13"/>
    </sheetView>
  </sheetViews>
  <sheetFormatPr defaultRowHeight="14.4" outlineLevelRow="1" x14ac:dyDescent="0.3"/>
  <cols>
    <col min="1" max="1" width="5.6640625" style="1" bestFit="1" customWidth="1"/>
    <col min="2" max="2" width="19.109375" style="1" bestFit="1" customWidth="1"/>
    <col min="3" max="3" width="3.33203125" style="1" bestFit="1" customWidth="1"/>
    <col min="4" max="4" width="18.109375" style="1" bestFit="1" customWidth="1"/>
    <col min="5" max="5" width="3.33203125" bestFit="1" customWidth="1"/>
    <col min="6" max="6" width="17.109375" style="1" bestFit="1" customWidth="1"/>
    <col min="7" max="7" width="3.33203125" bestFit="1" customWidth="1"/>
    <col min="8" max="8" width="19.109375" style="1" bestFit="1" customWidth="1"/>
    <col min="9" max="9" width="3.33203125" bestFit="1" customWidth="1"/>
    <col min="10" max="10" width="18.77734375" style="1" bestFit="1" customWidth="1"/>
    <col min="11" max="11" width="3.33203125" bestFit="1" customWidth="1"/>
    <col min="12" max="12" width="19.6640625" style="1" bestFit="1" customWidth="1"/>
    <col min="13" max="13" width="3.33203125" bestFit="1" customWidth="1"/>
    <col min="14" max="14" width="5.6640625" bestFit="1" customWidth="1"/>
    <col min="15" max="15" width="19.6640625" style="1" bestFit="1" customWidth="1"/>
    <col min="16" max="16" width="6.109375" style="1" bestFit="1" customWidth="1"/>
    <col min="17" max="17" width="12.21875" style="1" bestFit="1" customWidth="1"/>
    <col min="18" max="18" width="5.6640625" bestFit="1" customWidth="1"/>
    <col min="19" max="19" width="11.109375" bestFit="1" customWidth="1"/>
    <col min="20" max="20" width="6.109375" bestFit="1" customWidth="1"/>
    <col min="21" max="21" width="11.109375" bestFit="1" customWidth="1"/>
  </cols>
  <sheetData>
    <row r="1" spans="1:21" ht="15" hidden="1" outlineLevel="1" thickBot="1" x14ac:dyDescent="0.35">
      <c r="A1" s="1" t="s">
        <v>144</v>
      </c>
      <c r="F1" s="57" t="s">
        <v>114</v>
      </c>
      <c r="G1" s="65"/>
      <c r="H1" s="58"/>
      <c r="I1" s="58"/>
      <c r="J1" s="59"/>
    </row>
    <row r="2" spans="1:21" hidden="1" outlineLevel="1" x14ac:dyDescent="0.3">
      <c r="A2" t="str">
        <f>IF('Tournament Setup'!$B$23&gt;=1,1,"")</f>
        <v/>
      </c>
      <c r="B2"/>
      <c r="C2"/>
      <c r="F2" s="63" t="str">
        <f>IF(ISNUMBER($A2),"Champion","")</f>
        <v/>
      </c>
      <c r="G2" s="64"/>
      <c r="H2" s="60" t="str">
        <f>IFERROR(IF(ISNUMBER($A2),INDEX('Skeet Ind Concurrent Ranking'!$D:$D,MATCH('Skeet Ind Concurrent Scores'!$A2,'Skeet Ind Concurrent Ranking'!$O:$O,0)),""),"")</f>
        <v/>
      </c>
      <c r="I2" s="9" t="str">
        <f>IFERROR(IF(ISNUMBER($A2),INDEX('Skeet Ind Concurrent Ranking'!$H:$H,MATCH('Skeet Ind Concurrent Scores'!$A2,'Skeet Ind Concurrent Ranking'!$O:$O,0)),""),"")</f>
        <v/>
      </c>
      <c r="J2" s="8" t="str">
        <f>IFERROR(IF(ISNUMBER($A2),INDEX('Skeet Ind Concurrent Ranking'!$F:$F,MATCH('Skeet Ind Concurrent Scores'!$A2,'Skeet Ind Concurrent Ranking'!$O:$O,0)),""),"")</f>
        <v/>
      </c>
    </row>
    <row r="3" spans="1:21" hidden="1" outlineLevel="1" x14ac:dyDescent="0.3">
      <c r="A3" t="str">
        <f>IF('Tournament Setup'!$B$23&gt;=2,2,"")</f>
        <v/>
      </c>
      <c r="B3"/>
      <c r="C3"/>
      <c r="F3" s="61" t="str">
        <f>IF(ISNUMBER($A3),"Runner Up","")</f>
        <v/>
      </c>
      <c r="G3" s="62"/>
      <c r="H3" s="60" t="str">
        <f>IFERROR(IF(ISNUMBER($A3),INDEX('Skeet Ind Concurrent Ranking'!$D:$D,MATCH('Skeet Ind Concurrent Scores'!$A3,'Skeet Ind Concurrent Ranking'!$O:$O,0)),""),"")</f>
        <v/>
      </c>
      <c r="I3" s="9" t="str">
        <f>IFERROR(IF(ISNUMBER($A3),INDEX('Skeet Ind Concurrent Ranking'!$H:$H,MATCH('Skeet Ind Concurrent Scores'!$A3,'Skeet Ind Concurrent Ranking'!$O:$O,0)),""),"")</f>
        <v/>
      </c>
      <c r="J3" s="8" t="str">
        <f>IFERROR(IF(ISNUMBER($A3),INDEX('Skeet Ind Concurrent Ranking'!$F:$F,MATCH('Skeet Ind Concurrent Scores'!$A3,'Skeet Ind Concurrent Ranking'!$O:$O,0)),""),"")</f>
        <v/>
      </c>
    </row>
    <row r="4" spans="1:21" hidden="1" outlineLevel="1" x14ac:dyDescent="0.3">
      <c r="A4" t="str">
        <f>IF('Tournament Setup'!$B$23&gt;=3,3,"")</f>
        <v/>
      </c>
      <c r="B4"/>
      <c r="C4"/>
      <c r="F4" s="61" t="str">
        <f>IF(ISNUMBER($A4),"3rd","")</f>
        <v/>
      </c>
      <c r="G4" s="62"/>
      <c r="H4" s="60" t="str">
        <f>IFERROR(IF(ISNUMBER($A4),INDEX('Skeet Ind Concurrent Ranking'!$D:$D,MATCH('Skeet Ind Concurrent Scores'!$A4,'Skeet Ind Concurrent Ranking'!$O:$O,0)),""),"")</f>
        <v/>
      </c>
      <c r="I4" s="9" t="str">
        <f>IFERROR(IF(ISNUMBER($A4),INDEX('Skeet Ind Concurrent Ranking'!$H:$H,MATCH('Skeet Ind Concurrent Scores'!$A4,'Skeet Ind Concurrent Ranking'!$O:$O,0)),""),"")</f>
        <v/>
      </c>
      <c r="J4" s="8" t="str">
        <f>IFERROR(IF(ISNUMBER($A4),INDEX('Skeet Ind Concurrent Ranking'!$F:$F,MATCH('Skeet Ind Concurrent Scores'!$A4,'Skeet Ind Concurrent Ranking'!$O:$O,0)),""),"")</f>
        <v/>
      </c>
    </row>
    <row r="5" spans="1:21" ht="15" collapsed="1" thickBot="1" x14ac:dyDescent="0.35">
      <c r="A5"/>
      <c r="B5"/>
      <c r="C5"/>
      <c r="F5"/>
      <c r="J5"/>
    </row>
    <row r="6" spans="1:21" ht="15" outlineLevel="1" thickBot="1" x14ac:dyDescent="0.35">
      <c r="A6" s="1" t="s">
        <v>144</v>
      </c>
      <c r="B6"/>
      <c r="C6"/>
      <c r="F6" s="57" t="s">
        <v>141</v>
      </c>
      <c r="G6" s="65"/>
      <c r="H6" s="58"/>
      <c r="I6" s="58"/>
      <c r="J6" s="59"/>
      <c r="N6" s="1" t="s">
        <v>144</v>
      </c>
      <c r="O6" s="41" t="s">
        <v>258</v>
      </c>
      <c r="P6" s="50" t="s">
        <v>112</v>
      </c>
      <c r="Q6" s="42" t="s">
        <v>305</v>
      </c>
      <c r="R6" s="1" t="s">
        <v>144</v>
      </c>
      <c r="S6" s="41" t="s">
        <v>258</v>
      </c>
      <c r="T6" s="50" t="s">
        <v>112</v>
      </c>
      <c r="U6" s="42" t="s">
        <v>305</v>
      </c>
    </row>
    <row r="7" spans="1:21" outlineLevel="1" x14ac:dyDescent="0.3">
      <c r="A7">
        <v>1</v>
      </c>
      <c r="B7"/>
      <c r="C7"/>
      <c r="F7" s="63" t="s">
        <v>138</v>
      </c>
      <c r="G7" s="64"/>
      <c r="H7" s="60" t="str">
        <f>IFERROR(IF(ISNUMBER($A7),INDEX('Skeet Ind Concurrent Ranking'!$D:$D,MATCH('Skeet Ind Concurrent Scores'!$A7,'Skeet Ind Concurrent Ranking'!$Q:$Q,0)),""),"")</f>
        <v>Bill Last Name11</v>
      </c>
      <c r="I7" s="9">
        <f>IFERROR(IF(ISNUMBER($A7),INDEX('Skeet Ind Concurrent Ranking'!$H:$H,MATCH('Skeet Ind Concurrent Scores'!$A7,'Skeet Ind Concurrent Ranking'!$Q:$Q,0)),""),"")</f>
        <v>98</v>
      </c>
      <c r="J7" s="8" t="str">
        <f>IFERROR(IF(ISNUMBER($A7),INDEX('Skeet Ind Concurrent Ranking'!$F:$F,MATCH('Skeet Ind Concurrent Scores'!$A7,'Skeet Ind Concurrent Ranking'!$Q:$Q,0)),""),"")</f>
        <v>Junior Varsity</v>
      </c>
      <c r="N7" s="1">
        <v>1</v>
      </c>
      <c r="O7" s="11" t="str">
        <f>IFERROR(IF(ISNUMBER($N7),INDEX('Skeet Ind Concurrent Ranking'!$D:$D,MATCH($N7,'Skeet Ind Concurrent Ranking'!$L:$L,0)),""),"")</f>
        <v>Bill Last Name11</v>
      </c>
      <c r="P7" s="51">
        <f>IFERROR(IF(ISNUMBER($N7),INDEX('Skeet Ind Concurrent Ranking'!$H:$H,MATCH($N7,'Skeet Ind Concurrent Ranking'!$L:$L,0)),""),"")</f>
        <v>98</v>
      </c>
      <c r="Q7" s="40" t="str">
        <f>IFERROR(IF(ISNUMBER($N7),INDEX('Skeet Ind Concurrent Ranking'!$F:$F,MATCH($N7,'Skeet Ind Concurrent Ranking'!$L:$L,0)),""),"")</f>
        <v>Junior Varsity</v>
      </c>
      <c r="R7" s="1">
        <v>51</v>
      </c>
      <c r="S7" s="11" t="str">
        <f>IFERROR(IF(ISNUMBER($R7),INDEX('Skeet Ind Concurrent Ranking'!$D:$D,MATCH($R7,'Skeet Ind Concurrent Ranking'!$L:$L,0)),""),"")</f>
        <v/>
      </c>
      <c r="T7" s="51" t="str">
        <f>IFERROR(IF(ISNUMBER($R7),INDEX('Skeet Ind Concurrent Ranking'!$H:$H,MATCH($R7,'Skeet Ind Concurrent Ranking'!$L:$L,0)),""),"")</f>
        <v/>
      </c>
      <c r="U7" s="40" t="str">
        <f>IFERROR(IF(ISNUMBER($R7),INDEX('Skeet Ind Concurrent Ranking'!$F:$F,MATCH($R7,'Skeet Ind Concurrent Ranking'!$L:$L,0)),""),"")</f>
        <v/>
      </c>
    </row>
    <row r="8" spans="1:21" outlineLevel="1" x14ac:dyDescent="0.3">
      <c r="A8">
        <v>2</v>
      </c>
      <c r="B8"/>
      <c r="C8"/>
      <c r="F8" s="61" t="s">
        <v>139</v>
      </c>
      <c r="G8" s="62"/>
      <c r="H8" s="60" t="str">
        <f>IFERROR(IF(ISNUMBER($A8),INDEX('Skeet Ind Concurrent Ranking'!$D:$D,MATCH('Skeet Ind Concurrent Scores'!$A8,'Skeet Ind Concurrent Ranking'!$Q:$Q,0)),""),"")</f>
        <v>Blake Last Name7</v>
      </c>
      <c r="I8" s="9">
        <f>IFERROR(IF(ISNUMBER($A8),INDEX('Skeet Ind Concurrent Ranking'!$H:$H,MATCH('Skeet Ind Concurrent Scores'!$A8,'Skeet Ind Concurrent Ranking'!$Q:$Q,0)),""),"")</f>
        <v>97</v>
      </c>
      <c r="J8" s="8" t="str">
        <f>IFERROR(IF(ISNUMBER($A8),INDEX('Skeet Ind Concurrent Ranking'!$F:$F,MATCH('Skeet Ind Concurrent Scores'!$A8,'Skeet Ind Concurrent Ranking'!$Q:$Q,0)),""),"")</f>
        <v>Intermediate</v>
      </c>
      <c r="N8" s="1">
        <v>2</v>
      </c>
      <c r="O8" s="11" t="str">
        <f>IFERROR(IF(ISNUMBER($N8),INDEX('Skeet Ind Concurrent Ranking'!$D:$D,MATCH($N8,'Skeet Ind Concurrent Ranking'!$L:$L,0)),""),"")</f>
        <v>Blake Last Name7</v>
      </c>
      <c r="P8" s="51">
        <f>IFERROR(IF(ISNUMBER($N8),INDEX('Skeet Ind Concurrent Ranking'!$H:$H,MATCH($N8,'Skeet Ind Concurrent Ranking'!$L:$L,0)),""),"")</f>
        <v>97</v>
      </c>
      <c r="Q8" s="40" t="str">
        <f>IFERROR(IF(ISNUMBER($N8),INDEX('Skeet Ind Concurrent Ranking'!$F:$F,MATCH($N8,'Skeet Ind Concurrent Ranking'!$L:$L,0)),""),"")</f>
        <v>Intermediate</v>
      </c>
      <c r="R8" s="1">
        <v>52</v>
      </c>
      <c r="S8" s="11" t="str">
        <f>IFERROR(IF(ISNUMBER($R8),INDEX('Skeet Ind Concurrent Ranking'!$D:$D,MATCH($R8,'Skeet Ind Concurrent Ranking'!$L:$L,0)),""),"")</f>
        <v/>
      </c>
      <c r="T8" s="51" t="str">
        <f>IFERROR(IF(ISNUMBER($R8),INDEX('Skeet Ind Concurrent Ranking'!$H:$H,MATCH($R8,'Skeet Ind Concurrent Ranking'!$L:$L,0)),""),"")</f>
        <v/>
      </c>
      <c r="U8" s="40" t="str">
        <f>IFERROR(IF(ISNUMBER($R8),INDEX('Skeet Ind Concurrent Ranking'!$F:$F,MATCH($R8,'Skeet Ind Concurrent Ranking'!$L:$L,0)),""),"")</f>
        <v/>
      </c>
    </row>
    <row r="9" spans="1:21" outlineLevel="1" x14ac:dyDescent="0.3">
      <c r="A9">
        <v>3</v>
      </c>
      <c r="B9"/>
      <c r="C9"/>
      <c r="F9" s="61" t="s">
        <v>140</v>
      </c>
      <c r="G9" s="62"/>
      <c r="H9" s="60" t="str">
        <f>IFERROR(IF(ISNUMBER($A9),INDEX('Skeet Ind Concurrent Ranking'!$D:$D,MATCH('Skeet Ind Concurrent Scores'!$A9,'Skeet Ind Concurrent Ranking'!$Q:$Q,0)),""),"")</f>
        <v/>
      </c>
      <c r="I9" s="9" t="str">
        <f>IFERROR(IF(ISNUMBER($A9),INDEX('Skeet Ind Concurrent Ranking'!$H:$H,MATCH('Skeet Ind Concurrent Scores'!$A9,'Skeet Ind Concurrent Ranking'!$Q:$Q,0)),""),"")</f>
        <v/>
      </c>
      <c r="J9" s="8" t="str">
        <f>IFERROR(IF(ISNUMBER($A9),INDEX('Skeet Ind Concurrent Ranking'!$F:$F,MATCH('Skeet Ind Concurrent Scores'!$A9,'Skeet Ind Concurrent Ranking'!$Q:$Q,0)),""),"")</f>
        <v/>
      </c>
      <c r="N9" s="1">
        <v>3</v>
      </c>
      <c r="O9" s="11" t="str">
        <f>IFERROR(IF(ISNUMBER($N9),INDEX('Skeet Ind Concurrent Ranking'!$D:$D,MATCH($N9,'Skeet Ind Concurrent Ranking'!$L:$L,0)),""),"")</f>
        <v>Cathy Last Name3</v>
      </c>
      <c r="P9" s="51">
        <f>IFERROR(IF(ISNUMBER($N9),INDEX('Skeet Ind Concurrent Ranking'!$H:$H,MATCH($N9,'Skeet Ind Concurrent Ranking'!$L:$L,0)),""),"")</f>
        <v>96</v>
      </c>
      <c r="Q9" s="40" t="str">
        <f>IFERROR(IF(ISNUMBER($N9),INDEX('Skeet Ind Concurrent Ranking'!$F:$F,MATCH($N9,'Skeet Ind Concurrent Ranking'!$L:$L,0)),""),"")</f>
        <v>Novice</v>
      </c>
      <c r="R9" s="1">
        <v>53</v>
      </c>
      <c r="S9" s="11" t="str">
        <f>IFERROR(IF(ISNUMBER($R9),INDEX('Skeet Ind Concurrent Ranking'!$D:$D,MATCH($R9,'Skeet Ind Concurrent Ranking'!$L:$L,0)),""),"")</f>
        <v/>
      </c>
      <c r="T9" s="51" t="str">
        <f>IFERROR(IF(ISNUMBER($R9),INDEX('Skeet Ind Concurrent Ranking'!$H:$H,MATCH($R9,'Skeet Ind Concurrent Ranking'!$L:$L,0)),""),"")</f>
        <v/>
      </c>
      <c r="U9" s="40" t="str">
        <f>IFERROR(IF(ISNUMBER($R9),INDEX('Skeet Ind Concurrent Ranking'!$F:$F,MATCH($R9,'Skeet Ind Concurrent Ranking'!$L:$L,0)),""),"")</f>
        <v/>
      </c>
    </row>
    <row r="10" spans="1:21" ht="15" outlineLevel="1" thickBot="1" x14ac:dyDescent="0.35">
      <c r="A10"/>
      <c r="B10"/>
      <c r="C10"/>
      <c r="F10"/>
      <c r="J10"/>
      <c r="N10" s="1">
        <v>4</v>
      </c>
      <c r="O10" s="11" t="str">
        <f>IFERROR(IF(ISNUMBER($N10),INDEX('Skeet Ind Concurrent Ranking'!$D:$D,MATCH($N10,'Skeet Ind Concurrent Ranking'!$L:$L,0)),""),"")</f>
        <v>Patricia Last Name35</v>
      </c>
      <c r="P10" s="51">
        <f>IFERROR(IF(ISNUMBER($N10),INDEX('Skeet Ind Concurrent Ranking'!$H:$H,MATCH($N10,'Skeet Ind Concurrent Ranking'!$L:$L,0)),""),"")</f>
        <v>95</v>
      </c>
      <c r="Q10" s="40" t="str">
        <f>IFERROR(IF(ISNUMBER($N10),INDEX('Skeet Ind Concurrent Ranking'!$F:$F,MATCH($N10,'Skeet Ind Concurrent Ranking'!$L:$L,0)),""),"")</f>
        <v>Novice</v>
      </c>
      <c r="R10" s="1">
        <v>54</v>
      </c>
      <c r="S10" s="11" t="str">
        <f>IFERROR(IF(ISNUMBER($R10),INDEX('Skeet Ind Concurrent Ranking'!$D:$D,MATCH($R10,'Skeet Ind Concurrent Ranking'!$L:$L,0)),""),"")</f>
        <v/>
      </c>
      <c r="T10" s="51" t="str">
        <f>IFERROR(IF(ISNUMBER($R10),INDEX('Skeet Ind Concurrent Ranking'!$H:$H,MATCH($R10,'Skeet Ind Concurrent Ranking'!$L:$L,0)),""),"")</f>
        <v/>
      </c>
      <c r="U10" s="40" t="str">
        <f>IFERROR(IF(ISNUMBER($R10),INDEX('Skeet Ind Concurrent Ranking'!$F:$F,MATCH($R10,'Skeet Ind Concurrent Ranking'!$L:$L,0)),""),"")</f>
        <v/>
      </c>
    </row>
    <row r="11" spans="1:21" ht="15" outlineLevel="1" thickBot="1" x14ac:dyDescent="0.35">
      <c r="A11" s="1" t="s">
        <v>144</v>
      </c>
      <c r="B11"/>
      <c r="C11"/>
      <c r="F11" s="57" t="s">
        <v>142</v>
      </c>
      <c r="G11" s="65"/>
      <c r="H11" s="58"/>
      <c r="I11" s="58"/>
      <c r="J11" s="59"/>
      <c r="N11" s="1">
        <v>5</v>
      </c>
      <c r="O11" s="11" t="str">
        <f>IFERROR(IF(ISNUMBER($N11),INDEX('Skeet Ind Concurrent Ranking'!$D:$D,MATCH($N11,'Skeet Ind Concurrent Ranking'!$L:$L,0)),""),"")</f>
        <v>Christy Last Name10</v>
      </c>
      <c r="P11" s="51">
        <f>IFERROR(IF(ISNUMBER($N11),INDEX('Skeet Ind Concurrent Ranking'!$H:$H,MATCH($N11,'Skeet Ind Concurrent Ranking'!$L:$L,0)),""),"")</f>
        <v>93</v>
      </c>
      <c r="Q11" s="40" t="str">
        <f>IFERROR(IF(ISNUMBER($N11),INDEX('Skeet Ind Concurrent Ranking'!$F:$F,MATCH($N11,'Skeet Ind Concurrent Ranking'!$L:$L,0)),""),"")</f>
        <v>Intermediate</v>
      </c>
      <c r="R11" s="1">
        <v>55</v>
      </c>
      <c r="S11" s="11" t="str">
        <f>IFERROR(IF(ISNUMBER($R11),INDEX('Skeet Ind Concurrent Ranking'!$D:$D,MATCH($R11,'Skeet Ind Concurrent Ranking'!$L:$L,0)),""),"")</f>
        <v/>
      </c>
      <c r="T11" s="51" t="str">
        <f>IFERROR(IF(ISNUMBER($R11),INDEX('Skeet Ind Concurrent Ranking'!$H:$H,MATCH($R11,'Skeet Ind Concurrent Ranking'!$L:$L,0)),""),"")</f>
        <v/>
      </c>
      <c r="U11" s="40" t="str">
        <f>IFERROR(IF(ISNUMBER($R11),INDEX('Skeet Ind Concurrent Ranking'!$F:$F,MATCH($R11,'Skeet Ind Concurrent Ranking'!$L:$L,0)),""),"")</f>
        <v/>
      </c>
    </row>
    <row r="12" spans="1:21" outlineLevel="1" x14ac:dyDescent="0.3">
      <c r="A12">
        <v>1</v>
      </c>
      <c r="B12"/>
      <c r="C12"/>
      <c r="F12" s="63" t="s">
        <v>138</v>
      </c>
      <c r="G12" s="64"/>
      <c r="H12" s="60" t="str">
        <f>IFERROR(IF(ISNUMBER($A12),INDEX('Skeet Ind Concurrent Ranking'!$D:$D,MATCH('Skeet Ind Concurrent Scores'!$A12,'Skeet Ind Concurrent Ranking'!$S:$S,0)),""),"")</f>
        <v>Cathy Last Name3</v>
      </c>
      <c r="I12" s="9">
        <f>IFERROR(IF(ISNUMBER($A12),INDEX('Skeet Ind Concurrent Ranking'!$H:$H,MATCH('Skeet Ind Concurrent Scores'!$A12,'Skeet Ind Concurrent Ranking'!$S:$S,0)),""),"")</f>
        <v>96</v>
      </c>
      <c r="J12" s="8" t="str">
        <f>IFERROR(IF(ISNUMBER($A12),INDEX('Skeet Ind Concurrent Ranking'!$F:$F,MATCH('Skeet Ind Concurrent Scores'!$A12,'Skeet Ind Concurrent Ranking'!$S:$S,0)),""),"")</f>
        <v>Novice</v>
      </c>
      <c r="N12" s="1">
        <v>6</v>
      </c>
      <c r="O12" s="11" t="str">
        <f>IFERROR(IF(ISNUMBER($N12),INDEX('Skeet Ind Concurrent Ranking'!$D:$D,MATCH($N12,'Skeet Ind Concurrent Ranking'!$L:$L,0)),""),"")</f>
        <v>Shelly Last Name31</v>
      </c>
      <c r="P12" s="51">
        <f>IFERROR(IF(ISNUMBER($N12),INDEX('Skeet Ind Concurrent Ranking'!$H:$H,MATCH($N12,'Skeet Ind Concurrent Ranking'!$L:$L,0)),""),"")</f>
        <v>92</v>
      </c>
      <c r="Q12" s="40" t="str">
        <f>IFERROR(IF(ISNUMBER($N12),INDEX('Skeet Ind Concurrent Ranking'!$F:$F,MATCH($N12,'Skeet Ind Concurrent Ranking'!$L:$L,0)),""),"")</f>
        <v>Intermediate</v>
      </c>
      <c r="R12" s="1">
        <v>56</v>
      </c>
      <c r="S12" s="11" t="str">
        <f>IFERROR(IF(ISNUMBER($R12),INDEX('Skeet Ind Concurrent Ranking'!$D:$D,MATCH($R12,'Skeet Ind Concurrent Ranking'!$L:$L,0)),""),"")</f>
        <v/>
      </c>
      <c r="T12" s="51" t="str">
        <f>IFERROR(IF(ISNUMBER($R12),INDEX('Skeet Ind Concurrent Ranking'!$H:$H,MATCH($R12,'Skeet Ind Concurrent Ranking'!$L:$L,0)),""),"")</f>
        <v/>
      </c>
      <c r="U12" s="40" t="str">
        <f>IFERROR(IF(ISNUMBER($R12),INDEX('Skeet Ind Concurrent Ranking'!$F:$F,MATCH($R12,'Skeet Ind Concurrent Ranking'!$L:$L,0)),""),"")</f>
        <v/>
      </c>
    </row>
    <row r="13" spans="1:21" outlineLevel="1" x14ac:dyDescent="0.3">
      <c r="A13">
        <v>2</v>
      </c>
      <c r="B13"/>
      <c r="C13"/>
      <c r="F13" s="61" t="s">
        <v>139</v>
      </c>
      <c r="G13" s="62"/>
      <c r="H13" s="60" t="str">
        <f>IFERROR(IF(ISNUMBER($A13),INDEX('Skeet Ind Concurrent Ranking'!$D:$D,MATCH('Skeet Ind Concurrent Scores'!$A13,'Skeet Ind Concurrent Ranking'!$S:$S,0)),""),"")</f>
        <v>Patricia Last Name35</v>
      </c>
      <c r="I13" s="9">
        <f>IFERROR(IF(ISNUMBER($A13),INDEX('Skeet Ind Concurrent Ranking'!$H:$H,MATCH('Skeet Ind Concurrent Scores'!$A13,'Skeet Ind Concurrent Ranking'!$S:$S,0)),""),"")</f>
        <v>95</v>
      </c>
      <c r="J13" s="8" t="str">
        <f>IFERROR(IF(ISNUMBER($A13),INDEX('Skeet Ind Concurrent Ranking'!$F:$F,MATCH('Skeet Ind Concurrent Scores'!$A13,'Skeet Ind Concurrent Ranking'!$S:$S,0)),""),"")</f>
        <v>Novice</v>
      </c>
      <c r="N13" s="1">
        <v>7</v>
      </c>
      <c r="O13" s="11" t="str">
        <f>IFERROR(IF(ISNUMBER($N13),INDEX('Skeet Ind Concurrent Ranking'!$D:$D,MATCH($N13,'Skeet Ind Concurrent Ranking'!$L:$L,0)),""),"")</f>
        <v>Jill Last Name18</v>
      </c>
      <c r="P13" s="51">
        <f>IFERROR(IF(ISNUMBER($N13),INDEX('Skeet Ind Concurrent Ranking'!$H:$H,MATCH($N13,'Skeet Ind Concurrent Ranking'!$L:$L,0)),""),"")</f>
        <v>90</v>
      </c>
      <c r="Q13" s="40" t="str">
        <f>IFERROR(IF(ISNUMBER($N13),INDEX('Skeet Ind Concurrent Ranking'!$F:$F,MATCH($N13,'Skeet Ind Concurrent Ranking'!$L:$L,0)),""),"")</f>
        <v>Collegiate</v>
      </c>
      <c r="R13" s="1">
        <v>57</v>
      </c>
      <c r="S13" s="11" t="str">
        <f>IFERROR(IF(ISNUMBER($R13),INDEX('Skeet Ind Concurrent Ranking'!$D:$D,MATCH($R13,'Skeet Ind Concurrent Ranking'!$L:$L,0)),""),"")</f>
        <v/>
      </c>
      <c r="T13" s="51" t="str">
        <f>IFERROR(IF(ISNUMBER($R13),INDEX('Skeet Ind Concurrent Ranking'!$H:$H,MATCH($R13,'Skeet Ind Concurrent Ranking'!$L:$L,0)),""),"")</f>
        <v/>
      </c>
      <c r="U13" s="40" t="str">
        <f>IFERROR(IF(ISNUMBER($R13),INDEX('Skeet Ind Concurrent Ranking'!$F:$F,MATCH($R13,'Skeet Ind Concurrent Ranking'!$L:$L,0)),""),"")</f>
        <v/>
      </c>
    </row>
    <row r="14" spans="1:21" outlineLevel="1" x14ac:dyDescent="0.3">
      <c r="A14">
        <v>3</v>
      </c>
      <c r="B14"/>
      <c r="C14"/>
      <c r="F14" s="61" t="s">
        <v>140</v>
      </c>
      <c r="G14" s="62"/>
      <c r="H14" s="60" t="str">
        <f>IFERROR(IF(ISNUMBER($A14),INDEX('Skeet Ind Concurrent Ranking'!$D:$D,MATCH('Skeet Ind Concurrent Scores'!$A14,'Skeet Ind Concurrent Ranking'!$S:$S,0)),""),"")</f>
        <v/>
      </c>
      <c r="I14" s="9" t="str">
        <f>IFERROR(IF(ISNUMBER($A14),INDEX('Skeet Ind Concurrent Ranking'!$H:$H,MATCH('Skeet Ind Concurrent Scores'!$A14,'Skeet Ind Concurrent Ranking'!$S:$S,0)),""),"")</f>
        <v/>
      </c>
      <c r="J14" s="8" t="str">
        <f>IFERROR(IF(ISNUMBER($A14),INDEX('Skeet Ind Concurrent Ranking'!$F:$F,MATCH('Skeet Ind Concurrent Scores'!$A14,'Skeet Ind Concurrent Ranking'!$S:$S,0)),""),"")</f>
        <v/>
      </c>
      <c r="N14" s="1">
        <v>8</v>
      </c>
      <c r="O14" s="11" t="str">
        <f>IFERROR(IF(ISNUMBER($N14),INDEX('Skeet Ind Concurrent Ranking'!$D:$D,MATCH($N14,'Skeet Ind Concurrent Ranking'!$L:$L,0)),""),"")</f>
        <v>Daniel Last Name15</v>
      </c>
      <c r="P14" s="51">
        <f>IFERROR(IF(ISNUMBER($N14),INDEX('Skeet Ind Concurrent Ranking'!$H:$H,MATCH($N14,'Skeet Ind Concurrent Ranking'!$L:$L,0)),""),"")</f>
        <v>89.1</v>
      </c>
      <c r="Q14" s="40" t="str">
        <f>IFERROR(IF(ISNUMBER($N14),INDEX('Skeet Ind Concurrent Ranking'!$F:$F,MATCH($N14,'Skeet Ind Concurrent Ranking'!$L:$L,0)),""),"")</f>
        <v>Collegiate</v>
      </c>
      <c r="R14" s="1">
        <v>58</v>
      </c>
      <c r="S14" s="11" t="str">
        <f>IFERROR(IF(ISNUMBER($R14),INDEX('Skeet Ind Concurrent Ranking'!$D:$D,MATCH($R14,'Skeet Ind Concurrent Ranking'!$L:$L,0)),""),"")</f>
        <v/>
      </c>
      <c r="T14" s="51" t="str">
        <f>IFERROR(IF(ISNUMBER($R14),INDEX('Skeet Ind Concurrent Ranking'!$H:$H,MATCH($R14,'Skeet Ind Concurrent Ranking'!$L:$L,0)),""),"")</f>
        <v/>
      </c>
      <c r="U14" s="40" t="str">
        <f>IFERROR(IF(ISNUMBER($R14),INDEX('Skeet Ind Concurrent Ranking'!$F:$F,MATCH($R14,'Skeet Ind Concurrent Ranking'!$L:$L,0)),""),"")</f>
        <v/>
      </c>
    </row>
    <row r="15" spans="1:21" x14ac:dyDescent="0.3">
      <c r="N15" s="1">
        <v>9</v>
      </c>
      <c r="O15" s="11" t="str">
        <f>IFERROR(IF(ISNUMBER($N15),INDEX('Skeet Ind Concurrent Ranking'!$D:$D,MATCH($N15,'Skeet Ind Concurrent Ranking'!$L:$L,0)),""),"")</f>
        <v>Matt Last Name5</v>
      </c>
      <c r="P15" s="51">
        <f>IFERROR(IF(ISNUMBER($N15),INDEX('Skeet Ind Concurrent Ranking'!$H:$H,MATCH($N15,'Skeet Ind Concurrent Ranking'!$L:$L,0)),""),"")</f>
        <v>89</v>
      </c>
      <c r="Q15" s="40" t="str">
        <f>IFERROR(IF(ISNUMBER($N15),INDEX('Skeet Ind Concurrent Ranking'!$F:$F,MATCH($N15,'Skeet Ind Concurrent Ranking'!$L:$L,0)),""),"")</f>
        <v>Varsity</v>
      </c>
      <c r="R15" s="1">
        <v>59</v>
      </c>
      <c r="S15" s="11" t="str">
        <f>IFERROR(IF(ISNUMBER($R15),INDEX('Skeet Ind Concurrent Ranking'!$D:$D,MATCH($R15,'Skeet Ind Concurrent Ranking'!$L:$L,0)),""),"")</f>
        <v/>
      </c>
      <c r="T15" s="51" t="str">
        <f>IFERROR(IF(ISNUMBER($R15),INDEX('Skeet Ind Concurrent Ranking'!$H:$H,MATCH($R15,'Skeet Ind Concurrent Ranking'!$L:$L,0)),""),"")</f>
        <v/>
      </c>
      <c r="U15" s="40" t="str">
        <f>IFERROR(IF(ISNUMBER($R15),INDEX('Skeet Ind Concurrent Ranking'!$F:$F,MATCH($R15,'Skeet Ind Concurrent Ranking'!$L:$L,0)),""),"")</f>
        <v/>
      </c>
    </row>
    <row r="16" spans="1:21" outlineLevel="1" x14ac:dyDescent="0.3">
      <c r="D16" s="41" t="s">
        <v>120</v>
      </c>
      <c r="E16" s="42"/>
      <c r="F16" s="41" t="s">
        <v>119</v>
      </c>
      <c r="G16" s="42"/>
      <c r="H16" s="41" t="s">
        <v>118</v>
      </c>
      <c r="I16" s="42"/>
      <c r="J16" s="41" t="s">
        <v>117</v>
      </c>
      <c r="K16" s="42"/>
      <c r="L16" s="41" t="s">
        <v>116</v>
      </c>
      <c r="M16" s="42"/>
      <c r="N16" s="1">
        <v>10</v>
      </c>
      <c r="O16" s="11" t="str">
        <f>IFERROR(IF(ISNUMBER($N16),INDEX('Skeet Ind Concurrent Ranking'!$D:$D,MATCH($N16,'Skeet Ind Concurrent Ranking'!$L:$L,0)),""),"")</f>
        <v>Stuart Last Name38</v>
      </c>
      <c r="P16" s="51">
        <f>IFERROR(IF(ISNUMBER($N16),INDEX('Skeet Ind Concurrent Ranking'!$H:$H,MATCH($N16,'Skeet Ind Concurrent Ranking'!$L:$L,0)),""),"")</f>
        <v>89</v>
      </c>
      <c r="Q16" s="40" t="str">
        <f>IFERROR(IF(ISNUMBER($N16),INDEX('Skeet Ind Concurrent Ranking'!$F:$F,MATCH($N16,'Skeet Ind Concurrent Ranking'!$L:$L,0)),""),"")</f>
        <v>Junior Varsity</v>
      </c>
      <c r="R16" s="1">
        <v>60</v>
      </c>
      <c r="S16" s="11" t="str">
        <f>IFERROR(IF(ISNUMBER($R16),INDEX('Skeet Ind Concurrent Ranking'!$D:$D,MATCH($R16,'Skeet Ind Concurrent Ranking'!$L:$L,0)),""),"")</f>
        <v/>
      </c>
      <c r="T16" s="51" t="str">
        <f>IFERROR(IF(ISNUMBER($R16),INDEX('Skeet Ind Concurrent Ranking'!$H:$H,MATCH($R16,'Skeet Ind Concurrent Ranking'!$L:$L,0)),""),"")</f>
        <v/>
      </c>
      <c r="U16" s="40" t="str">
        <f>IFERROR(IF(ISNUMBER($R16),INDEX('Skeet Ind Concurrent Ranking'!$F:$F,MATCH($R16,'Skeet Ind Concurrent Ranking'!$L:$L,0)),""),"")</f>
        <v/>
      </c>
    </row>
    <row r="17" spans="1:21" outlineLevel="1" x14ac:dyDescent="0.3">
      <c r="A17" s="1" t="s">
        <v>144</v>
      </c>
      <c r="D17" s="43"/>
      <c r="E17" s="44"/>
      <c r="F17" s="43"/>
      <c r="G17" s="45"/>
      <c r="H17" s="43"/>
      <c r="I17" s="45"/>
      <c r="J17" s="43"/>
      <c r="K17" s="45"/>
      <c r="L17" s="43"/>
      <c r="M17" s="45"/>
      <c r="N17" s="1">
        <v>11</v>
      </c>
      <c r="O17" s="11" t="str">
        <f>IFERROR(IF(ISNUMBER($N17),INDEX('Skeet Ind Concurrent Ranking'!$D:$D,MATCH($N17,'Skeet Ind Concurrent Ranking'!$L:$L,0)),""),"")</f>
        <v>Terry Last Name43</v>
      </c>
      <c r="P17" s="51">
        <f>IFERROR(IF(ISNUMBER($N17),INDEX('Skeet Ind Concurrent Ranking'!$H:$H,MATCH($N17,'Skeet Ind Concurrent Ranking'!$L:$L,0)),""),"")</f>
        <v>88</v>
      </c>
      <c r="Q17" s="40" t="str">
        <f>IFERROR(IF(ISNUMBER($N17),INDEX('Skeet Ind Concurrent Ranking'!$F:$F,MATCH($N17,'Skeet Ind Concurrent Ranking'!$L:$L,0)),""),"")</f>
        <v>Intermediate</v>
      </c>
      <c r="R17" s="1">
        <v>61</v>
      </c>
      <c r="S17" s="11" t="str">
        <f>IFERROR(IF(ISNUMBER($R17),INDEX('Skeet Ind Concurrent Ranking'!$D:$D,MATCH($R17,'Skeet Ind Concurrent Ranking'!$L:$L,0)),""),"")</f>
        <v/>
      </c>
      <c r="T17" s="51" t="str">
        <f>IFERROR(IF(ISNUMBER($R17),INDEX('Skeet Ind Concurrent Ranking'!$H:$H,MATCH($R17,'Skeet Ind Concurrent Ranking'!$L:$L,0)),""),"")</f>
        <v/>
      </c>
      <c r="U17" s="40" t="str">
        <f>IFERROR(IF(ISNUMBER($R17),INDEX('Skeet Ind Concurrent Ranking'!$F:$F,MATCH($R17,'Skeet Ind Concurrent Ranking'!$L:$L,0)),""),"")</f>
        <v/>
      </c>
    </row>
    <row r="18" spans="1:21" outlineLevel="1" x14ac:dyDescent="0.3">
      <c r="A18" s="1">
        <v>1</v>
      </c>
      <c r="D18" s="11" t="str">
        <f>IFERROR(IF(ISNUMBER($A18),INDEX('Skeet Ind Concurrent Ranking'!$D:$D,MATCH($A18,'Skeet Ind Concurrent Ranking'!$BM:$BM,0)),""),"")</f>
        <v>Jill Last Name18</v>
      </c>
      <c r="E18" s="40">
        <f>IFERROR(IF(ISNUMBER($A18),INDEX('Skeet Ind Concurrent Ranking'!$H:$H,MATCH($A18,'Skeet Ind Concurrent Ranking'!$BM:$BM,0)),""),"")</f>
        <v>90</v>
      </c>
      <c r="F18" s="11" t="str">
        <f>IFERROR(IF(ISNUMBER($A18),INDEX('Skeet Ind Concurrent Ranking'!$D:$D,MATCH($A18,'Skeet Ind Concurrent Ranking'!$BC:$BC,0)),""),"")</f>
        <v/>
      </c>
      <c r="G18" s="40" t="str">
        <f>IFERROR(IF(ISNUMBER($A18),INDEX('Skeet Ind Concurrent Ranking'!$H:$H,MATCH($A18,'Skeet Ind Concurrent Ranking'!$BC:$BC,0)),""),"")</f>
        <v/>
      </c>
      <c r="H18" s="11" t="str">
        <f>IFERROR(IF(ISNUMBER($A18),INDEX('Skeet Ind Concurrent Ranking'!$D:$D,MATCH($A18,'Skeet Ind Concurrent Ranking'!$AS:$AS,0)),""),"")</f>
        <v/>
      </c>
      <c r="I18" s="40" t="str">
        <f>IFERROR(IF(ISNUMBER($A18),INDEX('Skeet Ind Concurrent Ranking'!$H:$H,MATCH($A18,'Skeet Ind Concurrent Ranking'!$AS:$AS,0)),""),"")</f>
        <v/>
      </c>
      <c r="J18" s="11" t="str">
        <f>IFERROR(IF(ISNUMBER($A18),INDEX('Skeet Ind Concurrent Ranking'!$D:$D,MATCH($A18,'Skeet Ind Concurrent Ranking'!$AI:$AI,0)),""),"")</f>
        <v/>
      </c>
      <c r="K18" s="40" t="str">
        <f>IFERROR(IF(ISNUMBER($A18),INDEX('Skeet Ind Concurrent Ranking'!$H:$H,MATCH($A18,'Skeet Ind Concurrent Ranking'!$AI:$AI,0)),""),"")</f>
        <v/>
      </c>
      <c r="L18" s="11" t="str">
        <f>IFERROR(IF(ISNUMBER($A18),INDEX('Skeet Ind Concurrent Ranking'!$D:$D,MATCH($A18,'Skeet Ind Concurrent Ranking'!$Y:$Y,0)),""),"")</f>
        <v/>
      </c>
      <c r="M18" s="40" t="str">
        <f>IFERROR(IF(ISNUMBER($A18),INDEX('Skeet Ind Concurrent Ranking'!$H:$H,MATCH($A18,'Skeet Ind Concurrent Ranking'!$Y:$Y,0)),""),"")</f>
        <v/>
      </c>
      <c r="N18" s="1">
        <v>12</v>
      </c>
      <c r="O18" s="11" t="str">
        <f>IFERROR(IF(ISNUMBER($N18),INDEX('Skeet Ind Concurrent Ranking'!$D:$D,MATCH($N18,'Skeet Ind Concurrent Ranking'!$L:$L,0)),""),"")</f>
        <v>Gary Last Name26</v>
      </c>
      <c r="P18" s="51">
        <f>IFERROR(IF(ISNUMBER($N18),INDEX('Skeet Ind Concurrent Ranking'!$H:$H,MATCH($N18,'Skeet Ind Concurrent Ranking'!$L:$L,0)),""),"")</f>
        <v>86</v>
      </c>
      <c r="Q18" s="40" t="str">
        <f>IFERROR(IF(ISNUMBER($N18),INDEX('Skeet Ind Concurrent Ranking'!$F:$F,MATCH($N18,'Skeet Ind Concurrent Ranking'!$L:$L,0)),""),"")</f>
        <v>Junior Varsity</v>
      </c>
      <c r="R18" s="1">
        <v>62</v>
      </c>
      <c r="S18" s="11" t="str">
        <f>IFERROR(IF(ISNUMBER($R18),INDEX('Skeet Ind Concurrent Ranking'!$D:$D,MATCH($R18,'Skeet Ind Concurrent Ranking'!$L:$L,0)),""),"")</f>
        <v/>
      </c>
      <c r="T18" s="51" t="str">
        <f>IFERROR(IF(ISNUMBER($R18),INDEX('Skeet Ind Concurrent Ranking'!$H:$H,MATCH($R18,'Skeet Ind Concurrent Ranking'!$L:$L,0)),""),"")</f>
        <v/>
      </c>
      <c r="U18" s="40" t="str">
        <f>IFERROR(IF(ISNUMBER($R18),INDEX('Skeet Ind Concurrent Ranking'!$F:$F,MATCH($R18,'Skeet Ind Concurrent Ranking'!$L:$L,0)),""),"")</f>
        <v/>
      </c>
    </row>
    <row r="19" spans="1:21" outlineLevel="1" x14ac:dyDescent="0.3">
      <c r="A19" s="1">
        <v>2</v>
      </c>
      <c r="D19" s="11" t="str">
        <f>IFERROR(IF(ISNUMBER($A19),INDEX('Skeet Ind Concurrent Ranking'!$D:$D,MATCH($A19,'Skeet Ind Concurrent Ranking'!$BM:$BM,0)),""),"")</f>
        <v>Daniel Last Name15</v>
      </c>
      <c r="E19" s="40">
        <f>IFERROR(IF(ISNUMBER($A19),INDEX('Skeet Ind Concurrent Ranking'!$H:$H,MATCH($A19,'Skeet Ind Concurrent Ranking'!$BM:$BM,0)),""),"")</f>
        <v>89.1</v>
      </c>
      <c r="F19" s="11" t="str">
        <f>IFERROR(IF(ISNUMBER($A19),INDEX('Skeet Ind Concurrent Ranking'!$D:$D,MATCH($A19,'Skeet Ind Concurrent Ranking'!$BC:$BC,0)),""),"")</f>
        <v/>
      </c>
      <c r="G19" s="40" t="str">
        <f>IFERROR(IF(ISNUMBER($A19),INDEX('Skeet Ind Concurrent Ranking'!$H:$H,MATCH($A19,'Skeet Ind Concurrent Ranking'!$BC:$BC,0)),""),"")</f>
        <v/>
      </c>
      <c r="H19" s="11" t="str">
        <f>IFERROR(IF(ISNUMBER($A19),INDEX('Skeet Ind Concurrent Ranking'!$D:$D,MATCH($A19,'Skeet Ind Concurrent Ranking'!$AS:$AS,0)),""),"")</f>
        <v/>
      </c>
      <c r="I19" s="40" t="str">
        <f>IFERROR(IF(ISNUMBER($A19),INDEX('Skeet Ind Concurrent Ranking'!$H:$H,MATCH($A19,'Skeet Ind Concurrent Ranking'!$AS:$AS,0)),""),"")</f>
        <v/>
      </c>
      <c r="J19" s="11" t="str">
        <f>IFERROR(IF(ISNUMBER($A19),INDEX('Skeet Ind Concurrent Ranking'!$D:$D,MATCH($A19,'Skeet Ind Concurrent Ranking'!$AI:$AI,0)),""),"")</f>
        <v/>
      </c>
      <c r="K19" s="40" t="str">
        <f>IFERROR(IF(ISNUMBER($A19),INDEX('Skeet Ind Concurrent Ranking'!$H:$H,MATCH($A19,'Skeet Ind Concurrent Ranking'!$AI:$AI,0)),""),"")</f>
        <v/>
      </c>
      <c r="L19" s="11" t="str">
        <f>IFERROR(IF(ISNUMBER($A19),INDEX('Skeet Ind Concurrent Ranking'!$D:$D,MATCH($A19,'Skeet Ind Concurrent Ranking'!$Y:$Y,0)),""),"")</f>
        <v/>
      </c>
      <c r="M19" s="40" t="str">
        <f>IFERROR(IF(ISNUMBER($A19),INDEX('Skeet Ind Concurrent Ranking'!$H:$H,MATCH($A19,'Skeet Ind Concurrent Ranking'!$Y:$Y,0)),""),"")</f>
        <v/>
      </c>
      <c r="N19" s="1">
        <v>13</v>
      </c>
      <c r="O19" s="11" t="str">
        <f>IFERROR(IF(ISNUMBER($N19),INDEX('Skeet Ind Concurrent Ranking'!$D:$D,MATCH($N19,'Skeet Ind Concurrent Ranking'!$L:$L,0)),""),"")</f>
        <v>Jason Last Name1</v>
      </c>
      <c r="P19" s="51">
        <f>IFERROR(IF(ISNUMBER($N19),INDEX('Skeet Ind Concurrent Ranking'!$H:$H,MATCH($N19,'Skeet Ind Concurrent Ranking'!$L:$L,0)),""),"")</f>
        <v>85</v>
      </c>
      <c r="Q19" s="40" t="str">
        <f>IFERROR(IF(ISNUMBER($N19),INDEX('Skeet Ind Concurrent Ranking'!$F:$F,MATCH($N19,'Skeet Ind Concurrent Ranking'!$L:$L,0)),""),"")</f>
        <v>Novice</v>
      </c>
      <c r="R19" s="1">
        <v>63</v>
      </c>
      <c r="S19" s="11" t="str">
        <f>IFERROR(IF(ISNUMBER($R19),INDEX('Skeet Ind Concurrent Ranking'!$D:$D,MATCH($R19,'Skeet Ind Concurrent Ranking'!$L:$L,0)),""),"")</f>
        <v/>
      </c>
      <c r="T19" s="51" t="str">
        <f>IFERROR(IF(ISNUMBER($R19),INDEX('Skeet Ind Concurrent Ranking'!$H:$H,MATCH($R19,'Skeet Ind Concurrent Ranking'!$L:$L,0)),""),"")</f>
        <v/>
      </c>
      <c r="U19" s="40" t="str">
        <f>IFERROR(IF(ISNUMBER($R19),INDEX('Skeet Ind Concurrent Ranking'!$F:$F,MATCH($R19,'Skeet Ind Concurrent Ranking'!$L:$L,0)),""),"")</f>
        <v/>
      </c>
    </row>
    <row r="20" spans="1:21" outlineLevel="1" x14ac:dyDescent="0.3">
      <c r="A20" s="1">
        <v>3</v>
      </c>
      <c r="D20" s="11" t="str">
        <f>IFERROR(IF(ISNUMBER($A20),INDEX('Skeet Ind Concurrent Ranking'!$D:$D,MATCH($A20,'Skeet Ind Concurrent Ranking'!$BM:$BM,0)),""),"")</f>
        <v>Judy Last Name30</v>
      </c>
      <c r="E20" s="40">
        <f>IFERROR(IF(ISNUMBER($A20),INDEX('Skeet Ind Concurrent Ranking'!$H:$H,MATCH($A20,'Skeet Ind Concurrent Ranking'!$BM:$BM,0)),""),"")</f>
        <v>51</v>
      </c>
      <c r="F20" s="11" t="str">
        <f>IFERROR(IF(ISNUMBER($A20),INDEX('Skeet Ind Concurrent Ranking'!$D:$D,MATCH($A20,'Skeet Ind Concurrent Ranking'!$BC:$BC,0)),""),"")</f>
        <v/>
      </c>
      <c r="G20" s="40" t="str">
        <f>IFERROR(IF(ISNUMBER($A20),INDEX('Skeet Ind Concurrent Ranking'!$H:$H,MATCH($A20,'Skeet Ind Concurrent Ranking'!$BC:$BC,0)),""),"")</f>
        <v/>
      </c>
      <c r="H20" s="11" t="str">
        <f>IFERROR(IF(ISNUMBER($A20),INDEX('Skeet Ind Concurrent Ranking'!$D:$D,MATCH($A20,'Skeet Ind Concurrent Ranking'!$AS:$AS,0)),""),"")</f>
        <v/>
      </c>
      <c r="I20" s="40" t="str">
        <f>IFERROR(IF(ISNUMBER($A20),INDEX('Skeet Ind Concurrent Ranking'!$H:$H,MATCH($A20,'Skeet Ind Concurrent Ranking'!$AS:$AS,0)),""),"")</f>
        <v/>
      </c>
      <c r="J20" s="11" t="str">
        <f>IFERROR(IF(ISNUMBER($A20),INDEX('Skeet Ind Concurrent Ranking'!$D:$D,MATCH($A20,'Skeet Ind Concurrent Ranking'!$AI:$AI,0)),""),"")</f>
        <v/>
      </c>
      <c r="K20" s="40" t="str">
        <f>IFERROR(IF(ISNUMBER($A20),INDEX('Skeet Ind Concurrent Ranking'!$H:$H,MATCH($A20,'Skeet Ind Concurrent Ranking'!$AI:$AI,0)),""),"")</f>
        <v/>
      </c>
      <c r="L20" s="11" t="str">
        <f>IFERROR(IF(ISNUMBER($A20),INDEX('Skeet Ind Concurrent Ranking'!$D:$D,MATCH($A20,'Skeet Ind Concurrent Ranking'!$Y:$Y,0)),""),"")</f>
        <v/>
      </c>
      <c r="M20" s="40" t="str">
        <f>IFERROR(IF(ISNUMBER($A20),INDEX('Skeet Ind Concurrent Ranking'!$H:$H,MATCH($A20,'Skeet Ind Concurrent Ranking'!$Y:$Y,0)),""),"")</f>
        <v/>
      </c>
      <c r="N20" s="1">
        <v>14</v>
      </c>
      <c r="O20" s="11" t="str">
        <f>IFERROR(IF(ISNUMBER($N20),INDEX('Skeet Ind Concurrent Ranking'!$D:$D,MATCH($N20,'Skeet Ind Concurrent Ranking'!$L:$L,0)),""),"")</f>
        <v>Will Last Name37</v>
      </c>
      <c r="P20" s="51">
        <f>IFERROR(IF(ISNUMBER($N20),INDEX('Skeet Ind Concurrent Ranking'!$H:$H,MATCH($N20,'Skeet Ind Concurrent Ranking'!$L:$L,0)),""),"")</f>
        <v>85</v>
      </c>
      <c r="Q20" s="40" t="str">
        <f>IFERROR(IF(ISNUMBER($N20),INDEX('Skeet Ind Concurrent Ranking'!$F:$F,MATCH($N20,'Skeet Ind Concurrent Ranking'!$L:$L,0)),""),"")</f>
        <v>Varsity</v>
      </c>
      <c r="R20" s="1">
        <v>64</v>
      </c>
      <c r="S20" s="11" t="str">
        <f>IFERROR(IF(ISNUMBER($R20),INDEX('Skeet Ind Concurrent Ranking'!$D:$D,MATCH($R20,'Skeet Ind Concurrent Ranking'!$L:$L,0)),""),"")</f>
        <v/>
      </c>
      <c r="T20" s="51" t="str">
        <f>IFERROR(IF(ISNUMBER($R20),INDEX('Skeet Ind Concurrent Ranking'!$H:$H,MATCH($R20,'Skeet Ind Concurrent Ranking'!$L:$L,0)),""),"")</f>
        <v/>
      </c>
      <c r="U20" s="40" t="str">
        <f>IFERROR(IF(ISNUMBER($R20),INDEX('Skeet Ind Concurrent Ranking'!$F:$F,MATCH($R20,'Skeet Ind Concurrent Ranking'!$L:$L,0)),""),"")</f>
        <v/>
      </c>
    </row>
    <row r="21" spans="1:21" outlineLevel="1" x14ac:dyDescent="0.3">
      <c r="D21" s="43" t="s">
        <v>710</v>
      </c>
      <c r="E21" s="44"/>
      <c r="F21" s="43" t="s">
        <v>710</v>
      </c>
      <c r="G21" s="45"/>
      <c r="H21" s="43" t="s">
        <v>710</v>
      </c>
      <c r="I21" s="45"/>
      <c r="J21" s="43" t="s">
        <v>710</v>
      </c>
      <c r="K21" s="45"/>
      <c r="L21" s="43" t="s">
        <v>710</v>
      </c>
      <c r="M21" s="45"/>
      <c r="N21" s="1">
        <v>15</v>
      </c>
      <c r="O21" s="11" t="str">
        <f>IFERROR(IF(ISNUMBER($N21),INDEX('Skeet Ind Concurrent Ranking'!$D:$D,MATCH($N21,'Skeet Ind Concurrent Ranking'!$L:$L,0)),""),"")</f>
        <v>Trey Last Name41</v>
      </c>
      <c r="P21" s="51">
        <f>IFERROR(IF(ISNUMBER($N21),INDEX('Skeet Ind Concurrent Ranking'!$H:$H,MATCH($N21,'Skeet Ind Concurrent Ranking'!$L:$L,0)),""),"")</f>
        <v>84</v>
      </c>
      <c r="Q21" s="40" t="str">
        <f>IFERROR(IF(ISNUMBER($N21),INDEX('Skeet Ind Concurrent Ranking'!$F:$F,MATCH($N21,'Skeet Ind Concurrent Ranking'!$L:$L,0)),""),"")</f>
        <v>Varsity</v>
      </c>
      <c r="R21" s="1">
        <v>65</v>
      </c>
      <c r="S21" s="11" t="str">
        <f>IFERROR(IF(ISNUMBER($R21),INDEX('Skeet Ind Concurrent Ranking'!$D:$D,MATCH($R21,'Skeet Ind Concurrent Ranking'!$L:$L,0)),""),"")</f>
        <v/>
      </c>
      <c r="T21" s="51" t="str">
        <f>IFERROR(IF(ISNUMBER($R21),INDEX('Skeet Ind Concurrent Ranking'!$H:$H,MATCH($R21,'Skeet Ind Concurrent Ranking'!$L:$L,0)),""),"")</f>
        <v/>
      </c>
      <c r="U21" s="40" t="str">
        <f>IFERROR(IF(ISNUMBER($R21),INDEX('Skeet Ind Concurrent Ranking'!$F:$F,MATCH($R21,'Skeet Ind Concurrent Ranking'!$L:$L,0)),""),"")</f>
        <v/>
      </c>
    </row>
    <row r="22" spans="1:21" outlineLevel="1" x14ac:dyDescent="0.3">
      <c r="A22" s="1">
        <v>1</v>
      </c>
      <c r="D22" s="11" t="str">
        <f>IFERROR(IF(ISNUMBER($A22),INDEX('Skeet Ind Concurrent Ranking'!$D:$D,MATCH($A22,'Skeet Ind Concurrent Ranking'!$BO:$BO,0)),""),"")</f>
        <v/>
      </c>
      <c r="E22" s="40" t="str">
        <f>IFERROR(IF(ISNUMBER($A22),INDEX('Skeet Ind Concurrent Ranking'!$H:$H,MATCH($A22,'Skeet Ind Concurrent Ranking'!$BO:$BO,0)),""),"")</f>
        <v/>
      </c>
      <c r="F22" s="11" t="str">
        <f>IFERROR(IF(ISNUMBER($A22),INDEX('Skeet Ind Concurrent Ranking'!$D:$D,MATCH($A22,'Skeet Ind Concurrent Ranking'!$BE:$BE,0)),""),"")</f>
        <v>Matt Last Name5</v>
      </c>
      <c r="G22" s="40">
        <f>IFERROR(IF(ISNUMBER($A22),INDEX('Skeet Ind Concurrent Ranking'!$H:$H,MATCH($A22,'Skeet Ind Concurrent Ranking'!$BE:$BE,0)),""),"")</f>
        <v>89</v>
      </c>
      <c r="H22" s="11" t="str">
        <f>IFERROR(IF(ISNUMBER($A22),INDEX('Skeet Ind Concurrent Ranking'!$D:$D,MATCH($A22,'Skeet Ind Concurrent Ranking'!$AU:$AU,0)),""),"")</f>
        <v>Stuart Last Name38</v>
      </c>
      <c r="I22" s="40">
        <f>IFERROR(IF(ISNUMBER($A22),INDEX('Skeet Ind Concurrent Ranking'!$H:$H,MATCH($A22,'Skeet Ind Concurrent Ranking'!$AU:$AU,0)),""),"")</f>
        <v>89</v>
      </c>
      <c r="J22" s="11" t="str">
        <f>IFERROR(IF(ISNUMBER($A22),INDEX('Skeet Ind Concurrent Ranking'!$D:$D,MATCH($A22,'Skeet Ind Concurrent Ranking'!$AK:$AK,0)),""),"")</f>
        <v>Henry Last Name14</v>
      </c>
      <c r="K22" s="40">
        <f>IFERROR(IF(ISNUMBER($A22),INDEX('Skeet Ind Concurrent Ranking'!$H:$H,MATCH($A22,'Skeet Ind Concurrent Ranking'!$AK:$AK,0)),""),"")</f>
        <v>76</v>
      </c>
      <c r="L22" s="11" t="str">
        <f>IFERROR(IF(ISNUMBER($A22),INDEX('Skeet Ind Concurrent Ranking'!$D:$D,MATCH($A22,'Skeet Ind Concurrent Ranking'!$AA:$AA,0)),""),"")</f>
        <v>Jason Last Name1</v>
      </c>
      <c r="M22" s="40">
        <f>IFERROR(IF(ISNUMBER($A22),INDEX('Skeet Ind Concurrent Ranking'!$H:$H,MATCH($A22,'Skeet Ind Concurrent Ranking'!$AA:$AA,0)),""),"")</f>
        <v>85</v>
      </c>
      <c r="N22" s="1">
        <v>16</v>
      </c>
      <c r="O22" s="11" t="str">
        <f>IFERROR(IF(ISNUMBER($N22),INDEX('Skeet Ind Concurrent Ranking'!$D:$D,MATCH($N22,'Skeet Ind Concurrent Ranking'!$L:$L,0)),""),"")</f>
        <v>Susan Last Name4</v>
      </c>
      <c r="P22" s="51">
        <f>IFERROR(IF(ISNUMBER($N22),INDEX('Skeet Ind Concurrent Ranking'!$H:$H,MATCH($N22,'Skeet Ind Concurrent Ranking'!$L:$L,0)),""),"")</f>
        <v>82</v>
      </c>
      <c r="Q22" s="40" t="str">
        <f>IFERROR(IF(ISNUMBER($N22),INDEX('Skeet Ind Concurrent Ranking'!$F:$F,MATCH($N22,'Skeet Ind Concurrent Ranking'!$L:$L,0)),""),"")</f>
        <v>Varsity</v>
      </c>
      <c r="R22" s="1">
        <v>66</v>
      </c>
      <c r="S22" s="11" t="str">
        <f>IFERROR(IF(ISNUMBER($R22),INDEX('Skeet Ind Concurrent Ranking'!$D:$D,MATCH($R22,'Skeet Ind Concurrent Ranking'!$L:$L,0)),""),"")</f>
        <v/>
      </c>
      <c r="T22" s="51" t="str">
        <f>IFERROR(IF(ISNUMBER($R22),INDEX('Skeet Ind Concurrent Ranking'!$H:$H,MATCH($R22,'Skeet Ind Concurrent Ranking'!$L:$L,0)),""),"")</f>
        <v/>
      </c>
      <c r="U22" s="40" t="str">
        <f>IFERROR(IF(ISNUMBER($R22),INDEX('Skeet Ind Concurrent Ranking'!$F:$F,MATCH($R22,'Skeet Ind Concurrent Ranking'!$L:$L,0)),""),"")</f>
        <v/>
      </c>
    </row>
    <row r="23" spans="1:21" outlineLevel="1" x14ac:dyDescent="0.3">
      <c r="A23" s="1">
        <v>2</v>
      </c>
      <c r="D23" s="11" t="str">
        <f>IFERROR(IF(ISNUMBER($A23),INDEX('Skeet Ind Concurrent Ranking'!$D:$D,MATCH($A23,'Skeet Ind Concurrent Ranking'!$BO:$BO,0)),""),"")</f>
        <v/>
      </c>
      <c r="E23" s="40" t="str">
        <f>IFERROR(IF(ISNUMBER($A23),INDEX('Skeet Ind Concurrent Ranking'!$H:$H,MATCH($A23,'Skeet Ind Concurrent Ranking'!$BO:$BO,0)),""),"")</f>
        <v/>
      </c>
      <c r="F23" s="11" t="str">
        <f>IFERROR(IF(ISNUMBER($A23),INDEX('Skeet Ind Concurrent Ranking'!$D:$D,MATCH($A23,'Skeet Ind Concurrent Ranking'!$BE:$BE,0)),""),"")</f>
        <v>Will Last Name37</v>
      </c>
      <c r="G23" s="40">
        <f>IFERROR(IF(ISNUMBER($A23),INDEX('Skeet Ind Concurrent Ranking'!$H:$H,MATCH($A23,'Skeet Ind Concurrent Ranking'!$BE:$BE,0)),""),"")</f>
        <v>85</v>
      </c>
      <c r="H23" s="11" t="str">
        <f>IFERROR(IF(ISNUMBER($A23),INDEX('Skeet Ind Concurrent Ranking'!$D:$D,MATCH($A23,'Skeet Ind Concurrent Ranking'!$AU:$AU,0)),""),"")</f>
        <v>Gary Last Name26</v>
      </c>
      <c r="I23" s="40">
        <f>IFERROR(IF(ISNUMBER($A23),INDEX('Skeet Ind Concurrent Ranking'!$H:$H,MATCH($A23,'Skeet Ind Concurrent Ranking'!$AU:$AU,0)),""),"")</f>
        <v>86</v>
      </c>
      <c r="J23" s="11" t="str">
        <f>IFERROR(IF(ISNUMBER($A23),INDEX('Skeet Ind Concurrent Ranking'!$D:$D,MATCH($A23,'Skeet Ind Concurrent Ranking'!$AK:$AK,0)),""),"")</f>
        <v>Steve Last Name22</v>
      </c>
      <c r="K23" s="40">
        <f>IFERROR(IF(ISNUMBER($A23),INDEX('Skeet Ind Concurrent Ranking'!$H:$H,MATCH($A23,'Skeet Ind Concurrent Ranking'!$AK:$AK,0)),""),"")</f>
        <v>70</v>
      </c>
      <c r="L23" s="11" t="str">
        <f>IFERROR(IF(ISNUMBER($A23),INDEX('Skeet Ind Concurrent Ranking'!$D:$D,MATCH($A23,'Skeet Ind Concurrent Ranking'!$AA:$AA,0)),""),"")</f>
        <v>Nathan Last Name21</v>
      </c>
      <c r="M23" s="40">
        <f>IFERROR(IF(ISNUMBER($A23),INDEX('Skeet Ind Concurrent Ranking'!$H:$H,MATCH($A23,'Skeet Ind Concurrent Ranking'!$AA:$AA,0)),""),"")</f>
        <v>72</v>
      </c>
      <c r="N23" s="1">
        <v>17</v>
      </c>
      <c r="O23" s="11" t="str">
        <f>IFERROR(IF(ISNUMBER($N23),INDEX('Skeet Ind Concurrent Ranking'!$D:$D,MATCH($N23,'Skeet Ind Concurrent Ranking'!$L:$L,0)),""),"")</f>
        <v>Jack Last Name19</v>
      </c>
      <c r="P23" s="51">
        <f>IFERROR(IF(ISNUMBER($N23),INDEX('Skeet Ind Concurrent Ranking'!$H:$H,MATCH($N23,'Skeet Ind Concurrent Ranking'!$L:$L,0)),""),"")</f>
        <v>82</v>
      </c>
      <c r="Q23" s="40" t="str">
        <f>IFERROR(IF(ISNUMBER($N23),INDEX('Skeet Ind Concurrent Ranking'!$F:$F,MATCH($N23,'Skeet Ind Concurrent Ranking'!$L:$L,0)),""),"")</f>
        <v>Varsity</v>
      </c>
      <c r="R23" s="1">
        <v>67</v>
      </c>
      <c r="S23" s="11" t="str">
        <f>IFERROR(IF(ISNUMBER($R23),INDEX('Skeet Ind Concurrent Ranking'!$D:$D,MATCH($R23,'Skeet Ind Concurrent Ranking'!$L:$L,0)),""),"")</f>
        <v/>
      </c>
      <c r="T23" s="51" t="str">
        <f>IFERROR(IF(ISNUMBER($R23),INDEX('Skeet Ind Concurrent Ranking'!$H:$H,MATCH($R23,'Skeet Ind Concurrent Ranking'!$L:$L,0)),""),"")</f>
        <v/>
      </c>
      <c r="U23" s="40" t="str">
        <f>IFERROR(IF(ISNUMBER($R23),INDEX('Skeet Ind Concurrent Ranking'!$F:$F,MATCH($R23,'Skeet Ind Concurrent Ranking'!$L:$L,0)),""),"")</f>
        <v/>
      </c>
    </row>
    <row r="24" spans="1:21" outlineLevel="1" x14ac:dyDescent="0.3">
      <c r="A24" s="1">
        <v>3</v>
      </c>
      <c r="D24" s="11" t="str">
        <f>IFERROR(IF(ISNUMBER($A24),INDEX('Skeet Ind Concurrent Ranking'!$D:$D,MATCH($A24,'Skeet Ind Concurrent Ranking'!$BO:$BO,0)),""),"")</f>
        <v/>
      </c>
      <c r="E24" s="40" t="str">
        <f>IFERROR(IF(ISNUMBER($A24),INDEX('Skeet Ind Concurrent Ranking'!$H:$H,MATCH($A24,'Skeet Ind Concurrent Ranking'!$BO:$BO,0)),""),"")</f>
        <v/>
      </c>
      <c r="F24" s="11" t="str">
        <f>IFERROR(IF(ISNUMBER($A24),INDEX('Skeet Ind Concurrent Ranking'!$D:$D,MATCH($A24,'Skeet Ind Concurrent Ranking'!$BE:$BE,0)),""),"")</f>
        <v>Trey Last Name41</v>
      </c>
      <c r="G24" s="40">
        <f>IFERROR(IF(ISNUMBER($A24),INDEX('Skeet Ind Concurrent Ranking'!$H:$H,MATCH($A24,'Skeet Ind Concurrent Ranking'!$BE:$BE,0)),""),"")</f>
        <v>84</v>
      </c>
      <c r="H24" s="11" t="str">
        <f>IFERROR(IF(ISNUMBER($A24),INDEX('Skeet Ind Concurrent Ranking'!$D:$D,MATCH($A24,'Skeet Ind Concurrent Ranking'!$AU:$AU,0)),""),"")</f>
        <v>Alan Last Name29</v>
      </c>
      <c r="I24" s="40">
        <f>IFERROR(IF(ISNUMBER($A24),INDEX('Skeet Ind Concurrent Ranking'!$H:$H,MATCH($A24,'Skeet Ind Concurrent Ranking'!$AU:$AU,0)),""),"")</f>
        <v>80</v>
      </c>
      <c r="J24" s="11" t="str">
        <f>IFERROR(IF(ISNUMBER($A24),INDEX('Skeet Ind Concurrent Ranking'!$D:$D,MATCH($A24,'Skeet Ind Concurrent Ranking'!$AK:$AK,0)),""),"")</f>
        <v>Marty Last Name34</v>
      </c>
      <c r="K24" s="40">
        <f>IFERROR(IF(ISNUMBER($A24),INDEX('Skeet Ind Concurrent Ranking'!$H:$H,MATCH($A24,'Skeet Ind Concurrent Ranking'!$AK:$AK,0)),""),"")</f>
        <v>68</v>
      </c>
      <c r="L24" s="11" t="str">
        <f>IFERROR(IF(ISNUMBER($A24),INDEX('Skeet Ind Concurrent Ranking'!$D:$D,MATCH($A24,'Skeet Ind Concurrent Ranking'!$AA:$AA,0)),""),"")</f>
        <v>Tim Last Name24</v>
      </c>
      <c r="M24" s="40">
        <f>IFERROR(IF(ISNUMBER($A24),INDEX('Skeet Ind Concurrent Ranking'!$H:$H,MATCH($A24,'Skeet Ind Concurrent Ranking'!$AA:$AA,0)),""),"")</f>
        <v>70</v>
      </c>
      <c r="N24" s="1">
        <v>18</v>
      </c>
      <c r="O24" s="11" t="str">
        <f>IFERROR(IF(ISNUMBER($N24),INDEX('Skeet Ind Concurrent Ranking'!$D:$D,MATCH($N24,'Skeet Ind Concurrent Ranking'!$L:$L,0)),""),"")</f>
        <v>Alan Last Name29</v>
      </c>
      <c r="P24" s="51">
        <f>IFERROR(IF(ISNUMBER($N24),INDEX('Skeet Ind Concurrent Ranking'!$H:$H,MATCH($N24,'Skeet Ind Concurrent Ranking'!$L:$L,0)),""),"")</f>
        <v>80</v>
      </c>
      <c r="Q24" s="40" t="str">
        <f>IFERROR(IF(ISNUMBER($N24),INDEX('Skeet Ind Concurrent Ranking'!$F:$F,MATCH($N24,'Skeet Ind Concurrent Ranking'!$L:$L,0)),""),"")</f>
        <v>Junior Varsity</v>
      </c>
      <c r="R24" s="1">
        <v>68</v>
      </c>
      <c r="S24" s="11" t="str">
        <f>IFERROR(IF(ISNUMBER($R24),INDEX('Skeet Ind Concurrent Ranking'!$D:$D,MATCH($R24,'Skeet Ind Concurrent Ranking'!$L:$L,0)),""),"")</f>
        <v/>
      </c>
      <c r="T24" s="51" t="str">
        <f>IFERROR(IF(ISNUMBER($R24),INDEX('Skeet Ind Concurrent Ranking'!$H:$H,MATCH($R24,'Skeet Ind Concurrent Ranking'!$L:$L,0)),""),"")</f>
        <v/>
      </c>
      <c r="U24" s="40" t="str">
        <f>IFERROR(IF(ISNUMBER($R24),INDEX('Skeet Ind Concurrent Ranking'!$F:$F,MATCH($R24,'Skeet Ind Concurrent Ranking'!$L:$L,0)),""),"")</f>
        <v/>
      </c>
    </row>
    <row r="25" spans="1:21" outlineLevel="1" x14ac:dyDescent="0.3">
      <c r="D25" s="43" t="s">
        <v>711</v>
      </c>
      <c r="E25" s="44"/>
      <c r="F25" s="43" t="s">
        <v>711</v>
      </c>
      <c r="G25" s="45"/>
      <c r="H25" s="43" t="s">
        <v>711</v>
      </c>
      <c r="I25" s="45"/>
      <c r="J25" s="43" t="s">
        <v>711</v>
      </c>
      <c r="K25" s="45"/>
      <c r="L25" s="43" t="s">
        <v>711</v>
      </c>
      <c r="M25" s="45"/>
      <c r="N25" s="1">
        <v>19</v>
      </c>
      <c r="O25" s="11" t="str">
        <f>IFERROR(IF(ISNUMBER($N25),INDEX('Skeet Ind Concurrent Ranking'!$D:$D,MATCH($N25,'Skeet Ind Concurrent Ranking'!$L:$L,0)),""),"")</f>
        <v>Henry Last Name14</v>
      </c>
      <c r="P25" s="51">
        <f>IFERROR(IF(ISNUMBER($N25),INDEX('Skeet Ind Concurrent Ranking'!$H:$H,MATCH($N25,'Skeet Ind Concurrent Ranking'!$L:$L,0)),""),"")</f>
        <v>76</v>
      </c>
      <c r="Q25" s="40" t="str">
        <f>IFERROR(IF(ISNUMBER($N25),INDEX('Skeet Ind Concurrent Ranking'!$F:$F,MATCH($N25,'Skeet Ind Concurrent Ranking'!$L:$L,0)),""),"")</f>
        <v>Intermediate</v>
      </c>
      <c r="R25" s="1">
        <v>69</v>
      </c>
      <c r="S25" s="11" t="str">
        <f>IFERROR(IF(ISNUMBER($R25),INDEX('Skeet Ind Concurrent Ranking'!$D:$D,MATCH($R25,'Skeet Ind Concurrent Ranking'!$L:$L,0)),""),"")</f>
        <v/>
      </c>
      <c r="T25" s="51" t="str">
        <f>IFERROR(IF(ISNUMBER($R25),INDEX('Skeet Ind Concurrent Ranking'!$H:$H,MATCH($R25,'Skeet Ind Concurrent Ranking'!$L:$L,0)),""),"")</f>
        <v/>
      </c>
      <c r="U25" s="40" t="str">
        <f>IFERROR(IF(ISNUMBER($R25),INDEX('Skeet Ind Concurrent Ranking'!$F:$F,MATCH($R25,'Skeet Ind Concurrent Ranking'!$L:$L,0)),""),"")</f>
        <v/>
      </c>
    </row>
    <row r="26" spans="1:21" outlineLevel="1" x14ac:dyDescent="0.3">
      <c r="A26" s="1">
        <v>1</v>
      </c>
      <c r="D26" s="11" t="str">
        <f>IFERROR(IF(ISNUMBER($A26),INDEX('Skeet Ind Concurrent Ranking'!$D:$D,MATCH($A26,'Skeet Ind Concurrent Ranking'!$BQ:$BQ,0)),""),"")</f>
        <v/>
      </c>
      <c r="E26" s="40" t="str">
        <f>IFERROR(IF(ISNUMBER($A26),INDEX('Skeet Ind Concurrent Ranking'!$H:$H,MATCH($A26,'Skeet Ind Concurrent Ranking'!$BQ:$BQ,0)),""),"")</f>
        <v/>
      </c>
      <c r="F26" s="11" t="str">
        <f>IFERROR(IF(ISNUMBER($A26),INDEX('Skeet Ind Concurrent Ranking'!$D:$D,MATCH($A26,'Skeet Ind Concurrent Ranking'!$BG:$BG,0)),""),"")</f>
        <v>Susan Last Name4</v>
      </c>
      <c r="G26" s="40">
        <f>IFERROR(IF(ISNUMBER($A26),INDEX('Skeet Ind Concurrent Ranking'!$H:$H,MATCH($A26,'Skeet Ind Concurrent Ranking'!$BG:$BG,0)),""),"")</f>
        <v>82</v>
      </c>
      <c r="H26" s="11" t="str">
        <f>IFERROR(IF(ISNUMBER($A26),INDEX('Skeet Ind Concurrent Ranking'!$D:$D,MATCH($A26,'Skeet Ind Concurrent Ranking'!$AW:$AW,0)),""),"")</f>
        <v/>
      </c>
      <c r="I26" s="40" t="str">
        <f>IFERROR(IF(ISNUMBER($A26),INDEX('Skeet Ind Concurrent Ranking'!$H:$H,MATCH($A26,'Skeet Ind Concurrent Ranking'!$AW:$AW,0)),""),"")</f>
        <v/>
      </c>
      <c r="J26" s="11" t="str">
        <f>IFERROR(IF(ISNUMBER($A26),INDEX('Skeet Ind Concurrent Ranking'!$D:$D,MATCH($A26,'Skeet Ind Concurrent Ranking'!$AM:$AM,0)),""),"")</f>
        <v>Christy Last Name10</v>
      </c>
      <c r="K26" s="40">
        <f>IFERROR(IF(ISNUMBER($A26),INDEX('Skeet Ind Concurrent Ranking'!$H:$H,MATCH($A26,'Skeet Ind Concurrent Ranking'!$AM:$AM,0)),""),"")</f>
        <v>93</v>
      </c>
      <c r="L26" s="11" t="str">
        <f>IFERROR(IF(ISNUMBER($A26),INDEX('Skeet Ind Concurrent Ranking'!$D:$D,MATCH($A26,'Skeet Ind Concurrent Ranking'!$AC:$AC,0)),""),"")</f>
        <v>Linda Last Name9</v>
      </c>
      <c r="M26" s="40">
        <f>IFERROR(IF(ISNUMBER($A26),INDEX('Skeet Ind Concurrent Ranking'!$H:$H,MATCH($A26,'Skeet Ind Concurrent Ranking'!$AC:$AC,0)),""),"")</f>
        <v>75</v>
      </c>
      <c r="N26" s="1">
        <v>20</v>
      </c>
      <c r="O26" s="11" t="str">
        <f>IFERROR(IF(ISNUMBER($N26),INDEX('Skeet Ind Concurrent Ranking'!$D:$D,MATCH($N26,'Skeet Ind Concurrent Ranking'!$L:$L,0)),""),"")</f>
        <v>Linda Last Name9</v>
      </c>
      <c r="P26" s="51">
        <f>IFERROR(IF(ISNUMBER($N26),INDEX('Skeet Ind Concurrent Ranking'!$H:$H,MATCH($N26,'Skeet Ind Concurrent Ranking'!$L:$L,0)),""),"")</f>
        <v>75</v>
      </c>
      <c r="Q26" s="40" t="str">
        <f>IFERROR(IF(ISNUMBER($N26),INDEX('Skeet Ind Concurrent Ranking'!$F:$F,MATCH($N26,'Skeet Ind Concurrent Ranking'!$L:$L,0)),""),"")</f>
        <v>Novice</v>
      </c>
      <c r="R26" s="1">
        <v>70</v>
      </c>
      <c r="S26" s="11" t="str">
        <f>IFERROR(IF(ISNUMBER($R26),INDEX('Skeet Ind Concurrent Ranking'!$D:$D,MATCH($R26,'Skeet Ind Concurrent Ranking'!$L:$L,0)),""),"")</f>
        <v/>
      </c>
      <c r="T26" s="51" t="str">
        <f>IFERROR(IF(ISNUMBER($R26),INDEX('Skeet Ind Concurrent Ranking'!$H:$H,MATCH($R26,'Skeet Ind Concurrent Ranking'!$L:$L,0)),""),"")</f>
        <v/>
      </c>
      <c r="U26" s="40" t="str">
        <f>IFERROR(IF(ISNUMBER($R26),INDEX('Skeet Ind Concurrent Ranking'!$F:$F,MATCH($R26,'Skeet Ind Concurrent Ranking'!$L:$L,0)),""),"")</f>
        <v/>
      </c>
    </row>
    <row r="27" spans="1:21" outlineLevel="1" x14ac:dyDescent="0.3">
      <c r="A27" s="1">
        <v>2</v>
      </c>
      <c r="D27" s="11" t="str">
        <f>IFERROR(IF(ISNUMBER($A27),INDEX('Skeet Ind Concurrent Ranking'!$D:$D,MATCH($A27,'Skeet Ind Concurrent Ranking'!$BQ:$BQ,0)),""),"")</f>
        <v/>
      </c>
      <c r="E27" s="40" t="str">
        <f>IFERROR(IF(ISNUMBER($A27),INDEX('Skeet Ind Concurrent Ranking'!$H:$H,MATCH($A27,'Skeet Ind Concurrent Ranking'!$BQ:$BQ,0)),""),"")</f>
        <v/>
      </c>
      <c r="F27" s="11" t="str">
        <f>IFERROR(IF(ISNUMBER($A27),INDEX('Skeet Ind Concurrent Ranking'!$D:$D,MATCH($A27,'Skeet Ind Concurrent Ranking'!$BG:$BG,0)),""),"")</f>
        <v/>
      </c>
      <c r="G27" s="40" t="str">
        <f>IFERROR(IF(ISNUMBER($A27),INDEX('Skeet Ind Concurrent Ranking'!$H:$H,MATCH($A27,'Skeet Ind Concurrent Ranking'!$BG:$BG,0)),""),"")</f>
        <v/>
      </c>
      <c r="H27" s="11" t="str">
        <f>IFERROR(IF(ISNUMBER($A27),INDEX('Skeet Ind Concurrent Ranking'!$D:$D,MATCH($A27,'Skeet Ind Concurrent Ranking'!$AW:$AW,0)),""),"")</f>
        <v/>
      </c>
      <c r="I27" s="40" t="str">
        <f>IFERROR(IF(ISNUMBER($A27),INDEX('Skeet Ind Concurrent Ranking'!$H:$H,MATCH($A27,'Skeet Ind Concurrent Ranking'!$AW:$AW,0)),""),"")</f>
        <v/>
      </c>
      <c r="J27" s="11" t="str">
        <f>IFERROR(IF(ISNUMBER($A27),INDEX('Skeet Ind Concurrent Ranking'!$D:$D,MATCH($A27,'Skeet Ind Concurrent Ranking'!$AM:$AM,0)),""),"")</f>
        <v>Shelly Last Name31</v>
      </c>
      <c r="K27" s="40">
        <f>IFERROR(IF(ISNUMBER($A27),INDEX('Skeet Ind Concurrent Ranking'!$H:$H,MATCH($A27,'Skeet Ind Concurrent Ranking'!$AM:$AM,0)),""),"")</f>
        <v>92</v>
      </c>
      <c r="L27" s="11" t="str">
        <f>IFERROR(IF(ISNUMBER($A27),INDEX('Skeet Ind Concurrent Ranking'!$D:$D,MATCH($A27,'Skeet Ind Concurrent Ranking'!$AC:$AC,0)),""),"")</f>
        <v>Missy Last Name33</v>
      </c>
      <c r="M27" s="40">
        <f>IFERROR(IF(ISNUMBER($A27),INDEX('Skeet Ind Concurrent Ranking'!$H:$H,MATCH($A27,'Skeet Ind Concurrent Ranking'!$AC:$AC,0)),""),"")</f>
        <v>73</v>
      </c>
      <c r="N27" s="1">
        <v>21</v>
      </c>
      <c r="O27" s="11" t="str">
        <f>IFERROR(IF(ISNUMBER($N27),INDEX('Skeet Ind Concurrent Ranking'!$D:$D,MATCH($N27,'Skeet Ind Concurrent Ranking'!$L:$L,0)),""),"")</f>
        <v>Missy Last Name33</v>
      </c>
      <c r="P27" s="51">
        <f>IFERROR(IF(ISNUMBER($N27),INDEX('Skeet Ind Concurrent Ranking'!$H:$H,MATCH($N27,'Skeet Ind Concurrent Ranking'!$L:$L,0)),""),"")</f>
        <v>73</v>
      </c>
      <c r="Q27" s="40" t="str">
        <f>IFERROR(IF(ISNUMBER($N27),INDEX('Skeet Ind Concurrent Ranking'!$F:$F,MATCH($N27,'Skeet Ind Concurrent Ranking'!$L:$L,0)),""),"")</f>
        <v>Novice</v>
      </c>
      <c r="R27" s="1">
        <v>71</v>
      </c>
      <c r="S27" s="11" t="str">
        <f>IFERROR(IF(ISNUMBER($R27),INDEX('Skeet Ind Concurrent Ranking'!$D:$D,MATCH($R27,'Skeet Ind Concurrent Ranking'!$L:$L,0)),""),"")</f>
        <v/>
      </c>
      <c r="T27" s="51" t="str">
        <f>IFERROR(IF(ISNUMBER($R27),INDEX('Skeet Ind Concurrent Ranking'!$H:$H,MATCH($R27,'Skeet Ind Concurrent Ranking'!$L:$L,0)),""),"")</f>
        <v/>
      </c>
      <c r="U27" s="40" t="str">
        <f>IFERROR(IF(ISNUMBER($R27),INDEX('Skeet Ind Concurrent Ranking'!$F:$F,MATCH($R27,'Skeet Ind Concurrent Ranking'!$L:$L,0)),""),"")</f>
        <v/>
      </c>
    </row>
    <row r="28" spans="1:21" outlineLevel="1" x14ac:dyDescent="0.3">
      <c r="A28" s="1">
        <v>3</v>
      </c>
      <c r="D28" s="11" t="str">
        <f>IFERROR(IF(ISNUMBER($A28),INDEX('Skeet Ind Concurrent Ranking'!$D:$D,MATCH($A28,'Skeet Ind Concurrent Ranking'!$BQ:$BQ,0)),""),"")</f>
        <v/>
      </c>
      <c r="E28" s="40" t="str">
        <f>IFERROR(IF(ISNUMBER($A28),INDEX('Skeet Ind Concurrent Ranking'!$H:$H,MATCH($A28,'Skeet Ind Concurrent Ranking'!$BQ:$BQ,0)),""),"")</f>
        <v/>
      </c>
      <c r="F28" s="11" t="str">
        <f>IFERROR(IF(ISNUMBER($A28),INDEX('Skeet Ind Concurrent Ranking'!$D:$D,MATCH($A28,'Skeet Ind Concurrent Ranking'!$BG:$BG,0)),""),"")</f>
        <v/>
      </c>
      <c r="G28" s="40" t="str">
        <f>IFERROR(IF(ISNUMBER($A28),INDEX('Skeet Ind Concurrent Ranking'!$H:$H,MATCH($A28,'Skeet Ind Concurrent Ranking'!$BG:$BG,0)),""),"")</f>
        <v/>
      </c>
      <c r="H28" s="11" t="str">
        <f>IFERROR(IF(ISNUMBER($A28),INDEX('Skeet Ind Concurrent Ranking'!$D:$D,MATCH($A28,'Skeet Ind Concurrent Ranking'!$AW:$AW,0)),""),"")</f>
        <v/>
      </c>
      <c r="I28" s="40" t="str">
        <f>IFERROR(IF(ISNUMBER($A28),INDEX('Skeet Ind Concurrent Ranking'!$H:$H,MATCH($A28,'Skeet Ind Concurrent Ranking'!$AW:$AW,0)),""),"")</f>
        <v/>
      </c>
      <c r="J28" s="11" t="str">
        <f>IFERROR(IF(ISNUMBER($A28),INDEX('Skeet Ind Concurrent Ranking'!$D:$D,MATCH($A28,'Skeet Ind Concurrent Ranking'!$AM:$AM,0)),""),"")</f>
        <v>Terry Last Name43</v>
      </c>
      <c r="K28" s="40">
        <f>IFERROR(IF(ISNUMBER($A28),INDEX('Skeet Ind Concurrent Ranking'!$H:$H,MATCH($A28,'Skeet Ind Concurrent Ranking'!$AM:$AM,0)),""),"")</f>
        <v>88</v>
      </c>
      <c r="L28" s="11" t="str">
        <f>IFERROR(IF(ISNUMBER($A28),INDEX('Skeet Ind Concurrent Ranking'!$D:$D,MATCH($A28,'Skeet Ind Concurrent Ranking'!$AC:$AC,0)),""),"")</f>
        <v>Joan Last Name17</v>
      </c>
      <c r="M28" s="40">
        <f>IFERROR(IF(ISNUMBER($A28),INDEX('Skeet Ind Concurrent Ranking'!$H:$H,MATCH($A28,'Skeet Ind Concurrent Ranking'!$AC:$AC,0)),""),"")</f>
        <v>60</v>
      </c>
      <c r="N28" s="1">
        <v>22</v>
      </c>
      <c r="O28" s="11" t="str">
        <f>IFERROR(IF(ISNUMBER($N28),INDEX('Skeet Ind Concurrent Ranking'!$D:$D,MATCH($N28,'Skeet Ind Concurrent Ranking'!$L:$L,0)),""),"")</f>
        <v>Trisha Last Name44</v>
      </c>
      <c r="P28" s="51">
        <f>IFERROR(IF(ISNUMBER($N28),INDEX('Skeet Ind Concurrent Ranking'!$H:$H,MATCH($N28,'Skeet Ind Concurrent Ranking'!$L:$L,0)),""),"")</f>
        <v>72.099999999999994</v>
      </c>
      <c r="Q28" s="40" t="str">
        <f>IFERROR(IF(ISNUMBER($N28),INDEX('Skeet Ind Concurrent Ranking'!$F:$F,MATCH($N28,'Skeet Ind Concurrent Ranking'!$L:$L,0)),""),"")</f>
        <v>Intermediate</v>
      </c>
      <c r="R28" s="1">
        <v>72</v>
      </c>
      <c r="S28" s="11" t="str">
        <f>IFERROR(IF(ISNUMBER($R28),INDEX('Skeet Ind Concurrent Ranking'!$D:$D,MATCH($R28,'Skeet Ind Concurrent Ranking'!$L:$L,0)),""),"")</f>
        <v/>
      </c>
      <c r="T28" s="51" t="str">
        <f>IFERROR(IF(ISNUMBER($R28),INDEX('Skeet Ind Concurrent Ranking'!$H:$H,MATCH($R28,'Skeet Ind Concurrent Ranking'!$L:$L,0)),""),"")</f>
        <v/>
      </c>
      <c r="U28" s="40" t="str">
        <f>IFERROR(IF(ISNUMBER($R28),INDEX('Skeet Ind Concurrent Ranking'!$F:$F,MATCH($R28,'Skeet Ind Concurrent Ranking'!$L:$L,0)),""),"")</f>
        <v/>
      </c>
    </row>
    <row r="29" spans="1:21" outlineLevel="1" x14ac:dyDescent="0.3">
      <c r="D29" s="41"/>
      <c r="E29" s="42"/>
      <c r="F29" s="41"/>
      <c r="G29" s="42"/>
      <c r="H29" s="41"/>
      <c r="I29" s="42"/>
      <c r="J29" s="41"/>
      <c r="K29" s="42"/>
      <c r="L29" s="41"/>
      <c r="M29" s="42"/>
      <c r="N29" s="1">
        <v>23</v>
      </c>
      <c r="O29" s="11" t="str">
        <f>IFERROR(IF(ISNUMBER($N29),INDEX('Skeet Ind Concurrent Ranking'!$D:$D,MATCH($N29,'Skeet Ind Concurrent Ranking'!$L:$L,0)),""),"")</f>
        <v>Bruce Last Name13</v>
      </c>
      <c r="P29" s="51">
        <f>IFERROR(IF(ISNUMBER($N29),INDEX('Skeet Ind Concurrent Ranking'!$H:$H,MATCH($N29,'Skeet Ind Concurrent Ranking'!$L:$L,0)),""),"")</f>
        <v>72</v>
      </c>
      <c r="Q29" s="40" t="str">
        <f>IFERROR(IF(ISNUMBER($N29),INDEX('Skeet Ind Concurrent Ranking'!$F:$F,MATCH($N29,'Skeet Ind Concurrent Ranking'!$L:$L,0)),""),"")</f>
        <v>Junior Varsity</v>
      </c>
      <c r="R29" s="1">
        <v>73</v>
      </c>
      <c r="S29" s="11" t="str">
        <f>IFERROR(IF(ISNUMBER($R29),INDEX('Skeet Ind Concurrent Ranking'!$D:$D,MATCH($R29,'Skeet Ind Concurrent Ranking'!$L:$L,0)),""),"")</f>
        <v/>
      </c>
      <c r="T29" s="51" t="str">
        <f>IFERROR(IF(ISNUMBER($R29),INDEX('Skeet Ind Concurrent Ranking'!$H:$H,MATCH($R29,'Skeet Ind Concurrent Ranking'!$L:$L,0)),""),"")</f>
        <v/>
      </c>
      <c r="U29" s="40" t="str">
        <f>IFERROR(IF(ISNUMBER($R29),INDEX('Skeet Ind Concurrent Ranking'!$F:$F,MATCH($R29,'Skeet Ind Concurrent Ranking'!$L:$L,0)),""),"")</f>
        <v/>
      </c>
    </row>
    <row r="30" spans="1:21" x14ac:dyDescent="0.3">
      <c r="B30" s="66" t="s">
        <v>262</v>
      </c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1">
        <v>24</v>
      </c>
      <c r="O30" s="11" t="str">
        <f>IFERROR(IF(ISNUMBER($N30),INDEX('Skeet Ind Concurrent Ranking'!$D:$D,MATCH($N30,'Skeet Ind Concurrent Ranking'!$L:$L,0)),""),"")</f>
        <v>Nathan Last Name21</v>
      </c>
      <c r="P30" s="51">
        <f>IFERROR(IF(ISNUMBER($N30),INDEX('Skeet Ind Concurrent Ranking'!$H:$H,MATCH($N30,'Skeet Ind Concurrent Ranking'!$L:$L,0)),""),"")</f>
        <v>72</v>
      </c>
      <c r="Q30" s="40" t="str">
        <f>IFERROR(IF(ISNUMBER($N30),INDEX('Skeet Ind Concurrent Ranking'!$F:$F,MATCH($N30,'Skeet Ind Concurrent Ranking'!$L:$L,0)),""),"")</f>
        <v>Novice</v>
      </c>
      <c r="R30" s="1">
        <v>74</v>
      </c>
      <c r="S30" s="11" t="str">
        <f>IFERROR(IF(ISNUMBER($R30),INDEX('Skeet Ind Concurrent Ranking'!$D:$D,MATCH($R30,'Skeet Ind Concurrent Ranking'!$L:$L,0)),""),"")</f>
        <v/>
      </c>
      <c r="T30" s="51" t="str">
        <f>IFERROR(IF(ISNUMBER($R30),INDEX('Skeet Ind Concurrent Ranking'!$H:$H,MATCH($R30,'Skeet Ind Concurrent Ranking'!$L:$L,0)),""),"")</f>
        <v/>
      </c>
      <c r="U30" s="40" t="str">
        <f>IFERROR(IF(ISNUMBER($R30),INDEX('Skeet Ind Concurrent Ranking'!$F:$F,MATCH($R30,'Skeet Ind Concurrent Ranking'!$L:$L,0)),""),"")</f>
        <v/>
      </c>
    </row>
    <row r="31" spans="1:21" x14ac:dyDescent="0.3">
      <c r="A31" s="1" t="s">
        <v>144</v>
      </c>
      <c r="B31" s="50" t="s">
        <v>114</v>
      </c>
      <c r="C31" s="50"/>
      <c r="D31" s="41" t="s">
        <v>120</v>
      </c>
      <c r="E31" s="42"/>
      <c r="F31" s="41" t="s">
        <v>119</v>
      </c>
      <c r="G31" s="42"/>
      <c r="H31" s="41" t="s">
        <v>118</v>
      </c>
      <c r="I31" s="42"/>
      <c r="J31" s="41" t="s">
        <v>117</v>
      </c>
      <c r="K31" s="42"/>
      <c r="L31" s="41" t="s">
        <v>116</v>
      </c>
      <c r="M31" s="42"/>
      <c r="N31" s="1">
        <v>25</v>
      </c>
      <c r="O31" s="11" t="str">
        <f>IFERROR(IF(ISNUMBER($N31),INDEX('Skeet Ind Concurrent Ranking'!$D:$D,MATCH($N31,'Skeet Ind Concurrent Ranking'!$L:$L,0)),""),"")</f>
        <v>Harry Last Name25</v>
      </c>
      <c r="P31" s="51">
        <f>IFERROR(IF(ISNUMBER($N31),INDEX('Skeet Ind Concurrent Ranking'!$H:$H,MATCH($N31,'Skeet Ind Concurrent Ranking'!$L:$L,0)),""),"")</f>
        <v>72</v>
      </c>
      <c r="Q31" s="40" t="str">
        <f>IFERROR(IF(ISNUMBER($N31),INDEX('Skeet Ind Concurrent Ranking'!$F:$F,MATCH($N31,'Skeet Ind Concurrent Ranking'!$L:$L,0)),""),"")</f>
        <v>Varsity</v>
      </c>
      <c r="R31" s="1">
        <v>75</v>
      </c>
      <c r="S31" s="11" t="str">
        <f>IFERROR(IF(ISNUMBER($R31),INDEX('Skeet Ind Concurrent Ranking'!$D:$D,MATCH($R31,'Skeet Ind Concurrent Ranking'!$L:$L,0)),""),"")</f>
        <v/>
      </c>
      <c r="T31" s="51" t="str">
        <f>IFERROR(IF(ISNUMBER($R31),INDEX('Skeet Ind Concurrent Ranking'!$H:$H,MATCH($R31,'Skeet Ind Concurrent Ranking'!$L:$L,0)),""),"")</f>
        <v/>
      </c>
      <c r="U31" s="40" t="str">
        <f>IFERROR(IF(ISNUMBER($R31),INDEX('Skeet Ind Concurrent Ranking'!$F:$F,MATCH($R31,'Skeet Ind Concurrent Ranking'!$L:$L,0)),""),"")</f>
        <v/>
      </c>
    </row>
    <row r="32" spans="1:21" x14ac:dyDescent="0.3">
      <c r="A32" s="1">
        <v>1</v>
      </c>
      <c r="B32" s="1" t="str">
        <f>IFERROR(IF(AND(ISNUMBER($A32),$A32&lt;='Tournament Setup'!$B$26),INDEX('Skeet Ind Concurrent Ranking'!$D:$D,MATCH($A32,'Skeet Ind Concurrent Ranking'!$N:$N,0)),""),"")</f>
        <v>Bill Last Name11</v>
      </c>
      <c r="C32" s="40">
        <f>IFERROR(IF(AND(ISNUMBER($A32),$A32&lt;='Tournament Setup'!$B$26),INDEX('Skeet Ind Concurrent Ranking'!$H:$H,MATCH($A32,'Skeet Ind Concurrent Ranking'!$N:$N,0)),""),"")</f>
        <v>98</v>
      </c>
      <c r="D32" s="11" t="str">
        <f>IFERROR(IF(ISNUMBER($A32),INDEX('Skeet Ind Concurrent Ranking'!$D:$D,MATCH($A32,'Skeet Ind Concurrent Ranking'!$BL:$BL,0)),""),"")</f>
        <v>Jill Last Name18</v>
      </c>
      <c r="E32" s="40">
        <f>IFERROR(IF(ISNUMBER($A32),INDEX('Skeet Ind Concurrent Ranking'!$H:$H,MATCH($A32,'Skeet Ind Concurrent Ranking'!$BL:$BL,0)),""),"")</f>
        <v>90</v>
      </c>
      <c r="F32" s="11" t="str">
        <f>IFERROR(IF(ISNUMBER($A32),INDEX('Skeet Ind Concurrent Ranking'!$D:$D,MATCH($A32,'Skeet Ind Concurrent Ranking'!$BB:$BB,0)),""),"")</f>
        <v>Matt Last Name5</v>
      </c>
      <c r="G32" s="40">
        <f>IFERROR(IF(ISNUMBER($A32),INDEX('Skeet Ind Concurrent Ranking'!$H:$H,MATCH($A32,'Skeet Ind Concurrent Ranking'!$BB:$BB,0)),""),"")</f>
        <v>89</v>
      </c>
      <c r="H32" s="11" t="str">
        <f>IFERROR(IF(ISNUMBER($A32),INDEX('Skeet Ind Concurrent Ranking'!$D:$D,MATCH($A32,'Skeet Ind Concurrent Ranking'!$AR:$AR,0)),""),"")</f>
        <v>Stuart Last Name38</v>
      </c>
      <c r="I32" s="40">
        <f>IFERROR(IF(ISNUMBER($A32),INDEX('Skeet Ind Concurrent Ranking'!$H:$H,MATCH($A32,'Skeet Ind Concurrent Ranking'!$AR:$AR,0)),""),"")</f>
        <v>89</v>
      </c>
      <c r="J32" s="11" t="str">
        <f>IFERROR(IF(ISNUMBER($A32),INDEX('Skeet Ind Concurrent Ranking'!$D:$D,MATCH($A32,'Skeet Ind Concurrent Ranking'!$AH:$AH,0)),""),"")</f>
        <v>Christy Last Name10</v>
      </c>
      <c r="K32" s="40">
        <f>IFERROR(IF(ISNUMBER($A32),INDEX('Skeet Ind Concurrent Ranking'!$H:$H,MATCH($A32,'Skeet Ind Concurrent Ranking'!$AH:$AH,0)),""),"")</f>
        <v>93</v>
      </c>
      <c r="L32" s="11" t="str">
        <f>IFERROR(IF(ISNUMBER($A32),INDEX('Skeet Ind Concurrent Ranking'!$D:$D,MATCH($A32,'Skeet Ind Concurrent Ranking'!$X:$X,0)),""),"")</f>
        <v>Jason Last Name1</v>
      </c>
      <c r="M32" s="40">
        <f>IFERROR(IF(ISNUMBER($A32),INDEX('Skeet Ind Concurrent Ranking'!$H:$H,MATCH($A32,'Skeet Ind Concurrent Ranking'!$X:$X,0)),""),"")</f>
        <v>85</v>
      </c>
      <c r="N32" s="1">
        <v>26</v>
      </c>
      <c r="O32" s="11" t="str">
        <f>IFERROR(IF(ISNUMBER($N32),INDEX('Skeet Ind Concurrent Ranking'!$D:$D,MATCH($N32,'Skeet Ind Concurrent Ranking'!$L:$L,0)),""),"")</f>
        <v>Steve Last Name22</v>
      </c>
      <c r="P32" s="51">
        <f>IFERROR(IF(ISNUMBER($N32),INDEX('Skeet Ind Concurrent Ranking'!$H:$H,MATCH($N32,'Skeet Ind Concurrent Ranking'!$L:$L,0)),""),"")</f>
        <v>70</v>
      </c>
      <c r="Q32" s="40" t="str">
        <f>IFERROR(IF(ISNUMBER($N32),INDEX('Skeet Ind Concurrent Ranking'!$F:$F,MATCH($N32,'Skeet Ind Concurrent Ranking'!$L:$L,0)),""),"")</f>
        <v>Intermediate</v>
      </c>
      <c r="R32" s="1">
        <v>76</v>
      </c>
      <c r="S32" s="11" t="str">
        <f>IFERROR(IF(ISNUMBER($R32),INDEX('Skeet Ind Concurrent Ranking'!$D:$D,MATCH($R32,'Skeet Ind Concurrent Ranking'!$L:$L,0)),""),"")</f>
        <v/>
      </c>
      <c r="T32" s="51" t="str">
        <f>IFERROR(IF(ISNUMBER($R32),INDEX('Skeet Ind Concurrent Ranking'!$H:$H,MATCH($R32,'Skeet Ind Concurrent Ranking'!$L:$L,0)),""),"")</f>
        <v/>
      </c>
      <c r="U32" s="40" t="str">
        <f>IFERROR(IF(ISNUMBER($R32),INDEX('Skeet Ind Concurrent Ranking'!$F:$F,MATCH($R32,'Skeet Ind Concurrent Ranking'!$L:$L,0)),""),"")</f>
        <v/>
      </c>
    </row>
    <row r="33" spans="1:21" x14ac:dyDescent="0.3">
      <c r="A33" s="1">
        <v>2</v>
      </c>
      <c r="B33" s="1" t="str">
        <f>IFERROR(IF(AND(ISNUMBER($A33),$A33&lt;='Tournament Setup'!$B$26),INDEX('Skeet Ind Concurrent Ranking'!$D:$D,MATCH($A33,'Skeet Ind Concurrent Ranking'!$N:$N,0)),""),"")</f>
        <v>Blake Last Name7</v>
      </c>
      <c r="C33" s="40">
        <f>IFERROR(IF(AND(ISNUMBER($A33),$A33&lt;='Tournament Setup'!$B$26),INDEX('Skeet Ind Concurrent Ranking'!$H:$H,MATCH($A33,'Skeet Ind Concurrent Ranking'!$N:$N,0)),""),"")</f>
        <v>97</v>
      </c>
      <c r="D33" s="11" t="str">
        <f>IFERROR(IF(ISNUMBER($A33),INDEX('Skeet Ind Concurrent Ranking'!$D:$D,MATCH($A33,'Skeet Ind Concurrent Ranking'!$BL:$BL,0)),""),"")</f>
        <v>Daniel Last Name15</v>
      </c>
      <c r="E33" s="40">
        <f>IFERROR(IF(ISNUMBER($A33),INDEX('Skeet Ind Concurrent Ranking'!$H:$H,MATCH($A33,'Skeet Ind Concurrent Ranking'!$BL:$BL,0)),""),"")</f>
        <v>89.1</v>
      </c>
      <c r="F33" s="11" t="str">
        <f>IFERROR(IF(ISNUMBER($A33),INDEX('Skeet Ind Concurrent Ranking'!$D:$D,MATCH($A33,'Skeet Ind Concurrent Ranking'!$BB:$BB,0)),""),"")</f>
        <v>Will Last Name37</v>
      </c>
      <c r="G33" s="40">
        <f>IFERROR(IF(ISNUMBER($A33),INDEX('Skeet Ind Concurrent Ranking'!$H:$H,MATCH($A33,'Skeet Ind Concurrent Ranking'!$BB:$BB,0)),""),"")</f>
        <v>85</v>
      </c>
      <c r="H33" s="11" t="str">
        <f>IFERROR(IF(ISNUMBER($A33),INDEX('Skeet Ind Concurrent Ranking'!$D:$D,MATCH($A33,'Skeet Ind Concurrent Ranking'!$AR:$AR,0)),""),"")</f>
        <v>Gary Last Name26</v>
      </c>
      <c r="I33" s="40">
        <f>IFERROR(IF(ISNUMBER($A33),INDEX('Skeet Ind Concurrent Ranking'!$H:$H,MATCH($A33,'Skeet Ind Concurrent Ranking'!$AR:$AR,0)),""),"")</f>
        <v>86</v>
      </c>
      <c r="J33" s="11" t="str">
        <f>IFERROR(IF(ISNUMBER($A33),INDEX('Skeet Ind Concurrent Ranking'!$D:$D,MATCH($A33,'Skeet Ind Concurrent Ranking'!$AH:$AH,0)),""),"")</f>
        <v>Shelly Last Name31</v>
      </c>
      <c r="K33" s="40">
        <f>IFERROR(IF(ISNUMBER($A33),INDEX('Skeet Ind Concurrent Ranking'!$H:$H,MATCH($A33,'Skeet Ind Concurrent Ranking'!$AH:$AH,0)),""),"")</f>
        <v>92</v>
      </c>
      <c r="L33" s="11" t="str">
        <f>IFERROR(IF(ISNUMBER($A33),INDEX('Skeet Ind Concurrent Ranking'!$D:$D,MATCH($A33,'Skeet Ind Concurrent Ranking'!$X:$X,0)),""),"")</f>
        <v>Linda Last Name9</v>
      </c>
      <c r="M33" s="40">
        <f>IFERROR(IF(ISNUMBER($A33),INDEX('Skeet Ind Concurrent Ranking'!$H:$H,MATCH($A33,'Skeet Ind Concurrent Ranking'!$X:$X,0)),""),"")</f>
        <v>75</v>
      </c>
      <c r="N33" s="1">
        <v>27</v>
      </c>
      <c r="O33" s="11" t="str">
        <f>IFERROR(IF(ISNUMBER($N33),INDEX('Skeet Ind Concurrent Ranking'!$D:$D,MATCH($N33,'Skeet Ind Concurrent Ranking'!$L:$L,0)),""),"")</f>
        <v>Tim Last Name24</v>
      </c>
      <c r="P33" s="51">
        <f>IFERROR(IF(ISNUMBER($N33),INDEX('Skeet Ind Concurrent Ranking'!$H:$H,MATCH($N33,'Skeet Ind Concurrent Ranking'!$L:$L,0)),""),"")</f>
        <v>70</v>
      </c>
      <c r="Q33" s="40" t="str">
        <f>IFERROR(IF(ISNUMBER($N33),INDEX('Skeet Ind Concurrent Ranking'!$F:$F,MATCH($N33,'Skeet Ind Concurrent Ranking'!$L:$L,0)),""),"")</f>
        <v>Novice</v>
      </c>
      <c r="R33" s="1">
        <v>77</v>
      </c>
      <c r="S33" s="11" t="str">
        <f>IFERROR(IF(ISNUMBER($R33),INDEX('Skeet Ind Concurrent Ranking'!$D:$D,MATCH($R33,'Skeet Ind Concurrent Ranking'!$L:$L,0)),""),"")</f>
        <v/>
      </c>
      <c r="T33" s="51" t="str">
        <f>IFERROR(IF(ISNUMBER($R33),INDEX('Skeet Ind Concurrent Ranking'!$H:$H,MATCH($R33,'Skeet Ind Concurrent Ranking'!$L:$L,0)),""),"")</f>
        <v/>
      </c>
      <c r="U33" s="40" t="str">
        <f>IFERROR(IF(ISNUMBER($R33),INDEX('Skeet Ind Concurrent Ranking'!$F:$F,MATCH($R33,'Skeet Ind Concurrent Ranking'!$L:$L,0)),""),"")</f>
        <v/>
      </c>
    </row>
    <row r="34" spans="1:21" x14ac:dyDescent="0.3">
      <c r="A34" s="1">
        <v>3</v>
      </c>
      <c r="B34" s="1" t="str">
        <f>IFERROR(IF(AND(ISNUMBER($A34),$A34&lt;='Tournament Setup'!$B$26),INDEX('Skeet Ind Concurrent Ranking'!$D:$D,MATCH($A34,'Skeet Ind Concurrent Ranking'!$N:$N,0)),""),"")</f>
        <v>Cathy Last Name3</v>
      </c>
      <c r="C34" s="40">
        <f>IFERROR(IF(AND(ISNUMBER($A34),$A34&lt;='Tournament Setup'!$B$26),INDEX('Skeet Ind Concurrent Ranking'!$H:$H,MATCH($A34,'Skeet Ind Concurrent Ranking'!$N:$N,0)),""),"")</f>
        <v>96</v>
      </c>
      <c r="D34" s="11" t="str">
        <f>IFERROR(IF(ISNUMBER($A34),INDEX('Skeet Ind Concurrent Ranking'!$D:$D,MATCH($A34,'Skeet Ind Concurrent Ranking'!$BL:$BL,0)),""),"")</f>
        <v>Judy Last Name30</v>
      </c>
      <c r="E34" s="40">
        <f>IFERROR(IF(ISNUMBER($A34),INDEX('Skeet Ind Concurrent Ranking'!$H:$H,MATCH($A34,'Skeet Ind Concurrent Ranking'!$BL:$BL,0)),""),"")</f>
        <v>51</v>
      </c>
      <c r="F34" s="11" t="str">
        <f>IFERROR(IF(ISNUMBER($A34),INDEX('Skeet Ind Concurrent Ranking'!$D:$D,MATCH($A34,'Skeet Ind Concurrent Ranking'!$BB:$BB,0)),""),"")</f>
        <v>Trey Last Name41</v>
      </c>
      <c r="G34" s="40">
        <f>IFERROR(IF(ISNUMBER($A34),INDEX('Skeet Ind Concurrent Ranking'!$H:$H,MATCH($A34,'Skeet Ind Concurrent Ranking'!$BB:$BB,0)),""),"")</f>
        <v>84</v>
      </c>
      <c r="H34" s="11" t="str">
        <f>IFERROR(IF(ISNUMBER($A34),INDEX('Skeet Ind Concurrent Ranking'!$D:$D,MATCH($A34,'Skeet Ind Concurrent Ranking'!$AR:$AR,0)),""),"")</f>
        <v>Alan Last Name29</v>
      </c>
      <c r="I34" s="40">
        <f>IFERROR(IF(ISNUMBER($A34),INDEX('Skeet Ind Concurrent Ranking'!$H:$H,MATCH($A34,'Skeet Ind Concurrent Ranking'!$AR:$AR,0)),""),"")</f>
        <v>80</v>
      </c>
      <c r="J34" s="11" t="str">
        <f>IFERROR(IF(ISNUMBER($A34),INDEX('Skeet Ind Concurrent Ranking'!$D:$D,MATCH($A34,'Skeet Ind Concurrent Ranking'!$AH:$AH,0)),""),"")</f>
        <v>Terry Last Name43</v>
      </c>
      <c r="K34" s="40">
        <f>IFERROR(IF(ISNUMBER($A34),INDEX('Skeet Ind Concurrent Ranking'!$H:$H,MATCH($A34,'Skeet Ind Concurrent Ranking'!$AH:$AH,0)),""),"")</f>
        <v>88</v>
      </c>
      <c r="L34" s="11" t="str">
        <f>IFERROR(IF(ISNUMBER($A34),INDEX('Skeet Ind Concurrent Ranking'!$D:$D,MATCH($A34,'Skeet Ind Concurrent Ranking'!$X:$X,0)),""),"")</f>
        <v>Missy Last Name33</v>
      </c>
      <c r="M34" s="40">
        <f>IFERROR(IF(ISNUMBER($A34),INDEX('Skeet Ind Concurrent Ranking'!$H:$H,MATCH($A34,'Skeet Ind Concurrent Ranking'!$X:$X,0)),""),"")</f>
        <v>73</v>
      </c>
      <c r="N34" s="1">
        <v>28</v>
      </c>
      <c r="O34" s="11" t="str">
        <f>IFERROR(IF(ISNUMBER($N34),INDEX('Skeet Ind Concurrent Ranking'!$D:$D,MATCH($N34,'Skeet Ind Concurrent Ranking'!$L:$L,0)),""),"")</f>
        <v>Marty Last Name34</v>
      </c>
      <c r="P34" s="51">
        <f>IFERROR(IF(ISNUMBER($N34),INDEX('Skeet Ind Concurrent Ranking'!$H:$H,MATCH($N34,'Skeet Ind Concurrent Ranking'!$L:$L,0)),""),"")</f>
        <v>68</v>
      </c>
      <c r="Q34" s="40" t="str">
        <f>IFERROR(IF(ISNUMBER($N34),INDEX('Skeet Ind Concurrent Ranking'!$F:$F,MATCH($N34,'Skeet Ind Concurrent Ranking'!$L:$L,0)),""),"")</f>
        <v>Intermediate</v>
      </c>
      <c r="R34" s="1">
        <v>78</v>
      </c>
      <c r="S34" s="11" t="str">
        <f>IFERROR(IF(ISNUMBER($R34),INDEX('Skeet Ind Concurrent Ranking'!$D:$D,MATCH($R34,'Skeet Ind Concurrent Ranking'!$L:$L,0)),""),"")</f>
        <v/>
      </c>
      <c r="T34" s="51" t="str">
        <f>IFERROR(IF(ISNUMBER($R34),INDEX('Skeet Ind Concurrent Ranking'!$H:$H,MATCH($R34,'Skeet Ind Concurrent Ranking'!$L:$L,0)),""),"")</f>
        <v/>
      </c>
      <c r="U34" s="40" t="str">
        <f>IFERROR(IF(ISNUMBER($R34),INDEX('Skeet Ind Concurrent Ranking'!$F:$F,MATCH($R34,'Skeet Ind Concurrent Ranking'!$L:$L,0)),""),"")</f>
        <v/>
      </c>
    </row>
    <row r="35" spans="1:21" x14ac:dyDescent="0.3">
      <c r="A35" s="1">
        <v>4</v>
      </c>
      <c r="B35" s="1" t="str">
        <f>IFERROR(IF(AND(ISNUMBER($A35),$A35&lt;='Tournament Setup'!$B$26),INDEX('Skeet Ind Concurrent Ranking'!$D:$D,MATCH($A35,'Skeet Ind Concurrent Ranking'!$N:$N,0)),""),"")</f>
        <v>Patricia Last Name35</v>
      </c>
      <c r="C35" s="40">
        <f>IFERROR(IF(AND(ISNUMBER($A35),$A35&lt;='Tournament Setup'!$B$26),INDEX('Skeet Ind Concurrent Ranking'!$H:$H,MATCH($A35,'Skeet Ind Concurrent Ranking'!$N:$N,0)),""),"")</f>
        <v>95</v>
      </c>
      <c r="D35" s="11" t="str">
        <f>IFERROR(IF(ISNUMBER($A35),INDEX('Skeet Ind Concurrent Ranking'!$D:$D,MATCH($A35,'Skeet Ind Concurrent Ranking'!$BL:$BL,0)),""),"")</f>
        <v>Bob Last Name12</v>
      </c>
      <c r="E35" s="40">
        <f>IFERROR(IF(ISNUMBER($A35),INDEX('Skeet Ind Concurrent Ranking'!$H:$H,MATCH($A35,'Skeet Ind Concurrent Ranking'!$BL:$BL,0)),""),"")</f>
        <v>48</v>
      </c>
      <c r="F35" s="11" t="str">
        <f>IFERROR(IF(ISNUMBER($A35),INDEX('Skeet Ind Concurrent Ranking'!$D:$D,MATCH($A35,'Skeet Ind Concurrent Ranking'!$BB:$BB,0)),""),"")</f>
        <v>Susan Last Name4</v>
      </c>
      <c r="G35" s="40">
        <f>IFERROR(IF(ISNUMBER($A35),INDEX('Skeet Ind Concurrent Ranking'!$H:$H,MATCH($A35,'Skeet Ind Concurrent Ranking'!$BB:$BB,0)),""),"")</f>
        <v>82</v>
      </c>
      <c r="H35" s="11" t="str">
        <f>IFERROR(IF(ISNUMBER($A35),INDEX('Skeet Ind Concurrent Ranking'!$D:$D,MATCH($A35,'Skeet Ind Concurrent Ranking'!$AR:$AR,0)),""),"")</f>
        <v>Bruce Last Name13</v>
      </c>
      <c r="I35" s="40">
        <f>IFERROR(IF(ISNUMBER($A35),INDEX('Skeet Ind Concurrent Ranking'!$H:$H,MATCH($A35,'Skeet Ind Concurrent Ranking'!$AR:$AR,0)),""),"")</f>
        <v>72</v>
      </c>
      <c r="J35" s="11" t="str">
        <f>IFERROR(IF(ISNUMBER($A35),INDEX('Skeet Ind Concurrent Ranking'!$D:$D,MATCH($A35,'Skeet Ind Concurrent Ranking'!$AH:$AH,0)),""),"")</f>
        <v>Henry Last Name14</v>
      </c>
      <c r="K35" s="40">
        <f>IFERROR(IF(ISNUMBER($A35),INDEX('Skeet Ind Concurrent Ranking'!$H:$H,MATCH($A35,'Skeet Ind Concurrent Ranking'!$AH:$AH,0)),""),"")</f>
        <v>76</v>
      </c>
      <c r="L35" s="11" t="str">
        <f>IFERROR(IF(ISNUMBER($A35),INDEX('Skeet Ind Concurrent Ranking'!$D:$D,MATCH($A35,'Skeet Ind Concurrent Ranking'!$X:$X,0)),""),"")</f>
        <v>Nathan Last Name21</v>
      </c>
      <c r="M35" s="40">
        <f>IFERROR(IF(ISNUMBER($A35),INDEX('Skeet Ind Concurrent Ranking'!$H:$H,MATCH($A35,'Skeet Ind Concurrent Ranking'!$X:$X,0)),""),"")</f>
        <v>72</v>
      </c>
      <c r="N35" s="1">
        <v>29</v>
      </c>
      <c r="O35" s="11" t="str">
        <f>IFERROR(IF(ISNUMBER($N35),INDEX('Skeet Ind Concurrent Ranking'!$D:$D,MATCH($N35,'Skeet Ind Concurrent Ranking'!$L:$L,0)),""),"")</f>
        <v>Rick Last Name47</v>
      </c>
      <c r="P35" s="51">
        <f>IFERROR(IF(ISNUMBER($N35),INDEX('Skeet Ind Concurrent Ranking'!$H:$H,MATCH($N35,'Skeet Ind Concurrent Ranking'!$L:$L,0)),""),"")</f>
        <v>65</v>
      </c>
      <c r="Q35" s="40" t="str">
        <f>IFERROR(IF(ISNUMBER($N35),INDEX('Skeet Ind Concurrent Ranking'!$F:$F,MATCH($N35,'Skeet Ind Concurrent Ranking'!$L:$L,0)),""),"")</f>
        <v>Novice</v>
      </c>
      <c r="R35" s="1">
        <v>79</v>
      </c>
      <c r="S35" s="11" t="str">
        <f>IFERROR(IF(ISNUMBER($R35),INDEX('Skeet Ind Concurrent Ranking'!$D:$D,MATCH($R35,'Skeet Ind Concurrent Ranking'!$L:$L,0)),""),"")</f>
        <v/>
      </c>
      <c r="T35" s="51" t="str">
        <f>IFERROR(IF(ISNUMBER($R35),INDEX('Skeet Ind Concurrent Ranking'!$H:$H,MATCH($R35,'Skeet Ind Concurrent Ranking'!$L:$L,0)),""),"")</f>
        <v/>
      </c>
      <c r="U35" s="40" t="str">
        <f>IFERROR(IF(ISNUMBER($R35),INDEX('Skeet Ind Concurrent Ranking'!$F:$F,MATCH($R35,'Skeet Ind Concurrent Ranking'!$L:$L,0)),""),"")</f>
        <v/>
      </c>
    </row>
    <row r="36" spans="1:21" x14ac:dyDescent="0.3">
      <c r="A36" s="1">
        <v>5</v>
      </c>
      <c r="B36" s="1" t="str">
        <f>IFERROR(IF(AND(ISNUMBER($A36),$A36&lt;='Tournament Setup'!$B$26),INDEX('Skeet Ind Concurrent Ranking'!$D:$D,MATCH($A36,'Skeet Ind Concurrent Ranking'!$N:$N,0)),""),"")</f>
        <v/>
      </c>
      <c r="C36" s="40" t="str">
        <f>IFERROR(IF(AND(ISNUMBER($A36),$A36&lt;='Tournament Setup'!$B$26),INDEX('Skeet Ind Concurrent Ranking'!$H:$H,MATCH($A36,'Skeet Ind Concurrent Ranking'!$N:$N,0)),""),"")</f>
        <v/>
      </c>
      <c r="D36" s="11" t="str">
        <f>IFERROR(IF(ISNUMBER($A36),INDEX('Skeet Ind Concurrent Ranking'!$D:$D,MATCH($A36,'Skeet Ind Concurrent Ranking'!$BL:$BL,0)),""),"")</f>
        <v>Becky Last Name27</v>
      </c>
      <c r="E36" s="40">
        <f>IFERROR(IF(ISNUMBER($A36),INDEX('Skeet Ind Concurrent Ranking'!$H:$H,MATCH($A36,'Skeet Ind Concurrent Ranking'!$BL:$BL,0)),""),"")</f>
        <v>45</v>
      </c>
      <c r="F36" s="11" t="str">
        <f>IFERROR(IF(ISNUMBER($A36),INDEX('Skeet Ind Concurrent Ranking'!$D:$D,MATCH($A36,'Skeet Ind Concurrent Ranking'!$BB:$BB,0)),""),"")</f>
        <v>Jack Last Name19</v>
      </c>
      <c r="G36" s="40">
        <f>IFERROR(IF(ISNUMBER($A36),INDEX('Skeet Ind Concurrent Ranking'!$H:$H,MATCH($A36,'Skeet Ind Concurrent Ranking'!$BB:$BB,0)),""),"")</f>
        <v>82</v>
      </c>
      <c r="H36" s="11" t="str">
        <f>IFERROR(IF(ISNUMBER($A36),INDEX('Skeet Ind Concurrent Ranking'!$D:$D,MATCH($A36,'Skeet Ind Concurrent Ranking'!$AR:$AR,0)),""),"")</f>
        <v>James Last Name8</v>
      </c>
      <c r="I36" s="40">
        <f>IFERROR(IF(ISNUMBER($A36),INDEX('Skeet Ind Concurrent Ranking'!$H:$H,MATCH($A36,'Skeet Ind Concurrent Ranking'!$AR:$AR,0)),""),"")</f>
        <v>64</v>
      </c>
      <c r="J36" s="11" t="str">
        <f>IFERROR(IF(ISNUMBER($A36),INDEX('Skeet Ind Concurrent Ranking'!$D:$D,MATCH($A36,'Skeet Ind Concurrent Ranking'!$AH:$AH,0)),""),"")</f>
        <v>Trisha Last Name44</v>
      </c>
      <c r="K36" s="40">
        <f>IFERROR(IF(ISNUMBER($A36),INDEX('Skeet Ind Concurrent Ranking'!$H:$H,MATCH($A36,'Skeet Ind Concurrent Ranking'!$AH:$AH,0)),""),"")</f>
        <v>72.099999999999994</v>
      </c>
      <c r="L36" s="11" t="str">
        <f>IFERROR(IF(ISNUMBER($A36),INDEX('Skeet Ind Concurrent Ranking'!$D:$D,MATCH($A36,'Skeet Ind Concurrent Ranking'!$X:$X,0)),""),"")</f>
        <v>Tim Last Name24</v>
      </c>
      <c r="M36" s="40">
        <f>IFERROR(IF(ISNUMBER($A36),INDEX('Skeet Ind Concurrent Ranking'!$H:$H,MATCH($A36,'Skeet Ind Concurrent Ranking'!$X:$X,0)),""),"")</f>
        <v>70</v>
      </c>
      <c r="N36" s="1">
        <v>30</v>
      </c>
      <c r="O36" s="11" t="str">
        <f>IFERROR(IF(ISNUMBER($N36),INDEX('Skeet Ind Concurrent Ranking'!$D:$D,MATCH($N36,'Skeet Ind Concurrent Ranking'!$L:$L,0)),""),"")</f>
        <v>James Last Name8</v>
      </c>
      <c r="P36" s="51">
        <f>IFERROR(IF(ISNUMBER($N36),INDEX('Skeet Ind Concurrent Ranking'!$H:$H,MATCH($N36,'Skeet Ind Concurrent Ranking'!$L:$L,0)),""),"")</f>
        <v>64</v>
      </c>
      <c r="Q36" s="40" t="str">
        <f>IFERROR(IF(ISNUMBER($N36),INDEX('Skeet Ind Concurrent Ranking'!$F:$F,MATCH($N36,'Skeet Ind Concurrent Ranking'!$L:$L,0)),""),"")</f>
        <v>Junior Varsity</v>
      </c>
      <c r="R36" s="1">
        <v>80</v>
      </c>
      <c r="S36" s="11" t="str">
        <f>IFERROR(IF(ISNUMBER($R36),INDEX('Skeet Ind Concurrent Ranking'!$D:$D,MATCH($R36,'Skeet Ind Concurrent Ranking'!$L:$L,0)),""),"")</f>
        <v/>
      </c>
      <c r="T36" s="51" t="str">
        <f>IFERROR(IF(ISNUMBER($R36),INDEX('Skeet Ind Concurrent Ranking'!$H:$H,MATCH($R36,'Skeet Ind Concurrent Ranking'!$L:$L,0)),""),"")</f>
        <v/>
      </c>
      <c r="U36" s="40" t="str">
        <f>IFERROR(IF(ISNUMBER($R36),INDEX('Skeet Ind Concurrent Ranking'!$F:$F,MATCH($R36,'Skeet Ind Concurrent Ranking'!$L:$L,0)),""),"")</f>
        <v/>
      </c>
    </row>
    <row r="37" spans="1:21" x14ac:dyDescent="0.3">
      <c r="A37" s="1">
        <v>6</v>
      </c>
      <c r="B37" s="1" t="str">
        <f>IFERROR(IF(AND(ISNUMBER($A37),$A37&lt;='Tournament Setup'!$B$26),INDEX('Skeet Ind Concurrent Ranking'!$D:$D,MATCH($A37,'Skeet Ind Concurrent Ranking'!$N:$N,0)),""),"")</f>
        <v/>
      </c>
      <c r="C37" s="40" t="str">
        <f>IFERROR(IF(AND(ISNUMBER($A37),$A37&lt;='Tournament Setup'!$B$26),INDEX('Skeet Ind Concurrent Ranking'!$H:$H,MATCH($A37,'Skeet Ind Concurrent Ranking'!$N:$N,0)),""),"")</f>
        <v/>
      </c>
      <c r="D37" s="11" t="str">
        <f>IFERROR(IF(ISNUMBER($A37),INDEX('Skeet Ind Concurrent Ranking'!$D:$D,MATCH($A37,'Skeet Ind Concurrent Ranking'!$BL:$BL,0)),""),"")</f>
        <v>Chad Last Name39</v>
      </c>
      <c r="E37" s="40">
        <f>IFERROR(IF(ISNUMBER($A37),INDEX('Skeet Ind Concurrent Ranking'!$H:$H,MATCH($A37,'Skeet Ind Concurrent Ranking'!$BL:$BL,0)),""),"")</f>
        <v>43</v>
      </c>
      <c r="F37" s="11" t="str">
        <f>IFERROR(IF(ISNUMBER($A37),INDEX('Skeet Ind Concurrent Ranking'!$D:$D,MATCH($A37,'Skeet Ind Concurrent Ranking'!$BB:$BB,0)),""),"")</f>
        <v>Harry Last Name25</v>
      </c>
      <c r="G37" s="40">
        <f>IFERROR(IF(ISNUMBER($A37),INDEX('Skeet Ind Concurrent Ranking'!$H:$H,MATCH($A37,'Skeet Ind Concurrent Ranking'!$BB:$BB,0)),""),"")</f>
        <v>72</v>
      </c>
      <c r="H37" s="11" t="str">
        <f>IFERROR(IF(ISNUMBER($A37),INDEX('Skeet Ind Concurrent Ranking'!$D:$D,MATCH($A37,'Skeet Ind Concurrent Ranking'!$AR:$AR,0)),""),"")</f>
        <v>John Last Name2</v>
      </c>
      <c r="I37" s="40">
        <f>IFERROR(IF(ISNUMBER($A37),INDEX('Skeet Ind Concurrent Ranking'!$H:$H,MATCH($A37,'Skeet Ind Concurrent Ranking'!$AR:$AR,0)),""),"")</f>
        <v>63</v>
      </c>
      <c r="J37" s="11" t="str">
        <f>IFERROR(IF(ISNUMBER($A37),INDEX('Skeet Ind Concurrent Ranking'!$D:$D,MATCH($A37,'Skeet Ind Concurrent Ranking'!$AH:$AH,0)),""),"")</f>
        <v>Steve Last Name22</v>
      </c>
      <c r="K37" s="40">
        <f>IFERROR(IF(ISNUMBER($A37),INDEX('Skeet Ind Concurrent Ranking'!$H:$H,MATCH($A37,'Skeet Ind Concurrent Ranking'!$AH:$AH,0)),""),"")</f>
        <v>70</v>
      </c>
      <c r="L37" s="11" t="str">
        <f>IFERROR(IF(ISNUMBER($A37),INDEX('Skeet Ind Concurrent Ranking'!$D:$D,MATCH($A37,'Skeet Ind Concurrent Ranking'!$X:$X,0)),""),"")</f>
        <v>Rick Last Name47</v>
      </c>
      <c r="M37" s="40">
        <f>IFERROR(IF(ISNUMBER($A37),INDEX('Skeet Ind Concurrent Ranking'!$H:$H,MATCH($A37,'Skeet Ind Concurrent Ranking'!$X:$X,0)),""),"")</f>
        <v>65</v>
      </c>
      <c r="N37" s="1">
        <v>31</v>
      </c>
      <c r="O37" s="11" t="str">
        <f>IFERROR(IF(ISNUMBER($N37),INDEX('Skeet Ind Concurrent Ranking'!$D:$D,MATCH($N37,'Skeet Ind Concurrent Ranking'!$L:$L,0)),""),"")</f>
        <v>Randy Last Name36</v>
      </c>
      <c r="P37" s="51">
        <f>IFERROR(IF(ISNUMBER($N37),INDEX('Skeet Ind Concurrent Ranking'!$H:$H,MATCH($N37,'Skeet Ind Concurrent Ranking'!$L:$L,0)),""),"")</f>
        <v>63.1</v>
      </c>
      <c r="Q37" s="40" t="str">
        <f>IFERROR(IF(ISNUMBER($N37),INDEX('Skeet Ind Concurrent Ranking'!$F:$F,MATCH($N37,'Skeet Ind Concurrent Ranking'!$L:$L,0)),""),"")</f>
        <v>Novice</v>
      </c>
      <c r="R37" s="1">
        <v>81</v>
      </c>
      <c r="S37" s="11" t="str">
        <f>IFERROR(IF(ISNUMBER($R37),INDEX('Skeet Ind Concurrent Ranking'!$D:$D,MATCH($R37,'Skeet Ind Concurrent Ranking'!$L:$L,0)),""),"")</f>
        <v/>
      </c>
      <c r="T37" s="51" t="str">
        <f>IFERROR(IF(ISNUMBER($R37),INDEX('Skeet Ind Concurrent Ranking'!$H:$H,MATCH($R37,'Skeet Ind Concurrent Ranking'!$L:$L,0)),""),"")</f>
        <v/>
      </c>
      <c r="U37" s="40" t="str">
        <f>IFERROR(IF(ISNUMBER($R37),INDEX('Skeet Ind Concurrent Ranking'!$F:$F,MATCH($R37,'Skeet Ind Concurrent Ranking'!$L:$L,0)),""),"")</f>
        <v/>
      </c>
    </row>
    <row r="38" spans="1:21" x14ac:dyDescent="0.3">
      <c r="A38" s="1">
        <v>7</v>
      </c>
      <c r="B38" s="1" t="str">
        <f>IFERROR(IF(AND(ISNUMBER($A38),$A38&lt;='Tournament Setup'!$B$26),INDEX('Skeet Ind Concurrent Ranking'!$D:$D,MATCH($A38,'Skeet Ind Concurrent Ranking'!$N:$N,0)),""),"")</f>
        <v/>
      </c>
      <c r="C38" s="40" t="str">
        <f>IFERROR(IF(AND(ISNUMBER($A38),$A38&lt;='Tournament Setup'!$B$26),INDEX('Skeet Ind Concurrent Ranking'!$H:$H,MATCH($A38,'Skeet Ind Concurrent Ranking'!$N:$N,0)),""),"")</f>
        <v/>
      </c>
      <c r="D38" s="11" t="str">
        <f>IFERROR(IF(ISNUMBER($A38),INDEX('Skeet Ind Concurrent Ranking'!$D:$D,MATCH($A38,'Skeet Ind Concurrent Ranking'!$BL:$BL,0)),""),"")</f>
        <v/>
      </c>
      <c r="E38" s="40" t="str">
        <f>IFERROR(IF(ISNUMBER($A38),INDEX('Skeet Ind Concurrent Ranking'!$H:$H,MATCH($A38,'Skeet Ind Concurrent Ranking'!$BL:$BL,0)),""),"")</f>
        <v/>
      </c>
      <c r="F38" s="11" t="str">
        <f>IFERROR(IF(ISNUMBER($A38),INDEX('Skeet Ind Concurrent Ranking'!$D:$D,MATCH($A38,'Skeet Ind Concurrent Ranking'!$BB:$BB,0)),""),"")</f>
        <v>Brad Last Name28</v>
      </c>
      <c r="G38" s="40">
        <f>IFERROR(IF(ISNUMBER($A38),INDEX('Skeet Ind Concurrent Ranking'!$H:$H,MATCH($A38,'Skeet Ind Concurrent Ranking'!$BB:$BB,0)),""),"")</f>
        <v>63</v>
      </c>
      <c r="H38" s="11" t="str">
        <f>IFERROR(IF(ISNUMBER($A38),INDEX('Skeet Ind Concurrent Ranking'!$D:$D,MATCH($A38,'Skeet Ind Concurrent Ranking'!$AR:$AR,0)),""),"")</f>
        <v>Tom Last Name23</v>
      </c>
      <c r="I38" s="40">
        <f>IFERROR(IF(ISNUMBER($A38),INDEX('Skeet Ind Concurrent Ranking'!$H:$H,MATCH($A38,'Skeet Ind Concurrent Ranking'!$AR:$AR,0)),""),"")</f>
        <v>61</v>
      </c>
      <c r="J38" s="11" t="str">
        <f>IFERROR(IF(ISNUMBER($A38),INDEX('Skeet Ind Concurrent Ranking'!$D:$D,MATCH($A38,'Skeet Ind Concurrent Ranking'!$AH:$AH,0)),""),"")</f>
        <v>Marty Last Name34</v>
      </c>
      <c r="K38" s="40">
        <f>IFERROR(IF(ISNUMBER($A38),INDEX('Skeet Ind Concurrent Ranking'!$H:$H,MATCH($A38,'Skeet Ind Concurrent Ranking'!$AH:$AH,0)),""),"")</f>
        <v>68</v>
      </c>
      <c r="L38" s="11" t="str">
        <f>IFERROR(IF(ISNUMBER($A38),INDEX('Skeet Ind Concurrent Ranking'!$D:$D,MATCH($A38,'Skeet Ind Concurrent Ranking'!$X:$X,0)),""),"")</f>
        <v>Randy Last Name36</v>
      </c>
      <c r="M38" s="40">
        <f>IFERROR(IF(ISNUMBER($A38),INDEX('Skeet Ind Concurrent Ranking'!$H:$H,MATCH($A38,'Skeet Ind Concurrent Ranking'!$X:$X,0)),""),"")</f>
        <v>63.1</v>
      </c>
      <c r="N38" s="1">
        <v>32</v>
      </c>
      <c r="O38" s="11" t="str">
        <f>IFERROR(IF(ISNUMBER($N38),INDEX('Skeet Ind Concurrent Ranking'!$D:$D,MATCH($N38,'Skeet Ind Concurrent Ranking'!$L:$L,0)),""),"")</f>
        <v>John Last Name2</v>
      </c>
      <c r="P38" s="51">
        <f>IFERROR(IF(ISNUMBER($N38),INDEX('Skeet Ind Concurrent Ranking'!$H:$H,MATCH($N38,'Skeet Ind Concurrent Ranking'!$L:$L,0)),""),"")</f>
        <v>63</v>
      </c>
      <c r="Q38" s="40" t="str">
        <f>IFERROR(IF(ISNUMBER($N38),INDEX('Skeet Ind Concurrent Ranking'!$F:$F,MATCH($N38,'Skeet Ind Concurrent Ranking'!$L:$L,0)),""),"")</f>
        <v>Junior Varsity</v>
      </c>
      <c r="R38" s="1">
        <v>82</v>
      </c>
      <c r="S38" s="11" t="str">
        <f>IFERROR(IF(ISNUMBER($R38),INDEX('Skeet Ind Concurrent Ranking'!$D:$D,MATCH($R38,'Skeet Ind Concurrent Ranking'!$L:$L,0)),""),"")</f>
        <v/>
      </c>
      <c r="T38" s="51" t="str">
        <f>IFERROR(IF(ISNUMBER($R38),INDEX('Skeet Ind Concurrent Ranking'!$H:$H,MATCH($R38,'Skeet Ind Concurrent Ranking'!$L:$L,0)),""),"")</f>
        <v/>
      </c>
      <c r="U38" s="40" t="str">
        <f>IFERROR(IF(ISNUMBER($R38),INDEX('Skeet Ind Concurrent Ranking'!$F:$F,MATCH($R38,'Skeet Ind Concurrent Ranking'!$L:$L,0)),""),"")</f>
        <v/>
      </c>
    </row>
    <row r="39" spans="1:21" x14ac:dyDescent="0.3">
      <c r="A39" s="1">
        <v>8</v>
      </c>
      <c r="B39" s="1" t="str">
        <f>IFERROR(IF(AND(ISNUMBER($A39),$A39&lt;='Tournament Setup'!$B$26),INDEX('Skeet Ind Concurrent Ranking'!$D:$D,MATCH($A39,'Skeet Ind Concurrent Ranking'!$N:$N,0)),""),"")</f>
        <v/>
      </c>
      <c r="C39" s="40" t="str">
        <f>IFERROR(IF(AND(ISNUMBER($A39),$A39&lt;='Tournament Setup'!$B$26),INDEX('Skeet Ind Concurrent Ranking'!$H:$H,MATCH($A39,'Skeet Ind Concurrent Ranking'!$N:$N,0)),""),"")</f>
        <v/>
      </c>
      <c r="D39" s="11" t="str">
        <f>IFERROR(IF(ISNUMBER($A39),INDEX('Skeet Ind Concurrent Ranking'!$D:$D,MATCH($A39,'Skeet Ind Concurrent Ranking'!$BL:$BL,0)),""),"")</f>
        <v/>
      </c>
      <c r="E39" s="40" t="str">
        <f>IFERROR(IF(ISNUMBER($A39),INDEX('Skeet Ind Concurrent Ranking'!$H:$H,MATCH($A39,'Skeet Ind Concurrent Ranking'!$BL:$BL,0)),""),"")</f>
        <v/>
      </c>
      <c r="F39" s="11" t="str">
        <f>IFERROR(IF(ISNUMBER($A39),INDEX('Skeet Ind Concurrent Ranking'!$D:$D,MATCH($A39,'Skeet Ind Concurrent Ranking'!$BB:$BB,0)),""),"")</f>
        <v>Troy Last Name40</v>
      </c>
      <c r="G39" s="40">
        <f>IFERROR(IF(ISNUMBER($A39),INDEX('Skeet Ind Concurrent Ranking'!$H:$H,MATCH($A39,'Skeet Ind Concurrent Ranking'!$BB:$BB,0)),""),"")</f>
        <v>59</v>
      </c>
      <c r="H39" s="11" t="str">
        <f>IFERROR(IF(ISNUMBER($A39),INDEX('Skeet Ind Concurrent Ranking'!$D:$D,MATCH($A39,'Skeet Ind Concurrent Ranking'!$AR:$AR,0)),""),"")</f>
        <v>Chris Last Name20</v>
      </c>
      <c r="I39" s="40">
        <f>IFERROR(IF(ISNUMBER($A39),INDEX('Skeet Ind Concurrent Ranking'!$H:$H,MATCH($A39,'Skeet Ind Concurrent Ranking'!$AR:$AR,0)),""),"")</f>
        <v>32</v>
      </c>
      <c r="J39" s="11" t="str">
        <f>IFERROR(IF(ISNUMBER($A39),INDEX('Skeet Ind Concurrent Ranking'!$D:$D,MATCH($A39,'Skeet Ind Concurrent Ranking'!$AH:$AH,0)),""),"")</f>
        <v>Kelly Last Name32</v>
      </c>
      <c r="K39" s="40">
        <f>IFERROR(IF(ISNUMBER($A39),INDEX('Skeet Ind Concurrent Ranking'!$H:$H,MATCH($A39,'Skeet Ind Concurrent Ranking'!$AH:$AH,0)),""),"")</f>
        <v>29</v>
      </c>
      <c r="L39" s="11" t="str">
        <f>IFERROR(IF(ISNUMBER($A39),INDEX('Skeet Ind Concurrent Ranking'!$D:$D,MATCH($A39,'Skeet Ind Concurrent Ranking'!$X:$X,0)),""),"")</f>
        <v>Joan Last Name17</v>
      </c>
      <c r="M39" s="40">
        <f>IFERROR(IF(ISNUMBER($A39),INDEX('Skeet Ind Concurrent Ranking'!$H:$H,MATCH($A39,'Skeet Ind Concurrent Ranking'!$X:$X,0)),""),"")</f>
        <v>60</v>
      </c>
      <c r="N39" s="1">
        <v>33</v>
      </c>
      <c r="O39" s="11" t="str">
        <f>IFERROR(IF(ISNUMBER($N39),INDEX('Skeet Ind Concurrent Ranking'!$D:$D,MATCH($N39,'Skeet Ind Concurrent Ranking'!$L:$L,0)),""),"")</f>
        <v>Brad Last Name28</v>
      </c>
      <c r="P39" s="51">
        <f>IFERROR(IF(ISNUMBER($N39),INDEX('Skeet Ind Concurrent Ranking'!$H:$H,MATCH($N39,'Skeet Ind Concurrent Ranking'!$L:$L,0)),""),"")</f>
        <v>63</v>
      </c>
      <c r="Q39" s="40" t="str">
        <f>IFERROR(IF(ISNUMBER($N39),INDEX('Skeet Ind Concurrent Ranking'!$F:$F,MATCH($N39,'Skeet Ind Concurrent Ranking'!$L:$L,0)),""),"")</f>
        <v>Varsity</v>
      </c>
      <c r="R39" s="1">
        <v>83</v>
      </c>
      <c r="S39" s="11" t="str">
        <f>IFERROR(IF(ISNUMBER($R39),INDEX('Skeet Ind Concurrent Ranking'!$D:$D,MATCH($R39,'Skeet Ind Concurrent Ranking'!$L:$L,0)),""),"")</f>
        <v/>
      </c>
      <c r="T39" s="51" t="str">
        <f>IFERROR(IF(ISNUMBER($R39),INDEX('Skeet Ind Concurrent Ranking'!$H:$H,MATCH($R39,'Skeet Ind Concurrent Ranking'!$L:$L,0)),""),"")</f>
        <v/>
      </c>
      <c r="U39" s="40" t="str">
        <f>IFERROR(IF(ISNUMBER($R39),INDEX('Skeet Ind Concurrent Ranking'!$F:$F,MATCH($R39,'Skeet Ind Concurrent Ranking'!$L:$L,0)),""),"")</f>
        <v/>
      </c>
    </row>
    <row r="40" spans="1:21" x14ac:dyDescent="0.3">
      <c r="A40" s="1">
        <v>9</v>
      </c>
      <c r="B40" s="1" t="str">
        <f>IFERROR(IF(AND(ISNUMBER($A40),$A40&lt;='Tournament Setup'!$B$26),INDEX('Skeet Ind Concurrent Ranking'!$D:$D,MATCH($A40,'Skeet Ind Concurrent Ranking'!$N:$N,0)),""),"")</f>
        <v/>
      </c>
      <c r="C40" s="40" t="str">
        <f>IFERROR(IF(AND(ISNUMBER($A40),$A40&lt;='Tournament Setup'!$B$26),INDEX('Skeet Ind Concurrent Ranking'!$H:$H,MATCH($A40,'Skeet Ind Concurrent Ranking'!$N:$N,0)),""),"")</f>
        <v/>
      </c>
      <c r="D40" s="11" t="str">
        <f>IFERROR(IF(ISNUMBER($A40),INDEX('Skeet Ind Concurrent Ranking'!$D:$D,MATCH($A40,'Skeet Ind Concurrent Ranking'!$BL:$BL,0)),""),"")</f>
        <v/>
      </c>
      <c r="E40" s="40" t="str">
        <f>IFERROR(IF(ISNUMBER($A40),INDEX('Skeet Ind Concurrent Ranking'!$H:$H,MATCH($A40,'Skeet Ind Concurrent Ranking'!$BL:$BL,0)),""),"")</f>
        <v/>
      </c>
      <c r="F40" s="11" t="str">
        <f>IFERROR(IF(ISNUMBER($A40),INDEX('Skeet Ind Concurrent Ranking'!$D:$D,MATCH($A40,'Skeet Ind Concurrent Ranking'!$BB:$BB,0)),""),"")</f>
        <v>Paul Last Name16</v>
      </c>
      <c r="G40" s="40">
        <f>IFERROR(IF(ISNUMBER($A40),INDEX('Skeet Ind Concurrent Ranking'!$H:$H,MATCH($A40,'Skeet Ind Concurrent Ranking'!$BB:$BB,0)),""),"")</f>
        <v>42</v>
      </c>
      <c r="H40" s="11" t="str">
        <f>IFERROR(IF(ISNUMBER($A40),INDEX('Skeet Ind Concurrent Ranking'!$D:$D,MATCH($A40,'Skeet Ind Concurrent Ranking'!$AR:$AR,0)),""),"")</f>
        <v/>
      </c>
      <c r="I40" s="40" t="str">
        <f>IFERROR(IF(ISNUMBER($A40),INDEX('Skeet Ind Concurrent Ranking'!$H:$H,MATCH($A40,'Skeet Ind Concurrent Ranking'!$AR:$AR,0)),""),"")</f>
        <v/>
      </c>
      <c r="J40" s="11" t="str">
        <f>IFERROR(IF(ISNUMBER($A40),INDEX('Skeet Ind Concurrent Ranking'!$D:$D,MATCH($A40,'Skeet Ind Concurrent Ranking'!$AH:$AH,0)),""),"")</f>
        <v/>
      </c>
      <c r="K40" s="40" t="str">
        <f>IFERROR(IF(ISNUMBER($A40),INDEX('Skeet Ind Concurrent Ranking'!$H:$H,MATCH($A40,'Skeet Ind Concurrent Ranking'!$AH:$AH,0)),""),"")</f>
        <v/>
      </c>
      <c r="L40" s="11" t="str">
        <f>IFERROR(IF(ISNUMBER($A40),INDEX('Skeet Ind Concurrent Ranking'!$D:$D,MATCH($A40,'Skeet Ind Concurrent Ranking'!$X:$X,0)),""),"")</f>
        <v>Owen Last Name42</v>
      </c>
      <c r="M40" s="40">
        <f>IFERROR(IF(ISNUMBER($A40),INDEX('Skeet Ind Concurrent Ranking'!$H:$H,MATCH($A40,'Skeet Ind Concurrent Ranking'!$X:$X,0)),""),"")</f>
        <v>60</v>
      </c>
      <c r="N40" s="1">
        <v>34</v>
      </c>
      <c r="O40" s="11" t="str">
        <f>IFERROR(IF(ISNUMBER($N40),INDEX('Skeet Ind Concurrent Ranking'!$D:$D,MATCH($N40,'Skeet Ind Concurrent Ranking'!$L:$L,0)),""),"")</f>
        <v>Tom Last Name23</v>
      </c>
      <c r="P40" s="51">
        <f>IFERROR(IF(ISNUMBER($N40),INDEX('Skeet Ind Concurrent Ranking'!$H:$H,MATCH($N40,'Skeet Ind Concurrent Ranking'!$L:$L,0)),""),"")</f>
        <v>61</v>
      </c>
      <c r="Q40" s="40" t="str">
        <f>IFERROR(IF(ISNUMBER($N40),INDEX('Skeet Ind Concurrent Ranking'!$F:$F,MATCH($N40,'Skeet Ind Concurrent Ranking'!$L:$L,0)),""),"")</f>
        <v>Junior Varsity</v>
      </c>
      <c r="R40" s="1">
        <v>84</v>
      </c>
      <c r="S40" s="11" t="str">
        <f>IFERROR(IF(ISNUMBER($R40),INDEX('Skeet Ind Concurrent Ranking'!$D:$D,MATCH($R40,'Skeet Ind Concurrent Ranking'!$L:$L,0)),""),"")</f>
        <v/>
      </c>
      <c r="T40" s="51" t="str">
        <f>IFERROR(IF(ISNUMBER($R40),INDEX('Skeet Ind Concurrent Ranking'!$H:$H,MATCH($R40,'Skeet Ind Concurrent Ranking'!$L:$L,0)),""),"")</f>
        <v/>
      </c>
      <c r="U40" s="40" t="str">
        <f>IFERROR(IF(ISNUMBER($R40),INDEX('Skeet Ind Concurrent Ranking'!$F:$F,MATCH($R40,'Skeet Ind Concurrent Ranking'!$L:$L,0)),""),"")</f>
        <v/>
      </c>
    </row>
    <row r="41" spans="1:21" x14ac:dyDescent="0.3">
      <c r="A41" s="1">
        <v>10</v>
      </c>
      <c r="B41" s="1" t="str">
        <f>IFERROR(IF(AND(ISNUMBER($A41),$A41&lt;='Tournament Setup'!$B$26),INDEX('Skeet Ind Concurrent Ranking'!$D:$D,MATCH($A41,'Skeet Ind Concurrent Ranking'!$N:$N,0)),""),"")</f>
        <v/>
      </c>
      <c r="C41" s="40" t="str">
        <f>IFERROR(IF(AND(ISNUMBER($A41),$A41&lt;='Tournament Setup'!$B$26),INDEX('Skeet Ind Concurrent Ranking'!$H:$H,MATCH($A41,'Skeet Ind Concurrent Ranking'!$N:$N,0)),""),"")</f>
        <v/>
      </c>
      <c r="D41" s="11" t="str">
        <f>IFERROR(IF(ISNUMBER($A41),INDEX('Skeet Ind Concurrent Ranking'!$D:$D,MATCH($A41,'Skeet Ind Concurrent Ranking'!$BL:$BL,0)),""),"")</f>
        <v/>
      </c>
      <c r="E41" s="40" t="str">
        <f>IFERROR(IF(ISNUMBER($A41),INDEX('Skeet Ind Concurrent Ranking'!$H:$H,MATCH($A41,'Skeet Ind Concurrent Ranking'!$BL:$BL,0)),""),"")</f>
        <v/>
      </c>
      <c r="F41" s="11" t="str">
        <f>IFERROR(IF(ISNUMBER($A41),INDEX('Skeet Ind Concurrent Ranking'!$D:$D,MATCH($A41,'Skeet Ind Concurrent Ranking'!$BB:$BB,0)),""),"")</f>
        <v>Sam Last Name46</v>
      </c>
      <c r="G41" s="40">
        <f>IFERROR(IF(ISNUMBER($A41),INDEX('Skeet Ind Concurrent Ranking'!$H:$H,MATCH($A41,'Skeet Ind Concurrent Ranking'!$BB:$BB,0)),""),"")</f>
        <v>32</v>
      </c>
      <c r="H41" s="11" t="str">
        <f>IFERROR(IF(ISNUMBER($A41),INDEX('Skeet Ind Concurrent Ranking'!$D:$D,MATCH($A41,'Skeet Ind Concurrent Ranking'!$AR:$AR,0)),""),"")</f>
        <v/>
      </c>
      <c r="I41" s="40" t="str">
        <f>IFERROR(IF(ISNUMBER($A41),INDEX('Skeet Ind Concurrent Ranking'!$H:$H,MATCH($A41,'Skeet Ind Concurrent Ranking'!$AR:$AR,0)),""),"")</f>
        <v/>
      </c>
      <c r="J41" s="11" t="str">
        <f>IFERROR(IF(ISNUMBER($A41),INDEX('Skeet Ind Concurrent Ranking'!$D:$D,MATCH($A41,'Skeet Ind Concurrent Ranking'!$AH:$AH,0)),""),"")</f>
        <v/>
      </c>
      <c r="K41" s="40" t="str">
        <f>IFERROR(IF(ISNUMBER($A41),INDEX('Skeet Ind Concurrent Ranking'!$H:$H,MATCH($A41,'Skeet Ind Concurrent Ranking'!$AH:$AH,0)),""),"")</f>
        <v/>
      </c>
      <c r="L41" s="11" t="str">
        <f>IFERROR(IF(ISNUMBER($A41),INDEX('Skeet Ind Concurrent Ranking'!$D:$D,MATCH($A41,'Skeet Ind Concurrent Ranking'!$X:$X,0)),""),"")</f>
        <v>Dee Last Name45</v>
      </c>
      <c r="M41" s="40">
        <f>IFERROR(IF(ISNUMBER($A41),INDEX('Skeet Ind Concurrent Ranking'!$H:$H,MATCH($A41,'Skeet Ind Concurrent Ranking'!$X:$X,0)),""),"")</f>
        <v>54</v>
      </c>
      <c r="N41" s="1">
        <v>35</v>
      </c>
      <c r="O41" s="11" t="str">
        <f>IFERROR(IF(ISNUMBER($N41),INDEX('Skeet Ind Concurrent Ranking'!$D:$D,MATCH($N41,'Skeet Ind Concurrent Ranking'!$L:$L,0)),""),"")</f>
        <v>Joan Last Name17</v>
      </c>
      <c r="P41" s="51">
        <f>IFERROR(IF(ISNUMBER($N41),INDEX('Skeet Ind Concurrent Ranking'!$H:$H,MATCH($N41,'Skeet Ind Concurrent Ranking'!$L:$L,0)),""),"")</f>
        <v>60</v>
      </c>
      <c r="Q41" s="40" t="str">
        <f>IFERROR(IF(ISNUMBER($N41),INDEX('Skeet Ind Concurrent Ranking'!$F:$F,MATCH($N41,'Skeet Ind Concurrent Ranking'!$L:$L,0)),""),"")</f>
        <v>Novice</v>
      </c>
      <c r="R41" s="1">
        <v>85</v>
      </c>
      <c r="S41" s="11" t="str">
        <f>IFERROR(IF(ISNUMBER($R41),INDEX('Skeet Ind Concurrent Ranking'!$D:$D,MATCH($R41,'Skeet Ind Concurrent Ranking'!$L:$L,0)),""),"")</f>
        <v/>
      </c>
      <c r="T41" s="51" t="str">
        <f>IFERROR(IF(ISNUMBER($R41),INDEX('Skeet Ind Concurrent Ranking'!$H:$H,MATCH($R41,'Skeet Ind Concurrent Ranking'!$L:$L,0)),""),"")</f>
        <v/>
      </c>
      <c r="U41" s="40" t="str">
        <f>IFERROR(IF(ISNUMBER($R41),INDEX('Skeet Ind Concurrent Ranking'!$F:$F,MATCH($R41,'Skeet Ind Concurrent Ranking'!$L:$L,0)),""),"")</f>
        <v/>
      </c>
    </row>
    <row r="42" spans="1:21" x14ac:dyDescent="0.3">
      <c r="A42" s="1">
        <v>11</v>
      </c>
      <c r="B42" s="1" t="str">
        <f>IFERROR(IF(AND(ISNUMBER($A42),$A42&lt;='Tournament Setup'!$B$26),INDEX('Skeet Ind Concurrent Ranking'!$D:$D,MATCH($A42,'Skeet Ind Concurrent Ranking'!$N:$N,0)),""),"")</f>
        <v/>
      </c>
      <c r="C42" s="40" t="str">
        <f>IFERROR(IF(AND(ISNUMBER($A42),$A42&lt;='Tournament Setup'!$B$26),INDEX('Skeet Ind Concurrent Ranking'!$H:$H,MATCH($A42,'Skeet Ind Concurrent Ranking'!$N:$N,0)),""),"")</f>
        <v/>
      </c>
      <c r="D42" s="11" t="str">
        <f>IFERROR(IF(ISNUMBER($A42),INDEX('Skeet Ind Concurrent Ranking'!$D:$D,MATCH($A42,'Skeet Ind Concurrent Ranking'!$BL:$BL,0)),""),"")</f>
        <v/>
      </c>
      <c r="E42" s="40" t="str">
        <f>IFERROR(IF(ISNUMBER($A42),INDEX('Skeet Ind Concurrent Ranking'!$H:$H,MATCH($A42,'Skeet Ind Concurrent Ranking'!$BL:$BL,0)),""),"")</f>
        <v/>
      </c>
      <c r="F42" s="11" t="str">
        <f>IFERROR(IF(ISNUMBER($A42),INDEX('Skeet Ind Concurrent Ranking'!$D:$D,MATCH($A42,'Skeet Ind Concurrent Ranking'!$BB:$BB,0)),""),"")</f>
        <v/>
      </c>
      <c r="G42" s="40" t="str">
        <f>IFERROR(IF(ISNUMBER($A42),INDEX('Skeet Ind Concurrent Ranking'!$H:$H,MATCH($A42,'Skeet Ind Concurrent Ranking'!$BB:$BB,0)),""),"")</f>
        <v/>
      </c>
      <c r="H42" s="11" t="str">
        <f>IFERROR(IF(ISNUMBER($A42),INDEX('Skeet Ind Concurrent Ranking'!$D:$D,MATCH($A42,'Skeet Ind Concurrent Ranking'!$AR:$AR,0)),""),"")</f>
        <v/>
      </c>
      <c r="I42" s="40" t="str">
        <f>IFERROR(IF(ISNUMBER($A42),INDEX('Skeet Ind Concurrent Ranking'!$H:$H,MATCH($A42,'Skeet Ind Concurrent Ranking'!$AR:$AR,0)),""),"")</f>
        <v/>
      </c>
      <c r="J42" s="11" t="str">
        <f>IFERROR(IF(ISNUMBER($A42),INDEX('Skeet Ind Concurrent Ranking'!$D:$D,MATCH($A42,'Skeet Ind Concurrent Ranking'!$AH:$AH,0)),""),"")</f>
        <v/>
      </c>
      <c r="K42" s="40" t="str">
        <f>IFERROR(IF(ISNUMBER($A42),INDEX('Skeet Ind Concurrent Ranking'!$H:$H,MATCH($A42,'Skeet Ind Concurrent Ranking'!$AH:$AH,0)),""),"")</f>
        <v/>
      </c>
      <c r="L42" s="11" t="str">
        <f>IFERROR(IF(ISNUMBER($A42),INDEX('Skeet Ind Concurrent Ranking'!$D:$D,MATCH($A42,'Skeet Ind Concurrent Ranking'!$X:$X,0)),""),"")</f>
        <v>Ben Last Name6</v>
      </c>
      <c r="M42" s="40">
        <f>IFERROR(IF(ISNUMBER($A42),INDEX('Skeet Ind Concurrent Ranking'!$H:$H,MATCH($A42,'Skeet Ind Concurrent Ranking'!$X:$X,0)),""),"")</f>
        <v>51</v>
      </c>
      <c r="N42" s="1">
        <v>36</v>
      </c>
      <c r="O42" s="11" t="str">
        <f>IFERROR(IF(ISNUMBER($N42),INDEX('Skeet Ind Concurrent Ranking'!$D:$D,MATCH($N42,'Skeet Ind Concurrent Ranking'!$L:$L,0)),""),"")</f>
        <v>Owen Last Name42</v>
      </c>
      <c r="P42" s="51">
        <f>IFERROR(IF(ISNUMBER($N42),INDEX('Skeet Ind Concurrent Ranking'!$H:$H,MATCH($N42,'Skeet Ind Concurrent Ranking'!$L:$L,0)),""),"")</f>
        <v>60</v>
      </c>
      <c r="Q42" s="40" t="str">
        <f>IFERROR(IF(ISNUMBER($N42),INDEX('Skeet Ind Concurrent Ranking'!$F:$F,MATCH($N42,'Skeet Ind Concurrent Ranking'!$L:$L,0)),""),"")</f>
        <v>Novice</v>
      </c>
      <c r="R42" s="1">
        <v>86</v>
      </c>
      <c r="S42" s="11" t="str">
        <f>IFERROR(IF(ISNUMBER($R42),INDEX('Skeet Ind Concurrent Ranking'!$D:$D,MATCH($R42,'Skeet Ind Concurrent Ranking'!$L:$L,0)),""),"")</f>
        <v/>
      </c>
      <c r="T42" s="51" t="str">
        <f>IFERROR(IF(ISNUMBER($R42),INDEX('Skeet Ind Concurrent Ranking'!$H:$H,MATCH($R42,'Skeet Ind Concurrent Ranking'!$L:$L,0)),""),"")</f>
        <v/>
      </c>
      <c r="U42" s="40" t="str">
        <f>IFERROR(IF(ISNUMBER($R42),INDEX('Skeet Ind Concurrent Ranking'!$F:$F,MATCH($R42,'Skeet Ind Concurrent Ranking'!$L:$L,0)),""),"")</f>
        <v/>
      </c>
    </row>
    <row r="43" spans="1:21" x14ac:dyDescent="0.3">
      <c r="A43" s="1">
        <v>12</v>
      </c>
      <c r="B43" s="1" t="str">
        <f>IFERROR(IF(AND(ISNUMBER($A43),$A43&lt;='Tournament Setup'!$B$26),INDEX('Skeet Ind Concurrent Ranking'!$D:$D,MATCH($A43,'Skeet Ind Concurrent Ranking'!$N:$N,0)),""),"")</f>
        <v/>
      </c>
      <c r="C43" s="40" t="str">
        <f>IFERROR(IF(AND(ISNUMBER($A43),$A43&lt;='Tournament Setup'!$B$26),INDEX('Skeet Ind Concurrent Ranking'!$H:$H,MATCH($A43,'Skeet Ind Concurrent Ranking'!$N:$N,0)),""),"")</f>
        <v/>
      </c>
      <c r="D43" s="11" t="str">
        <f>IFERROR(IF(ISNUMBER($A43),INDEX('Skeet Ind Concurrent Ranking'!$D:$D,MATCH($A43,'Skeet Ind Concurrent Ranking'!$BL:$BL,0)),""),"")</f>
        <v/>
      </c>
      <c r="E43" s="40" t="str">
        <f>IFERROR(IF(ISNUMBER($A43),INDEX('Skeet Ind Concurrent Ranking'!$H:$H,MATCH($A43,'Skeet Ind Concurrent Ranking'!$BL:$BL,0)),""),"")</f>
        <v/>
      </c>
      <c r="F43" s="11" t="str">
        <f>IFERROR(IF(ISNUMBER($A43),INDEX('Skeet Ind Concurrent Ranking'!$D:$D,MATCH($A43,'Skeet Ind Concurrent Ranking'!$BB:$BB,0)),""),"")</f>
        <v/>
      </c>
      <c r="G43" s="40" t="str">
        <f>IFERROR(IF(ISNUMBER($A43),INDEX('Skeet Ind Concurrent Ranking'!$H:$H,MATCH($A43,'Skeet Ind Concurrent Ranking'!$BB:$BB,0)),""),"")</f>
        <v/>
      </c>
      <c r="H43" s="11" t="str">
        <f>IFERROR(IF(ISNUMBER($A43),INDEX('Skeet Ind Concurrent Ranking'!$D:$D,MATCH($A43,'Skeet Ind Concurrent Ranking'!$AR:$AR,0)),""),"")</f>
        <v/>
      </c>
      <c r="I43" s="40" t="str">
        <f>IFERROR(IF(ISNUMBER($A43),INDEX('Skeet Ind Concurrent Ranking'!$H:$H,MATCH($A43,'Skeet Ind Concurrent Ranking'!$AR:$AR,0)),""),"")</f>
        <v/>
      </c>
      <c r="J43" s="11" t="str">
        <f>IFERROR(IF(ISNUMBER($A43),INDEX('Skeet Ind Concurrent Ranking'!$D:$D,MATCH($A43,'Skeet Ind Concurrent Ranking'!$AH:$AH,0)),""),"")</f>
        <v/>
      </c>
      <c r="K43" s="40" t="str">
        <f>IFERROR(IF(ISNUMBER($A43),INDEX('Skeet Ind Concurrent Ranking'!$H:$H,MATCH($A43,'Skeet Ind Concurrent Ranking'!$AH:$AH,0)),""),"")</f>
        <v/>
      </c>
      <c r="L43" s="11" t="str">
        <f>IFERROR(IF(ISNUMBER($A43),INDEX('Skeet Ind Concurrent Ranking'!$D:$D,MATCH($A43,'Skeet Ind Concurrent Ranking'!$X:$X,0)),""),"")</f>
        <v>Jackson Last Name48</v>
      </c>
      <c r="M43" s="40">
        <f>IFERROR(IF(ISNUMBER($A43),INDEX('Skeet Ind Concurrent Ranking'!$H:$H,MATCH($A43,'Skeet Ind Concurrent Ranking'!$X:$X,0)),""),"")</f>
        <v>51</v>
      </c>
      <c r="N43" s="1">
        <v>37</v>
      </c>
      <c r="O43" s="11" t="str">
        <f>IFERROR(IF(ISNUMBER($N43),INDEX('Skeet Ind Concurrent Ranking'!$D:$D,MATCH($N43,'Skeet Ind Concurrent Ranking'!$L:$L,0)),""),"")</f>
        <v>Troy Last Name40</v>
      </c>
      <c r="P43" s="51">
        <f>IFERROR(IF(ISNUMBER($N43),INDEX('Skeet Ind Concurrent Ranking'!$H:$H,MATCH($N43,'Skeet Ind Concurrent Ranking'!$L:$L,0)),""),"")</f>
        <v>59</v>
      </c>
      <c r="Q43" s="40" t="str">
        <f>IFERROR(IF(ISNUMBER($N43),INDEX('Skeet Ind Concurrent Ranking'!$F:$F,MATCH($N43,'Skeet Ind Concurrent Ranking'!$L:$L,0)),""),"")</f>
        <v>Varsity</v>
      </c>
      <c r="R43" s="1">
        <v>87</v>
      </c>
      <c r="S43" s="11" t="str">
        <f>IFERROR(IF(ISNUMBER($R43),INDEX('Skeet Ind Concurrent Ranking'!$D:$D,MATCH($R43,'Skeet Ind Concurrent Ranking'!$L:$L,0)),""),"")</f>
        <v/>
      </c>
      <c r="T43" s="51" t="str">
        <f>IFERROR(IF(ISNUMBER($R43),INDEX('Skeet Ind Concurrent Ranking'!$H:$H,MATCH($R43,'Skeet Ind Concurrent Ranking'!$L:$L,0)),""),"")</f>
        <v/>
      </c>
      <c r="U43" s="40" t="str">
        <f>IFERROR(IF(ISNUMBER($R43),INDEX('Skeet Ind Concurrent Ranking'!$F:$F,MATCH($R43,'Skeet Ind Concurrent Ranking'!$L:$L,0)),""),"")</f>
        <v/>
      </c>
    </row>
    <row r="44" spans="1:21" x14ac:dyDescent="0.3">
      <c r="A44" s="1">
        <v>13</v>
      </c>
      <c r="B44" s="1" t="str">
        <f>IFERROR(IF(AND(ISNUMBER($A44),$A44&lt;='Tournament Setup'!$B$26),INDEX('Skeet Ind Concurrent Ranking'!$D:$D,MATCH($A44,'Skeet Ind Concurrent Ranking'!$N:$N,0)),""),"")</f>
        <v/>
      </c>
      <c r="C44" s="40" t="str">
        <f>IFERROR(IF(AND(ISNUMBER($A44),$A44&lt;='Tournament Setup'!$B$26),INDEX('Skeet Ind Concurrent Ranking'!$H:$H,MATCH($A44,'Skeet Ind Concurrent Ranking'!$N:$N,0)),""),"")</f>
        <v/>
      </c>
      <c r="D44" s="11" t="str">
        <f>IFERROR(IF(ISNUMBER($A44),INDEX('Skeet Ind Concurrent Ranking'!$D:$D,MATCH($A44,'Skeet Ind Concurrent Ranking'!$BL:$BL,0)),""),"")</f>
        <v/>
      </c>
      <c r="E44" s="40" t="str">
        <f>IFERROR(IF(ISNUMBER($A44),INDEX('Skeet Ind Concurrent Ranking'!$H:$H,MATCH($A44,'Skeet Ind Concurrent Ranking'!$BL:$BL,0)),""),"")</f>
        <v/>
      </c>
      <c r="F44" s="11" t="str">
        <f>IFERROR(IF(ISNUMBER($A44),INDEX('Skeet Ind Concurrent Ranking'!$D:$D,MATCH($A44,'Skeet Ind Concurrent Ranking'!$BB:$BB,0)),""),"")</f>
        <v/>
      </c>
      <c r="G44" s="40" t="str">
        <f>IFERROR(IF(ISNUMBER($A44),INDEX('Skeet Ind Concurrent Ranking'!$H:$H,MATCH($A44,'Skeet Ind Concurrent Ranking'!$BB:$BB,0)),""),"")</f>
        <v/>
      </c>
      <c r="H44" s="11" t="str">
        <f>IFERROR(IF(ISNUMBER($A44),INDEX('Skeet Ind Concurrent Ranking'!$D:$D,MATCH($A44,'Skeet Ind Concurrent Ranking'!$AR:$AR,0)),""),"")</f>
        <v/>
      </c>
      <c r="I44" s="40" t="str">
        <f>IFERROR(IF(ISNUMBER($A44),INDEX('Skeet Ind Concurrent Ranking'!$H:$H,MATCH($A44,'Skeet Ind Concurrent Ranking'!$AR:$AR,0)),""),"")</f>
        <v/>
      </c>
      <c r="J44" s="11" t="str">
        <f>IFERROR(IF(ISNUMBER($A44),INDEX('Skeet Ind Concurrent Ranking'!$D:$D,MATCH($A44,'Skeet Ind Concurrent Ranking'!$AH:$AH,0)),""),"")</f>
        <v/>
      </c>
      <c r="K44" s="40" t="str">
        <f>IFERROR(IF(ISNUMBER($A44),INDEX('Skeet Ind Concurrent Ranking'!$H:$H,MATCH($A44,'Skeet Ind Concurrent Ranking'!$AH:$AH,0)),""),"")</f>
        <v/>
      </c>
      <c r="L44" s="11" t="str">
        <f>IFERROR(IF(ISNUMBER($A44),INDEX('Skeet Ind Concurrent Ranking'!$D:$D,MATCH($A44,'Skeet Ind Concurrent Ranking'!$X:$X,0)),""),"")</f>
        <v/>
      </c>
      <c r="M44" s="40" t="str">
        <f>IFERROR(IF(ISNUMBER($A44),INDEX('Skeet Ind Concurrent Ranking'!$H:$H,MATCH($A44,'Skeet Ind Concurrent Ranking'!$X:$X,0)),""),"")</f>
        <v/>
      </c>
      <c r="N44" s="1">
        <v>38</v>
      </c>
      <c r="O44" s="11" t="str">
        <f>IFERROR(IF(ISNUMBER($N44),INDEX('Skeet Ind Concurrent Ranking'!$D:$D,MATCH($N44,'Skeet Ind Concurrent Ranking'!$L:$L,0)),""),"")</f>
        <v>Dee Last Name45</v>
      </c>
      <c r="P44" s="51">
        <f>IFERROR(IF(ISNUMBER($N44),INDEX('Skeet Ind Concurrent Ranking'!$H:$H,MATCH($N44,'Skeet Ind Concurrent Ranking'!$L:$L,0)),""),"")</f>
        <v>54</v>
      </c>
      <c r="Q44" s="40" t="str">
        <f>IFERROR(IF(ISNUMBER($N44),INDEX('Skeet Ind Concurrent Ranking'!$F:$F,MATCH($N44,'Skeet Ind Concurrent Ranking'!$L:$L,0)),""),"")</f>
        <v>Novice</v>
      </c>
      <c r="R44" s="1">
        <v>88</v>
      </c>
      <c r="S44" s="11" t="str">
        <f>IFERROR(IF(ISNUMBER($R44),INDEX('Skeet Ind Concurrent Ranking'!$D:$D,MATCH($R44,'Skeet Ind Concurrent Ranking'!$L:$L,0)),""),"")</f>
        <v/>
      </c>
      <c r="T44" s="51" t="str">
        <f>IFERROR(IF(ISNUMBER($R44),INDEX('Skeet Ind Concurrent Ranking'!$H:$H,MATCH($R44,'Skeet Ind Concurrent Ranking'!$L:$L,0)),""),"")</f>
        <v/>
      </c>
      <c r="U44" s="40" t="str">
        <f>IFERROR(IF(ISNUMBER($R44),INDEX('Skeet Ind Concurrent Ranking'!$F:$F,MATCH($R44,'Skeet Ind Concurrent Ranking'!$L:$L,0)),""),"")</f>
        <v/>
      </c>
    </row>
    <row r="45" spans="1:21" x14ac:dyDescent="0.3">
      <c r="A45" s="1">
        <v>14</v>
      </c>
      <c r="B45" s="1" t="str">
        <f>IFERROR(IF(AND(ISNUMBER($A45),$A45&lt;='Tournament Setup'!$B$26),INDEX('Skeet Ind Concurrent Ranking'!$D:$D,MATCH($A45,'Skeet Ind Concurrent Ranking'!$N:$N,0)),""),"")</f>
        <v/>
      </c>
      <c r="C45" s="40" t="str">
        <f>IFERROR(IF(AND(ISNUMBER($A45),$A45&lt;='Tournament Setup'!$B$26),INDEX('Skeet Ind Concurrent Ranking'!$H:$H,MATCH($A45,'Skeet Ind Concurrent Ranking'!$N:$N,0)),""),"")</f>
        <v/>
      </c>
      <c r="D45" s="11" t="str">
        <f>IFERROR(IF(ISNUMBER($A45),INDEX('Skeet Ind Concurrent Ranking'!$D:$D,MATCH($A45,'Skeet Ind Concurrent Ranking'!$BL:$BL,0)),""),"")</f>
        <v/>
      </c>
      <c r="E45" s="40" t="str">
        <f>IFERROR(IF(ISNUMBER($A45),INDEX('Skeet Ind Concurrent Ranking'!$H:$H,MATCH($A45,'Skeet Ind Concurrent Ranking'!$BL:$BL,0)),""),"")</f>
        <v/>
      </c>
      <c r="F45" s="11" t="str">
        <f>IFERROR(IF(ISNUMBER($A45),INDEX('Skeet Ind Concurrent Ranking'!$D:$D,MATCH($A45,'Skeet Ind Concurrent Ranking'!$BB:$BB,0)),""),"")</f>
        <v/>
      </c>
      <c r="G45" s="40" t="str">
        <f>IFERROR(IF(ISNUMBER($A45),INDEX('Skeet Ind Concurrent Ranking'!$H:$H,MATCH($A45,'Skeet Ind Concurrent Ranking'!$BB:$BB,0)),""),"")</f>
        <v/>
      </c>
      <c r="H45" s="11" t="str">
        <f>IFERROR(IF(ISNUMBER($A45),INDEX('Skeet Ind Concurrent Ranking'!$D:$D,MATCH($A45,'Skeet Ind Concurrent Ranking'!$AR:$AR,0)),""),"")</f>
        <v/>
      </c>
      <c r="I45" s="40" t="str">
        <f>IFERROR(IF(ISNUMBER($A45),INDEX('Skeet Ind Concurrent Ranking'!$H:$H,MATCH($A45,'Skeet Ind Concurrent Ranking'!$AR:$AR,0)),""),"")</f>
        <v/>
      </c>
      <c r="J45" s="11" t="str">
        <f>IFERROR(IF(ISNUMBER($A45),INDEX('Skeet Ind Concurrent Ranking'!$D:$D,MATCH($A45,'Skeet Ind Concurrent Ranking'!$AH:$AH,0)),""),"")</f>
        <v/>
      </c>
      <c r="K45" s="40" t="str">
        <f>IFERROR(IF(ISNUMBER($A45),INDEX('Skeet Ind Concurrent Ranking'!$H:$H,MATCH($A45,'Skeet Ind Concurrent Ranking'!$AH:$AH,0)),""),"")</f>
        <v/>
      </c>
      <c r="L45" s="11" t="str">
        <f>IFERROR(IF(ISNUMBER($A45),INDEX('Skeet Ind Concurrent Ranking'!$D:$D,MATCH($A45,'Skeet Ind Concurrent Ranking'!$X:$X,0)),""),"")</f>
        <v/>
      </c>
      <c r="M45" s="40" t="str">
        <f>IFERROR(IF(ISNUMBER($A45),INDEX('Skeet Ind Concurrent Ranking'!$H:$H,MATCH($A45,'Skeet Ind Concurrent Ranking'!$X:$X,0)),""),"")</f>
        <v/>
      </c>
      <c r="N45" s="1">
        <v>39</v>
      </c>
      <c r="O45" s="11" t="str">
        <f>IFERROR(IF(ISNUMBER($N45),INDEX('Skeet Ind Concurrent Ranking'!$D:$D,MATCH($N45,'Skeet Ind Concurrent Ranking'!$L:$L,0)),""),"")</f>
        <v>Ben Last Name6</v>
      </c>
      <c r="P45" s="51">
        <f>IFERROR(IF(ISNUMBER($N45),INDEX('Skeet Ind Concurrent Ranking'!$H:$H,MATCH($N45,'Skeet Ind Concurrent Ranking'!$L:$L,0)),""),"")</f>
        <v>51</v>
      </c>
      <c r="Q45" s="40" t="str">
        <f>IFERROR(IF(ISNUMBER($N45),INDEX('Skeet Ind Concurrent Ranking'!$F:$F,MATCH($N45,'Skeet Ind Concurrent Ranking'!$L:$L,0)),""),"")</f>
        <v>Novice</v>
      </c>
      <c r="R45" s="1">
        <v>89</v>
      </c>
      <c r="S45" s="11" t="str">
        <f>IFERROR(IF(ISNUMBER($R45),INDEX('Skeet Ind Concurrent Ranking'!$D:$D,MATCH($R45,'Skeet Ind Concurrent Ranking'!$L:$L,0)),""),"")</f>
        <v/>
      </c>
      <c r="T45" s="51" t="str">
        <f>IFERROR(IF(ISNUMBER($R45),INDEX('Skeet Ind Concurrent Ranking'!$H:$H,MATCH($R45,'Skeet Ind Concurrent Ranking'!$L:$L,0)),""),"")</f>
        <v/>
      </c>
      <c r="U45" s="40" t="str">
        <f>IFERROR(IF(ISNUMBER($R45),INDEX('Skeet Ind Concurrent Ranking'!$F:$F,MATCH($R45,'Skeet Ind Concurrent Ranking'!$L:$L,0)),""),"")</f>
        <v/>
      </c>
    </row>
    <row r="46" spans="1:21" x14ac:dyDescent="0.3">
      <c r="A46" s="1">
        <v>15</v>
      </c>
      <c r="B46" s="1" t="str">
        <f>IFERROR(IF(AND(ISNUMBER($A46),$A46&lt;='Tournament Setup'!$B$26),INDEX('Skeet Ind Concurrent Ranking'!$D:$D,MATCH($A46,'Skeet Ind Concurrent Ranking'!$N:$N,0)),""),"")</f>
        <v/>
      </c>
      <c r="C46" s="40" t="str">
        <f>IFERROR(IF(AND(ISNUMBER($A46),$A46&lt;='Tournament Setup'!$B$26),INDEX('Skeet Ind Concurrent Ranking'!$H:$H,MATCH($A46,'Skeet Ind Concurrent Ranking'!$N:$N,0)),""),"")</f>
        <v/>
      </c>
      <c r="D46" s="11" t="str">
        <f>IFERROR(IF(ISNUMBER($A46),INDEX('Skeet Ind Concurrent Ranking'!$D:$D,MATCH($A46,'Skeet Ind Concurrent Ranking'!$BL:$BL,0)),""),"")</f>
        <v/>
      </c>
      <c r="E46" s="40" t="str">
        <f>IFERROR(IF(ISNUMBER($A46),INDEX('Skeet Ind Concurrent Ranking'!$H:$H,MATCH($A46,'Skeet Ind Concurrent Ranking'!$BL:$BL,0)),""),"")</f>
        <v/>
      </c>
      <c r="F46" s="11" t="str">
        <f>IFERROR(IF(ISNUMBER($A46),INDEX('Skeet Ind Concurrent Ranking'!$D:$D,MATCH($A46,'Skeet Ind Concurrent Ranking'!$BB:$BB,0)),""),"")</f>
        <v/>
      </c>
      <c r="G46" s="40" t="str">
        <f>IFERROR(IF(ISNUMBER($A46),INDEX('Skeet Ind Concurrent Ranking'!$H:$H,MATCH($A46,'Skeet Ind Concurrent Ranking'!$BB:$BB,0)),""),"")</f>
        <v/>
      </c>
      <c r="H46" s="11" t="str">
        <f>IFERROR(IF(ISNUMBER($A46),INDEX('Skeet Ind Concurrent Ranking'!$D:$D,MATCH($A46,'Skeet Ind Concurrent Ranking'!$AR:$AR,0)),""),"")</f>
        <v/>
      </c>
      <c r="I46" s="40" t="str">
        <f>IFERROR(IF(ISNUMBER($A46),INDEX('Skeet Ind Concurrent Ranking'!$H:$H,MATCH($A46,'Skeet Ind Concurrent Ranking'!$AR:$AR,0)),""),"")</f>
        <v/>
      </c>
      <c r="J46" s="11" t="str">
        <f>IFERROR(IF(ISNUMBER($A46),INDEX('Skeet Ind Concurrent Ranking'!$D:$D,MATCH($A46,'Skeet Ind Concurrent Ranking'!$AH:$AH,0)),""),"")</f>
        <v/>
      </c>
      <c r="K46" s="40" t="str">
        <f>IFERROR(IF(ISNUMBER($A46),INDEX('Skeet Ind Concurrent Ranking'!$H:$H,MATCH($A46,'Skeet Ind Concurrent Ranking'!$AH:$AH,0)),""),"")</f>
        <v/>
      </c>
      <c r="L46" s="11" t="str">
        <f>IFERROR(IF(ISNUMBER($A46),INDEX('Skeet Ind Concurrent Ranking'!$D:$D,MATCH($A46,'Skeet Ind Concurrent Ranking'!$X:$X,0)),""),"")</f>
        <v/>
      </c>
      <c r="M46" s="40" t="str">
        <f>IFERROR(IF(ISNUMBER($A46),INDEX('Skeet Ind Concurrent Ranking'!$H:$H,MATCH($A46,'Skeet Ind Concurrent Ranking'!$X:$X,0)),""),"")</f>
        <v/>
      </c>
      <c r="N46" s="1">
        <v>40</v>
      </c>
      <c r="O46" s="11" t="str">
        <f>IFERROR(IF(ISNUMBER($N46),INDEX('Skeet Ind Concurrent Ranking'!$D:$D,MATCH($N46,'Skeet Ind Concurrent Ranking'!$L:$L,0)),""),"")</f>
        <v>Judy Last Name30</v>
      </c>
      <c r="P46" s="51">
        <f>IFERROR(IF(ISNUMBER($N46),INDEX('Skeet Ind Concurrent Ranking'!$H:$H,MATCH($N46,'Skeet Ind Concurrent Ranking'!$L:$L,0)),""),"")</f>
        <v>51</v>
      </c>
      <c r="Q46" s="40" t="str">
        <f>IFERROR(IF(ISNUMBER($N46),INDEX('Skeet Ind Concurrent Ranking'!$F:$F,MATCH($N46,'Skeet Ind Concurrent Ranking'!$L:$L,0)),""),"")</f>
        <v>Collegiate</v>
      </c>
      <c r="R46" s="1">
        <v>90</v>
      </c>
      <c r="S46" s="11" t="str">
        <f>IFERROR(IF(ISNUMBER($R46),INDEX('Skeet Ind Concurrent Ranking'!$D:$D,MATCH($R46,'Skeet Ind Concurrent Ranking'!$L:$L,0)),""),"")</f>
        <v/>
      </c>
      <c r="T46" s="51" t="str">
        <f>IFERROR(IF(ISNUMBER($R46),INDEX('Skeet Ind Concurrent Ranking'!$H:$H,MATCH($R46,'Skeet Ind Concurrent Ranking'!$L:$L,0)),""),"")</f>
        <v/>
      </c>
      <c r="U46" s="40" t="str">
        <f>IFERROR(IF(ISNUMBER($R46),INDEX('Skeet Ind Concurrent Ranking'!$F:$F,MATCH($R46,'Skeet Ind Concurrent Ranking'!$L:$L,0)),""),"")</f>
        <v/>
      </c>
    </row>
    <row r="47" spans="1:21" x14ac:dyDescent="0.3">
      <c r="A47" s="1">
        <v>16</v>
      </c>
      <c r="B47" s="1" t="str">
        <f>IFERROR(IF(AND(ISNUMBER($A47),$A47&lt;='Tournament Setup'!$B$26),INDEX('Skeet Ind Concurrent Ranking'!$D:$D,MATCH($A47,'Skeet Ind Concurrent Ranking'!$N:$N,0)),""),"")</f>
        <v/>
      </c>
      <c r="C47" s="40" t="str">
        <f>IFERROR(IF(AND(ISNUMBER($A47),$A47&lt;='Tournament Setup'!$B$26),INDEX('Skeet Ind Concurrent Ranking'!$H:$H,MATCH($A47,'Skeet Ind Concurrent Ranking'!$N:$N,0)),""),"")</f>
        <v/>
      </c>
      <c r="D47" s="11" t="str">
        <f>IFERROR(IF(ISNUMBER($A47),INDEX('Skeet Ind Concurrent Ranking'!$D:$D,MATCH($A47,'Skeet Ind Concurrent Ranking'!$BL:$BL,0)),""),"")</f>
        <v/>
      </c>
      <c r="E47" s="40" t="str">
        <f>IFERROR(IF(ISNUMBER($A47),INDEX('Skeet Ind Concurrent Ranking'!$H:$H,MATCH($A47,'Skeet Ind Concurrent Ranking'!$BL:$BL,0)),""),"")</f>
        <v/>
      </c>
      <c r="F47" s="11" t="str">
        <f>IFERROR(IF(ISNUMBER($A47),INDEX('Skeet Ind Concurrent Ranking'!$D:$D,MATCH($A47,'Skeet Ind Concurrent Ranking'!$BB:$BB,0)),""),"")</f>
        <v/>
      </c>
      <c r="G47" s="40" t="str">
        <f>IFERROR(IF(ISNUMBER($A47),INDEX('Skeet Ind Concurrent Ranking'!$H:$H,MATCH($A47,'Skeet Ind Concurrent Ranking'!$BB:$BB,0)),""),"")</f>
        <v/>
      </c>
      <c r="H47" s="11" t="str">
        <f>IFERROR(IF(ISNUMBER($A47),INDEX('Skeet Ind Concurrent Ranking'!$D:$D,MATCH($A47,'Skeet Ind Concurrent Ranking'!$AR:$AR,0)),""),"")</f>
        <v/>
      </c>
      <c r="I47" s="40" t="str">
        <f>IFERROR(IF(ISNUMBER($A47),INDEX('Skeet Ind Concurrent Ranking'!$H:$H,MATCH($A47,'Skeet Ind Concurrent Ranking'!$AR:$AR,0)),""),"")</f>
        <v/>
      </c>
      <c r="J47" s="11" t="str">
        <f>IFERROR(IF(ISNUMBER($A47),INDEX('Skeet Ind Concurrent Ranking'!$D:$D,MATCH($A47,'Skeet Ind Concurrent Ranking'!$AH:$AH,0)),""),"")</f>
        <v/>
      </c>
      <c r="K47" s="40" t="str">
        <f>IFERROR(IF(ISNUMBER($A47),INDEX('Skeet Ind Concurrent Ranking'!$H:$H,MATCH($A47,'Skeet Ind Concurrent Ranking'!$AH:$AH,0)),""),"")</f>
        <v/>
      </c>
      <c r="L47" s="11" t="str">
        <f>IFERROR(IF(ISNUMBER($A47),INDEX('Skeet Ind Concurrent Ranking'!$D:$D,MATCH($A47,'Skeet Ind Concurrent Ranking'!$X:$X,0)),""),"")</f>
        <v/>
      </c>
      <c r="M47" s="40" t="str">
        <f>IFERROR(IF(ISNUMBER($A47),INDEX('Skeet Ind Concurrent Ranking'!$H:$H,MATCH($A47,'Skeet Ind Concurrent Ranking'!$X:$X,0)),""),"")</f>
        <v/>
      </c>
      <c r="N47" s="1">
        <v>41</v>
      </c>
      <c r="O47" s="11" t="str">
        <f>IFERROR(IF(ISNUMBER($N47),INDEX('Skeet Ind Concurrent Ranking'!$D:$D,MATCH($N47,'Skeet Ind Concurrent Ranking'!$L:$L,0)),""),"")</f>
        <v>Jackson Last Name48</v>
      </c>
      <c r="P47" s="51">
        <f>IFERROR(IF(ISNUMBER($N47),INDEX('Skeet Ind Concurrent Ranking'!$H:$H,MATCH($N47,'Skeet Ind Concurrent Ranking'!$L:$L,0)),""),"")</f>
        <v>51</v>
      </c>
      <c r="Q47" s="40" t="str">
        <f>IFERROR(IF(ISNUMBER($N47),INDEX('Skeet Ind Concurrent Ranking'!$F:$F,MATCH($N47,'Skeet Ind Concurrent Ranking'!$L:$L,0)),""),"")</f>
        <v>Novice</v>
      </c>
      <c r="R47" s="1">
        <v>91</v>
      </c>
      <c r="S47" s="11" t="str">
        <f>IFERROR(IF(ISNUMBER($R47),INDEX('Skeet Ind Concurrent Ranking'!$D:$D,MATCH($R47,'Skeet Ind Concurrent Ranking'!$L:$L,0)),""),"")</f>
        <v/>
      </c>
      <c r="T47" s="51" t="str">
        <f>IFERROR(IF(ISNUMBER($R47),INDEX('Skeet Ind Concurrent Ranking'!$H:$H,MATCH($R47,'Skeet Ind Concurrent Ranking'!$L:$L,0)),""),"")</f>
        <v/>
      </c>
      <c r="U47" s="40" t="str">
        <f>IFERROR(IF(ISNUMBER($R47),INDEX('Skeet Ind Concurrent Ranking'!$F:$F,MATCH($R47,'Skeet Ind Concurrent Ranking'!$L:$L,0)),""),"")</f>
        <v/>
      </c>
    </row>
    <row r="48" spans="1:21" x14ac:dyDescent="0.3">
      <c r="A48" s="1">
        <v>17</v>
      </c>
      <c r="B48" s="1" t="str">
        <f>IFERROR(IF(AND(ISNUMBER($A48),$A48&lt;='Tournament Setup'!$B$26),INDEX('Skeet Ind Concurrent Ranking'!$D:$D,MATCH($A48,'Skeet Ind Concurrent Ranking'!$N:$N,0)),""),"")</f>
        <v/>
      </c>
      <c r="C48" s="40" t="str">
        <f>IFERROR(IF(AND(ISNUMBER($A48),$A48&lt;='Tournament Setup'!$B$26),INDEX('Skeet Ind Concurrent Ranking'!$H:$H,MATCH($A48,'Skeet Ind Concurrent Ranking'!$N:$N,0)),""),"")</f>
        <v/>
      </c>
      <c r="D48" s="11" t="str">
        <f>IFERROR(IF(ISNUMBER($A48),INDEX('Skeet Ind Concurrent Ranking'!$D:$D,MATCH($A48,'Skeet Ind Concurrent Ranking'!$BL:$BL,0)),""),"")</f>
        <v/>
      </c>
      <c r="E48" s="40" t="str">
        <f>IFERROR(IF(ISNUMBER($A48),INDEX('Skeet Ind Concurrent Ranking'!$H:$H,MATCH($A48,'Skeet Ind Concurrent Ranking'!$BL:$BL,0)),""),"")</f>
        <v/>
      </c>
      <c r="F48" s="11" t="str">
        <f>IFERROR(IF(ISNUMBER($A48),INDEX('Skeet Ind Concurrent Ranking'!$D:$D,MATCH($A48,'Skeet Ind Concurrent Ranking'!$BB:$BB,0)),""),"")</f>
        <v/>
      </c>
      <c r="G48" s="40" t="str">
        <f>IFERROR(IF(ISNUMBER($A48),INDEX('Skeet Ind Concurrent Ranking'!$H:$H,MATCH($A48,'Skeet Ind Concurrent Ranking'!$BB:$BB,0)),""),"")</f>
        <v/>
      </c>
      <c r="H48" s="11" t="str">
        <f>IFERROR(IF(ISNUMBER($A48),INDEX('Skeet Ind Concurrent Ranking'!$D:$D,MATCH($A48,'Skeet Ind Concurrent Ranking'!$AR:$AR,0)),""),"")</f>
        <v/>
      </c>
      <c r="I48" s="40" t="str">
        <f>IFERROR(IF(ISNUMBER($A48),INDEX('Skeet Ind Concurrent Ranking'!$H:$H,MATCH($A48,'Skeet Ind Concurrent Ranking'!$AR:$AR,0)),""),"")</f>
        <v/>
      </c>
      <c r="J48" s="11" t="str">
        <f>IFERROR(IF(ISNUMBER($A48),INDEX('Skeet Ind Concurrent Ranking'!$D:$D,MATCH($A48,'Skeet Ind Concurrent Ranking'!$AH:$AH,0)),""),"")</f>
        <v/>
      </c>
      <c r="K48" s="40" t="str">
        <f>IFERROR(IF(ISNUMBER($A48),INDEX('Skeet Ind Concurrent Ranking'!$H:$H,MATCH($A48,'Skeet Ind Concurrent Ranking'!$AH:$AH,0)),""),"")</f>
        <v/>
      </c>
      <c r="L48" s="11" t="str">
        <f>IFERROR(IF(ISNUMBER($A48),INDEX('Skeet Ind Concurrent Ranking'!$D:$D,MATCH($A48,'Skeet Ind Concurrent Ranking'!$X:$X,0)),""),"")</f>
        <v/>
      </c>
      <c r="M48" s="40" t="str">
        <f>IFERROR(IF(ISNUMBER($A48),INDEX('Skeet Ind Concurrent Ranking'!$H:$H,MATCH($A48,'Skeet Ind Concurrent Ranking'!$X:$X,0)),""),"")</f>
        <v/>
      </c>
      <c r="N48" s="1">
        <v>42</v>
      </c>
      <c r="O48" s="11" t="str">
        <f>IFERROR(IF(ISNUMBER($N48),INDEX('Skeet Ind Concurrent Ranking'!$D:$D,MATCH($N48,'Skeet Ind Concurrent Ranking'!$L:$L,0)),""),"")</f>
        <v>Bob Last Name12</v>
      </c>
      <c r="P48" s="51">
        <f>IFERROR(IF(ISNUMBER($N48),INDEX('Skeet Ind Concurrent Ranking'!$H:$H,MATCH($N48,'Skeet Ind Concurrent Ranking'!$L:$L,0)),""),"")</f>
        <v>48</v>
      </c>
      <c r="Q48" s="40" t="str">
        <f>IFERROR(IF(ISNUMBER($N48),INDEX('Skeet Ind Concurrent Ranking'!$F:$F,MATCH($N48,'Skeet Ind Concurrent Ranking'!$L:$L,0)),""),"")</f>
        <v>Collegiate</v>
      </c>
      <c r="R48" s="1">
        <v>92</v>
      </c>
      <c r="S48" s="11" t="str">
        <f>IFERROR(IF(ISNUMBER($R48),INDEX('Skeet Ind Concurrent Ranking'!$D:$D,MATCH($R48,'Skeet Ind Concurrent Ranking'!$L:$L,0)),""),"")</f>
        <v/>
      </c>
      <c r="T48" s="51" t="str">
        <f>IFERROR(IF(ISNUMBER($R48),INDEX('Skeet Ind Concurrent Ranking'!$H:$H,MATCH($R48,'Skeet Ind Concurrent Ranking'!$L:$L,0)),""),"")</f>
        <v/>
      </c>
      <c r="U48" s="40" t="str">
        <f>IFERROR(IF(ISNUMBER($R48),INDEX('Skeet Ind Concurrent Ranking'!$F:$F,MATCH($R48,'Skeet Ind Concurrent Ranking'!$L:$L,0)),""),"")</f>
        <v/>
      </c>
    </row>
    <row r="49" spans="1:21" x14ac:dyDescent="0.3">
      <c r="A49" s="1">
        <v>18</v>
      </c>
      <c r="B49" s="1" t="str">
        <f>IFERROR(IF(AND(ISNUMBER($A49),$A49&lt;='Tournament Setup'!$B$26),INDEX('Skeet Ind Concurrent Ranking'!$D:$D,MATCH($A49,'Skeet Ind Concurrent Ranking'!$N:$N,0)),""),"")</f>
        <v/>
      </c>
      <c r="C49" s="40" t="str">
        <f>IFERROR(IF(AND(ISNUMBER($A49),$A49&lt;='Tournament Setup'!$B$26),INDEX('Skeet Ind Concurrent Ranking'!$H:$H,MATCH($A49,'Skeet Ind Concurrent Ranking'!$N:$N,0)),""),"")</f>
        <v/>
      </c>
      <c r="D49" s="11" t="str">
        <f>IFERROR(IF(ISNUMBER($A49),INDEX('Skeet Ind Concurrent Ranking'!$D:$D,MATCH($A49,'Skeet Ind Concurrent Ranking'!$BL:$BL,0)),""),"")</f>
        <v/>
      </c>
      <c r="E49" s="40" t="str">
        <f>IFERROR(IF(ISNUMBER($A49),INDEX('Skeet Ind Concurrent Ranking'!$H:$H,MATCH($A49,'Skeet Ind Concurrent Ranking'!$BL:$BL,0)),""),"")</f>
        <v/>
      </c>
      <c r="F49" s="11" t="str">
        <f>IFERROR(IF(ISNUMBER($A49),INDEX('Skeet Ind Concurrent Ranking'!$D:$D,MATCH($A49,'Skeet Ind Concurrent Ranking'!$BB:$BB,0)),""),"")</f>
        <v/>
      </c>
      <c r="G49" s="40" t="str">
        <f>IFERROR(IF(ISNUMBER($A49),INDEX('Skeet Ind Concurrent Ranking'!$H:$H,MATCH($A49,'Skeet Ind Concurrent Ranking'!$BB:$BB,0)),""),"")</f>
        <v/>
      </c>
      <c r="H49" s="11" t="str">
        <f>IFERROR(IF(ISNUMBER($A49),INDEX('Skeet Ind Concurrent Ranking'!$D:$D,MATCH($A49,'Skeet Ind Concurrent Ranking'!$AR:$AR,0)),""),"")</f>
        <v/>
      </c>
      <c r="I49" s="40" t="str">
        <f>IFERROR(IF(ISNUMBER($A49),INDEX('Skeet Ind Concurrent Ranking'!$H:$H,MATCH($A49,'Skeet Ind Concurrent Ranking'!$AR:$AR,0)),""),"")</f>
        <v/>
      </c>
      <c r="J49" s="11" t="str">
        <f>IFERROR(IF(ISNUMBER($A49),INDEX('Skeet Ind Concurrent Ranking'!$D:$D,MATCH($A49,'Skeet Ind Concurrent Ranking'!$AH:$AH,0)),""),"")</f>
        <v/>
      </c>
      <c r="K49" s="40" t="str">
        <f>IFERROR(IF(ISNUMBER($A49),INDEX('Skeet Ind Concurrent Ranking'!$H:$H,MATCH($A49,'Skeet Ind Concurrent Ranking'!$AH:$AH,0)),""),"")</f>
        <v/>
      </c>
      <c r="L49" s="11" t="str">
        <f>IFERROR(IF(ISNUMBER($A49),INDEX('Skeet Ind Concurrent Ranking'!$D:$D,MATCH($A49,'Skeet Ind Concurrent Ranking'!$X:$X,0)),""),"")</f>
        <v/>
      </c>
      <c r="M49" s="40" t="str">
        <f>IFERROR(IF(ISNUMBER($A49),INDEX('Skeet Ind Concurrent Ranking'!$H:$H,MATCH($A49,'Skeet Ind Concurrent Ranking'!$X:$X,0)),""),"")</f>
        <v/>
      </c>
      <c r="N49" s="1">
        <v>43</v>
      </c>
      <c r="O49" s="11" t="str">
        <f>IFERROR(IF(ISNUMBER($N49),INDEX('Skeet Ind Concurrent Ranking'!$D:$D,MATCH($N49,'Skeet Ind Concurrent Ranking'!$L:$L,0)),""),"")</f>
        <v>Becky Last Name27</v>
      </c>
      <c r="P49" s="51">
        <f>IFERROR(IF(ISNUMBER($N49),INDEX('Skeet Ind Concurrent Ranking'!$H:$H,MATCH($N49,'Skeet Ind Concurrent Ranking'!$L:$L,0)),""),"")</f>
        <v>45</v>
      </c>
      <c r="Q49" s="40" t="str">
        <f>IFERROR(IF(ISNUMBER($N49),INDEX('Skeet Ind Concurrent Ranking'!$F:$F,MATCH($N49,'Skeet Ind Concurrent Ranking'!$L:$L,0)),""),"")</f>
        <v>Collegiate</v>
      </c>
      <c r="R49" s="1">
        <v>93</v>
      </c>
      <c r="S49" s="11" t="str">
        <f>IFERROR(IF(ISNUMBER($R49),INDEX('Skeet Ind Concurrent Ranking'!$D:$D,MATCH($R49,'Skeet Ind Concurrent Ranking'!$L:$L,0)),""),"")</f>
        <v/>
      </c>
      <c r="T49" s="51" t="str">
        <f>IFERROR(IF(ISNUMBER($R49),INDEX('Skeet Ind Concurrent Ranking'!$H:$H,MATCH($R49,'Skeet Ind Concurrent Ranking'!$L:$L,0)),""),"")</f>
        <v/>
      </c>
      <c r="U49" s="40" t="str">
        <f>IFERROR(IF(ISNUMBER($R49),INDEX('Skeet Ind Concurrent Ranking'!$F:$F,MATCH($R49,'Skeet Ind Concurrent Ranking'!$L:$L,0)),""),"")</f>
        <v/>
      </c>
    </row>
    <row r="50" spans="1:21" x14ac:dyDescent="0.3">
      <c r="A50" s="1">
        <v>19</v>
      </c>
      <c r="B50" s="1" t="str">
        <f>IFERROR(IF(AND(ISNUMBER($A50),$A50&lt;='Tournament Setup'!$B$26),INDEX('Skeet Ind Concurrent Ranking'!$D:$D,MATCH($A50,'Skeet Ind Concurrent Ranking'!$N:$N,0)),""),"")</f>
        <v/>
      </c>
      <c r="C50" s="40" t="str">
        <f>IFERROR(IF(AND(ISNUMBER($A50),$A50&lt;='Tournament Setup'!$B$26),INDEX('Skeet Ind Concurrent Ranking'!$H:$H,MATCH($A50,'Skeet Ind Concurrent Ranking'!$N:$N,0)),""),"")</f>
        <v/>
      </c>
      <c r="D50" s="11" t="str">
        <f>IFERROR(IF(ISNUMBER($A50),INDEX('Skeet Ind Concurrent Ranking'!$D:$D,MATCH($A50,'Skeet Ind Concurrent Ranking'!$BL:$BL,0)),""),"")</f>
        <v/>
      </c>
      <c r="E50" s="40" t="str">
        <f>IFERROR(IF(ISNUMBER($A50),INDEX('Skeet Ind Concurrent Ranking'!$H:$H,MATCH($A50,'Skeet Ind Concurrent Ranking'!$BL:$BL,0)),""),"")</f>
        <v/>
      </c>
      <c r="F50" s="11" t="str">
        <f>IFERROR(IF(ISNUMBER($A50),INDEX('Skeet Ind Concurrent Ranking'!$D:$D,MATCH($A50,'Skeet Ind Concurrent Ranking'!$BB:$BB,0)),""),"")</f>
        <v/>
      </c>
      <c r="G50" s="40" t="str">
        <f>IFERROR(IF(ISNUMBER($A50),INDEX('Skeet Ind Concurrent Ranking'!$H:$H,MATCH($A50,'Skeet Ind Concurrent Ranking'!$BB:$BB,0)),""),"")</f>
        <v/>
      </c>
      <c r="H50" s="11" t="str">
        <f>IFERROR(IF(ISNUMBER($A50),INDEX('Skeet Ind Concurrent Ranking'!$D:$D,MATCH($A50,'Skeet Ind Concurrent Ranking'!$AR:$AR,0)),""),"")</f>
        <v/>
      </c>
      <c r="I50" s="40" t="str">
        <f>IFERROR(IF(ISNUMBER($A50),INDEX('Skeet Ind Concurrent Ranking'!$H:$H,MATCH($A50,'Skeet Ind Concurrent Ranking'!$AR:$AR,0)),""),"")</f>
        <v/>
      </c>
      <c r="J50" s="11" t="str">
        <f>IFERROR(IF(ISNUMBER($A50),INDEX('Skeet Ind Concurrent Ranking'!$D:$D,MATCH($A50,'Skeet Ind Concurrent Ranking'!$AH:$AH,0)),""),"")</f>
        <v/>
      </c>
      <c r="K50" s="40" t="str">
        <f>IFERROR(IF(ISNUMBER($A50),INDEX('Skeet Ind Concurrent Ranking'!$H:$H,MATCH($A50,'Skeet Ind Concurrent Ranking'!$AH:$AH,0)),""),"")</f>
        <v/>
      </c>
      <c r="L50" s="11" t="str">
        <f>IFERROR(IF(ISNUMBER($A50),INDEX('Skeet Ind Concurrent Ranking'!$D:$D,MATCH($A50,'Skeet Ind Concurrent Ranking'!$X:$X,0)),""),"")</f>
        <v/>
      </c>
      <c r="M50" s="40" t="str">
        <f>IFERROR(IF(ISNUMBER($A50),INDEX('Skeet Ind Concurrent Ranking'!$H:$H,MATCH($A50,'Skeet Ind Concurrent Ranking'!$X:$X,0)),""),"")</f>
        <v/>
      </c>
      <c r="N50" s="1">
        <v>44</v>
      </c>
      <c r="O50" s="11" t="str">
        <f>IFERROR(IF(ISNUMBER($N50),INDEX('Skeet Ind Concurrent Ranking'!$D:$D,MATCH($N50,'Skeet Ind Concurrent Ranking'!$L:$L,0)),""),"")</f>
        <v>Chad Last Name39</v>
      </c>
      <c r="P50" s="51">
        <f>IFERROR(IF(ISNUMBER($N50),INDEX('Skeet Ind Concurrent Ranking'!$H:$H,MATCH($N50,'Skeet Ind Concurrent Ranking'!$L:$L,0)),""),"")</f>
        <v>43</v>
      </c>
      <c r="Q50" s="40" t="str">
        <f>IFERROR(IF(ISNUMBER($N50),INDEX('Skeet Ind Concurrent Ranking'!$F:$F,MATCH($N50,'Skeet Ind Concurrent Ranking'!$L:$L,0)),""),"")</f>
        <v>Collegiate</v>
      </c>
      <c r="R50" s="1">
        <v>94</v>
      </c>
      <c r="S50" s="11" t="str">
        <f>IFERROR(IF(ISNUMBER($R50),INDEX('Skeet Ind Concurrent Ranking'!$D:$D,MATCH($R50,'Skeet Ind Concurrent Ranking'!$L:$L,0)),""),"")</f>
        <v/>
      </c>
      <c r="T50" s="51" t="str">
        <f>IFERROR(IF(ISNUMBER($R50),INDEX('Skeet Ind Concurrent Ranking'!$H:$H,MATCH($R50,'Skeet Ind Concurrent Ranking'!$L:$L,0)),""),"")</f>
        <v/>
      </c>
      <c r="U50" s="40" t="str">
        <f>IFERROR(IF(ISNUMBER($R50),INDEX('Skeet Ind Concurrent Ranking'!$F:$F,MATCH($R50,'Skeet Ind Concurrent Ranking'!$L:$L,0)),""),"")</f>
        <v/>
      </c>
    </row>
    <row r="51" spans="1:21" x14ac:dyDescent="0.3">
      <c r="A51" s="1">
        <v>20</v>
      </c>
      <c r="B51" s="1" t="str">
        <f>IFERROR(IF(AND(ISNUMBER($A51),$A51&lt;='Tournament Setup'!$B$26),INDEX('Skeet Ind Concurrent Ranking'!$D:$D,MATCH($A51,'Skeet Ind Concurrent Ranking'!$N:$N,0)),""),"")</f>
        <v/>
      </c>
      <c r="C51" s="40" t="str">
        <f>IFERROR(IF(AND(ISNUMBER($A51),$A51&lt;='Tournament Setup'!$B$26),INDEX('Skeet Ind Concurrent Ranking'!$H:$H,MATCH($A51,'Skeet Ind Concurrent Ranking'!$N:$N,0)),""),"")</f>
        <v/>
      </c>
      <c r="D51" s="11" t="str">
        <f>IFERROR(IF(ISNUMBER($A51),INDEX('Skeet Ind Concurrent Ranking'!$D:$D,MATCH($A51,'Skeet Ind Concurrent Ranking'!$BL:$BL,0)),""),"")</f>
        <v/>
      </c>
      <c r="E51" s="40" t="str">
        <f>IFERROR(IF(ISNUMBER($A51),INDEX('Skeet Ind Concurrent Ranking'!$H:$H,MATCH($A51,'Skeet Ind Concurrent Ranking'!$BL:$BL,0)),""),"")</f>
        <v/>
      </c>
      <c r="F51" s="11" t="str">
        <f>IFERROR(IF(ISNUMBER($A51),INDEX('Skeet Ind Concurrent Ranking'!$D:$D,MATCH($A51,'Skeet Ind Concurrent Ranking'!$BB:$BB,0)),""),"")</f>
        <v/>
      </c>
      <c r="G51" s="40" t="str">
        <f>IFERROR(IF(ISNUMBER($A51),INDEX('Skeet Ind Concurrent Ranking'!$H:$H,MATCH($A51,'Skeet Ind Concurrent Ranking'!$BB:$BB,0)),""),"")</f>
        <v/>
      </c>
      <c r="H51" s="11" t="str">
        <f>IFERROR(IF(ISNUMBER($A51),INDEX('Skeet Ind Concurrent Ranking'!$D:$D,MATCH($A51,'Skeet Ind Concurrent Ranking'!$AR:$AR,0)),""),"")</f>
        <v/>
      </c>
      <c r="I51" s="40" t="str">
        <f>IFERROR(IF(ISNUMBER($A51),INDEX('Skeet Ind Concurrent Ranking'!$H:$H,MATCH($A51,'Skeet Ind Concurrent Ranking'!$AR:$AR,0)),""),"")</f>
        <v/>
      </c>
      <c r="J51" s="11" t="str">
        <f>IFERROR(IF(ISNUMBER($A51),INDEX('Skeet Ind Concurrent Ranking'!$D:$D,MATCH($A51,'Skeet Ind Concurrent Ranking'!$AH:$AH,0)),""),"")</f>
        <v/>
      </c>
      <c r="K51" s="40" t="str">
        <f>IFERROR(IF(ISNUMBER($A51),INDEX('Skeet Ind Concurrent Ranking'!$H:$H,MATCH($A51,'Skeet Ind Concurrent Ranking'!$AH:$AH,0)),""),"")</f>
        <v/>
      </c>
      <c r="L51" s="11" t="str">
        <f>IFERROR(IF(ISNUMBER($A51),INDEX('Skeet Ind Concurrent Ranking'!$D:$D,MATCH($A51,'Skeet Ind Concurrent Ranking'!$X:$X,0)),""),"")</f>
        <v/>
      </c>
      <c r="M51" s="40" t="str">
        <f>IFERROR(IF(ISNUMBER($A51),INDEX('Skeet Ind Concurrent Ranking'!$H:$H,MATCH($A51,'Skeet Ind Concurrent Ranking'!$X:$X,0)),""),"")</f>
        <v/>
      </c>
      <c r="N51" s="1">
        <v>45</v>
      </c>
      <c r="O51" s="11" t="str">
        <f>IFERROR(IF(ISNUMBER($N51),INDEX('Skeet Ind Concurrent Ranking'!$D:$D,MATCH($N51,'Skeet Ind Concurrent Ranking'!$L:$L,0)),""),"")</f>
        <v>Paul Last Name16</v>
      </c>
      <c r="P51" s="51">
        <f>IFERROR(IF(ISNUMBER($N51),INDEX('Skeet Ind Concurrent Ranking'!$H:$H,MATCH($N51,'Skeet Ind Concurrent Ranking'!$L:$L,0)),""),"")</f>
        <v>42</v>
      </c>
      <c r="Q51" s="40" t="str">
        <f>IFERROR(IF(ISNUMBER($N51),INDEX('Skeet Ind Concurrent Ranking'!$F:$F,MATCH($N51,'Skeet Ind Concurrent Ranking'!$L:$L,0)),""),"")</f>
        <v>Varsity</v>
      </c>
      <c r="R51" s="1">
        <v>95</v>
      </c>
      <c r="S51" s="11" t="str">
        <f>IFERROR(IF(ISNUMBER($R51),INDEX('Skeet Ind Concurrent Ranking'!$D:$D,MATCH($R51,'Skeet Ind Concurrent Ranking'!$L:$L,0)),""),"")</f>
        <v/>
      </c>
      <c r="T51" s="51" t="str">
        <f>IFERROR(IF(ISNUMBER($R51),INDEX('Skeet Ind Concurrent Ranking'!$H:$H,MATCH($R51,'Skeet Ind Concurrent Ranking'!$L:$L,0)),""),"")</f>
        <v/>
      </c>
      <c r="U51" s="40" t="str">
        <f>IFERROR(IF(ISNUMBER($R51),INDEX('Skeet Ind Concurrent Ranking'!$F:$F,MATCH($R51,'Skeet Ind Concurrent Ranking'!$L:$L,0)),""),"")</f>
        <v/>
      </c>
    </row>
    <row r="52" spans="1:21" x14ac:dyDescent="0.3">
      <c r="A52" s="1">
        <v>21</v>
      </c>
      <c r="B52" s="1" t="str">
        <f>IFERROR(IF(AND(ISNUMBER($A52),$A52&lt;='Tournament Setup'!$B$26),INDEX('Skeet Ind Concurrent Ranking'!$D:$D,MATCH($A52,'Skeet Ind Concurrent Ranking'!$N:$N,0)),""),"")</f>
        <v/>
      </c>
      <c r="C52" s="40" t="str">
        <f>IFERROR(IF(AND(ISNUMBER($A52),$A52&lt;='Tournament Setup'!$B$26),INDEX('Skeet Ind Concurrent Ranking'!$H:$H,MATCH($A52,'Skeet Ind Concurrent Ranking'!$N:$N,0)),""),"")</f>
        <v/>
      </c>
      <c r="D52" s="11" t="str">
        <f>IFERROR(IF(ISNUMBER($A52),INDEX('Skeet Ind Concurrent Ranking'!$D:$D,MATCH($A52,'Skeet Ind Concurrent Ranking'!$BL:$BL,0)),""),"")</f>
        <v/>
      </c>
      <c r="E52" s="40" t="str">
        <f>IFERROR(IF(ISNUMBER($A52),INDEX('Skeet Ind Concurrent Ranking'!$H:$H,MATCH($A52,'Skeet Ind Concurrent Ranking'!$BL:$BL,0)),""),"")</f>
        <v/>
      </c>
      <c r="F52" s="11" t="str">
        <f>IFERROR(IF(ISNUMBER($A52),INDEX('Skeet Ind Concurrent Ranking'!$D:$D,MATCH($A52,'Skeet Ind Concurrent Ranking'!$BB:$BB,0)),""),"")</f>
        <v/>
      </c>
      <c r="G52" s="40" t="str">
        <f>IFERROR(IF(ISNUMBER($A52),INDEX('Skeet Ind Concurrent Ranking'!$H:$H,MATCH($A52,'Skeet Ind Concurrent Ranking'!$BB:$BB,0)),""),"")</f>
        <v/>
      </c>
      <c r="H52" s="11" t="str">
        <f>IFERROR(IF(ISNUMBER($A52),INDEX('Skeet Ind Concurrent Ranking'!$D:$D,MATCH($A52,'Skeet Ind Concurrent Ranking'!$AR:$AR,0)),""),"")</f>
        <v/>
      </c>
      <c r="I52" s="40" t="str">
        <f>IFERROR(IF(ISNUMBER($A52),INDEX('Skeet Ind Concurrent Ranking'!$H:$H,MATCH($A52,'Skeet Ind Concurrent Ranking'!$AR:$AR,0)),""),"")</f>
        <v/>
      </c>
      <c r="J52" s="11" t="str">
        <f>IFERROR(IF(ISNUMBER($A52),INDEX('Skeet Ind Concurrent Ranking'!$D:$D,MATCH($A52,'Skeet Ind Concurrent Ranking'!$AH:$AH,0)),""),"")</f>
        <v/>
      </c>
      <c r="K52" s="40" t="str">
        <f>IFERROR(IF(ISNUMBER($A52),INDEX('Skeet Ind Concurrent Ranking'!$H:$H,MATCH($A52,'Skeet Ind Concurrent Ranking'!$AH:$AH,0)),""),"")</f>
        <v/>
      </c>
      <c r="L52" s="11" t="str">
        <f>IFERROR(IF(ISNUMBER($A52),INDEX('Skeet Ind Concurrent Ranking'!$D:$D,MATCH($A52,'Skeet Ind Concurrent Ranking'!$X:$X,0)),""),"")</f>
        <v/>
      </c>
      <c r="M52" s="40" t="str">
        <f>IFERROR(IF(ISNUMBER($A52),INDEX('Skeet Ind Concurrent Ranking'!$H:$H,MATCH($A52,'Skeet Ind Concurrent Ranking'!$X:$X,0)),""),"")</f>
        <v/>
      </c>
      <c r="N52" s="1">
        <v>46</v>
      </c>
      <c r="O52" s="11" t="str">
        <f>IFERROR(IF(ISNUMBER($N52),INDEX('Skeet Ind Concurrent Ranking'!$D:$D,MATCH($N52,'Skeet Ind Concurrent Ranking'!$L:$L,0)),""),"")</f>
        <v>Chris Last Name20</v>
      </c>
      <c r="P52" s="51">
        <f>IFERROR(IF(ISNUMBER($N52),INDEX('Skeet Ind Concurrent Ranking'!$H:$H,MATCH($N52,'Skeet Ind Concurrent Ranking'!$L:$L,0)),""),"")</f>
        <v>32</v>
      </c>
      <c r="Q52" s="40" t="str">
        <f>IFERROR(IF(ISNUMBER($N52),INDEX('Skeet Ind Concurrent Ranking'!$F:$F,MATCH($N52,'Skeet Ind Concurrent Ranking'!$L:$L,0)),""),"")</f>
        <v>Junior Varsity</v>
      </c>
      <c r="R52" s="1">
        <v>96</v>
      </c>
      <c r="S52" s="11" t="str">
        <f>IFERROR(IF(ISNUMBER($R52),INDEX('Skeet Ind Concurrent Ranking'!$D:$D,MATCH($R52,'Skeet Ind Concurrent Ranking'!$L:$L,0)),""),"")</f>
        <v/>
      </c>
      <c r="T52" s="51" t="str">
        <f>IFERROR(IF(ISNUMBER($R52),INDEX('Skeet Ind Concurrent Ranking'!$H:$H,MATCH($R52,'Skeet Ind Concurrent Ranking'!$L:$L,0)),""),"")</f>
        <v/>
      </c>
      <c r="U52" s="40" t="str">
        <f>IFERROR(IF(ISNUMBER($R52),INDEX('Skeet Ind Concurrent Ranking'!$F:$F,MATCH($R52,'Skeet Ind Concurrent Ranking'!$L:$L,0)),""),"")</f>
        <v/>
      </c>
    </row>
    <row r="53" spans="1:21" x14ac:dyDescent="0.3">
      <c r="A53" s="1">
        <v>22</v>
      </c>
      <c r="B53" s="1" t="str">
        <f>IFERROR(IF(AND(ISNUMBER($A53),$A53&lt;='Tournament Setup'!$B$26),INDEX('Skeet Ind Concurrent Ranking'!$D:$D,MATCH($A53,'Skeet Ind Concurrent Ranking'!$N:$N,0)),""),"")</f>
        <v/>
      </c>
      <c r="C53" s="40" t="str">
        <f>IFERROR(IF(AND(ISNUMBER($A53),$A53&lt;='Tournament Setup'!$B$26),INDEX('Skeet Ind Concurrent Ranking'!$H:$H,MATCH($A53,'Skeet Ind Concurrent Ranking'!$N:$N,0)),""),"")</f>
        <v/>
      </c>
      <c r="D53" s="11" t="str">
        <f>IFERROR(IF(ISNUMBER($A53),INDEX('Skeet Ind Concurrent Ranking'!$D:$D,MATCH($A53,'Skeet Ind Concurrent Ranking'!$BL:$BL,0)),""),"")</f>
        <v/>
      </c>
      <c r="E53" s="40" t="str">
        <f>IFERROR(IF(ISNUMBER($A53),INDEX('Skeet Ind Concurrent Ranking'!$H:$H,MATCH($A53,'Skeet Ind Concurrent Ranking'!$BL:$BL,0)),""),"")</f>
        <v/>
      </c>
      <c r="F53" s="11" t="str">
        <f>IFERROR(IF(ISNUMBER($A53),INDEX('Skeet Ind Concurrent Ranking'!$D:$D,MATCH($A53,'Skeet Ind Concurrent Ranking'!$BB:$BB,0)),""),"")</f>
        <v/>
      </c>
      <c r="G53" s="40" t="str">
        <f>IFERROR(IF(ISNUMBER($A53),INDEX('Skeet Ind Concurrent Ranking'!$H:$H,MATCH($A53,'Skeet Ind Concurrent Ranking'!$BB:$BB,0)),""),"")</f>
        <v/>
      </c>
      <c r="H53" s="11" t="str">
        <f>IFERROR(IF(ISNUMBER($A53),INDEX('Skeet Ind Concurrent Ranking'!$D:$D,MATCH($A53,'Skeet Ind Concurrent Ranking'!$AR:$AR,0)),""),"")</f>
        <v/>
      </c>
      <c r="I53" s="40" t="str">
        <f>IFERROR(IF(ISNUMBER($A53),INDEX('Skeet Ind Concurrent Ranking'!$H:$H,MATCH($A53,'Skeet Ind Concurrent Ranking'!$AR:$AR,0)),""),"")</f>
        <v/>
      </c>
      <c r="J53" s="11" t="str">
        <f>IFERROR(IF(ISNUMBER($A53),INDEX('Skeet Ind Concurrent Ranking'!$D:$D,MATCH($A53,'Skeet Ind Concurrent Ranking'!$AH:$AH,0)),""),"")</f>
        <v/>
      </c>
      <c r="K53" s="40" t="str">
        <f>IFERROR(IF(ISNUMBER($A53),INDEX('Skeet Ind Concurrent Ranking'!$H:$H,MATCH($A53,'Skeet Ind Concurrent Ranking'!$AH:$AH,0)),""),"")</f>
        <v/>
      </c>
      <c r="L53" s="11" t="str">
        <f>IFERROR(IF(ISNUMBER($A53),INDEX('Skeet Ind Concurrent Ranking'!$D:$D,MATCH($A53,'Skeet Ind Concurrent Ranking'!$X:$X,0)),""),"")</f>
        <v/>
      </c>
      <c r="M53" s="40" t="str">
        <f>IFERROR(IF(ISNUMBER($A53),INDEX('Skeet Ind Concurrent Ranking'!$H:$H,MATCH($A53,'Skeet Ind Concurrent Ranking'!$X:$X,0)),""),"")</f>
        <v/>
      </c>
      <c r="N53" s="1">
        <v>47</v>
      </c>
      <c r="O53" s="11" t="str">
        <f>IFERROR(IF(ISNUMBER($N53),INDEX('Skeet Ind Concurrent Ranking'!$D:$D,MATCH($N53,'Skeet Ind Concurrent Ranking'!$L:$L,0)),""),"")</f>
        <v>Sam Last Name46</v>
      </c>
      <c r="P53" s="51">
        <f>IFERROR(IF(ISNUMBER($N53),INDEX('Skeet Ind Concurrent Ranking'!$H:$H,MATCH($N53,'Skeet Ind Concurrent Ranking'!$L:$L,0)),""),"")</f>
        <v>32</v>
      </c>
      <c r="Q53" s="40" t="str">
        <f>IFERROR(IF(ISNUMBER($N53),INDEX('Skeet Ind Concurrent Ranking'!$F:$F,MATCH($N53,'Skeet Ind Concurrent Ranking'!$L:$L,0)),""),"")</f>
        <v>Varsity</v>
      </c>
      <c r="R53" s="1">
        <v>97</v>
      </c>
      <c r="S53" s="11" t="str">
        <f>IFERROR(IF(ISNUMBER($R53),INDEX('Skeet Ind Concurrent Ranking'!$D:$D,MATCH($R53,'Skeet Ind Concurrent Ranking'!$L:$L,0)),""),"")</f>
        <v/>
      </c>
      <c r="T53" s="51" t="str">
        <f>IFERROR(IF(ISNUMBER($R53),INDEX('Skeet Ind Concurrent Ranking'!$H:$H,MATCH($R53,'Skeet Ind Concurrent Ranking'!$L:$L,0)),""),"")</f>
        <v/>
      </c>
      <c r="U53" s="40" t="str">
        <f>IFERROR(IF(ISNUMBER($R53),INDEX('Skeet Ind Concurrent Ranking'!$F:$F,MATCH($R53,'Skeet Ind Concurrent Ranking'!$L:$L,0)),""),"")</f>
        <v/>
      </c>
    </row>
    <row r="54" spans="1:21" x14ac:dyDescent="0.3">
      <c r="A54" s="1">
        <v>23</v>
      </c>
      <c r="B54" s="1" t="str">
        <f>IFERROR(IF(AND(ISNUMBER($A54),$A54&lt;='Tournament Setup'!$B$26),INDEX('Skeet Ind Concurrent Ranking'!$D:$D,MATCH($A54,'Skeet Ind Concurrent Ranking'!$N:$N,0)),""),"")</f>
        <v/>
      </c>
      <c r="C54" s="40" t="str">
        <f>IFERROR(IF(AND(ISNUMBER($A54),$A54&lt;='Tournament Setup'!$B$26),INDEX('Skeet Ind Concurrent Ranking'!$H:$H,MATCH($A54,'Skeet Ind Concurrent Ranking'!$N:$N,0)),""),"")</f>
        <v/>
      </c>
      <c r="D54" s="11" t="str">
        <f>IFERROR(IF(ISNUMBER($A54),INDEX('Skeet Ind Concurrent Ranking'!$D:$D,MATCH($A54,'Skeet Ind Concurrent Ranking'!$BL:$BL,0)),""),"")</f>
        <v/>
      </c>
      <c r="E54" s="40" t="str">
        <f>IFERROR(IF(ISNUMBER($A54),INDEX('Skeet Ind Concurrent Ranking'!$H:$H,MATCH($A54,'Skeet Ind Concurrent Ranking'!$BL:$BL,0)),""),"")</f>
        <v/>
      </c>
      <c r="F54" s="11" t="str">
        <f>IFERROR(IF(ISNUMBER($A54),INDEX('Skeet Ind Concurrent Ranking'!$D:$D,MATCH($A54,'Skeet Ind Concurrent Ranking'!$BB:$BB,0)),""),"")</f>
        <v/>
      </c>
      <c r="G54" s="40" t="str">
        <f>IFERROR(IF(ISNUMBER($A54),INDEX('Skeet Ind Concurrent Ranking'!$H:$H,MATCH($A54,'Skeet Ind Concurrent Ranking'!$BB:$BB,0)),""),"")</f>
        <v/>
      </c>
      <c r="H54" s="11" t="str">
        <f>IFERROR(IF(ISNUMBER($A54),INDEX('Skeet Ind Concurrent Ranking'!$D:$D,MATCH($A54,'Skeet Ind Concurrent Ranking'!$AR:$AR,0)),""),"")</f>
        <v/>
      </c>
      <c r="I54" s="40" t="str">
        <f>IFERROR(IF(ISNUMBER($A54),INDEX('Skeet Ind Concurrent Ranking'!$H:$H,MATCH($A54,'Skeet Ind Concurrent Ranking'!$AR:$AR,0)),""),"")</f>
        <v/>
      </c>
      <c r="J54" s="11" t="str">
        <f>IFERROR(IF(ISNUMBER($A54),INDEX('Skeet Ind Concurrent Ranking'!$D:$D,MATCH($A54,'Skeet Ind Concurrent Ranking'!$AH:$AH,0)),""),"")</f>
        <v/>
      </c>
      <c r="K54" s="40" t="str">
        <f>IFERROR(IF(ISNUMBER($A54),INDEX('Skeet Ind Concurrent Ranking'!$H:$H,MATCH($A54,'Skeet Ind Concurrent Ranking'!$AH:$AH,0)),""),"")</f>
        <v/>
      </c>
      <c r="L54" s="11" t="str">
        <f>IFERROR(IF(ISNUMBER($A54),INDEX('Skeet Ind Concurrent Ranking'!$D:$D,MATCH($A54,'Skeet Ind Concurrent Ranking'!$X:$X,0)),""),"")</f>
        <v/>
      </c>
      <c r="M54" s="40" t="str">
        <f>IFERROR(IF(ISNUMBER($A54),INDEX('Skeet Ind Concurrent Ranking'!$H:$H,MATCH($A54,'Skeet Ind Concurrent Ranking'!$X:$X,0)),""),"")</f>
        <v/>
      </c>
      <c r="N54" s="1">
        <v>48</v>
      </c>
      <c r="O54" s="11" t="str">
        <f>IFERROR(IF(ISNUMBER($N54),INDEX('Skeet Ind Concurrent Ranking'!$D:$D,MATCH($N54,'Skeet Ind Concurrent Ranking'!$L:$L,0)),""),"")</f>
        <v>Kelly Last Name32</v>
      </c>
      <c r="P54" s="51">
        <f>IFERROR(IF(ISNUMBER($N54),INDEX('Skeet Ind Concurrent Ranking'!$H:$H,MATCH($N54,'Skeet Ind Concurrent Ranking'!$L:$L,0)),""),"")</f>
        <v>29</v>
      </c>
      <c r="Q54" s="40" t="str">
        <f>IFERROR(IF(ISNUMBER($N54),INDEX('Skeet Ind Concurrent Ranking'!$F:$F,MATCH($N54,'Skeet Ind Concurrent Ranking'!$L:$L,0)),""),"")</f>
        <v>Intermediate</v>
      </c>
      <c r="R54" s="1">
        <v>98</v>
      </c>
      <c r="S54" s="11" t="str">
        <f>IFERROR(IF(ISNUMBER($R54),INDEX('Skeet Ind Concurrent Ranking'!$D:$D,MATCH($R54,'Skeet Ind Concurrent Ranking'!$L:$L,0)),""),"")</f>
        <v/>
      </c>
      <c r="T54" s="51" t="str">
        <f>IFERROR(IF(ISNUMBER($R54),INDEX('Skeet Ind Concurrent Ranking'!$H:$H,MATCH($R54,'Skeet Ind Concurrent Ranking'!$L:$L,0)),""),"")</f>
        <v/>
      </c>
      <c r="U54" s="40" t="str">
        <f>IFERROR(IF(ISNUMBER($R54),INDEX('Skeet Ind Concurrent Ranking'!$F:$F,MATCH($R54,'Skeet Ind Concurrent Ranking'!$L:$L,0)),""),"")</f>
        <v/>
      </c>
    </row>
    <row r="55" spans="1:21" x14ac:dyDescent="0.3">
      <c r="A55" s="1">
        <v>24</v>
      </c>
      <c r="B55" s="1" t="str">
        <f>IFERROR(IF(AND(ISNUMBER($A55),$A55&lt;='Tournament Setup'!$B$26),INDEX('Skeet Ind Concurrent Ranking'!$D:$D,MATCH($A55,'Skeet Ind Concurrent Ranking'!$N:$N,0)),""),"")</f>
        <v/>
      </c>
      <c r="C55" s="40" t="str">
        <f>IFERROR(IF(AND(ISNUMBER($A55),$A55&lt;='Tournament Setup'!$B$26),INDEX('Skeet Ind Concurrent Ranking'!$H:$H,MATCH($A55,'Skeet Ind Concurrent Ranking'!$N:$N,0)),""),"")</f>
        <v/>
      </c>
      <c r="D55" s="11" t="str">
        <f>IFERROR(IF(ISNUMBER($A55),INDEX('Skeet Ind Concurrent Ranking'!$D:$D,MATCH($A55,'Skeet Ind Concurrent Ranking'!$BL:$BL,0)),""),"")</f>
        <v/>
      </c>
      <c r="E55" s="40" t="str">
        <f>IFERROR(IF(ISNUMBER($A55),INDEX('Skeet Ind Concurrent Ranking'!$H:$H,MATCH($A55,'Skeet Ind Concurrent Ranking'!$BL:$BL,0)),""),"")</f>
        <v/>
      </c>
      <c r="F55" s="11" t="str">
        <f>IFERROR(IF(ISNUMBER($A55),INDEX('Skeet Ind Concurrent Ranking'!$D:$D,MATCH($A55,'Skeet Ind Concurrent Ranking'!$BB:$BB,0)),""),"")</f>
        <v/>
      </c>
      <c r="G55" s="40" t="str">
        <f>IFERROR(IF(ISNUMBER($A55),INDEX('Skeet Ind Concurrent Ranking'!$H:$H,MATCH($A55,'Skeet Ind Concurrent Ranking'!$BB:$BB,0)),""),"")</f>
        <v/>
      </c>
      <c r="H55" s="11" t="str">
        <f>IFERROR(IF(ISNUMBER($A55),INDEX('Skeet Ind Concurrent Ranking'!$D:$D,MATCH($A55,'Skeet Ind Concurrent Ranking'!$AR:$AR,0)),""),"")</f>
        <v/>
      </c>
      <c r="I55" s="40" t="str">
        <f>IFERROR(IF(ISNUMBER($A55),INDEX('Skeet Ind Concurrent Ranking'!$H:$H,MATCH($A55,'Skeet Ind Concurrent Ranking'!$AR:$AR,0)),""),"")</f>
        <v/>
      </c>
      <c r="J55" s="11" t="str">
        <f>IFERROR(IF(ISNUMBER($A55),INDEX('Skeet Ind Concurrent Ranking'!$D:$D,MATCH($A55,'Skeet Ind Concurrent Ranking'!$AH:$AH,0)),""),"")</f>
        <v/>
      </c>
      <c r="K55" s="40" t="str">
        <f>IFERROR(IF(ISNUMBER($A55),INDEX('Skeet Ind Concurrent Ranking'!$H:$H,MATCH($A55,'Skeet Ind Concurrent Ranking'!$AH:$AH,0)),""),"")</f>
        <v/>
      </c>
      <c r="L55" s="11" t="str">
        <f>IFERROR(IF(ISNUMBER($A55),INDEX('Skeet Ind Concurrent Ranking'!$D:$D,MATCH($A55,'Skeet Ind Concurrent Ranking'!$X:$X,0)),""),"")</f>
        <v/>
      </c>
      <c r="M55" s="40" t="str">
        <f>IFERROR(IF(ISNUMBER($A55),INDEX('Skeet Ind Concurrent Ranking'!$H:$H,MATCH($A55,'Skeet Ind Concurrent Ranking'!$X:$X,0)),""),"")</f>
        <v/>
      </c>
      <c r="N55" s="1">
        <v>49</v>
      </c>
      <c r="O55" s="11" t="str">
        <f>IFERROR(IF(ISNUMBER($N55),INDEX('Skeet Ind Concurrent Ranking'!$D:$D,MATCH($N55,'Skeet Ind Concurrent Ranking'!$L:$L,0)),""),"")</f>
        <v/>
      </c>
      <c r="P55" s="51" t="str">
        <f>IFERROR(IF(ISNUMBER($N55),INDEX('Skeet Ind Concurrent Ranking'!$H:$H,MATCH($N55,'Skeet Ind Concurrent Ranking'!$L:$L,0)),""),"")</f>
        <v/>
      </c>
      <c r="Q55" s="40" t="str">
        <f>IFERROR(IF(ISNUMBER($N55),INDEX('Skeet Ind Concurrent Ranking'!$F:$F,MATCH($N55,'Skeet Ind Concurrent Ranking'!$L:$L,0)),""),"")</f>
        <v/>
      </c>
      <c r="R55" s="1">
        <v>99</v>
      </c>
      <c r="S55" s="11" t="str">
        <f>IFERROR(IF(ISNUMBER($R55),INDEX('Skeet Ind Concurrent Ranking'!$D:$D,MATCH($R55,'Skeet Ind Concurrent Ranking'!$L:$L,0)),""),"")</f>
        <v/>
      </c>
      <c r="T55" s="51" t="str">
        <f>IFERROR(IF(ISNUMBER($R55),INDEX('Skeet Ind Concurrent Ranking'!$H:$H,MATCH($R55,'Skeet Ind Concurrent Ranking'!$L:$L,0)),""),"")</f>
        <v/>
      </c>
      <c r="U55" s="40" t="str">
        <f>IFERROR(IF(ISNUMBER($R55),INDEX('Skeet Ind Concurrent Ranking'!$F:$F,MATCH($R55,'Skeet Ind Concurrent Ranking'!$L:$L,0)),""),"")</f>
        <v/>
      </c>
    </row>
    <row r="56" spans="1:21" x14ac:dyDescent="0.3">
      <c r="A56" s="1">
        <v>25</v>
      </c>
      <c r="B56" s="1" t="str">
        <f>IFERROR(IF(AND(ISNUMBER($A56),$A56&lt;='Tournament Setup'!$B$26),INDEX('Skeet Ind Concurrent Ranking'!$D:$D,MATCH($A56,'Skeet Ind Concurrent Ranking'!$N:$N,0)),""),"")</f>
        <v/>
      </c>
      <c r="C56" s="40" t="str">
        <f>IFERROR(IF(AND(ISNUMBER($A56),$A56&lt;='Tournament Setup'!$B$26),INDEX('Skeet Ind Concurrent Ranking'!$H:$H,MATCH($A56,'Skeet Ind Concurrent Ranking'!$N:$N,0)),""),"")</f>
        <v/>
      </c>
      <c r="D56" s="11" t="str">
        <f>IFERROR(IF(ISNUMBER($A56),INDEX('Skeet Ind Concurrent Ranking'!$D:$D,MATCH($A56,'Skeet Ind Concurrent Ranking'!$BL:$BL,0)),""),"")</f>
        <v/>
      </c>
      <c r="E56" s="40" t="str">
        <f>IFERROR(IF(ISNUMBER($A56),INDEX('Skeet Ind Concurrent Ranking'!$H:$H,MATCH($A56,'Skeet Ind Concurrent Ranking'!$BL:$BL,0)),""),"")</f>
        <v/>
      </c>
      <c r="F56" s="11" t="str">
        <f>IFERROR(IF(ISNUMBER($A56),INDEX('Skeet Ind Concurrent Ranking'!$D:$D,MATCH($A56,'Skeet Ind Concurrent Ranking'!$BB:$BB,0)),""),"")</f>
        <v/>
      </c>
      <c r="G56" s="40" t="str">
        <f>IFERROR(IF(ISNUMBER($A56),INDEX('Skeet Ind Concurrent Ranking'!$H:$H,MATCH($A56,'Skeet Ind Concurrent Ranking'!$BB:$BB,0)),""),"")</f>
        <v/>
      </c>
      <c r="H56" s="11" t="str">
        <f>IFERROR(IF(ISNUMBER($A56),INDEX('Skeet Ind Concurrent Ranking'!$D:$D,MATCH($A56,'Skeet Ind Concurrent Ranking'!$AR:$AR,0)),""),"")</f>
        <v/>
      </c>
      <c r="I56" s="40" t="str">
        <f>IFERROR(IF(ISNUMBER($A56),INDEX('Skeet Ind Concurrent Ranking'!$H:$H,MATCH($A56,'Skeet Ind Concurrent Ranking'!$AR:$AR,0)),""),"")</f>
        <v/>
      </c>
      <c r="J56" s="11" t="str">
        <f>IFERROR(IF(ISNUMBER($A56),INDEX('Skeet Ind Concurrent Ranking'!$D:$D,MATCH($A56,'Skeet Ind Concurrent Ranking'!$AH:$AH,0)),""),"")</f>
        <v/>
      </c>
      <c r="K56" s="40" t="str">
        <f>IFERROR(IF(ISNUMBER($A56),INDEX('Skeet Ind Concurrent Ranking'!$H:$H,MATCH($A56,'Skeet Ind Concurrent Ranking'!$AH:$AH,0)),""),"")</f>
        <v/>
      </c>
      <c r="L56" s="11" t="str">
        <f>IFERROR(IF(ISNUMBER($A56),INDEX('Skeet Ind Concurrent Ranking'!$D:$D,MATCH($A56,'Skeet Ind Concurrent Ranking'!$X:$X,0)),""),"")</f>
        <v/>
      </c>
      <c r="M56" s="40" t="str">
        <f>IFERROR(IF(ISNUMBER($A56),INDEX('Skeet Ind Concurrent Ranking'!$H:$H,MATCH($A56,'Skeet Ind Concurrent Ranking'!$X:$X,0)),""),"")</f>
        <v/>
      </c>
      <c r="N56" s="1">
        <v>50</v>
      </c>
      <c r="O56" s="11" t="str">
        <f>IFERROR(IF(ISNUMBER($N56),INDEX('Skeet Ind Concurrent Ranking'!$D:$D,MATCH($N56,'Skeet Ind Concurrent Ranking'!$L:$L,0)),""),"")</f>
        <v/>
      </c>
      <c r="P56" s="51" t="str">
        <f>IFERROR(IF(ISNUMBER($N56),INDEX('Skeet Ind Concurrent Ranking'!$H:$H,MATCH($N56,'Skeet Ind Concurrent Ranking'!$L:$L,0)),""),"")</f>
        <v/>
      </c>
      <c r="Q56" s="40" t="str">
        <f>IFERROR(IF(ISNUMBER($N56),INDEX('Skeet Ind Concurrent Ranking'!$F:$F,MATCH($N56,'Skeet Ind Concurrent Ranking'!$L:$L,0)),""),"")</f>
        <v/>
      </c>
      <c r="R56" s="1">
        <v>100</v>
      </c>
      <c r="S56" s="11" t="str">
        <f>IFERROR(IF(ISNUMBER($R56),INDEX('Skeet Ind Concurrent Ranking'!$D:$D,MATCH($R56,'Skeet Ind Concurrent Ranking'!$L:$L,0)),""),"")</f>
        <v/>
      </c>
      <c r="T56" s="51" t="str">
        <f>IFERROR(IF(ISNUMBER($R56),INDEX('Skeet Ind Concurrent Ranking'!$H:$H,MATCH($R56,'Skeet Ind Concurrent Ranking'!$L:$L,0)),""),"")</f>
        <v/>
      </c>
      <c r="U56" s="40" t="str">
        <f>IFERROR(IF(ISNUMBER($R56),INDEX('Skeet Ind Concurrent Ranking'!$F:$F,MATCH($R56,'Skeet Ind Concurrent Ranking'!$L:$L,0)),""),"")</f>
        <v/>
      </c>
    </row>
    <row r="57" spans="1:21" x14ac:dyDescent="0.3">
      <c r="A57" s="34"/>
      <c r="B57" s="34"/>
      <c r="C57" s="34"/>
      <c r="D57" s="34"/>
      <c r="E57" s="33"/>
      <c r="F57" s="34"/>
      <c r="G57" s="33"/>
      <c r="H57" s="34"/>
      <c r="I57" s="33"/>
      <c r="J57" s="34"/>
      <c r="K57" s="33"/>
      <c r="L57" s="34"/>
      <c r="M57" s="33"/>
      <c r="N57" s="33"/>
      <c r="O57" s="34"/>
      <c r="P57" s="34"/>
      <c r="Q57" s="34"/>
      <c r="R57" s="33"/>
      <c r="S57" s="33"/>
      <c r="T57" s="33"/>
      <c r="U57" s="33"/>
    </row>
  </sheetData>
  <conditionalFormatting sqref="B32:B55 D32:L55">
    <cfRule type="expression" dxfId="7" priority="1">
      <formula>AND(OR((C32=C31),(C32=C33)),ISNUMBER(C32)=TRUE)</formula>
    </cfRule>
  </conditionalFormatting>
  <conditionalFormatting sqref="C32:C55">
    <cfRule type="expression" dxfId="6" priority="10">
      <formula>AND(OR((F32=F31),(F32=F33)),ISNUMBER(F32)=TRUE)</formula>
    </cfRule>
  </conditionalFormatting>
  <conditionalFormatting sqref="M32:M56">
    <cfRule type="expression" dxfId="5" priority="157">
      <formula>AND(OR((N7=N6),(N7=N8)),ISNUMBER(N7)=TRUE)</formula>
    </cfRule>
  </conditionalFormatting>
  <conditionalFormatting sqref="B56 D56:L56">
    <cfRule type="expression" dxfId="4" priority="163">
      <formula>AND(OR((C56=C55),(C56=#REF!)),ISNUMBER(C56)=TRUE)</formula>
    </cfRule>
  </conditionalFormatting>
  <conditionalFormatting sqref="C56">
    <cfRule type="expression" dxfId="3" priority="167">
      <formula>AND(OR((F56=F55),(F56=#REF!)),ISNUMBER(F56)=TRUE)</formula>
    </cfRule>
  </conditionalFormatting>
  <pageMargins left="0.25" right="0.25" top="0.75" bottom="0.75" header="0.3" footer="0.3"/>
  <pageSetup scale="6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57C77-67A2-4F5A-A0F1-C569C8BFED33}">
  <sheetPr>
    <tabColor rgb="FF7030A0"/>
  </sheetPr>
  <dimension ref="A1:Q42"/>
  <sheetViews>
    <sheetView showGridLines="0" zoomScale="90" zoomScaleNormal="90" workbookViewId="0">
      <selection activeCell="K7" sqref="K7"/>
    </sheetView>
  </sheetViews>
  <sheetFormatPr defaultRowHeight="14.4" outlineLevelRow="1" x14ac:dyDescent="0.3"/>
  <cols>
    <col min="1" max="1" width="5.6640625" style="1" bestFit="1" customWidth="1"/>
    <col min="2" max="2" width="19.109375" style="1" bestFit="1" customWidth="1"/>
    <col min="3" max="3" width="3.33203125" bestFit="1" customWidth="1"/>
    <col min="4" max="4" width="18.77734375" style="1" bestFit="1" customWidth="1"/>
    <col min="5" max="5" width="3.33203125" bestFit="1" customWidth="1"/>
    <col min="6" max="6" width="18.88671875" style="1" bestFit="1" customWidth="1"/>
    <col min="7" max="7" width="3.33203125" bestFit="1" customWidth="1"/>
    <col min="8" max="8" width="19.6640625" style="1" bestFit="1" customWidth="1"/>
    <col min="9" max="9" width="3.33203125" bestFit="1" customWidth="1"/>
    <col min="10" max="10" width="5.6640625" bestFit="1" customWidth="1"/>
    <col min="11" max="11" width="19.6640625" bestFit="1" customWidth="1"/>
    <col min="12" max="12" width="6.109375" bestFit="1" customWidth="1"/>
    <col min="13" max="13" width="6" bestFit="1" customWidth="1"/>
    <col min="14" max="14" width="5.6640625" bestFit="1" customWidth="1"/>
    <col min="15" max="15" width="19.6640625" bestFit="1" customWidth="1"/>
    <col min="16" max="16" width="6.109375" bestFit="1" customWidth="1"/>
    <col min="17" max="17" width="6" bestFit="1" customWidth="1"/>
  </cols>
  <sheetData>
    <row r="1" spans="1:17" outlineLevel="1" x14ac:dyDescent="0.3">
      <c r="B1" s="41" t="s">
        <v>272</v>
      </c>
      <c r="C1" s="42"/>
      <c r="D1" s="41" t="s">
        <v>273</v>
      </c>
      <c r="E1" s="42"/>
      <c r="F1" s="41" t="s">
        <v>274</v>
      </c>
      <c r="G1" s="42"/>
      <c r="H1" s="41" t="s">
        <v>275</v>
      </c>
      <c r="I1" s="42"/>
      <c r="J1" s="1" t="s">
        <v>144</v>
      </c>
      <c r="K1" s="41" t="s">
        <v>258</v>
      </c>
      <c r="L1" s="50" t="s">
        <v>112</v>
      </c>
      <c r="M1" s="42" t="s">
        <v>712</v>
      </c>
      <c r="N1" s="1" t="s">
        <v>144</v>
      </c>
      <c r="O1" s="41" t="s">
        <v>258</v>
      </c>
      <c r="P1" s="50" t="s">
        <v>112</v>
      </c>
      <c r="Q1" s="42" t="s">
        <v>712</v>
      </c>
    </row>
    <row r="2" spans="1:17" outlineLevel="1" x14ac:dyDescent="0.3">
      <c r="A2" s="1" t="s">
        <v>144</v>
      </c>
      <c r="B2" s="43"/>
      <c r="C2" s="44"/>
      <c r="D2" s="43"/>
      <c r="E2" s="45"/>
      <c r="F2" s="43"/>
      <c r="G2" s="45"/>
      <c r="H2" s="43"/>
      <c r="I2" s="45"/>
      <c r="J2" s="1">
        <v>1</v>
      </c>
      <c r="K2" s="11" t="str">
        <f>IFERROR(IF(ISNUMBER($J2),INDEX('Skeet Ind Concurrent Ranking'!$D:$D,MATCH($J2,'Skeet Ind Concurrent Ranking'!$L:$L,0)),""),"")</f>
        <v>Bill Last Name11</v>
      </c>
      <c r="L2" s="51">
        <f>IFERROR(IF(ISNUMBER($J2),INDEX('Skeet Ind Concurrent Ranking'!$H:$H,MATCH($J2,'Skeet Ind Concurrent Ranking'!$L:$L,0)),""),"")</f>
        <v>98</v>
      </c>
      <c r="M2" s="40" t="str">
        <f>IFERROR(IF(ISNUMBER($J2),INDEX('Skeet Ind Concurrent Ranking'!$G:$G,MATCH($J2,'Skeet Ind Concurrent Ranking'!$L:$L,0)),""),"")</f>
        <v>B</v>
      </c>
      <c r="N2" s="1">
        <v>41</v>
      </c>
      <c r="O2" s="11" t="str">
        <f>IFERROR(IF(ISNUMBER($N2),INDEX('Skeet Ind Concurrent Ranking'!$D:$D,MATCH($N2,'Skeet Ind Concurrent Ranking'!$L:$L,0)),""),"")</f>
        <v>Jackson Last Name48</v>
      </c>
      <c r="P2" s="51">
        <f>IFERROR(IF(ISNUMBER($N2),INDEX('Skeet Ind Concurrent Ranking'!$H:$H,MATCH($N2,'Skeet Ind Concurrent Ranking'!$L:$L,0)),""),"")</f>
        <v>51</v>
      </c>
      <c r="Q2" s="40" t="str">
        <f>IFERROR(IF(ISNUMBER($N2),INDEX('Skeet Ind Concurrent Ranking'!$G:$G,MATCH($N2,'Skeet Ind Concurrent Ranking'!$L:$L,0)),""),"")</f>
        <v>D</v>
      </c>
    </row>
    <row r="3" spans="1:17" outlineLevel="1" x14ac:dyDescent="0.3">
      <c r="A3" s="1">
        <v>1</v>
      </c>
      <c r="B3" s="11" t="str">
        <f>IFERROR(IF(ISNUMBER($A3),INDEX('Skeet Ind Concurrent Ranking'!$D:$D,MATCH($A3,'Skeet Ind Concurrent Ranking'!$BT:$BT,0)),""),"")</f>
        <v/>
      </c>
      <c r="C3" s="40" t="str">
        <f>IFERROR(IF(ISNUMBER($A3),INDEX('Skeet Ind Concurrent Ranking'!$H:$H,MATCH($A3,'Skeet Ind Concurrent Ranking'!$BT:$BT,0)),""),"")</f>
        <v/>
      </c>
      <c r="D3" s="11" t="str">
        <f>IFERROR(IF(ISNUMBER($A3),INDEX('Skeet Ind Concurrent Ranking'!$D:$D,MATCH($A3,'Skeet Ind Concurrent Ranking'!$CA:$CA,0)),""),"")</f>
        <v/>
      </c>
      <c r="E3" s="40" t="str">
        <f>IFERROR(IF(ISNUMBER($A3),INDEX('Skeet Ind Concurrent Ranking'!$H:$H,MATCH($A3,'Skeet Ind Concurrent Ranking'!$CA:$CA,0)),""),"")</f>
        <v/>
      </c>
      <c r="F3" s="11" t="str">
        <f>IFERROR(IF(ISNUMBER($A3),INDEX('Skeet Ind Concurrent Ranking'!$D:$D,MATCH($A3,'Skeet Ind Concurrent Ranking'!$CH:$CH,0)),""),"")</f>
        <v/>
      </c>
      <c r="G3" s="40" t="str">
        <f>IFERROR(IF(ISNUMBER($A3),INDEX('Skeet Ind Concurrent Ranking'!$H:$H,MATCH($A3,'Skeet Ind Concurrent Ranking'!$CH:$CH,0)),""),"")</f>
        <v/>
      </c>
      <c r="H3" s="11" t="str">
        <f>IFERROR(IF(ISNUMBER($A3),INDEX('Skeet Ind Concurrent Ranking'!$D:$D,MATCH($A3,'Skeet Ind Concurrent Ranking'!$CO:$CO,0)),""),"")</f>
        <v/>
      </c>
      <c r="I3" s="40" t="str">
        <f>IFERROR(IF(ISNUMBER($A3),INDEX('Skeet Ind Concurrent Ranking'!$H:$H,MATCH($A3,'Skeet Ind Concurrent Ranking'!$CO:$CO,0)),""),"")</f>
        <v/>
      </c>
      <c r="J3" s="1">
        <v>2</v>
      </c>
      <c r="K3" s="11" t="str">
        <f>IFERROR(IF(ISNUMBER($J3),INDEX('Skeet Ind Concurrent Ranking'!$D:$D,MATCH($J3,'Skeet Ind Concurrent Ranking'!$L:$L,0)),""),"")</f>
        <v>Blake Last Name7</v>
      </c>
      <c r="L3" s="51">
        <f>IFERROR(IF(ISNUMBER($J3),INDEX('Skeet Ind Concurrent Ranking'!$H:$H,MATCH($J3,'Skeet Ind Concurrent Ranking'!$L:$L,0)),""),"")</f>
        <v>97</v>
      </c>
      <c r="M3" s="40" t="str">
        <f>IFERROR(IF(ISNUMBER($J3),INDEX('Skeet Ind Concurrent Ranking'!$G:$G,MATCH($J3,'Skeet Ind Concurrent Ranking'!$L:$L,0)),""),"")</f>
        <v>C</v>
      </c>
      <c r="N3" s="1">
        <v>42</v>
      </c>
      <c r="O3" s="11" t="str">
        <f>IFERROR(IF(ISNUMBER($N3),INDEX('Skeet Ind Concurrent Ranking'!$D:$D,MATCH($N3,'Skeet Ind Concurrent Ranking'!$L:$L,0)),""),"")</f>
        <v>Bob Last Name12</v>
      </c>
      <c r="P3" s="51">
        <f>IFERROR(IF(ISNUMBER($N3),INDEX('Skeet Ind Concurrent Ranking'!$H:$H,MATCH($N3,'Skeet Ind Concurrent Ranking'!$L:$L,0)),""),"")</f>
        <v>48</v>
      </c>
      <c r="Q3" s="40" t="str">
        <f>IFERROR(IF(ISNUMBER($N3),INDEX('Skeet Ind Concurrent Ranking'!$G:$G,MATCH($N3,'Skeet Ind Concurrent Ranking'!$L:$L,0)),""),"")</f>
        <v>C</v>
      </c>
    </row>
    <row r="4" spans="1:17" outlineLevel="1" x14ac:dyDescent="0.3">
      <c r="A4" s="1">
        <v>2</v>
      </c>
      <c r="B4" s="11" t="str">
        <f>IFERROR(IF(ISNUMBER($A4),INDEX('Skeet Ind Concurrent Ranking'!$D:$D,MATCH($A4,'Skeet Ind Concurrent Ranking'!$BT:$BT,0)),""),"")</f>
        <v/>
      </c>
      <c r="C4" s="40" t="str">
        <f>IFERROR(IF(ISNUMBER($A4),INDEX('Skeet Ind Concurrent Ranking'!$H:$H,MATCH($A4,'Skeet Ind Concurrent Ranking'!$BT:$BT,0)),""),"")</f>
        <v/>
      </c>
      <c r="D4" s="11" t="str">
        <f>IFERROR(IF(ISNUMBER($A4),INDEX('Skeet Ind Concurrent Ranking'!$D:$D,MATCH($A4,'Skeet Ind Concurrent Ranking'!$CA:$CA,0)),""),"")</f>
        <v/>
      </c>
      <c r="E4" s="40" t="str">
        <f>IFERROR(IF(ISNUMBER($A4),INDEX('Skeet Ind Concurrent Ranking'!$H:$H,MATCH($A4,'Skeet Ind Concurrent Ranking'!$CA:$CA,0)),""),"")</f>
        <v/>
      </c>
      <c r="F4" s="11" t="str">
        <f>IFERROR(IF(ISNUMBER($A4),INDEX('Skeet Ind Concurrent Ranking'!$D:$D,MATCH($A4,'Skeet Ind Concurrent Ranking'!$CH:$CH,0)),""),"")</f>
        <v/>
      </c>
      <c r="G4" s="40" t="str">
        <f>IFERROR(IF(ISNUMBER($A4),INDEX('Skeet Ind Concurrent Ranking'!$H:$H,MATCH($A4,'Skeet Ind Concurrent Ranking'!$CH:$CH,0)),""),"")</f>
        <v/>
      </c>
      <c r="H4" s="11" t="str">
        <f>IFERROR(IF(ISNUMBER($A4),INDEX('Skeet Ind Concurrent Ranking'!$D:$D,MATCH($A4,'Skeet Ind Concurrent Ranking'!$CO:$CO,0)),""),"")</f>
        <v/>
      </c>
      <c r="I4" s="40" t="str">
        <f>IFERROR(IF(ISNUMBER($A4),INDEX('Skeet Ind Concurrent Ranking'!$H:$H,MATCH($A4,'Skeet Ind Concurrent Ranking'!$CO:$CO,0)),""),"")</f>
        <v/>
      </c>
      <c r="J4" s="1">
        <v>3</v>
      </c>
      <c r="K4" s="11" t="str">
        <f>IFERROR(IF(ISNUMBER($J4),INDEX('Skeet Ind Concurrent Ranking'!$D:$D,MATCH($J4,'Skeet Ind Concurrent Ranking'!$L:$L,0)),""),"")</f>
        <v>Cathy Last Name3</v>
      </c>
      <c r="L4" s="51">
        <f>IFERROR(IF(ISNUMBER($J4),INDEX('Skeet Ind Concurrent Ranking'!$H:$H,MATCH($J4,'Skeet Ind Concurrent Ranking'!$L:$L,0)),""),"")</f>
        <v>96</v>
      </c>
      <c r="M4" s="40" t="str">
        <f>IFERROR(IF(ISNUMBER($J4),INDEX('Skeet Ind Concurrent Ranking'!$G:$G,MATCH($J4,'Skeet Ind Concurrent Ranking'!$L:$L,0)),""),"")</f>
        <v>B</v>
      </c>
      <c r="N4" s="1">
        <v>43</v>
      </c>
      <c r="O4" s="11" t="str">
        <f>IFERROR(IF(ISNUMBER($N4),INDEX('Skeet Ind Concurrent Ranking'!$D:$D,MATCH($N4,'Skeet Ind Concurrent Ranking'!$L:$L,0)),""),"")</f>
        <v>Becky Last Name27</v>
      </c>
      <c r="P4" s="51">
        <f>IFERROR(IF(ISNUMBER($N4),INDEX('Skeet Ind Concurrent Ranking'!$H:$H,MATCH($N4,'Skeet Ind Concurrent Ranking'!$L:$L,0)),""),"")</f>
        <v>45</v>
      </c>
      <c r="Q4" s="40" t="str">
        <f>IFERROR(IF(ISNUMBER($N4),INDEX('Skeet Ind Concurrent Ranking'!$G:$G,MATCH($N4,'Skeet Ind Concurrent Ranking'!$L:$L,0)),""),"")</f>
        <v>C</v>
      </c>
    </row>
    <row r="5" spans="1:17" outlineLevel="1" x14ac:dyDescent="0.3">
      <c r="A5" s="1">
        <v>3</v>
      </c>
      <c r="B5" s="11" t="str">
        <f>IFERROR(IF(ISNUMBER($A5),INDEX('Skeet Ind Concurrent Ranking'!$D:$D,MATCH($A5,'Skeet Ind Concurrent Ranking'!$BT:$BT,0)),""),"")</f>
        <v/>
      </c>
      <c r="C5" s="40" t="str">
        <f>IFERROR(IF(ISNUMBER($A5),INDEX('Skeet Ind Concurrent Ranking'!$H:$H,MATCH($A5,'Skeet Ind Concurrent Ranking'!$BT:$BT,0)),""),"")</f>
        <v/>
      </c>
      <c r="D5" s="11" t="str">
        <f>IFERROR(IF(ISNUMBER($A5),INDEX('Skeet Ind Concurrent Ranking'!$D:$D,MATCH($A5,'Skeet Ind Concurrent Ranking'!$CA:$CA,0)),""),"")</f>
        <v/>
      </c>
      <c r="E5" s="40" t="str">
        <f>IFERROR(IF(ISNUMBER($A5),INDEX('Skeet Ind Concurrent Ranking'!$H:$H,MATCH($A5,'Skeet Ind Concurrent Ranking'!$CA:$CA,0)),""),"")</f>
        <v/>
      </c>
      <c r="F5" s="11" t="str">
        <f>IFERROR(IF(ISNUMBER($A5),INDEX('Skeet Ind Concurrent Ranking'!$D:$D,MATCH($A5,'Skeet Ind Concurrent Ranking'!$CH:$CH,0)),""),"")</f>
        <v/>
      </c>
      <c r="G5" s="40" t="str">
        <f>IFERROR(IF(ISNUMBER($A5),INDEX('Skeet Ind Concurrent Ranking'!$H:$H,MATCH($A5,'Skeet Ind Concurrent Ranking'!$CH:$CH,0)),""),"")</f>
        <v/>
      </c>
      <c r="H5" s="11" t="str">
        <f>IFERROR(IF(ISNUMBER($A5),INDEX('Skeet Ind Concurrent Ranking'!$D:$D,MATCH($A5,'Skeet Ind Concurrent Ranking'!$CO:$CO,0)),""),"")</f>
        <v/>
      </c>
      <c r="I5" s="40" t="str">
        <f>IFERROR(IF(ISNUMBER($A5),INDEX('Skeet Ind Concurrent Ranking'!$H:$H,MATCH($A5,'Skeet Ind Concurrent Ranking'!$CO:$CO,0)),""),"")</f>
        <v/>
      </c>
      <c r="J5" s="1">
        <v>4</v>
      </c>
      <c r="K5" s="11" t="str">
        <f>IFERROR(IF(ISNUMBER($J5),INDEX('Skeet Ind Concurrent Ranking'!$D:$D,MATCH($J5,'Skeet Ind Concurrent Ranking'!$L:$L,0)),""),"")</f>
        <v>Patricia Last Name35</v>
      </c>
      <c r="L5" s="51">
        <f>IFERROR(IF(ISNUMBER($J5),INDEX('Skeet Ind Concurrent Ranking'!$H:$H,MATCH($J5,'Skeet Ind Concurrent Ranking'!$L:$L,0)),""),"")</f>
        <v>95</v>
      </c>
      <c r="M5" s="40" t="str">
        <f>IFERROR(IF(ISNUMBER($J5),INDEX('Skeet Ind Concurrent Ranking'!$G:$G,MATCH($J5,'Skeet Ind Concurrent Ranking'!$L:$L,0)),""),"")</f>
        <v>A</v>
      </c>
      <c r="N5" s="1">
        <v>44</v>
      </c>
      <c r="O5" s="11" t="str">
        <f>IFERROR(IF(ISNUMBER($N5),INDEX('Skeet Ind Concurrent Ranking'!$D:$D,MATCH($N5,'Skeet Ind Concurrent Ranking'!$L:$L,0)),""),"")</f>
        <v>Chad Last Name39</v>
      </c>
      <c r="P5" s="51">
        <f>IFERROR(IF(ISNUMBER($N5),INDEX('Skeet Ind Concurrent Ranking'!$H:$H,MATCH($N5,'Skeet Ind Concurrent Ranking'!$L:$L,0)),""),"")</f>
        <v>43</v>
      </c>
      <c r="Q5" s="40" t="str">
        <f>IFERROR(IF(ISNUMBER($N5),INDEX('Skeet Ind Concurrent Ranking'!$G:$G,MATCH($N5,'Skeet Ind Concurrent Ranking'!$L:$L,0)),""),"")</f>
        <v>C</v>
      </c>
    </row>
    <row r="6" spans="1:17" outlineLevel="1" x14ac:dyDescent="0.3">
      <c r="B6" s="43" t="s">
        <v>710</v>
      </c>
      <c r="C6" s="44"/>
      <c r="D6" s="43" t="s">
        <v>710</v>
      </c>
      <c r="E6" s="45"/>
      <c r="F6" s="43" t="s">
        <v>710</v>
      </c>
      <c r="G6" s="45"/>
      <c r="H6" s="43" t="s">
        <v>710</v>
      </c>
      <c r="I6" s="45"/>
      <c r="J6" s="1">
        <v>5</v>
      </c>
      <c r="K6" s="11" t="str">
        <f>IFERROR(IF(ISNUMBER($J6),INDEX('Skeet Ind Concurrent Ranking'!$D:$D,MATCH($J6,'Skeet Ind Concurrent Ranking'!$L:$L,0)),""),"")</f>
        <v>Christy Last Name10</v>
      </c>
      <c r="L6" s="51">
        <f>IFERROR(IF(ISNUMBER($J6),INDEX('Skeet Ind Concurrent Ranking'!$H:$H,MATCH($J6,'Skeet Ind Concurrent Ranking'!$L:$L,0)),""),"")</f>
        <v>93</v>
      </c>
      <c r="M6" s="40" t="str">
        <f>IFERROR(IF(ISNUMBER($J6),INDEX('Skeet Ind Concurrent Ranking'!$G:$G,MATCH($J6,'Skeet Ind Concurrent Ranking'!$L:$L,0)),""),"")</f>
        <v>B</v>
      </c>
      <c r="N6" s="1">
        <v>45</v>
      </c>
      <c r="O6" s="11" t="str">
        <f>IFERROR(IF(ISNUMBER($N6),INDEX('Skeet Ind Concurrent Ranking'!$D:$D,MATCH($N6,'Skeet Ind Concurrent Ranking'!$L:$L,0)),""),"")</f>
        <v>Paul Last Name16</v>
      </c>
      <c r="P6" s="51">
        <f>IFERROR(IF(ISNUMBER($N6),INDEX('Skeet Ind Concurrent Ranking'!$H:$H,MATCH($N6,'Skeet Ind Concurrent Ranking'!$L:$L,0)),""),"")</f>
        <v>42</v>
      </c>
      <c r="Q6" s="40" t="str">
        <f>IFERROR(IF(ISNUMBER($N6),INDEX('Skeet Ind Concurrent Ranking'!$G:$G,MATCH($N6,'Skeet Ind Concurrent Ranking'!$L:$L,0)),""),"")</f>
        <v>D</v>
      </c>
    </row>
    <row r="7" spans="1:17" outlineLevel="1" x14ac:dyDescent="0.3">
      <c r="A7" s="1">
        <v>1</v>
      </c>
      <c r="B7" s="11" t="str">
        <f>IFERROR(IF(ISNUMBER($A7),INDEX('Skeet Ind Concurrent Ranking'!$D:$D,MATCH($A7,'Skeet Ind Concurrent Ranking'!$BV:$BV,0)),""),"")</f>
        <v>Matt Last Name5</v>
      </c>
      <c r="C7" s="40">
        <f>IFERROR(IF(ISNUMBER($A7),INDEX('Skeet Ind Concurrent Ranking'!$H:$H,MATCH($A7,'Skeet Ind Concurrent Ranking'!$BV:$BV,0)),""),"")</f>
        <v>89</v>
      </c>
      <c r="D7" s="11" t="str">
        <f>IFERROR(IF(ISNUMBER($A7),INDEX('Skeet Ind Concurrent Ranking'!$D:$D,MATCH($A7,'Skeet Ind Concurrent Ranking'!$CC:$CC,0)),""),"")</f>
        <v>Bill Last Name11</v>
      </c>
      <c r="E7" s="40">
        <f>IFERROR(IF(ISNUMBER($A7),INDEX('Skeet Ind Concurrent Ranking'!$H:$H,MATCH($A7,'Skeet Ind Concurrent Ranking'!$CC:$CC,0)),""),"")</f>
        <v>98</v>
      </c>
      <c r="F7" s="11" t="str">
        <f>IFERROR(IF(ISNUMBER($A7),INDEX('Skeet Ind Concurrent Ranking'!$D:$D,MATCH($A7,'Skeet Ind Concurrent Ranking'!$CJ:$CJ,0)),""),"")</f>
        <v>Blake Last Name7</v>
      </c>
      <c r="G7" s="40">
        <f>IFERROR(IF(ISNUMBER($A7),INDEX('Skeet Ind Concurrent Ranking'!$H:$H,MATCH($A7,'Skeet Ind Concurrent Ranking'!$CJ:$CJ,0)),""),"")</f>
        <v>97</v>
      </c>
      <c r="H7" s="11" t="str">
        <f>IFERROR(IF(ISNUMBER($A7),INDEX('Skeet Ind Concurrent Ranking'!$D:$D,MATCH($A7,'Skeet Ind Concurrent Ranking'!$CQ:$CQ,0)),""),"")</f>
        <v>Jason Last Name1</v>
      </c>
      <c r="I7" s="40">
        <f>IFERROR(IF(ISNUMBER($A7),INDEX('Skeet Ind Concurrent Ranking'!$H:$H,MATCH($A7,'Skeet Ind Concurrent Ranking'!$CQ:$CQ,0)),""),"")</f>
        <v>85</v>
      </c>
      <c r="J7" s="1">
        <v>6</v>
      </c>
      <c r="K7" s="11" t="str">
        <f>IFERROR(IF(ISNUMBER($J7),INDEX('Skeet Ind Concurrent Ranking'!$D:$D,MATCH($J7,'Skeet Ind Concurrent Ranking'!$L:$L,0)),""),"")</f>
        <v>Shelly Last Name31</v>
      </c>
      <c r="L7" s="51">
        <f>IFERROR(IF(ISNUMBER($J7),INDEX('Skeet Ind Concurrent Ranking'!$H:$H,MATCH($J7,'Skeet Ind Concurrent Ranking'!$L:$L,0)),""),"")</f>
        <v>92</v>
      </c>
      <c r="M7" s="40" t="str">
        <f>IFERROR(IF(ISNUMBER($J7),INDEX('Skeet Ind Concurrent Ranking'!$G:$G,MATCH($J7,'Skeet Ind Concurrent Ranking'!$L:$L,0)),""),"")</f>
        <v>B</v>
      </c>
      <c r="N7" s="1">
        <v>46</v>
      </c>
      <c r="O7" s="11" t="str">
        <f>IFERROR(IF(ISNUMBER($N7),INDEX('Skeet Ind Concurrent Ranking'!$D:$D,MATCH($N7,'Skeet Ind Concurrent Ranking'!$L:$L,0)),""),"")</f>
        <v>Chris Last Name20</v>
      </c>
      <c r="P7" s="51">
        <f>IFERROR(IF(ISNUMBER($N7),INDEX('Skeet Ind Concurrent Ranking'!$H:$H,MATCH($N7,'Skeet Ind Concurrent Ranking'!$L:$L,0)),""),"")</f>
        <v>32</v>
      </c>
      <c r="Q7" s="40" t="str">
        <f>IFERROR(IF(ISNUMBER($N7),INDEX('Skeet Ind Concurrent Ranking'!$G:$G,MATCH($N7,'Skeet Ind Concurrent Ranking'!$L:$L,0)),""),"")</f>
        <v>B</v>
      </c>
    </row>
    <row r="8" spans="1:17" outlineLevel="1" x14ac:dyDescent="0.3">
      <c r="A8" s="1">
        <v>2</v>
      </c>
      <c r="B8" s="11" t="str">
        <f>IFERROR(IF(ISNUMBER($A8),INDEX('Skeet Ind Concurrent Ranking'!$D:$D,MATCH($A8,'Skeet Ind Concurrent Ranking'!$BV:$BV,0)),""),"")</f>
        <v>Alan Last Name29</v>
      </c>
      <c r="C8" s="40">
        <f>IFERROR(IF(ISNUMBER($A8),INDEX('Skeet Ind Concurrent Ranking'!$H:$H,MATCH($A8,'Skeet Ind Concurrent Ranking'!$BV:$BV,0)),""),"")</f>
        <v>80</v>
      </c>
      <c r="D8" s="11" t="str">
        <f>IFERROR(IF(ISNUMBER($A8),INDEX('Skeet Ind Concurrent Ranking'!$D:$D,MATCH($A8,'Skeet Ind Concurrent Ranking'!$CC:$CC,0)),""),"")</f>
        <v>Daniel Last Name15</v>
      </c>
      <c r="E8" s="40">
        <f>IFERROR(IF(ISNUMBER($A8),INDEX('Skeet Ind Concurrent Ranking'!$H:$H,MATCH($A8,'Skeet Ind Concurrent Ranking'!$CC:$CC,0)),""),"")</f>
        <v>89.1</v>
      </c>
      <c r="F8" s="11" t="str">
        <f>IFERROR(IF(ISNUMBER($A8),INDEX('Skeet Ind Concurrent Ranking'!$D:$D,MATCH($A8,'Skeet Ind Concurrent Ranking'!$CJ:$CJ,0)),""),"")</f>
        <v>Trey Last Name41</v>
      </c>
      <c r="G8" s="40">
        <f>IFERROR(IF(ISNUMBER($A8),INDEX('Skeet Ind Concurrent Ranking'!$H:$H,MATCH($A8,'Skeet Ind Concurrent Ranking'!$CJ:$CJ,0)),""),"")</f>
        <v>84</v>
      </c>
      <c r="H8" s="11" t="str">
        <f>IFERROR(IF(ISNUMBER($A8),INDEX('Skeet Ind Concurrent Ranking'!$D:$D,MATCH($A8,'Skeet Ind Concurrent Ranking'!$CQ:$CQ,0)),""),"")</f>
        <v>Brad Last Name28</v>
      </c>
      <c r="I8" s="40">
        <f>IFERROR(IF(ISNUMBER($A8),INDEX('Skeet Ind Concurrent Ranking'!$H:$H,MATCH($A8,'Skeet Ind Concurrent Ranking'!$CQ:$CQ,0)),""),"")</f>
        <v>63</v>
      </c>
      <c r="J8" s="1">
        <v>7</v>
      </c>
      <c r="K8" s="11" t="str">
        <f>IFERROR(IF(ISNUMBER($J8),INDEX('Skeet Ind Concurrent Ranking'!$D:$D,MATCH($J8,'Skeet Ind Concurrent Ranking'!$L:$L,0)),""),"")</f>
        <v>Jill Last Name18</v>
      </c>
      <c r="L8" s="51">
        <f>IFERROR(IF(ISNUMBER($J8),INDEX('Skeet Ind Concurrent Ranking'!$H:$H,MATCH($J8,'Skeet Ind Concurrent Ranking'!$L:$L,0)),""),"")</f>
        <v>90</v>
      </c>
      <c r="M8" s="40" t="str">
        <f>IFERROR(IF(ISNUMBER($J8),INDEX('Skeet Ind Concurrent Ranking'!$G:$G,MATCH($J8,'Skeet Ind Concurrent Ranking'!$L:$L,0)),""),"")</f>
        <v>C</v>
      </c>
      <c r="N8" s="1">
        <v>47</v>
      </c>
      <c r="O8" s="11" t="str">
        <f>IFERROR(IF(ISNUMBER($N8),INDEX('Skeet Ind Concurrent Ranking'!$D:$D,MATCH($N8,'Skeet Ind Concurrent Ranking'!$L:$L,0)),""),"")</f>
        <v>Sam Last Name46</v>
      </c>
      <c r="P8" s="51">
        <f>IFERROR(IF(ISNUMBER($N8),INDEX('Skeet Ind Concurrent Ranking'!$H:$H,MATCH($N8,'Skeet Ind Concurrent Ranking'!$L:$L,0)),""),"")</f>
        <v>32</v>
      </c>
      <c r="Q8" s="40" t="str">
        <f>IFERROR(IF(ISNUMBER($N8),INDEX('Skeet Ind Concurrent Ranking'!$G:$G,MATCH($N8,'Skeet Ind Concurrent Ranking'!$L:$L,0)),""),"")</f>
        <v>B</v>
      </c>
    </row>
    <row r="9" spans="1:17" outlineLevel="1" x14ac:dyDescent="0.3">
      <c r="A9" s="1">
        <v>3</v>
      </c>
      <c r="B9" s="11" t="str">
        <f>IFERROR(IF(ISNUMBER($A9),INDEX('Skeet Ind Concurrent Ranking'!$D:$D,MATCH($A9,'Skeet Ind Concurrent Ranking'!$BV:$BV,0)),""),"")</f>
        <v/>
      </c>
      <c r="C9" s="40" t="str">
        <f>IFERROR(IF(ISNUMBER($A9),INDEX('Skeet Ind Concurrent Ranking'!$H:$H,MATCH($A9,'Skeet Ind Concurrent Ranking'!$BV:$BV,0)),""),"")</f>
        <v/>
      </c>
      <c r="D9" s="11" t="str">
        <f>IFERROR(IF(ISNUMBER($A9),INDEX('Skeet Ind Concurrent Ranking'!$D:$D,MATCH($A9,'Skeet Ind Concurrent Ranking'!$CC:$CC,0)),""),"")</f>
        <v/>
      </c>
      <c r="E9" s="40" t="str">
        <f>IFERROR(IF(ISNUMBER($A9),INDEX('Skeet Ind Concurrent Ranking'!$H:$H,MATCH($A9,'Skeet Ind Concurrent Ranking'!$CC:$CC,0)),""),"")</f>
        <v/>
      </c>
      <c r="F9" s="11" t="str">
        <f>IFERROR(IF(ISNUMBER($A9),INDEX('Skeet Ind Concurrent Ranking'!$D:$D,MATCH($A9,'Skeet Ind Concurrent Ranking'!$CJ:$CJ,0)),""),"")</f>
        <v/>
      </c>
      <c r="G9" s="40" t="str">
        <f>IFERROR(IF(ISNUMBER($A9),INDEX('Skeet Ind Concurrent Ranking'!$H:$H,MATCH($A9,'Skeet Ind Concurrent Ranking'!$CJ:$CJ,0)),""),"")</f>
        <v/>
      </c>
      <c r="H9" s="11" t="str">
        <f>IFERROR(IF(ISNUMBER($A9),INDEX('Skeet Ind Concurrent Ranking'!$D:$D,MATCH($A9,'Skeet Ind Concurrent Ranking'!$CQ:$CQ,0)),""),"")</f>
        <v/>
      </c>
      <c r="I9" s="40" t="str">
        <f>IFERROR(IF(ISNUMBER($A9),INDEX('Skeet Ind Concurrent Ranking'!$H:$H,MATCH($A9,'Skeet Ind Concurrent Ranking'!$CQ:$CQ,0)),""),"")</f>
        <v/>
      </c>
      <c r="J9" s="1">
        <v>8</v>
      </c>
      <c r="K9" s="11" t="str">
        <f>IFERROR(IF(ISNUMBER($J9),INDEX('Skeet Ind Concurrent Ranking'!$D:$D,MATCH($J9,'Skeet Ind Concurrent Ranking'!$L:$L,0)),""),"")</f>
        <v>Daniel Last Name15</v>
      </c>
      <c r="L9" s="51">
        <f>IFERROR(IF(ISNUMBER($J9),INDEX('Skeet Ind Concurrent Ranking'!$H:$H,MATCH($J9,'Skeet Ind Concurrent Ranking'!$L:$L,0)),""),"")</f>
        <v>89.1</v>
      </c>
      <c r="M9" s="40" t="str">
        <f>IFERROR(IF(ISNUMBER($J9),INDEX('Skeet Ind Concurrent Ranking'!$G:$G,MATCH($J9,'Skeet Ind Concurrent Ranking'!$L:$L,0)),""),"")</f>
        <v>B</v>
      </c>
      <c r="N9" s="1">
        <v>48</v>
      </c>
      <c r="O9" s="11" t="str">
        <f>IFERROR(IF(ISNUMBER($N9),INDEX('Skeet Ind Concurrent Ranking'!$D:$D,MATCH($N9,'Skeet Ind Concurrent Ranking'!$L:$L,0)),""),"")</f>
        <v>Kelly Last Name32</v>
      </c>
      <c r="P9" s="51">
        <f>IFERROR(IF(ISNUMBER($N9),INDEX('Skeet Ind Concurrent Ranking'!$H:$H,MATCH($N9,'Skeet Ind Concurrent Ranking'!$L:$L,0)),""),"")</f>
        <v>29</v>
      </c>
      <c r="Q9" s="40" t="str">
        <f>IFERROR(IF(ISNUMBER($N9),INDEX('Skeet Ind Concurrent Ranking'!$G:$G,MATCH($N9,'Skeet Ind Concurrent Ranking'!$L:$L,0)),""),"")</f>
        <v>C</v>
      </c>
    </row>
    <row r="10" spans="1:17" outlineLevel="1" x14ac:dyDescent="0.3">
      <c r="B10" s="43" t="s">
        <v>711</v>
      </c>
      <c r="C10" s="44"/>
      <c r="D10" s="43" t="s">
        <v>711</v>
      </c>
      <c r="E10" s="45"/>
      <c r="F10" s="43" t="s">
        <v>711</v>
      </c>
      <c r="G10" s="45"/>
      <c r="H10" s="43" t="s">
        <v>711</v>
      </c>
      <c r="I10" s="45"/>
      <c r="J10" s="1">
        <v>9</v>
      </c>
      <c r="K10" s="11" t="str">
        <f>IFERROR(IF(ISNUMBER($J10),INDEX('Skeet Ind Concurrent Ranking'!$D:$D,MATCH($J10,'Skeet Ind Concurrent Ranking'!$L:$L,0)),""),"")</f>
        <v>Matt Last Name5</v>
      </c>
      <c r="L10" s="51">
        <f>IFERROR(IF(ISNUMBER($J10),INDEX('Skeet Ind Concurrent Ranking'!$H:$H,MATCH($J10,'Skeet Ind Concurrent Ranking'!$L:$L,0)),""),"")</f>
        <v>89</v>
      </c>
      <c r="M10" s="40" t="str">
        <f>IFERROR(IF(ISNUMBER($J10),INDEX('Skeet Ind Concurrent Ranking'!$G:$G,MATCH($J10,'Skeet Ind Concurrent Ranking'!$L:$L,0)),""),"")</f>
        <v>A</v>
      </c>
      <c r="N10" s="1">
        <v>49</v>
      </c>
      <c r="O10" s="11" t="str">
        <f>IFERROR(IF(ISNUMBER($N10),INDEX('Skeet Ind Concurrent Ranking'!$D:$D,MATCH($N10,'Skeet Ind Concurrent Ranking'!$L:$L,0)),""),"")</f>
        <v/>
      </c>
      <c r="P10" s="51" t="str">
        <f>IFERROR(IF(ISNUMBER($N10),INDEX('Skeet Ind Concurrent Ranking'!$H:$H,MATCH($N10,'Skeet Ind Concurrent Ranking'!$L:$L,0)),""),"")</f>
        <v/>
      </c>
      <c r="Q10" s="40" t="str">
        <f>IFERROR(IF(ISNUMBER($N10),INDEX('Skeet Ind Concurrent Ranking'!$G:$G,MATCH($N10,'Skeet Ind Concurrent Ranking'!$L:$L,0)),""),"")</f>
        <v/>
      </c>
    </row>
    <row r="11" spans="1:17" outlineLevel="1" x14ac:dyDescent="0.3">
      <c r="A11" s="1">
        <v>1</v>
      </c>
      <c r="B11" s="11" t="str">
        <f>IFERROR(IF(ISNUMBER($A11),INDEX('Skeet Ind Concurrent Ranking'!$D:$D,MATCH($A11,'Skeet Ind Concurrent Ranking'!$BX:$BX,0)),""),"")</f>
        <v>Patricia Last Name35</v>
      </c>
      <c r="C11" s="40">
        <f>IFERROR(IF(ISNUMBER($A11),INDEX('Skeet Ind Concurrent Ranking'!$H:$H,MATCH($A11,'Skeet Ind Concurrent Ranking'!$BX:$BX,0)),""),"")</f>
        <v>95</v>
      </c>
      <c r="D11" s="11" t="str">
        <f>IFERROR(IF(ISNUMBER($A11),INDEX('Skeet Ind Concurrent Ranking'!$D:$D,MATCH($A11,'Skeet Ind Concurrent Ranking'!$CE:$CE,0)),""),"")</f>
        <v>Cathy Last Name3</v>
      </c>
      <c r="E11" s="40">
        <f>IFERROR(IF(ISNUMBER($A11),INDEX('Skeet Ind Concurrent Ranking'!$H:$H,MATCH($A11,'Skeet Ind Concurrent Ranking'!$CE:$CE,0)),""),"")</f>
        <v>96</v>
      </c>
      <c r="F11" s="11" t="str">
        <f>IFERROR(IF(ISNUMBER($A11),INDEX('Skeet Ind Concurrent Ranking'!$D:$D,MATCH($A11,'Skeet Ind Concurrent Ranking'!$CL:$CL,0)),""),"")</f>
        <v>Jill Last Name18</v>
      </c>
      <c r="G11" s="40">
        <f>IFERROR(IF(ISNUMBER($A11),INDEX('Skeet Ind Concurrent Ranking'!$H:$H,MATCH($A11,'Skeet Ind Concurrent Ranking'!$CL:$CL,0)),""),"")</f>
        <v>90</v>
      </c>
      <c r="H11" s="11" t="str">
        <f>IFERROR(IF(ISNUMBER($A11),INDEX('Skeet Ind Concurrent Ranking'!$D:$D,MATCH($A11,'Skeet Ind Concurrent Ranking'!$CS:$CS,0)),""),"")</f>
        <v>Trisha Last Name44</v>
      </c>
      <c r="I11" s="40">
        <f>IFERROR(IF(ISNUMBER($A11),INDEX('Skeet Ind Concurrent Ranking'!$H:$H,MATCH($A11,'Skeet Ind Concurrent Ranking'!$CS:$CS,0)),""),"")</f>
        <v>72.099999999999994</v>
      </c>
      <c r="J11" s="1">
        <v>10</v>
      </c>
      <c r="K11" s="11" t="str">
        <f>IFERROR(IF(ISNUMBER($J11),INDEX('Skeet Ind Concurrent Ranking'!$D:$D,MATCH($J11,'Skeet Ind Concurrent Ranking'!$L:$L,0)),""),"")</f>
        <v>Stuart Last Name38</v>
      </c>
      <c r="L11" s="51">
        <f>IFERROR(IF(ISNUMBER($J11),INDEX('Skeet Ind Concurrent Ranking'!$H:$H,MATCH($J11,'Skeet Ind Concurrent Ranking'!$L:$L,0)),""),"")</f>
        <v>89</v>
      </c>
      <c r="M11" s="40" t="str">
        <f>IFERROR(IF(ISNUMBER($J11),INDEX('Skeet Ind Concurrent Ranking'!$G:$G,MATCH($J11,'Skeet Ind Concurrent Ranking'!$L:$L,0)),""),"")</f>
        <v>B</v>
      </c>
      <c r="N11" s="1">
        <v>50</v>
      </c>
      <c r="O11" s="11" t="str">
        <f>IFERROR(IF(ISNUMBER($N11),INDEX('Skeet Ind Concurrent Ranking'!$D:$D,MATCH($N11,'Skeet Ind Concurrent Ranking'!$L:$L,0)),""),"")</f>
        <v/>
      </c>
      <c r="P11" s="51" t="str">
        <f>IFERROR(IF(ISNUMBER($N11),INDEX('Skeet Ind Concurrent Ranking'!$H:$H,MATCH($N11,'Skeet Ind Concurrent Ranking'!$L:$L,0)),""),"")</f>
        <v/>
      </c>
      <c r="Q11" s="40" t="str">
        <f>IFERROR(IF(ISNUMBER($N11),INDEX('Skeet Ind Concurrent Ranking'!$G:$G,MATCH($N11,'Skeet Ind Concurrent Ranking'!$L:$L,0)),""),"")</f>
        <v/>
      </c>
    </row>
    <row r="12" spans="1:17" outlineLevel="1" x14ac:dyDescent="0.3">
      <c r="A12" s="1">
        <v>2</v>
      </c>
      <c r="B12" s="11" t="str">
        <f>IFERROR(IF(ISNUMBER($A12),INDEX('Skeet Ind Concurrent Ranking'!$D:$D,MATCH($A12,'Skeet Ind Concurrent Ranking'!$BX:$BX,0)),""),"")</f>
        <v>Susan Last Name4</v>
      </c>
      <c r="C12" s="40">
        <f>IFERROR(IF(ISNUMBER($A12),INDEX('Skeet Ind Concurrent Ranking'!$H:$H,MATCH($A12,'Skeet Ind Concurrent Ranking'!$BX:$BX,0)),""),"")</f>
        <v>82</v>
      </c>
      <c r="D12" s="11" t="str">
        <f>IFERROR(IF(ISNUMBER($A12),INDEX('Skeet Ind Concurrent Ranking'!$D:$D,MATCH($A12,'Skeet Ind Concurrent Ranking'!$CE:$CE,0)),""),"")</f>
        <v>Christy Last Name10</v>
      </c>
      <c r="E12" s="40">
        <f>IFERROR(IF(ISNUMBER($A12),INDEX('Skeet Ind Concurrent Ranking'!$H:$H,MATCH($A12,'Skeet Ind Concurrent Ranking'!$CE:$CE,0)),""),"")</f>
        <v>93</v>
      </c>
      <c r="F12" s="11" t="str">
        <f>IFERROR(IF(ISNUMBER($A12),INDEX('Skeet Ind Concurrent Ranking'!$D:$D,MATCH($A12,'Skeet Ind Concurrent Ranking'!$CL:$CL,0)),""),"")</f>
        <v>Terry Last Name43</v>
      </c>
      <c r="G12" s="40">
        <f>IFERROR(IF(ISNUMBER($A12),INDEX('Skeet Ind Concurrent Ranking'!$H:$H,MATCH($A12,'Skeet Ind Concurrent Ranking'!$CL:$CL,0)),""),"")</f>
        <v>88</v>
      </c>
      <c r="H12" s="11" t="str">
        <f>IFERROR(IF(ISNUMBER($A12),INDEX('Skeet Ind Concurrent Ranking'!$D:$D,MATCH($A12,'Skeet Ind Concurrent Ranking'!$CS:$CS,0)),""),"")</f>
        <v>Joan Last Name17</v>
      </c>
      <c r="I12" s="40">
        <f>IFERROR(IF(ISNUMBER($A12),INDEX('Skeet Ind Concurrent Ranking'!$H:$H,MATCH($A12,'Skeet Ind Concurrent Ranking'!$CS:$CS,0)),""),"")</f>
        <v>60</v>
      </c>
      <c r="J12" s="1">
        <v>11</v>
      </c>
      <c r="K12" s="11" t="str">
        <f>IFERROR(IF(ISNUMBER($J12),INDEX('Skeet Ind Concurrent Ranking'!$D:$D,MATCH($J12,'Skeet Ind Concurrent Ranking'!$L:$L,0)),""),"")</f>
        <v>Terry Last Name43</v>
      </c>
      <c r="L12" s="51">
        <f>IFERROR(IF(ISNUMBER($J12),INDEX('Skeet Ind Concurrent Ranking'!$H:$H,MATCH($J12,'Skeet Ind Concurrent Ranking'!$L:$L,0)),""),"")</f>
        <v>88</v>
      </c>
      <c r="M12" s="40" t="str">
        <f>IFERROR(IF(ISNUMBER($J12),INDEX('Skeet Ind Concurrent Ranking'!$G:$G,MATCH($J12,'Skeet Ind Concurrent Ranking'!$L:$L,0)),""),"")</f>
        <v>C</v>
      </c>
      <c r="N12" s="1">
        <v>51</v>
      </c>
      <c r="O12" s="11" t="str">
        <f>IFERROR(IF(ISNUMBER($N12),INDEX('Skeet Ind Concurrent Ranking'!$D:$D,MATCH($N12,'Skeet Ind Concurrent Ranking'!$L:$L,0)),""),"")</f>
        <v/>
      </c>
      <c r="P12" s="51" t="str">
        <f>IFERROR(IF(ISNUMBER($N12),INDEX('Skeet Ind Concurrent Ranking'!$H:$H,MATCH($N12,'Skeet Ind Concurrent Ranking'!$L:$L,0)),""),"")</f>
        <v/>
      </c>
      <c r="Q12" s="40" t="str">
        <f>IFERROR(IF(ISNUMBER($N12),INDEX('Skeet Ind Concurrent Ranking'!$G:$G,MATCH($N12,'Skeet Ind Concurrent Ranking'!$L:$L,0)),""),"")</f>
        <v/>
      </c>
    </row>
    <row r="13" spans="1:17" outlineLevel="1" x14ac:dyDescent="0.3">
      <c r="A13" s="1">
        <v>3</v>
      </c>
      <c r="B13" s="11" t="str">
        <f>IFERROR(IF(ISNUMBER($A13),INDEX('Skeet Ind Concurrent Ranking'!$D:$D,MATCH($A13,'Skeet Ind Concurrent Ranking'!$BX:$BX,0)),""),"")</f>
        <v/>
      </c>
      <c r="C13" s="40" t="str">
        <f>IFERROR(IF(ISNUMBER($A13),INDEX('Skeet Ind Concurrent Ranking'!$H:$H,MATCH($A13,'Skeet Ind Concurrent Ranking'!$BX:$BX,0)),""),"")</f>
        <v/>
      </c>
      <c r="D13" s="11" t="str">
        <f>IFERROR(IF(ISNUMBER($A13),INDEX('Skeet Ind Concurrent Ranking'!$D:$D,MATCH($A13,'Skeet Ind Concurrent Ranking'!$CE:$CE,0)),""),"")</f>
        <v/>
      </c>
      <c r="E13" s="40" t="str">
        <f>IFERROR(IF(ISNUMBER($A13),INDEX('Skeet Ind Concurrent Ranking'!$H:$H,MATCH($A13,'Skeet Ind Concurrent Ranking'!$CE:$CE,0)),""),"")</f>
        <v/>
      </c>
      <c r="F13" s="11" t="str">
        <f>IFERROR(IF(ISNUMBER($A13),INDEX('Skeet Ind Concurrent Ranking'!$D:$D,MATCH($A13,'Skeet Ind Concurrent Ranking'!$CL:$CL,0)),""),"")</f>
        <v/>
      </c>
      <c r="G13" s="40" t="str">
        <f>IFERROR(IF(ISNUMBER($A13),INDEX('Skeet Ind Concurrent Ranking'!$H:$H,MATCH($A13,'Skeet Ind Concurrent Ranking'!$CL:$CL,0)),""),"")</f>
        <v/>
      </c>
      <c r="H13" s="11" t="str">
        <f>IFERROR(IF(ISNUMBER($A13),INDEX('Skeet Ind Concurrent Ranking'!$D:$D,MATCH($A13,'Skeet Ind Concurrent Ranking'!$CS:$CS,0)),""),"")</f>
        <v/>
      </c>
      <c r="I13" s="40" t="str">
        <f>IFERROR(IF(ISNUMBER($A13),INDEX('Skeet Ind Concurrent Ranking'!$H:$H,MATCH($A13,'Skeet Ind Concurrent Ranking'!$CS:$CS,0)),""),"")</f>
        <v/>
      </c>
      <c r="J13" s="1">
        <v>12</v>
      </c>
      <c r="K13" s="11" t="str">
        <f>IFERROR(IF(ISNUMBER($J13),INDEX('Skeet Ind Concurrent Ranking'!$D:$D,MATCH($J13,'Skeet Ind Concurrent Ranking'!$L:$L,0)),""),"")</f>
        <v>Gary Last Name26</v>
      </c>
      <c r="L13" s="51">
        <f>IFERROR(IF(ISNUMBER($J13),INDEX('Skeet Ind Concurrent Ranking'!$H:$H,MATCH($J13,'Skeet Ind Concurrent Ranking'!$L:$L,0)),""),"")</f>
        <v>86</v>
      </c>
      <c r="M13" s="40" t="str">
        <f>IFERROR(IF(ISNUMBER($J13),INDEX('Skeet Ind Concurrent Ranking'!$G:$G,MATCH($J13,'Skeet Ind Concurrent Ranking'!$L:$L,0)),""),"")</f>
        <v>B</v>
      </c>
      <c r="N13" s="1">
        <v>52</v>
      </c>
      <c r="O13" s="11" t="str">
        <f>IFERROR(IF(ISNUMBER($N13),INDEX('Skeet Ind Concurrent Ranking'!$D:$D,MATCH($N13,'Skeet Ind Concurrent Ranking'!$L:$L,0)),""),"")</f>
        <v/>
      </c>
      <c r="P13" s="51" t="str">
        <f>IFERROR(IF(ISNUMBER($N13),INDEX('Skeet Ind Concurrent Ranking'!$H:$H,MATCH($N13,'Skeet Ind Concurrent Ranking'!$L:$L,0)),""),"")</f>
        <v/>
      </c>
      <c r="Q13" s="40" t="str">
        <f>IFERROR(IF(ISNUMBER($N13),INDEX('Skeet Ind Concurrent Ranking'!$G:$G,MATCH($N13,'Skeet Ind Concurrent Ranking'!$L:$L,0)),""),"")</f>
        <v/>
      </c>
    </row>
    <row r="14" spans="1:17" outlineLevel="1" x14ac:dyDescent="0.3">
      <c r="B14" s="41"/>
      <c r="C14" s="42"/>
      <c r="D14" s="41"/>
      <c r="E14" s="42"/>
      <c r="F14" s="41"/>
      <c r="G14" s="42"/>
      <c r="H14" s="41"/>
      <c r="I14" s="42"/>
      <c r="J14" s="1">
        <v>13</v>
      </c>
      <c r="K14" s="11" t="str">
        <f>IFERROR(IF(ISNUMBER($J14),INDEX('Skeet Ind Concurrent Ranking'!$D:$D,MATCH($J14,'Skeet Ind Concurrent Ranking'!$L:$L,0)),""),"")</f>
        <v>Jason Last Name1</v>
      </c>
      <c r="L14" s="51">
        <f>IFERROR(IF(ISNUMBER($J14),INDEX('Skeet Ind Concurrent Ranking'!$H:$H,MATCH($J14,'Skeet Ind Concurrent Ranking'!$L:$L,0)),""),"")</f>
        <v>85</v>
      </c>
      <c r="M14" s="40" t="str">
        <f>IFERROR(IF(ISNUMBER($J14),INDEX('Skeet Ind Concurrent Ranking'!$G:$G,MATCH($J14,'Skeet Ind Concurrent Ranking'!$L:$L,0)),""),"")</f>
        <v>D</v>
      </c>
      <c r="N14" s="1">
        <v>53</v>
      </c>
      <c r="O14" s="11" t="str">
        <f>IFERROR(IF(ISNUMBER($N14),INDEX('Skeet Ind Concurrent Ranking'!$D:$D,MATCH($N14,'Skeet Ind Concurrent Ranking'!$L:$L,0)),""),"")</f>
        <v/>
      </c>
      <c r="P14" s="51" t="str">
        <f>IFERROR(IF(ISNUMBER($N14),INDEX('Skeet Ind Concurrent Ranking'!$H:$H,MATCH($N14,'Skeet Ind Concurrent Ranking'!$L:$L,0)),""),"")</f>
        <v/>
      </c>
      <c r="Q14" s="40" t="str">
        <f>IFERROR(IF(ISNUMBER($N14),INDEX('Skeet Ind Concurrent Ranking'!$G:$G,MATCH($N14,'Skeet Ind Concurrent Ranking'!$L:$L,0)),""),"")</f>
        <v/>
      </c>
    </row>
    <row r="15" spans="1:17" x14ac:dyDescent="0.3">
      <c r="B15" s="66"/>
      <c r="C15" s="66"/>
      <c r="D15" s="66"/>
      <c r="E15" s="66"/>
      <c r="F15" s="66"/>
      <c r="G15" s="66"/>
      <c r="H15" s="66"/>
      <c r="I15" s="66"/>
      <c r="J15" s="1">
        <v>14</v>
      </c>
      <c r="K15" s="11" t="str">
        <f>IFERROR(IF(ISNUMBER($J15),INDEX('Skeet Ind Concurrent Ranking'!$D:$D,MATCH($J15,'Skeet Ind Concurrent Ranking'!$L:$L,0)),""),"")</f>
        <v>Will Last Name37</v>
      </c>
      <c r="L15" s="51">
        <f>IFERROR(IF(ISNUMBER($J15),INDEX('Skeet Ind Concurrent Ranking'!$H:$H,MATCH($J15,'Skeet Ind Concurrent Ranking'!$L:$L,0)),""),"")</f>
        <v>85</v>
      </c>
      <c r="M15" s="40" t="str">
        <f>IFERROR(IF(ISNUMBER($J15),INDEX('Skeet Ind Concurrent Ranking'!$G:$G,MATCH($J15,'Skeet Ind Concurrent Ranking'!$L:$L,0)),""),"")</f>
        <v>B</v>
      </c>
      <c r="N15" s="1">
        <v>54</v>
      </c>
      <c r="O15" s="11" t="str">
        <f>IFERROR(IF(ISNUMBER($N15),INDEX('Skeet Ind Concurrent Ranking'!$D:$D,MATCH($N15,'Skeet Ind Concurrent Ranking'!$L:$L,0)),""),"")</f>
        <v/>
      </c>
      <c r="P15" s="51" t="str">
        <f>IFERROR(IF(ISNUMBER($N15),INDEX('Skeet Ind Concurrent Ranking'!$H:$H,MATCH($N15,'Skeet Ind Concurrent Ranking'!$L:$L,0)),""),"")</f>
        <v/>
      </c>
      <c r="Q15" s="40" t="str">
        <f>IFERROR(IF(ISNUMBER($N15),INDEX('Skeet Ind Concurrent Ranking'!$G:$G,MATCH($N15,'Skeet Ind Concurrent Ranking'!$L:$L,0)),""),"")</f>
        <v/>
      </c>
    </row>
    <row r="16" spans="1:17" x14ac:dyDescent="0.3">
      <c r="B16" s="41" t="s">
        <v>272</v>
      </c>
      <c r="C16" s="42"/>
      <c r="D16" s="41" t="s">
        <v>273</v>
      </c>
      <c r="E16" s="42"/>
      <c r="F16" s="41" t="s">
        <v>274</v>
      </c>
      <c r="G16" s="42"/>
      <c r="H16" s="41" t="s">
        <v>275</v>
      </c>
      <c r="I16" s="42"/>
      <c r="J16" s="1">
        <v>15</v>
      </c>
      <c r="K16" s="11" t="str">
        <f>IFERROR(IF(ISNUMBER($J16),INDEX('Skeet Ind Concurrent Ranking'!$D:$D,MATCH($J16,'Skeet Ind Concurrent Ranking'!$L:$L,0)),""),"")</f>
        <v>Trey Last Name41</v>
      </c>
      <c r="L16" s="51">
        <f>IFERROR(IF(ISNUMBER($J16),INDEX('Skeet Ind Concurrent Ranking'!$H:$H,MATCH($J16,'Skeet Ind Concurrent Ranking'!$L:$L,0)),""),"")</f>
        <v>84</v>
      </c>
      <c r="M16" s="40" t="str">
        <f>IFERROR(IF(ISNUMBER($J16),INDEX('Skeet Ind Concurrent Ranking'!$G:$G,MATCH($J16,'Skeet Ind Concurrent Ranking'!$L:$L,0)),""),"")</f>
        <v>C</v>
      </c>
      <c r="N16" s="1">
        <v>55</v>
      </c>
      <c r="O16" s="11" t="str">
        <f>IFERROR(IF(ISNUMBER($N16),INDEX('Skeet Ind Concurrent Ranking'!$D:$D,MATCH($N16,'Skeet Ind Concurrent Ranking'!$L:$L,0)),""),"")</f>
        <v/>
      </c>
      <c r="P16" s="51" t="str">
        <f>IFERROR(IF(ISNUMBER($N16),INDEX('Skeet Ind Concurrent Ranking'!$H:$H,MATCH($N16,'Skeet Ind Concurrent Ranking'!$L:$L,0)),""),"")</f>
        <v/>
      </c>
      <c r="Q16" s="40" t="str">
        <f>IFERROR(IF(ISNUMBER($N16),INDEX('Skeet Ind Concurrent Ranking'!$G:$G,MATCH($N16,'Skeet Ind Concurrent Ranking'!$L:$L,0)),""),"")</f>
        <v/>
      </c>
    </row>
    <row r="17" spans="2:17" x14ac:dyDescent="0.3">
      <c r="B17" s="11" t="str">
        <f>IFERROR(IF(ISNUMBER($J2),INDEX('Skeet Ind Concurrent Ranking'!$D:$D,MATCH($J2,'Skeet Ind Concurrent Ranking'!$BS:$BS,0)),""),"")</f>
        <v>Patricia Last Name35</v>
      </c>
      <c r="C17" s="40">
        <f>IFERROR(IF(ISNUMBER($J2),INDEX('Skeet Ind Concurrent Ranking'!$H:$H,MATCH($J2,'Skeet Ind Concurrent Ranking'!$BS:$BS,0)),""),"")</f>
        <v>95</v>
      </c>
      <c r="D17" s="11" t="str">
        <f>IFERROR(IF(ISNUMBER($J2),INDEX('Skeet Ind Concurrent Ranking'!$D:$D,MATCH($J2,'Skeet Ind Concurrent Ranking'!$BZ:$BZ,0)),""),"")</f>
        <v>Bill Last Name11</v>
      </c>
      <c r="E17" s="40">
        <f>IFERROR(IF(ISNUMBER($J2),INDEX('Skeet Ind Concurrent Ranking'!$H:$H,MATCH($J2,'Skeet Ind Concurrent Ranking'!$BZ:$BZ,0)),""),"")</f>
        <v>98</v>
      </c>
      <c r="F17" s="11" t="str">
        <f>IFERROR(IF(ISNUMBER($J2),INDEX('Skeet Ind Concurrent Ranking'!$D:$D,MATCH($J2,'Skeet Ind Concurrent Ranking'!$CG:$CG,0)),""),"")</f>
        <v>Blake Last Name7</v>
      </c>
      <c r="G17" s="40">
        <f>IFERROR(IF(ISNUMBER($J2),INDEX('Skeet Ind Concurrent Ranking'!$H:$H,MATCH($J2,'Skeet Ind Concurrent Ranking'!$CG:$CG,0)),""),"")</f>
        <v>97</v>
      </c>
      <c r="H17" s="11" t="str">
        <f>IFERROR(IF(ISNUMBER($J2),INDEX('Skeet Ind Concurrent Ranking'!$D:$D,MATCH($J2,'Skeet Ind Concurrent Ranking'!CN:$CN,0)),""),"")</f>
        <v>Jason Last Name1</v>
      </c>
      <c r="I17" s="40">
        <f>IFERROR(IF(ISNUMBER($J2),INDEX('Skeet Ind Concurrent Ranking'!$H:$H,MATCH($J2,'Skeet Ind Concurrent Ranking'!$CN:$CN,0)),""),"")</f>
        <v>85</v>
      </c>
      <c r="J17" s="1">
        <v>16</v>
      </c>
      <c r="K17" s="11" t="str">
        <f>IFERROR(IF(ISNUMBER($J17),INDEX('Skeet Ind Concurrent Ranking'!$D:$D,MATCH($J17,'Skeet Ind Concurrent Ranking'!$L:$L,0)),""),"")</f>
        <v>Susan Last Name4</v>
      </c>
      <c r="L17" s="51">
        <f>IFERROR(IF(ISNUMBER($J17),INDEX('Skeet Ind Concurrent Ranking'!$H:$H,MATCH($J17,'Skeet Ind Concurrent Ranking'!$L:$L,0)),""),"")</f>
        <v>82</v>
      </c>
      <c r="M17" s="40" t="str">
        <f>IFERROR(IF(ISNUMBER($J17),INDEX('Skeet Ind Concurrent Ranking'!$G:$G,MATCH($J17,'Skeet Ind Concurrent Ranking'!$L:$L,0)),""),"")</f>
        <v>A</v>
      </c>
      <c r="N17" s="1">
        <v>56</v>
      </c>
      <c r="O17" s="11" t="str">
        <f>IFERROR(IF(ISNUMBER($N17),INDEX('Skeet Ind Concurrent Ranking'!$D:$D,MATCH($N17,'Skeet Ind Concurrent Ranking'!$L:$L,0)),""),"")</f>
        <v/>
      </c>
      <c r="P17" s="51" t="str">
        <f>IFERROR(IF(ISNUMBER($N17),INDEX('Skeet Ind Concurrent Ranking'!$H:$H,MATCH($N17,'Skeet Ind Concurrent Ranking'!$L:$L,0)),""),"")</f>
        <v/>
      </c>
      <c r="Q17" s="40" t="str">
        <f>IFERROR(IF(ISNUMBER($N17),INDEX('Skeet Ind Concurrent Ranking'!$G:$G,MATCH($N17,'Skeet Ind Concurrent Ranking'!$L:$L,0)),""),"")</f>
        <v/>
      </c>
    </row>
    <row r="18" spans="2:17" x14ac:dyDescent="0.3">
      <c r="B18" s="11" t="str">
        <f>IFERROR(IF(ISNUMBER($J3),INDEX('Skeet Ind Concurrent Ranking'!$D:$D,MATCH($J3,'Skeet Ind Concurrent Ranking'!$BS:$BS,0)),""),"")</f>
        <v>Matt Last Name5</v>
      </c>
      <c r="C18" s="40">
        <f>IFERROR(IF(ISNUMBER($J3),INDEX('Skeet Ind Concurrent Ranking'!$H:$H,MATCH($J3,'Skeet Ind Concurrent Ranking'!$BS:$BS,0)),""),"")</f>
        <v>89</v>
      </c>
      <c r="D18" s="11" t="str">
        <f>IFERROR(IF(ISNUMBER($J3),INDEX('Skeet Ind Concurrent Ranking'!$D:$D,MATCH($J3,'Skeet Ind Concurrent Ranking'!$BZ:$BZ,0)),""),"")</f>
        <v>Cathy Last Name3</v>
      </c>
      <c r="E18" s="40">
        <f>IFERROR(IF(ISNUMBER($J3),INDEX('Skeet Ind Concurrent Ranking'!$H:$H,MATCH($J3,'Skeet Ind Concurrent Ranking'!$BZ:$BZ,0)),""),"")</f>
        <v>96</v>
      </c>
      <c r="F18" s="11" t="str">
        <f>IFERROR(IF(ISNUMBER($J3),INDEX('Skeet Ind Concurrent Ranking'!$D:$D,MATCH($J3,'Skeet Ind Concurrent Ranking'!$CG:$CG,0)),""),"")</f>
        <v>Jill Last Name18</v>
      </c>
      <c r="G18" s="40">
        <f>IFERROR(IF(ISNUMBER($J3),INDEX('Skeet Ind Concurrent Ranking'!$H:$H,MATCH($J3,'Skeet Ind Concurrent Ranking'!$CG:$CG,0)),""),"")</f>
        <v>90</v>
      </c>
      <c r="H18" s="11" t="str">
        <f>IFERROR(IF(ISNUMBER($J3),INDEX('Skeet Ind Concurrent Ranking'!$D:$D,MATCH($J3,'Skeet Ind Concurrent Ranking'!CN:$CN,0)),""),"")</f>
        <v>Trisha Last Name44</v>
      </c>
      <c r="I18" s="40">
        <f>IFERROR(IF(ISNUMBER($J3),INDEX('Skeet Ind Concurrent Ranking'!$H:$H,MATCH($J3,'Skeet Ind Concurrent Ranking'!$CN:$CN,0)),""),"")</f>
        <v>72.099999999999994</v>
      </c>
      <c r="J18" s="1">
        <v>17</v>
      </c>
      <c r="K18" s="11" t="str">
        <f>IFERROR(IF(ISNUMBER($J18),INDEX('Skeet Ind Concurrent Ranking'!$D:$D,MATCH($J18,'Skeet Ind Concurrent Ranking'!$L:$L,0)),""),"")</f>
        <v>Jack Last Name19</v>
      </c>
      <c r="L18" s="51">
        <f>IFERROR(IF(ISNUMBER($J18),INDEX('Skeet Ind Concurrent Ranking'!$H:$H,MATCH($J18,'Skeet Ind Concurrent Ranking'!$L:$L,0)),""),"")</f>
        <v>82</v>
      </c>
      <c r="M18" s="40" t="str">
        <f>IFERROR(IF(ISNUMBER($J18),INDEX('Skeet Ind Concurrent Ranking'!$G:$G,MATCH($J18,'Skeet Ind Concurrent Ranking'!$L:$L,0)),""),"")</f>
        <v>B</v>
      </c>
      <c r="N18" s="1">
        <v>57</v>
      </c>
      <c r="O18" s="11" t="str">
        <f>IFERROR(IF(ISNUMBER($N18),INDEX('Skeet Ind Concurrent Ranking'!$D:$D,MATCH($N18,'Skeet Ind Concurrent Ranking'!$L:$L,0)),""),"")</f>
        <v/>
      </c>
      <c r="P18" s="51" t="str">
        <f>IFERROR(IF(ISNUMBER($N18),INDEX('Skeet Ind Concurrent Ranking'!$H:$H,MATCH($N18,'Skeet Ind Concurrent Ranking'!$L:$L,0)),""),"")</f>
        <v/>
      </c>
      <c r="Q18" s="40" t="str">
        <f>IFERROR(IF(ISNUMBER($N18),INDEX('Skeet Ind Concurrent Ranking'!$G:$G,MATCH($N18,'Skeet Ind Concurrent Ranking'!$L:$L,0)),""),"")</f>
        <v/>
      </c>
    </row>
    <row r="19" spans="2:17" x14ac:dyDescent="0.3">
      <c r="B19" s="11" t="str">
        <f>IFERROR(IF(ISNUMBER($J4),INDEX('Skeet Ind Concurrent Ranking'!$D:$D,MATCH($J4,'Skeet Ind Concurrent Ranking'!$BS:$BS,0)),""),"")</f>
        <v>Susan Last Name4</v>
      </c>
      <c r="C19" s="40">
        <f>IFERROR(IF(ISNUMBER($J4),INDEX('Skeet Ind Concurrent Ranking'!$H:$H,MATCH($J4,'Skeet Ind Concurrent Ranking'!$BS:$BS,0)),""),"")</f>
        <v>82</v>
      </c>
      <c r="D19" s="11" t="str">
        <f>IFERROR(IF(ISNUMBER($J4),INDEX('Skeet Ind Concurrent Ranking'!$D:$D,MATCH($J4,'Skeet Ind Concurrent Ranking'!$BZ:$BZ,0)),""),"")</f>
        <v>Christy Last Name10</v>
      </c>
      <c r="E19" s="40">
        <f>IFERROR(IF(ISNUMBER($J4),INDEX('Skeet Ind Concurrent Ranking'!$H:$H,MATCH($J4,'Skeet Ind Concurrent Ranking'!$BZ:$BZ,0)),""),"")</f>
        <v>93</v>
      </c>
      <c r="F19" s="11" t="str">
        <f>IFERROR(IF(ISNUMBER($J4),INDEX('Skeet Ind Concurrent Ranking'!$D:$D,MATCH($J4,'Skeet Ind Concurrent Ranking'!$CG:$CG,0)),""),"")</f>
        <v>Terry Last Name43</v>
      </c>
      <c r="G19" s="40">
        <f>IFERROR(IF(ISNUMBER($J4),INDEX('Skeet Ind Concurrent Ranking'!$H:$H,MATCH($J4,'Skeet Ind Concurrent Ranking'!$CG:$CG,0)),""),"")</f>
        <v>88</v>
      </c>
      <c r="H19" s="11" t="str">
        <f>IFERROR(IF(ISNUMBER($J4),INDEX('Skeet Ind Concurrent Ranking'!$D:$D,MATCH($J4,'Skeet Ind Concurrent Ranking'!CN:$CN,0)),""),"")</f>
        <v>Brad Last Name28</v>
      </c>
      <c r="I19" s="40">
        <f>IFERROR(IF(ISNUMBER($J4),INDEX('Skeet Ind Concurrent Ranking'!$H:$H,MATCH($J4,'Skeet Ind Concurrent Ranking'!$CN:$CN,0)),""),"")</f>
        <v>63</v>
      </c>
      <c r="J19" s="1">
        <v>18</v>
      </c>
      <c r="K19" s="11" t="str">
        <f>IFERROR(IF(ISNUMBER($J19),INDEX('Skeet Ind Concurrent Ranking'!$D:$D,MATCH($J19,'Skeet Ind Concurrent Ranking'!$L:$L,0)),""),"")</f>
        <v>Alan Last Name29</v>
      </c>
      <c r="L19" s="51">
        <f>IFERROR(IF(ISNUMBER($J19),INDEX('Skeet Ind Concurrent Ranking'!$H:$H,MATCH($J19,'Skeet Ind Concurrent Ranking'!$L:$L,0)),""),"")</f>
        <v>80</v>
      </c>
      <c r="M19" s="40" t="str">
        <f>IFERROR(IF(ISNUMBER($J19),INDEX('Skeet Ind Concurrent Ranking'!$G:$G,MATCH($J19,'Skeet Ind Concurrent Ranking'!$L:$L,0)),""),"")</f>
        <v>A</v>
      </c>
      <c r="N19" s="1">
        <v>58</v>
      </c>
      <c r="O19" s="11" t="str">
        <f>IFERROR(IF(ISNUMBER($N19),INDEX('Skeet Ind Concurrent Ranking'!$D:$D,MATCH($N19,'Skeet Ind Concurrent Ranking'!$L:$L,0)),""),"")</f>
        <v/>
      </c>
      <c r="P19" s="51" t="str">
        <f>IFERROR(IF(ISNUMBER($N19),INDEX('Skeet Ind Concurrent Ranking'!$H:$H,MATCH($N19,'Skeet Ind Concurrent Ranking'!$L:$L,0)),""),"")</f>
        <v/>
      </c>
      <c r="Q19" s="40" t="str">
        <f>IFERROR(IF(ISNUMBER($N19),INDEX('Skeet Ind Concurrent Ranking'!$G:$G,MATCH($N19,'Skeet Ind Concurrent Ranking'!$L:$L,0)),""),"")</f>
        <v/>
      </c>
    </row>
    <row r="20" spans="2:17" x14ac:dyDescent="0.3">
      <c r="B20" s="11" t="str">
        <f>IFERROR(IF(ISNUMBER($J5),INDEX('Skeet Ind Concurrent Ranking'!$D:$D,MATCH($J5,'Skeet Ind Concurrent Ranking'!$BS:$BS,0)),""),"")</f>
        <v>Alan Last Name29</v>
      </c>
      <c r="C20" s="40">
        <f>IFERROR(IF(ISNUMBER($J5),INDEX('Skeet Ind Concurrent Ranking'!$H:$H,MATCH($J5,'Skeet Ind Concurrent Ranking'!$BS:$BS,0)),""),"")</f>
        <v>80</v>
      </c>
      <c r="D20" s="11" t="str">
        <f>IFERROR(IF(ISNUMBER($J5),INDEX('Skeet Ind Concurrent Ranking'!$D:$D,MATCH($J5,'Skeet Ind Concurrent Ranking'!$BZ:$BZ,0)),""),"")</f>
        <v>Shelly Last Name31</v>
      </c>
      <c r="E20" s="40">
        <f>IFERROR(IF(ISNUMBER($J5),INDEX('Skeet Ind Concurrent Ranking'!$H:$H,MATCH($J5,'Skeet Ind Concurrent Ranking'!$BZ:$BZ,0)),""),"")</f>
        <v>92</v>
      </c>
      <c r="F20" s="11" t="str">
        <f>IFERROR(IF(ISNUMBER($J5),INDEX('Skeet Ind Concurrent Ranking'!$D:$D,MATCH($J5,'Skeet Ind Concurrent Ranking'!$CG:$CG,0)),""),"")</f>
        <v>Trey Last Name41</v>
      </c>
      <c r="G20" s="40">
        <f>IFERROR(IF(ISNUMBER($J5),INDEX('Skeet Ind Concurrent Ranking'!$H:$H,MATCH($J5,'Skeet Ind Concurrent Ranking'!$CG:$CG,0)),""),"")</f>
        <v>84</v>
      </c>
      <c r="H20" s="11" t="str">
        <f>IFERROR(IF(ISNUMBER($J5),INDEX('Skeet Ind Concurrent Ranking'!$D:$D,MATCH($J5,'Skeet Ind Concurrent Ranking'!CN:$CN,0)),""),"")</f>
        <v>Joan Last Name17</v>
      </c>
      <c r="I20" s="40">
        <f>IFERROR(IF(ISNUMBER($J5),INDEX('Skeet Ind Concurrent Ranking'!$H:$H,MATCH($J5,'Skeet Ind Concurrent Ranking'!$CN:$CN,0)),""),"")</f>
        <v>60</v>
      </c>
      <c r="J20" s="1">
        <v>19</v>
      </c>
      <c r="K20" s="11" t="str">
        <f>IFERROR(IF(ISNUMBER($J20),INDEX('Skeet Ind Concurrent Ranking'!$D:$D,MATCH($J20,'Skeet Ind Concurrent Ranking'!$L:$L,0)),""),"")</f>
        <v>Henry Last Name14</v>
      </c>
      <c r="L20" s="51">
        <f>IFERROR(IF(ISNUMBER($J20),INDEX('Skeet Ind Concurrent Ranking'!$H:$H,MATCH($J20,'Skeet Ind Concurrent Ranking'!$L:$L,0)),""),"")</f>
        <v>76</v>
      </c>
      <c r="M20" s="40" t="str">
        <f>IFERROR(IF(ISNUMBER($J20),INDEX('Skeet Ind Concurrent Ranking'!$G:$G,MATCH($J20,'Skeet Ind Concurrent Ranking'!$L:$L,0)),""),"")</f>
        <v>A</v>
      </c>
      <c r="N20" s="1">
        <v>59</v>
      </c>
      <c r="O20" s="11" t="str">
        <f>IFERROR(IF(ISNUMBER($N20),INDEX('Skeet Ind Concurrent Ranking'!$D:$D,MATCH($N20,'Skeet Ind Concurrent Ranking'!$L:$L,0)),""),"")</f>
        <v/>
      </c>
      <c r="P20" s="51" t="str">
        <f>IFERROR(IF(ISNUMBER($N20),INDEX('Skeet Ind Concurrent Ranking'!$H:$H,MATCH($N20,'Skeet Ind Concurrent Ranking'!$L:$L,0)),""),"")</f>
        <v/>
      </c>
      <c r="Q20" s="40" t="str">
        <f>IFERROR(IF(ISNUMBER($N20),INDEX('Skeet Ind Concurrent Ranking'!$G:$G,MATCH($N20,'Skeet Ind Concurrent Ranking'!$L:$L,0)),""),"")</f>
        <v/>
      </c>
    </row>
    <row r="21" spans="2:17" x14ac:dyDescent="0.3">
      <c r="B21" s="11" t="str">
        <f>IFERROR(IF(ISNUMBER($J6),INDEX('Skeet Ind Concurrent Ranking'!$D:$D,MATCH($J6,'Skeet Ind Concurrent Ranking'!$BS:$BS,0)),""),"")</f>
        <v>Henry Last Name14</v>
      </c>
      <c r="C21" s="40">
        <f>IFERROR(IF(ISNUMBER($J6),INDEX('Skeet Ind Concurrent Ranking'!$H:$H,MATCH($J6,'Skeet Ind Concurrent Ranking'!$BS:$BS,0)),""),"")</f>
        <v>76</v>
      </c>
      <c r="D21" s="11" t="str">
        <f>IFERROR(IF(ISNUMBER($J6),INDEX('Skeet Ind Concurrent Ranking'!$D:$D,MATCH($J6,'Skeet Ind Concurrent Ranking'!$BZ:$BZ,0)),""),"")</f>
        <v>Daniel Last Name15</v>
      </c>
      <c r="E21" s="40">
        <f>IFERROR(IF(ISNUMBER($J6),INDEX('Skeet Ind Concurrent Ranking'!$H:$H,MATCH($J6,'Skeet Ind Concurrent Ranking'!$BZ:$BZ,0)),""),"")</f>
        <v>89.1</v>
      </c>
      <c r="F21" s="11" t="str">
        <f>IFERROR(IF(ISNUMBER($J6),INDEX('Skeet Ind Concurrent Ranking'!$D:$D,MATCH($J6,'Skeet Ind Concurrent Ranking'!$CG:$CG,0)),""),"")</f>
        <v>Bruce Last Name13</v>
      </c>
      <c r="G21" s="40">
        <f>IFERROR(IF(ISNUMBER($J6),INDEX('Skeet Ind Concurrent Ranking'!$H:$H,MATCH($J6,'Skeet Ind Concurrent Ranking'!$CG:$CG,0)),""),"")</f>
        <v>72</v>
      </c>
      <c r="H21" s="11" t="str">
        <f>IFERROR(IF(ISNUMBER($J6),INDEX('Skeet Ind Concurrent Ranking'!$D:$D,MATCH($J6,'Skeet Ind Concurrent Ranking'!CN:$CN,0)),""),"")</f>
        <v>Troy Last Name40</v>
      </c>
      <c r="I21" s="40">
        <f>IFERROR(IF(ISNUMBER($J6),INDEX('Skeet Ind Concurrent Ranking'!$H:$H,MATCH($J6,'Skeet Ind Concurrent Ranking'!$CN:$CN,0)),""),"")</f>
        <v>59</v>
      </c>
      <c r="J21" s="1">
        <v>20</v>
      </c>
      <c r="K21" s="11" t="str">
        <f>IFERROR(IF(ISNUMBER($J21),INDEX('Skeet Ind Concurrent Ranking'!$D:$D,MATCH($J21,'Skeet Ind Concurrent Ranking'!$L:$L,0)),""),"")</f>
        <v>Linda Last Name9</v>
      </c>
      <c r="L21" s="51">
        <f>IFERROR(IF(ISNUMBER($J21),INDEX('Skeet Ind Concurrent Ranking'!$H:$H,MATCH($J21,'Skeet Ind Concurrent Ranking'!$L:$L,0)),""),"")</f>
        <v>75</v>
      </c>
      <c r="M21" s="40" t="str">
        <f>IFERROR(IF(ISNUMBER($J21),INDEX('Skeet Ind Concurrent Ranking'!$G:$G,MATCH($J21,'Skeet Ind Concurrent Ranking'!$L:$L,0)),""),"")</f>
        <v>B</v>
      </c>
      <c r="N21" s="1">
        <v>60</v>
      </c>
      <c r="O21" s="11" t="str">
        <f>IFERROR(IF(ISNUMBER($N21),INDEX('Skeet Ind Concurrent Ranking'!$D:$D,MATCH($N21,'Skeet Ind Concurrent Ranking'!$L:$L,0)),""),"")</f>
        <v/>
      </c>
      <c r="P21" s="51" t="str">
        <f>IFERROR(IF(ISNUMBER($N21),INDEX('Skeet Ind Concurrent Ranking'!$H:$H,MATCH($N21,'Skeet Ind Concurrent Ranking'!$L:$L,0)),""),"")</f>
        <v/>
      </c>
      <c r="Q21" s="40" t="str">
        <f>IFERROR(IF(ISNUMBER($N21),INDEX('Skeet Ind Concurrent Ranking'!$G:$G,MATCH($N21,'Skeet Ind Concurrent Ranking'!$L:$L,0)),""),"")</f>
        <v/>
      </c>
    </row>
    <row r="22" spans="2:17" x14ac:dyDescent="0.3">
      <c r="B22" s="11" t="str">
        <f>IFERROR(IF(ISNUMBER($J7),INDEX('Skeet Ind Concurrent Ranking'!$D:$D,MATCH($J7,'Skeet Ind Concurrent Ranking'!$BS:$BS,0)),""),"")</f>
        <v>Marty Last Name34</v>
      </c>
      <c r="C22" s="40">
        <f>IFERROR(IF(ISNUMBER($J7),INDEX('Skeet Ind Concurrent Ranking'!$H:$H,MATCH($J7,'Skeet Ind Concurrent Ranking'!$BS:$BS,0)),""),"")</f>
        <v>68</v>
      </c>
      <c r="D22" s="11" t="str">
        <f>IFERROR(IF(ISNUMBER($J7),INDEX('Skeet Ind Concurrent Ranking'!$D:$D,MATCH($J7,'Skeet Ind Concurrent Ranking'!$BZ:$BZ,0)),""),"")</f>
        <v>Stuart Last Name38</v>
      </c>
      <c r="E22" s="40">
        <f>IFERROR(IF(ISNUMBER($J7),INDEX('Skeet Ind Concurrent Ranking'!$H:$H,MATCH($J7,'Skeet Ind Concurrent Ranking'!$BZ:$BZ,0)),""),"")</f>
        <v>89</v>
      </c>
      <c r="F22" s="11" t="str">
        <f>IFERROR(IF(ISNUMBER($J7),INDEX('Skeet Ind Concurrent Ranking'!$D:$D,MATCH($J7,'Skeet Ind Concurrent Ranking'!$CG:$CG,0)),""),"")</f>
        <v>Nathan Last Name21</v>
      </c>
      <c r="G22" s="40">
        <f>IFERROR(IF(ISNUMBER($J7),INDEX('Skeet Ind Concurrent Ranking'!$H:$H,MATCH($J7,'Skeet Ind Concurrent Ranking'!$CG:$CG,0)),""),"")</f>
        <v>72</v>
      </c>
      <c r="H22" s="11" t="str">
        <f>IFERROR(IF(ISNUMBER($J7),INDEX('Skeet Ind Concurrent Ranking'!$D:$D,MATCH($J7,'Skeet Ind Concurrent Ranking'!CN:$CN,0)),""),"")</f>
        <v>Jackson Last Name48</v>
      </c>
      <c r="I22" s="40">
        <f>IFERROR(IF(ISNUMBER($J7),INDEX('Skeet Ind Concurrent Ranking'!$H:$H,MATCH($J7,'Skeet Ind Concurrent Ranking'!$CN:$CN,0)),""),"")</f>
        <v>51</v>
      </c>
      <c r="J22" s="1">
        <v>21</v>
      </c>
      <c r="K22" s="11" t="str">
        <f>IFERROR(IF(ISNUMBER($J22),INDEX('Skeet Ind Concurrent Ranking'!$D:$D,MATCH($J22,'Skeet Ind Concurrent Ranking'!$L:$L,0)),""),"")</f>
        <v>Missy Last Name33</v>
      </c>
      <c r="L22" s="51">
        <f>IFERROR(IF(ISNUMBER($J22),INDEX('Skeet Ind Concurrent Ranking'!$H:$H,MATCH($J22,'Skeet Ind Concurrent Ranking'!$L:$L,0)),""),"")</f>
        <v>73</v>
      </c>
      <c r="M22" s="40" t="str">
        <f>IFERROR(IF(ISNUMBER($J22),INDEX('Skeet Ind Concurrent Ranking'!$G:$G,MATCH($J22,'Skeet Ind Concurrent Ranking'!$L:$L,0)),""),"")</f>
        <v>B</v>
      </c>
      <c r="N22" s="1">
        <v>61</v>
      </c>
      <c r="O22" s="11" t="str">
        <f>IFERROR(IF(ISNUMBER($N22),INDEX('Skeet Ind Concurrent Ranking'!$D:$D,MATCH($N22,'Skeet Ind Concurrent Ranking'!$L:$L,0)),""),"")</f>
        <v/>
      </c>
      <c r="P22" s="51" t="str">
        <f>IFERROR(IF(ISNUMBER($N22),INDEX('Skeet Ind Concurrent Ranking'!$H:$H,MATCH($N22,'Skeet Ind Concurrent Ranking'!$L:$L,0)),""),"")</f>
        <v/>
      </c>
      <c r="Q22" s="40" t="str">
        <f>IFERROR(IF(ISNUMBER($N22),INDEX('Skeet Ind Concurrent Ranking'!$G:$G,MATCH($N22,'Skeet Ind Concurrent Ranking'!$L:$L,0)),""),"")</f>
        <v/>
      </c>
    </row>
    <row r="23" spans="2:17" x14ac:dyDescent="0.3">
      <c r="B23" s="11" t="str">
        <f>IFERROR(IF(ISNUMBER($J8),INDEX('Skeet Ind Concurrent Ranking'!$D:$D,MATCH($J8,'Skeet Ind Concurrent Ranking'!$BS:$BS,0)),""),"")</f>
        <v>Rick Last Name47</v>
      </c>
      <c r="C23" s="40">
        <f>IFERROR(IF(ISNUMBER($J8),INDEX('Skeet Ind Concurrent Ranking'!$H:$H,MATCH($J8,'Skeet Ind Concurrent Ranking'!$BS:$BS,0)),""),"")</f>
        <v>65</v>
      </c>
      <c r="D23" s="11" t="str">
        <f>IFERROR(IF(ISNUMBER($J8),INDEX('Skeet Ind Concurrent Ranking'!$D:$D,MATCH($J8,'Skeet Ind Concurrent Ranking'!$BZ:$BZ,0)),""),"")</f>
        <v>Gary Last Name26</v>
      </c>
      <c r="E23" s="40">
        <f>IFERROR(IF(ISNUMBER($J8),INDEX('Skeet Ind Concurrent Ranking'!$H:$H,MATCH($J8,'Skeet Ind Concurrent Ranking'!$BZ:$BZ,0)),""),"")</f>
        <v>86</v>
      </c>
      <c r="F23" s="11" t="str">
        <f>IFERROR(IF(ISNUMBER($J8),INDEX('Skeet Ind Concurrent Ranking'!$D:$D,MATCH($J8,'Skeet Ind Concurrent Ranking'!$CG:$CG,0)),""),"")</f>
        <v>Steve Last Name22</v>
      </c>
      <c r="G23" s="40">
        <f>IFERROR(IF(ISNUMBER($J8),INDEX('Skeet Ind Concurrent Ranking'!$H:$H,MATCH($J8,'Skeet Ind Concurrent Ranking'!$CG:$CG,0)),""),"")</f>
        <v>70</v>
      </c>
      <c r="H23" s="11" t="str">
        <f>IFERROR(IF(ISNUMBER($J8),INDEX('Skeet Ind Concurrent Ranking'!$D:$D,MATCH($J8,'Skeet Ind Concurrent Ranking'!CN:$CN,0)),""),"")</f>
        <v>Paul Last Name16</v>
      </c>
      <c r="I23" s="40">
        <f>IFERROR(IF(ISNUMBER($J8),INDEX('Skeet Ind Concurrent Ranking'!$H:$H,MATCH($J8,'Skeet Ind Concurrent Ranking'!$CN:$CN,0)),""),"")</f>
        <v>42</v>
      </c>
      <c r="J23" s="1">
        <v>22</v>
      </c>
      <c r="K23" s="11" t="str">
        <f>IFERROR(IF(ISNUMBER($J23),INDEX('Skeet Ind Concurrent Ranking'!$D:$D,MATCH($J23,'Skeet Ind Concurrent Ranking'!$L:$L,0)),""),"")</f>
        <v>Trisha Last Name44</v>
      </c>
      <c r="L23" s="51">
        <f>IFERROR(IF(ISNUMBER($J23),INDEX('Skeet Ind Concurrent Ranking'!$H:$H,MATCH($J23,'Skeet Ind Concurrent Ranking'!$L:$L,0)),""),"")</f>
        <v>72.099999999999994</v>
      </c>
      <c r="M23" s="40" t="str">
        <f>IFERROR(IF(ISNUMBER($J23),INDEX('Skeet Ind Concurrent Ranking'!$G:$G,MATCH($J23,'Skeet Ind Concurrent Ranking'!$L:$L,0)),""),"")</f>
        <v>D</v>
      </c>
      <c r="N23" s="1">
        <v>62</v>
      </c>
      <c r="O23" s="11" t="str">
        <f>IFERROR(IF(ISNUMBER($N23),INDEX('Skeet Ind Concurrent Ranking'!$D:$D,MATCH($N23,'Skeet Ind Concurrent Ranking'!$L:$L,0)),""),"")</f>
        <v/>
      </c>
      <c r="P23" s="51" t="str">
        <f>IFERROR(IF(ISNUMBER($N23),INDEX('Skeet Ind Concurrent Ranking'!$H:$H,MATCH($N23,'Skeet Ind Concurrent Ranking'!$L:$L,0)),""),"")</f>
        <v/>
      </c>
      <c r="Q23" s="40" t="str">
        <f>IFERROR(IF(ISNUMBER($N23),INDEX('Skeet Ind Concurrent Ranking'!$G:$G,MATCH($N23,'Skeet Ind Concurrent Ranking'!$L:$L,0)),""),"")</f>
        <v/>
      </c>
    </row>
    <row r="24" spans="2:17" x14ac:dyDescent="0.3">
      <c r="B24" s="11" t="str">
        <f>IFERROR(IF(ISNUMBER($J9),INDEX('Skeet Ind Concurrent Ranking'!$D:$D,MATCH($J9,'Skeet Ind Concurrent Ranking'!$BS:$BS,0)),""),"")</f>
        <v>Judy Last Name30</v>
      </c>
      <c r="C24" s="40">
        <f>IFERROR(IF(ISNUMBER($J9),INDEX('Skeet Ind Concurrent Ranking'!$H:$H,MATCH($J9,'Skeet Ind Concurrent Ranking'!$BS:$BS,0)),""),"")</f>
        <v>51</v>
      </c>
      <c r="D24" s="11" t="str">
        <f>IFERROR(IF(ISNUMBER($J9),INDEX('Skeet Ind Concurrent Ranking'!$D:$D,MATCH($J9,'Skeet Ind Concurrent Ranking'!$BZ:$BZ,0)),""),"")</f>
        <v>Will Last Name37</v>
      </c>
      <c r="E24" s="40">
        <f>IFERROR(IF(ISNUMBER($J9),INDEX('Skeet Ind Concurrent Ranking'!$H:$H,MATCH($J9,'Skeet Ind Concurrent Ranking'!$BZ:$BZ,0)),""),"")</f>
        <v>85</v>
      </c>
      <c r="F24" s="11" t="str">
        <f>IFERROR(IF(ISNUMBER($J9),INDEX('Skeet Ind Concurrent Ranking'!$D:$D,MATCH($J9,'Skeet Ind Concurrent Ranking'!$CG:$CG,0)),""),"")</f>
        <v>James Last Name8</v>
      </c>
      <c r="G24" s="40">
        <f>IFERROR(IF(ISNUMBER($J9),INDEX('Skeet Ind Concurrent Ranking'!$H:$H,MATCH($J9,'Skeet Ind Concurrent Ranking'!$CG:$CG,0)),""),"")</f>
        <v>64</v>
      </c>
      <c r="H24" s="11" t="str">
        <f>IFERROR(IF(ISNUMBER($J9),INDEX('Skeet Ind Concurrent Ranking'!$D:$D,MATCH($J9,'Skeet Ind Concurrent Ranking'!CN:$CN,0)),""),"")</f>
        <v/>
      </c>
      <c r="I24" s="40" t="str">
        <f>IFERROR(IF(ISNUMBER($J9),INDEX('Skeet Ind Concurrent Ranking'!$H:$H,MATCH($J9,'Skeet Ind Concurrent Ranking'!$CN:$CN,0)),""),"")</f>
        <v/>
      </c>
      <c r="J24" s="1">
        <v>23</v>
      </c>
      <c r="K24" s="11" t="str">
        <f>IFERROR(IF(ISNUMBER($J24),INDEX('Skeet Ind Concurrent Ranking'!$D:$D,MATCH($J24,'Skeet Ind Concurrent Ranking'!$L:$L,0)),""),"")</f>
        <v>Bruce Last Name13</v>
      </c>
      <c r="L24" s="51">
        <f>IFERROR(IF(ISNUMBER($J24),INDEX('Skeet Ind Concurrent Ranking'!$H:$H,MATCH($J24,'Skeet Ind Concurrent Ranking'!$L:$L,0)),""),"")</f>
        <v>72</v>
      </c>
      <c r="M24" s="40" t="str">
        <f>IFERROR(IF(ISNUMBER($J24),INDEX('Skeet Ind Concurrent Ranking'!$G:$G,MATCH($J24,'Skeet Ind Concurrent Ranking'!$L:$L,0)),""),"")</f>
        <v>C</v>
      </c>
      <c r="N24" s="1">
        <v>63</v>
      </c>
      <c r="O24" s="11" t="str">
        <f>IFERROR(IF(ISNUMBER($N24),INDEX('Skeet Ind Concurrent Ranking'!$D:$D,MATCH($N24,'Skeet Ind Concurrent Ranking'!$L:$L,0)),""),"")</f>
        <v/>
      </c>
      <c r="P24" s="51" t="str">
        <f>IFERROR(IF(ISNUMBER($N24),INDEX('Skeet Ind Concurrent Ranking'!$H:$H,MATCH($N24,'Skeet Ind Concurrent Ranking'!$L:$L,0)),""),"")</f>
        <v/>
      </c>
      <c r="Q24" s="40" t="str">
        <f>IFERROR(IF(ISNUMBER($N24),INDEX('Skeet Ind Concurrent Ranking'!$G:$G,MATCH($N24,'Skeet Ind Concurrent Ranking'!$L:$L,0)),""),"")</f>
        <v/>
      </c>
    </row>
    <row r="25" spans="2:17" x14ac:dyDescent="0.3">
      <c r="B25" s="11" t="str">
        <f>IFERROR(IF(ISNUMBER($J10),INDEX('Skeet Ind Concurrent Ranking'!$D:$D,MATCH($J10,'Skeet Ind Concurrent Ranking'!$BS:$BS,0)),""),"")</f>
        <v/>
      </c>
      <c r="C25" s="40" t="str">
        <f>IFERROR(IF(ISNUMBER($J10),INDEX('Skeet Ind Concurrent Ranking'!$H:$H,MATCH($J10,'Skeet Ind Concurrent Ranking'!$BS:$BS,0)),""),"")</f>
        <v/>
      </c>
      <c r="D25" s="11" t="str">
        <f>IFERROR(IF(ISNUMBER($J10),INDEX('Skeet Ind Concurrent Ranking'!$D:$D,MATCH($J10,'Skeet Ind Concurrent Ranking'!$BZ:$BZ,0)),""),"")</f>
        <v>Jack Last Name19</v>
      </c>
      <c r="E25" s="40">
        <f>IFERROR(IF(ISNUMBER($J10),INDEX('Skeet Ind Concurrent Ranking'!$H:$H,MATCH($J10,'Skeet Ind Concurrent Ranking'!$BZ:$BZ,0)),""),"")</f>
        <v>82</v>
      </c>
      <c r="F25" s="11" t="str">
        <f>IFERROR(IF(ISNUMBER($J10),INDEX('Skeet Ind Concurrent Ranking'!$D:$D,MATCH($J10,'Skeet Ind Concurrent Ranking'!$CG:$CG,0)),""),"")</f>
        <v>Randy Last Name36</v>
      </c>
      <c r="G25" s="40">
        <f>IFERROR(IF(ISNUMBER($J10),INDEX('Skeet Ind Concurrent Ranking'!$H:$H,MATCH($J10,'Skeet Ind Concurrent Ranking'!$CG:$CG,0)),""),"")</f>
        <v>63.1</v>
      </c>
      <c r="H25" s="11" t="str">
        <f>IFERROR(IF(ISNUMBER($J10),INDEX('Skeet Ind Concurrent Ranking'!$D:$D,MATCH($J10,'Skeet Ind Concurrent Ranking'!CN:$CN,0)),""),"")</f>
        <v/>
      </c>
      <c r="I25" s="40" t="str">
        <f>IFERROR(IF(ISNUMBER($J10),INDEX('Skeet Ind Concurrent Ranking'!$H:$H,MATCH($J10,'Skeet Ind Concurrent Ranking'!$CN:$CN,0)),""),"")</f>
        <v/>
      </c>
      <c r="J25" s="1">
        <v>24</v>
      </c>
      <c r="K25" s="11" t="str">
        <f>IFERROR(IF(ISNUMBER($J25),INDEX('Skeet Ind Concurrent Ranking'!$D:$D,MATCH($J25,'Skeet Ind Concurrent Ranking'!$L:$L,0)),""),"")</f>
        <v>Nathan Last Name21</v>
      </c>
      <c r="L25" s="51">
        <f>IFERROR(IF(ISNUMBER($J25),INDEX('Skeet Ind Concurrent Ranking'!$H:$H,MATCH($J25,'Skeet Ind Concurrent Ranking'!$L:$L,0)),""),"")</f>
        <v>72</v>
      </c>
      <c r="M25" s="40" t="str">
        <f>IFERROR(IF(ISNUMBER($J25),INDEX('Skeet Ind Concurrent Ranking'!$G:$G,MATCH($J25,'Skeet Ind Concurrent Ranking'!$L:$L,0)),""),"")</f>
        <v>C</v>
      </c>
      <c r="N25" s="1">
        <v>64</v>
      </c>
      <c r="O25" s="11" t="str">
        <f>IFERROR(IF(ISNUMBER($N25),INDEX('Skeet Ind Concurrent Ranking'!$D:$D,MATCH($N25,'Skeet Ind Concurrent Ranking'!$L:$L,0)),""),"")</f>
        <v/>
      </c>
      <c r="P25" s="51" t="str">
        <f>IFERROR(IF(ISNUMBER($N25),INDEX('Skeet Ind Concurrent Ranking'!$H:$H,MATCH($N25,'Skeet Ind Concurrent Ranking'!$L:$L,0)),""),"")</f>
        <v/>
      </c>
      <c r="Q25" s="40" t="str">
        <f>IFERROR(IF(ISNUMBER($N25),INDEX('Skeet Ind Concurrent Ranking'!$G:$G,MATCH($N25,'Skeet Ind Concurrent Ranking'!$L:$L,0)),""),"")</f>
        <v/>
      </c>
    </row>
    <row r="26" spans="2:17" x14ac:dyDescent="0.3">
      <c r="B26" s="11" t="str">
        <f>IFERROR(IF(ISNUMBER($J11),INDEX('Skeet Ind Concurrent Ranking'!$D:$D,MATCH($J11,'Skeet Ind Concurrent Ranking'!$BS:$BS,0)),""),"")</f>
        <v/>
      </c>
      <c r="C26" s="40" t="str">
        <f>IFERROR(IF(ISNUMBER($J11),INDEX('Skeet Ind Concurrent Ranking'!$H:$H,MATCH($J11,'Skeet Ind Concurrent Ranking'!$BS:$BS,0)),""),"")</f>
        <v/>
      </c>
      <c r="D26" s="11" t="str">
        <f>IFERROR(IF(ISNUMBER($J11),INDEX('Skeet Ind Concurrent Ranking'!$D:$D,MATCH($J11,'Skeet Ind Concurrent Ranking'!$BZ:$BZ,0)),""),"")</f>
        <v>Linda Last Name9</v>
      </c>
      <c r="E26" s="40">
        <f>IFERROR(IF(ISNUMBER($J11),INDEX('Skeet Ind Concurrent Ranking'!$H:$H,MATCH($J11,'Skeet Ind Concurrent Ranking'!$BZ:$BZ,0)),""),"")</f>
        <v>75</v>
      </c>
      <c r="F26" s="11" t="str">
        <f>IFERROR(IF(ISNUMBER($J11),INDEX('Skeet Ind Concurrent Ranking'!$D:$D,MATCH($J11,'Skeet Ind Concurrent Ranking'!$CG:$CG,0)),""),"")</f>
        <v>Tom Last Name23</v>
      </c>
      <c r="G26" s="40">
        <f>IFERROR(IF(ISNUMBER($J11),INDEX('Skeet Ind Concurrent Ranking'!$H:$H,MATCH($J11,'Skeet Ind Concurrent Ranking'!$CG:$CG,0)),""),"")</f>
        <v>61</v>
      </c>
      <c r="H26" s="11" t="str">
        <f>IFERROR(IF(ISNUMBER($J11),INDEX('Skeet Ind Concurrent Ranking'!$D:$D,MATCH($J11,'Skeet Ind Concurrent Ranking'!CN:$CN,0)),""),"")</f>
        <v/>
      </c>
      <c r="I26" s="40" t="str">
        <f>IFERROR(IF(ISNUMBER($J11),INDEX('Skeet Ind Concurrent Ranking'!$H:$H,MATCH($J11,'Skeet Ind Concurrent Ranking'!$CN:$CN,0)),""),"")</f>
        <v/>
      </c>
      <c r="J26" s="1">
        <v>25</v>
      </c>
      <c r="K26" s="11" t="str">
        <f>IFERROR(IF(ISNUMBER($J26),INDEX('Skeet Ind Concurrent Ranking'!$D:$D,MATCH($J26,'Skeet Ind Concurrent Ranking'!$L:$L,0)),""),"")</f>
        <v>Harry Last Name25</v>
      </c>
      <c r="L26" s="51">
        <f>IFERROR(IF(ISNUMBER($J26),INDEX('Skeet Ind Concurrent Ranking'!$H:$H,MATCH($J26,'Skeet Ind Concurrent Ranking'!$L:$L,0)),""),"")</f>
        <v>72</v>
      </c>
      <c r="M26" s="40" t="str">
        <f>IFERROR(IF(ISNUMBER($J26),INDEX('Skeet Ind Concurrent Ranking'!$G:$G,MATCH($J26,'Skeet Ind Concurrent Ranking'!$L:$L,0)),""),"")</f>
        <v>B</v>
      </c>
      <c r="N26" s="1">
        <v>65</v>
      </c>
      <c r="O26" s="11" t="str">
        <f>IFERROR(IF(ISNUMBER($N26),INDEX('Skeet Ind Concurrent Ranking'!$D:$D,MATCH($N26,'Skeet Ind Concurrent Ranking'!$L:$L,0)),""),"")</f>
        <v/>
      </c>
      <c r="P26" s="51" t="str">
        <f>IFERROR(IF(ISNUMBER($N26),INDEX('Skeet Ind Concurrent Ranking'!$H:$H,MATCH($N26,'Skeet Ind Concurrent Ranking'!$L:$L,0)),""),"")</f>
        <v/>
      </c>
      <c r="Q26" s="40" t="str">
        <f>IFERROR(IF(ISNUMBER($N26),INDEX('Skeet Ind Concurrent Ranking'!$G:$G,MATCH($N26,'Skeet Ind Concurrent Ranking'!$L:$L,0)),""),"")</f>
        <v/>
      </c>
    </row>
    <row r="27" spans="2:17" x14ac:dyDescent="0.3">
      <c r="B27" s="11" t="str">
        <f>IFERROR(IF(ISNUMBER($J12),INDEX('Skeet Ind Concurrent Ranking'!$D:$D,MATCH($J12,'Skeet Ind Concurrent Ranking'!$BS:$BS,0)),""),"")</f>
        <v/>
      </c>
      <c r="C27" s="40" t="str">
        <f>IFERROR(IF(ISNUMBER($J12),INDEX('Skeet Ind Concurrent Ranking'!$H:$H,MATCH($J12,'Skeet Ind Concurrent Ranking'!$BS:$BS,0)),""),"")</f>
        <v/>
      </c>
      <c r="D27" s="11" t="str">
        <f>IFERROR(IF(ISNUMBER($J12),INDEX('Skeet Ind Concurrent Ranking'!$D:$D,MATCH($J12,'Skeet Ind Concurrent Ranking'!$BZ:$BZ,0)),""),"")</f>
        <v>Missy Last Name33</v>
      </c>
      <c r="E27" s="40">
        <f>IFERROR(IF(ISNUMBER($J12),INDEX('Skeet Ind Concurrent Ranking'!$H:$H,MATCH($J12,'Skeet Ind Concurrent Ranking'!$BZ:$BZ,0)),""),"")</f>
        <v>73</v>
      </c>
      <c r="F27" s="11" t="str">
        <f>IFERROR(IF(ISNUMBER($J12),INDEX('Skeet Ind Concurrent Ranking'!$D:$D,MATCH($J12,'Skeet Ind Concurrent Ranking'!$CG:$CG,0)),""),"")</f>
        <v>Owen Last Name42</v>
      </c>
      <c r="G27" s="40">
        <f>IFERROR(IF(ISNUMBER($J12),INDEX('Skeet Ind Concurrent Ranking'!$H:$H,MATCH($J12,'Skeet Ind Concurrent Ranking'!$CG:$CG,0)),""),"")</f>
        <v>60</v>
      </c>
      <c r="H27" s="11" t="str">
        <f>IFERROR(IF(ISNUMBER($J12),INDEX('Skeet Ind Concurrent Ranking'!$D:$D,MATCH($J12,'Skeet Ind Concurrent Ranking'!CN:$CN,0)),""),"")</f>
        <v/>
      </c>
      <c r="I27" s="40" t="str">
        <f>IFERROR(IF(ISNUMBER($J12),INDEX('Skeet Ind Concurrent Ranking'!$H:$H,MATCH($J12,'Skeet Ind Concurrent Ranking'!$CN:$CN,0)),""),"")</f>
        <v/>
      </c>
      <c r="J27" s="1">
        <v>26</v>
      </c>
      <c r="K27" s="11" t="str">
        <f>IFERROR(IF(ISNUMBER($J27),INDEX('Skeet Ind Concurrent Ranking'!$D:$D,MATCH($J27,'Skeet Ind Concurrent Ranking'!$L:$L,0)),""),"")</f>
        <v>Steve Last Name22</v>
      </c>
      <c r="L27" s="51">
        <f>IFERROR(IF(ISNUMBER($J27),INDEX('Skeet Ind Concurrent Ranking'!$H:$H,MATCH($J27,'Skeet Ind Concurrent Ranking'!$L:$L,0)),""),"")</f>
        <v>70</v>
      </c>
      <c r="M27" s="40" t="str">
        <f>IFERROR(IF(ISNUMBER($J27),INDEX('Skeet Ind Concurrent Ranking'!$G:$G,MATCH($J27,'Skeet Ind Concurrent Ranking'!$L:$L,0)),""),"")</f>
        <v>C</v>
      </c>
      <c r="N27" s="1">
        <v>66</v>
      </c>
      <c r="O27" s="11" t="str">
        <f>IFERROR(IF(ISNUMBER($N27),INDEX('Skeet Ind Concurrent Ranking'!$D:$D,MATCH($N27,'Skeet Ind Concurrent Ranking'!$L:$L,0)),""),"")</f>
        <v/>
      </c>
      <c r="P27" s="51" t="str">
        <f>IFERROR(IF(ISNUMBER($N27),INDEX('Skeet Ind Concurrent Ranking'!$H:$H,MATCH($N27,'Skeet Ind Concurrent Ranking'!$L:$L,0)),""),"")</f>
        <v/>
      </c>
      <c r="Q27" s="40" t="str">
        <f>IFERROR(IF(ISNUMBER($N27),INDEX('Skeet Ind Concurrent Ranking'!$G:$G,MATCH($N27,'Skeet Ind Concurrent Ranking'!$L:$L,0)),""),"")</f>
        <v/>
      </c>
    </row>
    <row r="28" spans="2:17" x14ac:dyDescent="0.3">
      <c r="B28" s="11" t="str">
        <f>IFERROR(IF(ISNUMBER($J13),INDEX('Skeet Ind Concurrent Ranking'!$D:$D,MATCH($J13,'Skeet Ind Concurrent Ranking'!$BS:$BS,0)),""),"")</f>
        <v/>
      </c>
      <c r="C28" s="40" t="str">
        <f>IFERROR(IF(ISNUMBER($J13),INDEX('Skeet Ind Concurrent Ranking'!$H:$H,MATCH($J13,'Skeet Ind Concurrent Ranking'!$BS:$BS,0)),""),"")</f>
        <v/>
      </c>
      <c r="D28" s="11" t="str">
        <f>IFERROR(IF(ISNUMBER($J13),INDEX('Skeet Ind Concurrent Ranking'!$D:$D,MATCH($J13,'Skeet Ind Concurrent Ranking'!$BZ:$BZ,0)),""),"")</f>
        <v>Harry Last Name25</v>
      </c>
      <c r="E28" s="40">
        <f>IFERROR(IF(ISNUMBER($J13),INDEX('Skeet Ind Concurrent Ranking'!$H:$H,MATCH($J13,'Skeet Ind Concurrent Ranking'!$BZ:$BZ,0)),""),"")</f>
        <v>72</v>
      </c>
      <c r="F28" s="11" t="str">
        <f>IFERROR(IF(ISNUMBER($J13),INDEX('Skeet Ind Concurrent Ranking'!$D:$D,MATCH($J13,'Skeet Ind Concurrent Ranking'!$CG:$CG,0)),""),"")</f>
        <v>Ben Last Name6</v>
      </c>
      <c r="G28" s="40">
        <f>IFERROR(IF(ISNUMBER($J13),INDEX('Skeet Ind Concurrent Ranking'!$H:$H,MATCH($J13,'Skeet Ind Concurrent Ranking'!$CG:$CG,0)),""),"")</f>
        <v>51</v>
      </c>
      <c r="H28" s="11" t="str">
        <f>IFERROR(IF(ISNUMBER($J13),INDEX('Skeet Ind Concurrent Ranking'!$D:$D,MATCH($J13,'Skeet Ind Concurrent Ranking'!CN:$CN,0)),""),"")</f>
        <v/>
      </c>
      <c r="I28" s="40" t="str">
        <f>IFERROR(IF(ISNUMBER($J13),INDEX('Skeet Ind Concurrent Ranking'!$H:$H,MATCH($J13,'Skeet Ind Concurrent Ranking'!$CN:$CN,0)),""),"")</f>
        <v/>
      </c>
      <c r="J28" s="1">
        <v>27</v>
      </c>
      <c r="K28" s="11" t="str">
        <f>IFERROR(IF(ISNUMBER($J28),INDEX('Skeet Ind Concurrent Ranking'!$D:$D,MATCH($J28,'Skeet Ind Concurrent Ranking'!$L:$L,0)),""),"")</f>
        <v>Tim Last Name24</v>
      </c>
      <c r="L28" s="51">
        <f>IFERROR(IF(ISNUMBER($J28),INDEX('Skeet Ind Concurrent Ranking'!$H:$H,MATCH($J28,'Skeet Ind Concurrent Ranking'!$L:$L,0)),""),"")</f>
        <v>70</v>
      </c>
      <c r="M28" s="40" t="str">
        <f>IFERROR(IF(ISNUMBER($J28),INDEX('Skeet Ind Concurrent Ranking'!$G:$G,MATCH($J28,'Skeet Ind Concurrent Ranking'!$L:$L,0)),""),"")</f>
        <v>B</v>
      </c>
      <c r="N28" s="1">
        <v>67</v>
      </c>
      <c r="O28" s="11" t="str">
        <f>IFERROR(IF(ISNUMBER($N28),INDEX('Skeet Ind Concurrent Ranking'!$D:$D,MATCH($N28,'Skeet Ind Concurrent Ranking'!$L:$L,0)),""),"")</f>
        <v/>
      </c>
      <c r="P28" s="51" t="str">
        <f>IFERROR(IF(ISNUMBER($N28),INDEX('Skeet Ind Concurrent Ranking'!$H:$H,MATCH($N28,'Skeet Ind Concurrent Ranking'!$L:$L,0)),""),"")</f>
        <v/>
      </c>
      <c r="Q28" s="40" t="str">
        <f>IFERROR(IF(ISNUMBER($N28),INDEX('Skeet Ind Concurrent Ranking'!$G:$G,MATCH($N28,'Skeet Ind Concurrent Ranking'!$L:$L,0)),""),"")</f>
        <v/>
      </c>
    </row>
    <row r="29" spans="2:17" x14ac:dyDescent="0.3">
      <c r="B29" s="11" t="str">
        <f>IFERROR(IF(ISNUMBER($J14),INDEX('Skeet Ind Concurrent Ranking'!$D:$D,MATCH($J14,'Skeet Ind Concurrent Ranking'!$BS:$BS,0)),""),"")</f>
        <v/>
      </c>
      <c r="C29" s="40" t="str">
        <f>IFERROR(IF(ISNUMBER($J14),INDEX('Skeet Ind Concurrent Ranking'!$H:$H,MATCH($J14,'Skeet Ind Concurrent Ranking'!$BS:$BS,0)),""),"")</f>
        <v/>
      </c>
      <c r="D29" s="11" t="str">
        <f>IFERROR(IF(ISNUMBER($J14),INDEX('Skeet Ind Concurrent Ranking'!$D:$D,MATCH($J14,'Skeet Ind Concurrent Ranking'!$BZ:$BZ,0)),""),"")</f>
        <v>Tim Last Name24</v>
      </c>
      <c r="E29" s="40">
        <f>IFERROR(IF(ISNUMBER($J14),INDEX('Skeet Ind Concurrent Ranking'!$H:$H,MATCH($J14,'Skeet Ind Concurrent Ranking'!$BZ:$BZ,0)),""),"")</f>
        <v>70</v>
      </c>
      <c r="F29" s="11" t="str">
        <f>IFERROR(IF(ISNUMBER($J14),INDEX('Skeet Ind Concurrent Ranking'!$D:$D,MATCH($J14,'Skeet Ind Concurrent Ranking'!$CG:$CG,0)),""),"")</f>
        <v>Bob Last Name12</v>
      </c>
      <c r="G29" s="40">
        <f>IFERROR(IF(ISNUMBER($J14),INDEX('Skeet Ind Concurrent Ranking'!$H:$H,MATCH($J14,'Skeet Ind Concurrent Ranking'!$CG:$CG,0)),""),"")</f>
        <v>48</v>
      </c>
      <c r="H29" s="11" t="str">
        <f>IFERROR(IF(ISNUMBER($J14),INDEX('Skeet Ind Concurrent Ranking'!$D:$D,MATCH($J14,'Skeet Ind Concurrent Ranking'!CN:$CN,0)),""),"")</f>
        <v/>
      </c>
      <c r="I29" s="40" t="str">
        <f>IFERROR(IF(ISNUMBER($J14),INDEX('Skeet Ind Concurrent Ranking'!$H:$H,MATCH($J14,'Skeet Ind Concurrent Ranking'!$CN:$CN,0)),""),"")</f>
        <v/>
      </c>
      <c r="J29" s="1">
        <v>28</v>
      </c>
      <c r="K29" s="11" t="str">
        <f>IFERROR(IF(ISNUMBER($J29),INDEX('Skeet Ind Concurrent Ranking'!$D:$D,MATCH($J29,'Skeet Ind Concurrent Ranking'!$L:$L,0)),""),"")</f>
        <v>Marty Last Name34</v>
      </c>
      <c r="L29" s="51">
        <f>IFERROR(IF(ISNUMBER($J29),INDEX('Skeet Ind Concurrent Ranking'!$H:$H,MATCH($J29,'Skeet Ind Concurrent Ranking'!$L:$L,0)),""),"")</f>
        <v>68</v>
      </c>
      <c r="M29" s="40" t="str">
        <f>IFERROR(IF(ISNUMBER($J29),INDEX('Skeet Ind Concurrent Ranking'!$G:$G,MATCH($J29,'Skeet Ind Concurrent Ranking'!$L:$L,0)),""),"")</f>
        <v>A</v>
      </c>
      <c r="N29" s="1">
        <v>68</v>
      </c>
      <c r="O29" s="11" t="str">
        <f>IFERROR(IF(ISNUMBER($N29),INDEX('Skeet Ind Concurrent Ranking'!$D:$D,MATCH($N29,'Skeet Ind Concurrent Ranking'!$L:$L,0)),""),"")</f>
        <v/>
      </c>
      <c r="P29" s="51" t="str">
        <f>IFERROR(IF(ISNUMBER($N29),INDEX('Skeet Ind Concurrent Ranking'!$H:$H,MATCH($N29,'Skeet Ind Concurrent Ranking'!$L:$L,0)),""),"")</f>
        <v/>
      </c>
      <c r="Q29" s="40" t="str">
        <f>IFERROR(IF(ISNUMBER($N29),INDEX('Skeet Ind Concurrent Ranking'!$G:$G,MATCH($N29,'Skeet Ind Concurrent Ranking'!$L:$L,0)),""),"")</f>
        <v/>
      </c>
    </row>
    <row r="30" spans="2:17" x14ac:dyDescent="0.3">
      <c r="B30" s="11" t="str">
        <f>IFERROR(IF(ISNUMBER($J15),INDEX('Skeet Ind Concurrent Ranking'!$D:$D,MATCH($J15,'Skeet Ind Concurrent Ranking'!$BS:$BS,0)),""),"")</f>
        <v/>
      </c>
      <c r="C30" s="40" t="str">
        <f>IFERROR(IF(ISNUMBER($J15),INDEX('Skeet Ind Concurrent Ranking'!$H:$H,MATCH($J15,'Skeet Ind Concurrent Ranking'!$BS:$BS,0)),""),"")</f>
        <v/>
      </c>
      <c r="D30" s="11" t="str">
        <f>IFERROR(IF(ISNUMBER($J15),INDEX('Skeet Ind Concurrent Ranking'!$D:$D,MATCH($J15,'Skeet Ind Concurrent Ranking'!$BZ:$BZ,0)),""),"")</f>
        <v>John Last Name2</v>
      </c>
      <c r="E30" s="40">
        <f>IFERROR(IF(ISNUMBER($J15),INDEX('Skeet Ind Concurrent Ranking'!$H:$H,MATCH($J15,'Skeet Ind Concurrent Ranking'!$BZ:$BZ,0)),""),"")</f>
        <v>63</v>
      </c>
      <c r="F30" s="11" t="str">
        <f>IFERROR(IF(ISNUMBER($J15),INDEX('Skeet Ind Concurrent Ranking'!$D:$D,MATCH($J15,'Skeet Ind Concurrent Ranking'!$CG:$CG,0)),""),"")</f>
        <v>Becky Last Name27</v>
      </c>
      <c r="G30" s="40">
        <f>IFERROR(IF(ISNUMBER($J15),INDEX('Skeet Ind Concurrent Ranking'!$H:$H,MATCH($J15,'Skeet Ind Concurrent Ranking'!$CG:$CG,0)),""),"")</f>
        <v>45</v>
      </c>
      <c r="H30" s="11" t="str">
        <f>IFERROR(IF(ISNUMBER($J15),INDEX('Skeet Ind Concurrent Ranking'!$D:$D,MATCH($J15,'Skeet Ind Concurrent Ranking'!CN:$CN,0)),""),"")</f>
        <v/>
      </c>
      <c r="I30" s="40" t="str">
        <f>IFERROR(IF(ISNUMBER($J15),INDEX('Skeet Ind Concurrent Ranking'!$H:$H,MATCH($J15,'Skeet Ind Concurrent Ranking'!$CN:$CN,0)),""),"")</f>
        <v/>
      </c>
      <c r="J30" s="1">
        <v>29</v>
      </c>
      <c r="K30" s="11" t="str">
        <f>IFERROR(IF(ISNUMBER($J30),INDEX('Skeet Ind Concurrent Ranking'!$D:$D,MATCH($J30,'Skeet Ind Concurrent Ranking'!$L:$L,0)),""),"")</f>
        <v>Rick Last Name47</v>
      </c>
      <c r="L30" s="51">
        <f>IFERROR(IF(ISNUMBER($J30),INDEX('Skeet Ind Concurrent Ranking'!$H:$H,MATCH($J30,'Skeet Ind Concurrent Ranking'!$L:$L,0)),""),"")</f>
        <v>65</v>
      </c>
      <c r="M30" s="40" t="str">
        <f>IFERROR(IF(ISNUMBER($J30),INDEX('Skeet Ind Concurrent Ranking'!$G:$G,MATCH($J30,'Skeet Ind Concurrent Ranking'!$L:$L,0)),""),"")</f>
        <v>A</v>
      </c>
      <c r="N30" s="1">
        <v>69</v>
      </c>
      <c r="O30" s="11" t="str">
        <f>IFERROR(IF(ISNUMBER($N30),INDEX('Skeet Ind Concurrent Ranking'!$D:$D,MATCH($N30,'Skeet Ind Concurrent Ranking'!$L:$L,0)),""),"")</f>
        <v/>
      </c>
      <c r="P30" s="51" t="str">
        <f>IFERROR(IF(ISNUMBER($N30),INDEX('Skeet Ind Concurrent Ranking'!$H:$H,MATCH($N30,'Skeet Ind Concurrent Ranking'!$L:$L,0)),""),"")</f>
        <v/>
      </c>
      <c r="Q30" s="40" t="str">
        <f>IFERROR(IF(ISNUMBER($N30),INDEX('Skeet Ind Concurrent Ranking'!$G:$G,MATCH($N30,'Skeet Ind Concurrent Ranking'!$L:$L,0)),""),"")</f>
        <v/>
      </c>
    </row>
    <row r="31" spans="2:17" x14ac:dyDescent="0.3">
      <c r="B31" s="11" t="str">
        <f>IFERROR(IF(ISNUMBER($J16),INDEX('Skeet Ind Concurrent Ranking'!$D:$D,MATCH($J16,'Skeet Ind Concurrent Ranking'!$BS:$BS,0)),""),"")</f>
        <v/>
      </c>
      <c r="C31" s="40" t="str">
        <f>IFERROR(IF(ISNUMBER($J16),INDEX('Skeet Ind Concurrent Ranking'!$H:$H,MATCH($J16,'Skeet Ind Concurrent Ranking'!$BS:$BS,0)),""),"")</f>
        <v/>
      </c>
      <c r="D31" s="11" t="str">
        <f>IFERROR(IF(ISNUMBER($J16),INDEX('Skeet Ind Concurrent Ranking'!$D:$D,MATCH($J16,'Skeet Ind Concurrent Ranking'!$BZ:$BZ,0)),""),"")</f>
        <v>Dee Last Name45</v>
      </c>
      <c r="E31" s="40">
        <f>IFERROR(IF(ISNUMBER($J16),INDEX('Skeet Ind Concurrent Ranking'!$H:$H,MATCH($J16,'Skeet Ind Concurrent Ranking'!$BZ:$BZ,0)),""),"")</f>
        <v>54</v>
      </c>
      <c r="F31" s="11" t="str">
        <f>IFERROR(IF(ISNUMBER($J16),INDEX('Skeet Ind Concurrent Ranking'!$D:$D,MATCH($J16,'Skeet Ind Concurrent Ranking'!$CG:$CG,0)),""),"")</f>
        <v>Chad Last Name39</v>
      </c>
      <c r="G31" s="40">
        <f>IFERROR(IF(ISNUMBER($J16),INDEX('Skeet Ind Concurrent Ranking'!$H:$H,MATCH($J16,'Skeet Ind Concurrent Ranking'!$CG:$CG,0)),""),"")</f>
        <v>43</v>
      </c>
      <c r="H31" s="11" t="str">
        <f>IFERROR(IF(ISNUMBER($J16),INDEX('Skeet Ind Concurrent Ranking'!$D:$D,MATCH($J16,'Skeet Ind Concurrent Ranking'!CN:$CN,0)),""),"")</f>
        <v/>
      </c>
      <c r="I31" s="40" t="str">
        <f>IFERROR(IF(ISNUMBER($J16),INDEX('Skeet Ind Concurrent Ranking'!$H:$H,MATCH($J16,'Skeet Ind Concurrent Ranking'!$CN:$CN,0)),""),"")</f>
        <v/>
      </c>
      <c r="J31" s="1">
        <v>30</v>
      </c>
      <c r="K31" s="11" t="str">
        <f>IFERROR(IF(ISNUMBER($J31),INDEX('Skeet Ind Concurrent Ranking'!$D:$D,MATCH($J31,'Skeet Ind Concurrent Ranking'!$L:$L,0)),""),"")</f>
        <v>James Last Name8</v>
      </c>
      <c r="L31" s="51">
        <f>IFERROR(IF(ISNUMBER($J31),INDEX('Skeet Ind Concurrent Ranking'!$H:$H,MATCH($J31,'Skeet Ind Concurrent Ranking'!$L:$L,0)),""),"")</f>
        <v>64</v>
      </c>
      <c r="M31" s="40" t="str">
        <f>IFERROR(IF(ISNUMBER($J31),INDEX('Skeet Ind Concurrent Ranking'!$G:$G,MATCH($J31,'Skeet Ind Concurrent Ranking'!$L:$L,0)),""),"")</f>
        <v>C</v>
      </c>
      <c r="N31" s="1">
        <v>70</v>
      </c>
      <c r="O31" s="11" t="str">
        <f>IFERROR(IF(ISNUMBER($N31),INDEX('Skeet Ind Concurrent Ranking'!$D:$D,MATCH($N31,'Skeet Ind Concurrent Ranking'!$L:$L,0)),""),"")</f>
        <v/>
      </c>
      <c r="P31" s="51" t="str">
        <f>IFERROR(IF(ISNUMBER($N31),INDEX('Skeet Ind Concurrent Ranking'!$H:$H,MATCH($N31,'Skeet Ind Concurrent Ranking'!$L:$L,0)),""),"")</f>
        <v/>
      </c>
      <c r="Q31" s="40" t="str">
        <f>IFERROR(IF(ISNUMBER($N31),INDEX('Skeet Ind Concurrent Ranking'!$G:$G,MATCH($N31,'Skeet Ind Concurrent Ranking'!$L:$L,0)),""),"")</f>
        <v/>
      </c>
    </row>
    <row r="32" spans="2:17" x14ac:dyDescent="0.3">
      <c r="B32" s="11" t="str">
        <f>IFERROR(IF(ISNUMBER($J17),INDEX('Skeet Ind Concurrent Ranking'!$D:$D,MATCH($J17,'Skeet Ind Concurrent Ranking'!$BS:$BS,0)),""),"")</f>
        <v/>
      </c>
      <c r="C32" s="40" t="str">
        <f>IFERROR(IF(ISNUMBER($J17),INDEX('Skeet Ind Concurrent Ranking'!$H:$H,MATCH($J17,'Skeet Ind Concurrent Ranking'!$BS:$BS,0)),""),"")</f>
        <v/>
      </c>
      <c r="D32" s="11" t="str">
        <f>IFERROR(IF(ISNUMBER($J17),INDEX('Skeet Ind Concurrent Ranking'!$D:$D,MATCH($J17,'Skeet Ind Concurrent Ranking'!$BZ:$BZ,0)),""),"")</f>
        <v>Chris Last Name20</v>
      </c>
      <c r="E32" s="40">
        <f>IFERROR(IF(ISNUMBER($J17),INDEX('Skeet Ind Concurrent Ranking'!$H:$H,MATCH($J17,'Skeet Ind Concurrent Ranking'!$BZ:$BZ,0)),""),"")</f>
        <v>32</v>
      </c>
      <c r="F32" s="11" t="str">
        <f>IFERROR(IF(ISNUMBER($J17),INDEX('Skeet Ind Concurrent Ranking'!$D:$D,MATCH($J17,'Skeet Ind Concurrent Ranking'!$CG:$CG,0)),""),"")</f>
        <v>Kelly Last Name32</v>
      </c>
      <c r="G32" s="40">
        <f>IFERROR(IF(ISNUMBER($J17),INDEX('Skeet Ind Concurrent Ranking'!$H:$H,MATCH($J17,'Skeet Ind Concurrent Ranking'!$CG:$CG,0)),""),"")</f>
        <v>29</v>
      </c>
      <c r="H32" s="11" t="str">
        <f>IFERROR(IF(ISNUMBER($J17),INDEX('Skeet Ind Concurrent Ranking'!$D:$D,MATCH($J17,'Skeet Ind Concurrent Ranking'!CN:$CN,0)),""),"")</f>
        <v/>
      </c>
      <c r="I32" s="40" t="str">
        <f>IFERROR(IF(ISNUMBER($J17),INDEX('Skeet Ind Concurrent Ranking'!$H:$H,MATCH($J17,'Skeet Ind Concurrent Ranking'!$CN:$CN,0)),""),"")</f>
        <v/>
      </c>
      <c r="J32" s="1">
        <v>31</v>
      </c>
      <c r="K32" s="11" t="str">
        <f>IFERROR(IF(ISNUMBER($J32),INDEX('Skeet Ind Concurrent Ranking'!$D:$D,MATCH($J32,'Skeet Ind Concurrent Ranking'!$L:$L,0)),""),"")</f>
        <v>Randy Last Name36</v>
      </c>
      <c r="L32" s="51">
        <f>IFERROR(IF(ISNUMBER($J32),INDEX('Skeet Ind Concurrent Ranking'!$H:$H,MATCH($J32,'Skeet Ind Concurrent Ranking'!$L:$L,0)),""),"")</f>
        <v>63.1</v>
      </c>
      <c r="M32" s="40" t="str">
        <f>IFERROR(IF(ISNUMBER($J32),INDEX('Skeet Ind Concurrent Ranking'!$G:$G,MATCH($J32,'Skeet Ind Concurrent Ranking'!$L:$L,0)),""),"")</f>
        <v>C</v>
      </c>
      <c r="N32" s="1">
        <v>71</v>
      </c>
      <c r="O32" s="11" t="str">
        <f>IFERROR(IF(ISNUMBER($N32),INDEX('Skeet Ind Concurrent Ranking'!$D:$D,MATCH($N32,'Skeet Ind Concurrent Ranking'!$L:$L,0)),""),"")</f>
        <v/>
      </c>
      <c r="P32" s="51" t="str">
        <f>IFERROR(IF(ISNUMBER($N32),INDEX('Skeet Ind Concurrent Ranking'!$H:$H,MATCH($N32,'Skeet Ind Concurrent Ranking'!$L:$L,0)),""),"")</f>
        <v/>
      </c>
      <c r="Q32" s="40" t="str">
        <f>IFERROR(IF(ISNUMBER($N32),INDEX('Skeet Ind Concurrent Ranking'!$G:$G,MATCH($N32,'Skeet Ind Concurrent Ranking'!$L:$L,0)),""),"")</f>
        <v/>
      </c>
    </row>
    <row r="33" spans="1:17" x14ac:dyDescent="0.3">
      <c r="B33" s="11" t="str">
        <f>IFERROR(IF(ISNUMBER($J18),INDEX('Skeet Ind Concurrent Ranking'!$D:$D,MATCH($J18,'Skeet Ind Concurrent Ranking'!$BS:$BS,0)),""),"")</f>
        <v/>
      </c>
      <c r="C33" s="40" t="str">
        <f>IFERROR(IF(ISNUMBER($J18),INDEX('Skeet Ind Concurrent Ranking'!$H:$H,MATCH($J18,'Skeet Ind Concurrent Ranking'!$BS:$BS,0)),""),"")</f>
        <v/>
      </c>
      <c r="D33" s="11" t="str">
        <f>IFERROR(IF(ISNUMBER($J18),INDEX('Skeet Ind Concurrent Ranking'!$D:$D,MATCH($J18,'Skeet Ind Concurrent Ranking'!$BZ:$BZ,0)),""),"")</f>
        <v>Sam Last Name46</v>
      </c>
      <c r="E33" s="40">
        <f>IFERROR(IF(ISNUMBER($J18),INDEX('Skeet Ind Concurrent Ranking'!$H:$H,MATCH($J18,'Skeet Ind Concurrent Ranking'!$BZ:$BZ,0)),""),"")</f>
        <v>32</v>
      </c>
      <c r="F33" s="11" t="str">
        <f>IFERROR(IF(ISNUMBER($J18),INDEX('Skeet Ind Concurrent Ranking'!$D:$D,MATCH($J18,'Skeet Ind Concurrent Ranking'!$CG:$CG,0)),""),"")</f>
        <v/>
      </c>
      <c r="G33" s="40" t="str">
        <f>IFERROR(IF(ISNUMBER($J18),INDEX('Skeet Ind Concurrent Ranking'!$H:$H,MATCH($J18,'Skeet Ind Concurrent Ranking'!$CG:$CG,0)),""),"")</f>
        <v/>
      </c>
      <c r="H33" s="11" t="str">
        <f>IFERROR(IF(ISNUMBER($J18),INDEX('Skeet Ind Concurrent Ranking'!$D:$D,MATCH($J18,'Skeet Ind Concurrent Ranking'!CN:$CN,0)),""),"")</f>
        <v/>
      </c>
      <c r="I33" s="40" t="str">
        <f>IFERROR(IF(ISNUMBER($J18),INDEX('Skeet Ind Concurrent Ranking'!$H:$H,MATCH($J18,'Skeet Ind Concurrent Ranking'!$CN:$CN,0)),""),"")</f>
        <v/>
      </c>
      <c r="J33" s="1">
        <v>32</v>
      </c>
      <c r="K33" s="11" t="str">
        <f>IFERROR(IF(ISNUMBER($J33),INDEX('Skeet Ind Concurrent Ranking'!$D:$D,MATCH($J33,'Skeet Ind Concurrent Ranking'!$L:$L,0)),""),"")</f>
        <v>John Last Name2</v>
      </c>
      <c r="L33" s="51">
        <f>IFERROR(IF(ISNUMBER($J33),INDEX('Skeet Ind Concurrent Ranking'!$H:$H,MATCH($J33,'Skeet Ind Concurrent Ranking'!$L:$L,0)),""),"")</f>
        <v>63</v>
      </c>
      <c r="M33" s="40" t="str">
        <f>IFERROR(IF(ISNUMBER($J33),INDEX('Skeet Ind Concurrent Ranking'!$G:$G,MATCH($J33,'Skeet Ind Concurrent Ranking'!$L:$L,0)),""),"")</f>
        <v>B</v>
      </c>
      <c r="N33" s="1">
        <v>72</v>
      </c>
      <c r="O33" s="11" t="str">
        <f>IFERROR(IF(ISNUMBER($N33),INDEX('Skeet Ind Concurrent Ranking'!$D:$D,MATCH($N33,'Skeet Ind Concurrent Ranking'!$L:$L,0)),""),"")</f>
        <v/>
      </c>
      <c r="P33" s="51" t="str">
        <f>IFERROR(IF(ISNUMBER($N33),INDEX('Skeet Ind Concurrent Ranking'!$H:$H,MATCH($N33,'Skeet Ind Concurrent Ranking'!$L:$L,0)),""),"")</f>
        <v/>
      </c>
      <c r="Q33" s="40" t="str">
        <f>IFERROR(IF(ISNUMBER($N33),INDEX('Skeet Ind Concurrent Ranking'!$G:$G,MATCH($N33,'Skeet Ind Concurrent Ranking'!$L:$L,0)),""),"")</f>
        <v/>
      </c>
    </row>
    <row r="34" spans="1:17" x14ac:dyDescent="0.3">
      <c r="B34" s="11" t="str">
        <f>IFERROR(IF(ISNUMBER($J19),INDEX('Skeet Ind Concurrent Ranking'!$D:$D,MATCH($J19,'Skeet Ind Concurrent Ranking'!$BS:$BS,0)),""),"")</f>
        <v/>
      </c>
      <c r="C34" s="40" t="str">
        <f>IFERROR(IF(ISNUMBER($J19),INDEX('Skeet Ind Concurrent Ranking'!$H:$H,MATCH($J19,'Skeet Ind Concurrent Ranking'!$BS:$BS,0)),""),"")</f>
        <v/>
      </c>
      <c r="D34" s="11" t="str">
        <f>IFERROR(IF(ISNUMBER($J19),INDEX('Skeet Ind Concurrent Ranking'!$D:$D,MATCH($J19,'Skeet Ind Concurrent Ranking'!$BZ:$BZ,0)),""),"")</f>
        <v/>
      </c>
      <c r="E34" s="40" t="str">
        <f>IFERROR(IF(ISNUMBER($J19),INDEX('Skeet Ind Concurrent Ranking'!$H:$H,MATCH($J19,'Skeet Ind Concurrent Ranking'!$BZ:$BZ,0)),""),"")</f>
        <v/>
      </c>
      <c r="F34" s="11" t="str">
        <f>IFERROR(IF(ISNUMBER($J19),INDEX('Skeet Ind Concurrent Ranking'!$D:$D,MATCH($J19,'Skeet Ind Concurrent Ranking'!$CG:$CG,0)),""),"")</f>
        <v/>
      </c>
      <c r="G34" s="40" t="str">
        <f>IFERROR(IF(ISNUMBER($J19),INDEX('Skeet Ind Concurrent Ranking'!$H:$H,MATCH($J19,'Skeet Ind Concurrent Ranking'!$CG:$CG,0)),""),"")</f>
        <v/>
      </c>
      <c r="H34" s="11" t="str">
        <f>IFERROR(IF(ISNUMBER($J19),INDEX('Skeet Ind Concurrent Ranking'!$D:$D,MATCH($J19,'Skeet Ind Concurrent Ranking'!CN:$CN,0)),""),"")</f>
        <v/>
      </c>
      <c r="I34" s="40" t="str">
        <f>IFERROR(IF(ISNUMBER($J19),INDEX('Skeet Ind Concurrent Ranking'!$H:$H,MATCH($J19,'Skeet Ind Concurrent Ranking'!$CN:$CN,0)),""),"")</f>
        <v/>
      </c>
      <c r="J34" s="1">
        <v>33</v>
      </c>
      <c r="K34" s="11" t="str">
        <f>IFERROR(IF(ISNUMBER($J34),INDEX('Skeet Ind Concurrent Ranking'!$D:$D,MATCH($J34,'Skeet Ind Concurrent Ranking'!$L:$L,0)),""),"")</f>
        <v>Brad Last Name28</v>
      </c>
      <c r="L34" s="51">
        <f>IFERROR(IF(ISNUMBER($J34),INDEX('Skeet Ind Concurrent Ranking'!$H:$H,MATCH($J34,'Skeet Ind Concurrent Ranking'!$L:$L,0)),""),"")</f>
        <v>63</v>
      </c>
      <c r="M34" s="40" t="str">
        <f>IFERROR(IF(ISNUMBER($J34),INDEX('Skeet Ind Concurrent Ranking'!$G:$G,MATCH($J34,'Skeet Ind Concurrent Ranking'!$L:$L,0)),""),"")</f>
        <v>D</v>
      </c>
      <c r="N34" s="1">
        <v>73</v>
      </c>
      <c r="O34" s="11" t="str">
        <f>IFERROR(IF(ISNUMBER($N34),INDEX('Skeet Ind Concurrent Ranking'!$D:$D,MATCH($N34,'Skeet Ind Concurrent Ranking'!$L:$L,0)),""),"")</f>
        <v/>
      </c>
      <c r="P34" s="51" t="str">
        <f>IFERROR(IF(ISNUMBER($N34),INDEX('Skeet Ind Concurrent Ranking'!$H:$H,MATCH($N34,'Skeet Ind Concurrent Ranking'!$L:$L,0)),""),"")</f>
        <v/>
      </c>
      <c r="Q34" s="40" t="str">
        <f>IFERROR(IF(ISNUMBER($N34),INDEX('Skeet Ind Concurrent Ranking'!$G:$G,MATCH($N34,'Skeet Ind Concurrent Ranking'!$L:$L,0)),""),"")</f>
        <v/>
      </c>
    </row>
    <row r="35" spans="1:17" x14ac:dyDescent="0.3">
      <c r="B35" s="11" t="str">
        <f>IFERROR(IF(ISNUMBER($J20),INDEX('Skeet Ind Concurrent Ranking'!$D:$D,MATCH($J20,'Skeet Ind Concurrent Ranking'!$BS:$BS,0)),""),"")</f>
        <v/>
      </c>
      <c r="C35" s="40" t="str">
        <f>IFERROR(IF(ISNUMBER($J20),INDEX('Skeet Ind Concurrent Ranking'!$H:$H,MATCH($J20,'Skeet Ind Concurrent Ranking'!$BS:$BS,0)),""),"")</f>
        <v/>
      </c>
      <c r="D35" s="11" t="str">
        <f>IFERROR(IF(ISNUMBER($J20),INDEX('Skeet Ind Concurrent Ranking'!$D:$D,MATCH($J20,'Skeet Ind Concurrent Ranking'!$BZ:$BZ,0)),""),"")</f>
        <v/>
      </c>
      <c r="E35" s="40" t="str">
        <f>IFERROR(IF(ISNUMBER($J20),INDEX('Skeet Ind Concurrent Ranking'!$H:$H,MATCH($J20,'Skeet Ind Concurrent Ranking'!$BZ:$BZ,0)),""),"")</f>
        <v/>
      </c>
      <c r="F35" s="11" t="str">
        <f>IFERROR(IF(ISNUMBER($J20),INDEX('Skeet Ind Concurrent Ranking'!$D:$D,MATCH($J20,'Skeet Ind Concurrent Ranking'!$CG:$CG,0)),""),"")</f>
        <v/>
      </c>
      <c r="G35" s="40" t="str">
        <f>IFERROR(IF(ISNUMBER($J20),INDEX('Skeet Ind Concurrent Ranking'!$H:$H,MATCH($J20,'Skeet Ind Concurrent Ranking'!$CG:$CG,0)),""),"")</f>
        <v/>
      </c>
      <c r="H35" s="11" t="str">
        <f>IFERROR(IF(ISNUMBER($J20),INDEX('Skeet Ind Concurrent Ranking'!$D:$D,MATCH($J20,'Skeet Ind Concurrent Ranking'!CN:$CN,0)),""),"")</f>
        <v/>
      </c>
      <c r="I35" s="40" t="str">
        <f>IFERROR(IF(ISNUMBER($J20),INDEX('Skeet Ind Concurrent Ranking'!$H:$H,MATCH($J20,'Skeet Ind Concurrent Ranking'!$CN:$CN,0)),""),"")</f>
        <v/>
      </c>
      <c r="J35" s="1">
        <v>34</v>
      </c>
      <c r="K35" s="11" t="str">
        <f>IFERROR(IF(ISNUMBER($J35),INDEX('Skeet Ind Concurrent Ranking'!$D:$D,MATCH($J35,'Skeet Ind Concurrent Ranking'!$L:$L,0)),""),"")</f>
        <v>Tom Last Name23</v>
      </c>
      <c r="L35" s="51">
        <f>IFERROR(IF(ISNUMBER($J35),INDEX('Skeet Ind Concurrent Ranking'!$H:$H,MATCH($J35,'Skeet Ind Concurrent Ranking'!$L:$L,0)),""),"")</f>
        <v>61</v>
      </c>
      <c r="M35" s="40" t="str">
        <f>IFERROR(IF(ISNUMBER($J35),INDEX('Skeet Ind Concurrent Ranking'!$G:$G,MATCH($J35,'Skeet Ind Concurrent Ranking'!$L:$L,0)),""),"")</f>
        <v>C</v>
      </c>
      <c r="N35" s="1">
        <v>74</v>
      </c>
      <c r="O35" s="11" t="str">
        <f>IFERROR(IF(ISNUMBER($N35),INDEX('Skeet Ind Concurrent Ranking'!$D:$D,MATCH($N35,'Skeet Ind Concurrent Ranking'!$L:$L,0)),""),"")</f>
        <v/>
      </c>
      <c r="P35" s="51" t="str">
        <f>IFERROR(IF(ISNUMBER($N35),INDEX('Skeet Ind Concurrent Ranking'!$H:$H,MATCH($N35,'Skeet Ind Concurrent Ranking'!$L:$L,0)),""),"")</f>
        <v/>
      </c>
      <c r="Q35" s="40" t="str">
        <f>IFERROR(IF(ISNUMBER($N35),INDEX('Skeet Ind Concurrent Ranking'!$G:$G,MATCH($N35,'Skeet Ind Concurrent Ranking'!$L:$L,0)),""),"")</f>
        <v/>
      </c>
    </row>
    <row r="36" spans="1:17" x14ac:dyDescent="0.3">
      <c r="B36" s="11" t="str">
        <f>IFERROR(IF(ISNUMBER($J21),INDEX('Skeet Ind Concurrent Ranking'!$D:$D,MATCH($J21,'Skeet Ind Concurrent Ranking'!$BS:$BS,0)),""),"")</f>
        <v/>
      </c>
      <c r="C36" s="40" t="str">
        <f>IFERROR(IF(ISNUMBER($J21),INDEX('Skeet Ind Concurrent Ranking'!$H:$H,MATCH($J21,'Skeet Ind Concurrent Ranking'!$BS:$BS,0)),""),"")</f>
        <v/>
      </c>
      <c r="D36" s="11" t="str">
        <f>IFERROR(IF(ISNUMBER($J21),INDEX('Skeet Ind Concurrent Ranking'!$D:$D,MATCH($J21,'Skeet Ind Concurrent Ranking'!$BZ:$BZ,0)),""),"")</f>
        <v/>
      </c>
      <c r="E36" s="40" t="str">
        <f>IFERROR(IF(ISNUMBER($J21),INDEX('Skeet Ind Concurrent Ranking'!$H:$H,MATCH($J21,'Skeet Ind Concurrent Ranking'!$BZ:$BZ,0)),""),"")</f>
        <v/>
      </c>
      <c r="F36" s="11" t="str">
        <f>IFERROR(IF(ISNUMBER($J21),INDEX('Skeet Ind Concurrent Ranking'!$D:$D,MATCH($J21,'Skeet Ind Concurrent Ranking'!$CG:$CG,0)),""),"")</f>
        <v/>
      </c>
      <c r="G36" s="40" t="str">
        <f>IFERROR(IF(ISNUMBER($J21),INDEX('Skeet Ind Concurrent Ranking'!$H:$H,MATCH($J21,'Skeet Ind Concurrent Ranking'!$CG:$CG,0)),""),"")</f>
        <v/>
      </c>
      <c r="H36" s="11" t="str">
        <f>IFERROR(IF(ISNUMBER($J21),INDEX('Skeet Ind Concurrent Ranking'!$D:$D,MATCH($J21,'Skeet Ind Concurrent Ranking'!CN:$CN,0)),""),"")</f>
        <v/>
      </c>
      <c r="I36" s="40" t="str">
        <f>IFERROR(IF(ISNUMBER($J21),INDEX('Skeet Ind Concurrent Ranking'!$H:$H,MATCH($J21,'Skeet Ind Concurrent Ranking'!$CN:$CN,0)),""),"")</f>
        <v/>
      </c>
      <c r="J36" s="1">
        <v>35</v>
      </c>
      <c r="K36" s="11" t="str">
        <f>IFERROR(IF(ISNUMBER($J36),INDEX('Skeet Ind Concurrent Ranking'!$D:$D,MATCH($J36,'Skeet Ind Concurrent Ranking'!$L:$L,0)),""),"")</f>
        <v>Joan Last Name17</v>
      </c>
      <c r="L36" s="51">
        <f>IFERROR(IF(ISNUMBER($J36),INDEX('Skeet Ind Concurrent Ranking'!$H:$H,MATCH($J36,'Skeet Ind Concurrent Ranking'!$L:$L,0)),""),"")</f>
        <v>60</v>
      </c>
      <c r="M36" s="40" t="str">
        <f>IFERROR(IF(ISNUMBER($J36),INDEX('Skeet Ind Concurrent Ranking'!$G:$G,MATCH($J36,'Skeet Ind Concurrent Ranking'!$L:$L,0)),""),"")</f>
        <v>D</v>
      </c>
      <c r="N36" s="1">
        <v>75</v>
      </c>
      <c r="O36" s="11" t="str">
        <f>IFERROR(IF(ISNUMBER($N36),INDEX('Skeet Ind Concurrent Ranking'!$D:$D,MATCH($N36,'Skeet Ind Concurrent Ranking'!$L:$L,0)),""),"")</f>
        <v/>
      </c>
      <c r="P36" s="51" t="str">
        <f>IFERROR(IF(ISNUMBER($N36),INDEX('Skeet Ind Concurrent Ranking'!$H:$H,MATCH($N36,'Skeet Ind Concurrent Ranking'!$L:$L,0)),""),"")</f>
        <v/>
      </c>
      <c r="Q36" s="40" t="str">
        <f>IFERROR(IF(ISNUMBER($N36),INDEX('Skeet Ind Concurrent Ranking'!$G:$G,MATCH($N36,'Skeet Ind Concurrent Ranking'!$L:$L,0)),""),"")</f>
        <v/>
      </c>
    </row>
    <row r="37" spans="1:17" x14ac:dyDescent="0.3">
      <c r="B37" s="11" t="str">
        <f>IFERROR(IF(ISNUMBER($J22),INDEX('Skeet Ind Concurrent Ranking'!$D:$D,MATCH($J22,'Skeet Ind Concurrent Ranking'!$BS:$BS,0)),""),"")</f>
        <v/>
      </c>
      <c r="C37" s="40" t="str">
        <f>IFERROR(IF(ISNUMBER($J22),INDEX('Skeet Ind Concurrent Ranking'!$H:$H,MATCH($J22,'Skeet Ind Concurrent Ranking'!$BS:$BS,0)),""),"")</f>
        <v/>
      </c>
      <c r="D37" s="11" t="str">
        <f>IFERROR(IF(ISNUMBER($J22),INDEX('Skeet Ind Concurrent Ranking'!$D:$D,MATCH($J22,'Skeet Ind Concurrent Ranking'!$BZ:$BZ,0)),""),"")</f>
        <v/>
      </c>
      <c r="E37" s="40" t="str">
        <f>IFERROR(IF(ISNUMBER($J22),INDEX('Skeet Ind Concurrent Ranking'!$H:$H,MATCH($J22,'Skeet Ind Concurrent Ranking'!$BZ:$BZ,0)),""),"")</f>
        <v/>
      </c>
      <c r="F37" s="11" t="str">
        <f>IFERROR(IF(ISNUMBER($J22),INDEX('Skeet Ind Concurrent Ranking'!$D:$D,MATCH($J22,'Skeet Ind Concurrent Ranking'!$CG:$CG,0)),""),"")</f>
        <v/>
      </c>
      <c r="G37" s="40" t="str">
        <f>IFERROR(IF(ISNUMBER($J22),INDEX('Skeet Ind Concurrent Ranking'!$H:$H,MATCH($J22,'Skeet Ind Concurrent Ranking'!$CG:$CG,0)),""),"")</f>
        <v/>
      </c>
      <c r="H37" s="11" t="str">
        <f>IFERROR(IF(ISNUMBER($J22),INDEX('Skeet Ind Concurrent Ranking'!$D:$D,MATCH($J22,'Skeet Ind Concurrent Ranking'!CN:$CN,0)),""),"")</f>
        <v/>
      </c>
      <c r="I37" s="40" t="str">
        <f>IFERROR(IF(ISNUMBER($J22),INDEX('Skeet Ind Concurrent Ranking'!$H:$H,MATCH($J22,'Skeet Ind Concurrent Ranking'!$CN:$CN,0)),""),"")</f>
        <v/>
      </c>
      <c r="J37" s="1">
        <v>36</v>
      </c>
      <c r="K37" s="11" t="str">
        <f>IFERROR(IF(ISNUMBER($J37),INDEX('Skeet Ind Concurrent Ranking'!$D:$D,MATCH($J37,'Skeet Ind Concurrent Ranking'!$L:$L,0)),""),"")</f>
        <v>Owen Last Name42</v>
      </c>
      <c r="L37" s="51">
        <f>IFERROR(IF(ISNUMBER($J37),INDEX('Skeet Ind Concurrent Ranking'!$H:$H,MATCH($J37,'Skeet Ind Concurrent Ranking'!$L:$L,0)),""),"")</f>
        <v>60</v>
      </c>
      <c r="M37" s="40" t="str">
        <f>IFERROR(IF(ISNUMBER($J37),INDEX('Skeet Ind Concurrent Ranking'!$G:$G,MATCH($J37,'Skeet Ind Concurrent Ranking'!$L:$L,0)),""),"")</f>
        <v>C</v>
      </c>
      <c r="N37" s="1">
        <v>76</v>
      </c>
      <c r="O37" s="11" t="str">
        <f>IFERROR(IF(ISNUMBER($N37),INDEX('Skeet Ind Concurrent Ranking'!$D:$D,MATCH($N37,'Skeet Ind Concurrent Ranking'!$L:$L,0)),""),"")</f>
        <v/>
      </c>
      <c r="P37" s="51" t="str">
        <f>IFERROR(IF(ISNUMBER($N37),INDEX('Skeet Ind Concurrent Ranking'!$H:$H,MATCH($N37,'Skeet Ind Concurrent Ranking'!$L:$L,0)),""),"")</f>
        <v/>
      </c>
      <c r="Q37" s="40" t="str">
        <f>IFERROR(IF(ISNUMBER($N37),INDEX('Skeet Ind Concurrent Ranking'!$G:$G,MATCH($N37,'Skeet Ind Concurrent Ranking'!$L:$L,0)),""),"")</f>
        <v/>
      </c>
    </row>
    <row r="38" spans="1:17" x14ac:dyDescent="0.3">
      <c r="B38" s="11" t="str">
        <f>IFERROR(IF(ISNUMBER($J23),INDEX('Skeet Ind Concurrent Ranking'!$D:$D,MATCH($J23,'Skeet Ind Concurrent Ranking'!$BS:$BS,0)),""),"")</f>
        <v/>
      </c>
      <c r="C38" s="40" t="str">
        <f>IFERROR(IF(ISNUMBER($J23),INDEX('Skeet Ind Concurrent Ranking'!$H:$H,MATCH($J23,'Skeet Ind Concurrent Ranking'!$BS:$BS,0)),""),"")</f>
        <v/>
      </c>
      <c r="D38" s="11" t="str">
        <f>IFERROR(IF(ISNUMBER($J23),INDEX('Skeet Ind Concurrent Ranking'!$D:$D,MATCH($J23,'Skeet Ind Concurrent Ranking'!$BZ:$BZ,0)),""),"")</f>
        <v/>
      </c>
      <c r="E38" s="40" t="str">
        <f>IFERROR(IF(ISNUMBER($J23),INDEX('Skeet Ind Concurrent Ranking'!$H:$H,MATCH($J23,'Skeet Ind Concurrent Ranking'!$BZ:$BZ,0)),""),"")</f>
        <v/>
      </c>
      <c r="F38" s="11" t="str">
        <f>IFERROR(IF(ISNUMBER($J23),INDEX('Skeet Ind Concurrent Ranking'!$D:$D,MATCH($J23,'Skeet Ind Concurrent Ranking'!$CG:$CG,0)),""),"")</f>
        <v/>
      </c>
      <c r="G38" s="40" t="str">
        <f>IFERROR(IF(ISNUMBER($J23),INDEX('Skeet Ind Concurrent Ranking'!$H:$H,MATCH($J23,'Skeet Ind Concurrent Ranking'!$CG:$CG,0)),""),"")</f>
        <v/>
      </c>
      <c r="H38" s="11" t="str">
        <f>IFERROR(IF(ISNUMBER($J23),INDEX('Skeet Ind Concurrent Ranking'!$D:$D,MATCH($J23,'Skeet Ind Concurrent Ranking'!CN:$CN,0)),""),"")</f>
        <v/>
      </c>
      <c r="I38" s="40" t="str">
        <f>IFERROR(IF(ISNUMBER($J23),INDEX('Skeet Ind Concurrent Ranking'!$H:$H,MATCH($J23,'Skeet Ind Concurrent Ranking'!$CN:$CN,0)),""),"")</f>
        <v/>
      </c>
      <c r="J38" s="1">
        <v>37</v>
      </c>
      <c r="K38" s="11" t="str">
        <f>IFERROR(IF(ISNUMBER($J38),INDEX('Skeet Ind Concurrent Ranking'!$D:$D,MATCH($J38,'Skeet Ind Concurrent Ranking'!$L:$L,0)),""),"")</f>
        <v>Troy Last Name40</v>
      </c>
      <c r="L38" s="51">
        <f>IFERROR(IF(ISNUMBER($J38),INDEX('Skeet Ind Concurrent Ranking'!$H:$H,MATCH($J38,'Skeet Ind Concurrent Ranking'!$L:$L,0)),""),"")</f>
        <v>59</v>
      </c>
      <c r="M38" s="40" t="str">
        <f>IFERROR(IF(ISNUMBER($J38),INDEX('Skeet Ind Concurrent Ranking'!$G:$G,MATCH($J38,'Skeet Ind Concurrent Ranking'!$L:$L,0)),""),"")</f>
        <v>D</v>
      </c>
      <c r="N38" s="1">
        <v>77</v>
      </c>
      <c r="O38" s="11" t="str">
        <f>IFERROR(IF(ISNUMBER($N38),INDEX('Skeet Ind Concurrent Ranking'!$D:$D,MATCH($N38,'Skeet Ind Concurrent Ranking'!$L:$L,0)),""),"")</f>
        <v/>
      </c>
      <c r="P38" s="51" t="str">
        <f>IFERROR(IF(ISNUMBER($N38),INDEX('Skeet Ind Concurrent Ranking'!$H:$H,MATCH($N38,'Skeet Ind Concurrent Ranking'!$L:$L,0)),""),"")</f>
        <v/>
      </c>
      <c r="Q38" s="40" t="str">
        <f>IFERROR(IF(ISNUMBER($N38),INDEX('Skeet Ind Concurrent Ranking'!$G:$G,MATCH($N38,'Skeet Ind Concurrent Ranking'!$L:$L,0)),""),"")</f>
        <v/>
      </c>
    </row>
    <row r="39" spans="1:17" x14ac:dyDescent="0.3">
      <c r="B39" s="11" t="str">
        <f>IFERROR(IF(ISNUMBER($J24),INDEX('Skeet Ind Concurrent Ranking'!$D:$D,MATCH($J24,'Skeet Ind Concurrent Ranking'!$BS:$BS,0)),""),"")</f>
        <v/>
      </c>
      <c r="C39" s="40" t="str">
        <f>IFERROR(IF(ISNUMBER($J24),INDEX('Skeet Ind Concurrent Ranking'!$H:$H,MATCH($J24,'Skeet Ind Concurrent Ranking'!$BS:$BS,0)),""),"")</f>
        <v/>
      </c>
      <c r="D39" s="11" t="str">
        <f>IFERROR(IF(ISNUMBER($J24),INDEX('Skeet Ind Concurrent Ranking'!$D:$D,MATCH($J24,'Skeet Ind Concurrent Ranking'!$BZ:$BZ,0)),""),"")</f>
        <v/>
      </c>
      <c r="E39" s="40" t="str">
        <f>IFERROR(IF(ISNUMBER($J24),INDEX('Skeet Ind Concurrent Ranking'!$H:$H,MATCH($J24,'Skeet Ind Concurrent Ranking'!$BZ:$BZ,0)),""),"")</f>
        <v/>
      </c>
      <c r="F39" s="11" t="str">
        <f>IFERROR(IF(ISNUMBER($J24),INDEX('Skeet Ind Concurrent Ranking'!$D:$D,MATCH($J24,'Skeet Ind Concurrent Ranking'!$CG:$CG,0)),""),"")</f>
        <v/>
      </c>
      <c r="G39" s="40" t="str">
        <f>IFERROR(IF(ISNUMBER($J24),INDEX('Skeet Ind Concurrent Ranking'!$H:$H,MATCH($J24,'Skeet Ind Concurrent Ranking'!$CG:$CG,0)),""),"")</f>
        <v/>
      </c>
      <c r="H39" s="11" t="str">
        <f>IFERROR(IF(ISNUMBER($J24),INDEX('Skeet Ind Concurrent Ranking'!$D:$D,MATCH($J24,'Skeet Ind Concurrent Ranking'!CN:$CN,0)),""),"")</f>
        <v/>
      </c>
      <c r="I39" s="40" t="str">
        <f>IFERROR(IF(ISNUMBER($J24),INDEX('Skeet Ind Concurrent Ranking'!$H:$H,MATCH($J24,'Skeet Ind Concurrent Ranking'!$CN:$CN,0)),""),"")</f>
        <v/>
      </c>
      <c r="J39" s="1">
        <v>38</v>
      </c>
      <c r="K39" s="11" t="str">
        <f>IFERROR(IF(ISNUMBER($J39),INDEX('Skeet Ind Concurrent Ranking'!$D:$D,MATCH($J39,'Skeet Ind Concurrent Ranking'!$L:$L,0)),""),"")</f>
        <v>Dee Last Name45</v>
      </c>
      <c r="L39" s="51">
        <f>IFERROR(IF(ISNUMBER($J39),INDEX('Skeet Ind Concurrent Ranking'!$H:$H,MATCH($J39,'Skeet Ind Concurrent Ranking'!$L:$L,0)),""),"")</f>
        <v>54</v>
      </c>
      <c r="M39" s="40" t="str">
        <f>IFERROR(IF(ISNUMBER($J39),INDEX('Skeet Ind Concurrent Ranking'!$G:$G,MATCH($J39,'Skeet Ind Concurrent Ranking'!$L:$L,0)),""),"")</f>
        <v>B</v>
      </c>
      <c r="N39" s="1">
        <v>78</v>
      </c>
      <c r="O39" s="11" t="str">
        <f>IFERROR(IF(ISNUMBER($N39),INDEX('Skeet Ind Concurrent Ranking'!$D:$D,MATCH($N39,'Skeet Ind Concurrent Ranking'!$L:$L,0)),""),"")</f>
        <v/>
      </c>
      <c r="P39" s="51" t="str">
        <f>IFERROR(IF(ISNUMBER($N39),INDEX('Skeet Ind Concurrent Ranking'!$H:$H,MATCH($N39,'Skeet Ind Concurrent Ranking'!$L:$L,0)),""),"")</f>
        <v/>
      </c>
      <c r="Q39" s="40" t="str">
        <f>IFERROR(IF(ISNUMBER($N39),INDEX('Skeet Ind Concurrent Ranking'!$G:$G,MATCH($N39,'Skeet Ind Concurrent Ranking'!$L:$L,0)),""),"")</f>
        <v/>
      </c>
    </row>
    <row r="40" spans="1:17" x14ac:dyDescent="0.3">
      <c r="B40" s="11" t="str">
        <f>IFERROR(IF(ISNUMBER($J25),INDEX('Skeet Ind Concurrent Ranking'!$D:$D,MATCH($J25,'Skeet Ind Concurrent Ranking'!$BS:$BS,0)),""),"")</f>
        <v/>
      </c>
      <c r="C40" s="40" t="str">
        <f>IFERROR(IF(ISNUMBER($J25),INDEX('Skeet Ind Concurrent Ranking'!$H:$H,MATCH($J25,'Skeet Ind Concurrent Ranking'!$BS:$BS,0)),""),"")</f>
        <v/>
      </c>
      <c r="D40" s="11" t="str">
        <f>IFERROR(IF(ISNUMBER($J25),INDEX('Skeet Ind Concurrent Ranking'!$D:$D,MATCH($J25,'Skeet Ind Concurrent Ranking'!$BZ:$BZ,0)),""),"")</f>
        <v/>
      </c>
      <c r="E40" s="40" t="str">
        <f>IFERROR(IF(ISNUMBER($J25),INDEX('Skeet Ind Concurrent Ranking'!$H:$H,MATCH($J25,'Skeet Ind Concurrent Ranking'!$BZ:$BZ,0)),""),"")</f>
        <v/>
      </c>
      <c r="F40" s="11" t="str">
        <f>IFERROR(IF(ISNUMBER($J25),INDEX('Skeet Ind Concurrent Ranking'!$D:$D,MATCH($J25,'Skeet Ind Concurrent Ranking'!$CG:$CG,0)),""),"")</f>
        <v/>
      </c>
      <c r="G40" s="40" t="str">
        <f>IFERROR(IF(ISNUMBER($J25),INDEX('Skeet Ind Concurrent Ranking'!$H:$H,MATCH($J25,'Skeet Ind Concurrent Ranking'!$CG:$CG,0)),""),"")</f>
        <v/>
      </c>
      <c r="H40" s="11" t="str">
        <f>IFERROR(IF(ISNUMBER($J25),INDEX('Skeet Ind Concurrent Ranking'!$D:$D,MATCH($J25,'Skeet Ind Concurrent Ranking'!CN:$CN,0)),""),"")</f>
        <v/>
      </c>
      <c r="I40" s="40" t="str">
        <f>IFERROR(IF(ISNUMBER($J25),INDEX('Skeet Ind Concurrent Ranking'!$H:$H,MATCH($J25,'Skeet Ind Concurrent Ranking'!$CN:$CN,0)),""),"")</f>
        <v/>
      </c>
      <c r="J40" s="1">
        <v>39</v>
      </c>
      <c r="K40" s="11" t="str">
        <f>IFERROR(IF(ISNUMBER($J40),INDEX('Skeet Ind Concurrent Ranking'!$D:$D,MATCH($J40,'Skeet Ind Concurrent Ranking'!$L:$L,0)),""),"")</f>
        <v>Ben Last Name6</v>
      </c>
      <c r="L40" s="51">
        <f>IFERROR(IF(ISNUMBER($J40),INDEX('Skeet Ind Concurrent Ranking'!$H:$H,MATCH($J40,'Skeet Ind Concurrent Ranking'!$L:$L,0)),""),"")</f>
        <v>51</v>
      </c>
      <c r="M40" s="40" t="str">
        <f>IFERROR(IF(ISNUMBER($J40),INDEX('Skeet Ind Concurrent Ranking'!$G:$G,MATCH($J40,'Skeet Ind Concurrent Ranking'!$L:$L,0)),""),"")</f>
        <v>C</v>
      </c>
      <c r="N40" s="1">
        <v>79</v>
      </c>
      <c r="O40" s="11" t="str">
        <f>IFERROR(IF(ISNUMBER($N40),INDEX('Skeet Ind Concurrent Ranking'!$D:$D,MATCH($N40,'Skeet Ind Concurrent Ranking'!$L:$L,0)),""),"")</f>
        <v/>
      </c>
      <c r="P40" s="51" t="str">
        <f>IFERROR(IF(ISNUMBER($N40),INDEX('Skeet Ind Concurrent Ranking'!$H:$H,MATCH($N40,'Skeet Ind Concurrent Ranking'!$L:$L,0)),""),"")</f>
        <v/>
      </c>
      <c r="Q40" s="40" t="str">
        <f>IFERROR(IF(ISNUMBER($N40),INDEX('Skeet Ind Concurrent Ranking'!$G:$G,MATCH($N40,'Skeet Ind Concurrent Ranking'!$L:$L,0)),""),"")</f>
        <v/>
      </c>
    </row>
    <row r="41" spans="1:17" x14ac:dyDescent="0.3">
      <c r="B41" s="11" t="str">
        <f>IFERROR(IF(ISNUMBER($J26),INDEX('Skeet Ind Concurrent Ranking'!$D:$D,MATCH($J26,'Skeet Ind Concurrent Ranking'!$BS:$BS,0)),""),"")</f>
        <v/>
      </c>
      <c r="C41" s="40" t="str">
        <f>IFERROR(IF(ISNUMBER($J26),INDEX('Skeet Ind Concurrent Ranking'!$H:$H,MATCH($J26,'Skeet Ind Concurrent Ranking'!$BS:$BS,0)),""),"")</f>
        <v/>
      </c>
      <c r="D41" s="11" t="str">
        <f>IFERROR(IF(ISNUMBER($J26),INDEX('Skeet Ind Concurrent Ranking'!$D:$D,MATCH($J26,'Skeet Ind Concurrent Ranking'!$BZ:$BZ,0)),""),"")</f>
        <v/>
      </c>
      <c r="E41" s="40" t="str">
        <f>IFERROR(IF(ISNUMBER($J26),INDEX('Skeet Ind Concurrent Ranking'!$H:$H,MATCH($J26,'Skeet Ind Concurrent Ranking'!$BZ:$BZ,0)),""),"")</f>
        <v/>
      </c>
      <c r="F41" s="11" t="str">
        <f>IFERROR(IF(ISNUMBER($J26),INDEX('Skeet Ind Concurrent Ranking'!$D:$D,MATCH($J26,'Skeet Ind Concurrent Ranking'!$CG:$CG,0)),""),"")</f>
        <v/>
      </c>
      <c r="G41" s="40" t="str">
        <f>IFERROR(IF(ISNUMBER($J26),INDEX('Skeet Ind Concurrent Ranking'!$H:$H,MATCH($J26,'Skeet Ind Concurrent Ranking'!$CG:$CG,0)),""),"")</f>
        <v/>
      </c>
      <c r="H41" s="11" t="str">
        <f>IFERROR(IF(ISNUMBER($J26),INDEX('Skeet Ind Concurrent Ranking'!$D:$D,MATCH($J26,'Skeet Ind Concurrent Ranking'!CN:$CN,0)),""),"")</f>
        <v/>
      </c>
      <c r="I41" s="40" t="str">
        <f>IFERROR(IF(ISNUMBER($J26),INDEX('Skeet Ind Concurrent Ranking'!$H:$H,MATCH($J26,'Skeet Ind Concurrent Ranking'!$CN:$CN,0)),""),"")</f>
        <v/>
      </c>
      <c r="J41" s="1">
        <v>40</v>
      </c>
      <c r="K41" s="11" t="str">
        <f>IFERROR(IF(ISNUMBER($J41),INDEX('Skeet Ind Concurrent Ranking'!$D:$D,MATCH($J41,'Skeet Ind Concurrent Ranking'!$L:$L,0)),""),"")</f>
        <v>Judy Last Name30</v>
      </c>
      <c r="L41" s="51">
        <f>IFERROR(IF(ISNUMBER($J41),INDEX('Skeet Ind Concurrent Ranking'!$H:$H,MATCH($J41,'Skeet Ind Concurrent Ranking'!$L:$L,0)),""),"")</f>
        <v>51</v>
      </c>
      <c r="M41" s="40" t="str">
        <f>IFERROR(IF(ISNUMBER($J41),INDEX('Skeet Ind Concurrent Ranking'!$G:$G,MATCH($J41,'Skeet Ind Concurrent Ranking'!$L:$L,0)),""),"")</f>
        <v>A</v>
      </c>
      <c r="N41" s="1">
        <v>80</v>
      </c>
      <c r="O41" s="11" t="str">
        <f>IFERROR(IF(ISNUMBER($N41),INDEX('Skeet Ind Concurrent Ranking'!$D:$D,MATCH($N41,'Skeet Ind Concurrent Ranking'!$L:$L,0)),""),"")</f>
        <v/>
      </c>
      <c r="P41" s="51" t="str">
        <f>IFERROR(IF(ISNUMBER($N41),INDEX('Skeet Ind Concurrent Ranking'!$H:$H,MATCH($N41,'Skeet Ind Concurrent Ranking'!$L:$L,0)),""),"")</f>
        <v/>
      </c>
      <c r="Q41" s="40" t="str">
        <f>IFERROR(IF(ISNUMBER($N41),INDEX('Skeet Ind Concurrent Ranking'!$G:$G,MATCH($N41,'Skeet Ind Concurrent Ranking'!$L:$L,0)),""),"")</f>
        <v/>
      </c>
    </row>
    <row r="42" spans="1:17" x14ac:dyDescent="0.3">
      <c r="A42" s="34"/>
      <c r="B42" s="36" t="str">
        <f>IFERROR(IF(ISNUMBER($J27),INDEX('Skeet Ind Concurrent Ranking'!$D:$D,MATCH($J27,'Skeet Ind Concurrent Ranking'!$BS:$BS,0)),""),"")</f>
        <v/>
      </c>
      <c r="C42" s="166" t="str">
        <f>IFERROR(IF(ISNUMBER($J27),INDEX('Skeet Ind Concurrent Ranking'!$H:$H,MATCH($J27,'Skeet Ind Concurrent Ranking'!$BS:$BS,0)),""),"")</f>
        <v/>
      </c>
      <c r="D42" s="36" t="str">
        <f>IFERROR(IF(ISNUMBER($J27),INDEX('Skeet Ind Concurrent Ranking'!$D:$D,MATCH($J27,'Skeet Ind Concurrent Ranking'!$BZ:$BZ,0)),""),"")</f>
        <v/>
      </c>
      <c r="E42" s="166" t="str">
        <f>IFERROR(IF(ISNUMBER($J27),INDEX('Skeet Ind Concurrent Ranking'!$H:$H,MATCH($J27,'Skeet Ind Concurrent Ranking'!$BZ:$BZ,0)),""),"")</f>
        <v/>
      </c>
      <c r="F42" s="36" t="str">
        <f>IFERROR(IF(ISNUMBER($J27),INDEX('Skeet Ind Concurrent Ranking'!$D:$D,MATCH($J27,'Skeet Ind Concurrent Ranking'!$CG:$CG,0)),""),"")</f>
        <v/>
      </c>
      <c r="G42" s="166" t="str">
        <f>IFERROR(IF(ISNUMBER($J27),INDEX('Skeet Ind Concurrent Ranking'!$H:$H,MATCH($J27,'Skeet Ind Concurrent Ranking'!$CG:$CG,0)),""),"")</f>
        <v/>
      </c>
      <c r="H42" s="36" t="str">
        <f>IFERROR(IF(ISNUMBER($J27),INDEX('Skeet Ind Concurrent Ranking'!$D:$D,MATCH($J27,'Skeet Ind Concurrent Ranking'!CN:$CN,0)),""),"")</f>
        <v/>
      </c>
      <c r="I42" s="166" t="str">
        <f>IFERROR(IF(ISNUMBER($J27),INDEX('Skeet Ind Concurrent Ranking'!$H:$H,MATCH($J27,'Skeet Ind Concurrent Ranking'!$CN:$CN,0)),""),"")</f>
        <v/>
      </c>
      <c r="J42" s="33"/>
      <c r="K42" s="33"/>
      <c r="L42" s="33"/>
      <c r="M42" s="33"/>
      <c r="N42" s="33"/>
      <c r="O42" s="33"/>
      <c r="P42" s="33"/>
      <c r="Q42" s="33"/>
    </row>
  </sheetData>
  <conditionalFormatting sqref="B17:H41">
    <cfRule type="expression" dxfId="2" priority="4">
      <formula>AND(OR((C17=C16),(C17=C18)),ISNUMBER(C17)=TRUE)</formula>
    </cfRule>
  </conditionalFormatting>
  <conditionalFormatting sqref="I17:I42">
    <cfRule type="expression" dxfId="1" priority="12">
      <formula>AND(OR((#REF!=#REF!),(#REF!=#REF!)),ISNUMBER(#REF!)=TRUE)</formula>
    </cfRule>
  </conditionalFormatting>
  <conditionalFormatting sqref="B42:H42">
    <cfRule type="expression" dxfId="0" priority="156">
      <formula>AND(OR((C42=C41),(C42=#REF!)),ISNUMBER(C42)=TRUE)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Tournament Setup</vt:lpstr>
      <vt:lpstr>Team Setup</vt:lpstr>
      <vt:lpstr>Individual Setup</vt:lpstr>
      <vt:lpstr>Shooter-Squad Assignment</vt:lpstr>
      <vt:lpstr>Squad Listing</vt:lpstr>
      <vt:lpstr>Shooter History</vt:lpstr>
      <vt:lpstr>Tournament List</vt:lpstr>
      <vt:lpstr>Skeet Ind Concurrent Ranking</vt:lpstr>
      <vt:lpstr>Skeet Team Scores</vt:lpstr>
      <vt:lpstr>Skeet Ind Concurrent Scores</vt:lpstr>
      <vt:lpstr>Skeet Ind Class Scores</vt:lpstr>
      <vt:lpstr>AgeConcurrents</vt:lpstr>
      <vt:lpstr>Concurrent</vt:lpstr>
      <vt:lpstr>'Skeet Ind Concurrent Scores'!Print_Area</vt:lpstr>
      <vt:lpstr>ShooterID</vt:lpstr>
      <vt:lpstr>SkeetTimes</vt:lpstr>
      <vt:lpstr>SportingTimes</vt:lpstr>
      <vt:lpstr>SquadConcurrents</vt:lpstr>
      <vt:lpstr>SquadPos</vt:lpstr>
      <vt:lpstr>SquadPosT</vt:lpstr>
      <vt:lpstr>TeamNo</vt:lpstr>
      <vt:lpstr>Teams</vt:lpstr>
      <vt:lpstr>TrapTimes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Heidi Nester</dc:creator>
  <cp:lastModifiedBy>Heidi Nester</cp:lastModifiedBy>
  <cp:lastPrinted>2025-12-01T13:48:49Z</cp:lastPrinted>
  <dcterms:created xsi:type="dcterms:W3CDTF">2025-10-29T12:08:43Z</dcterms:created>
  <dcterms:modified xsi:type="dcterms:W3CDTF">2025-12-14T17:36:04Z</dcterms:modified>
</cp:coreProperties>
</file>